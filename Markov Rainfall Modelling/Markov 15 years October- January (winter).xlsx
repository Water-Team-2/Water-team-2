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Markov/"/>
    </mc:Choice>
  </mc:AlternateContent>
  <xr:revisionPtr revIDLastSave="13" documentId="8_{7D6CFD6F-B099-44E8-A7E9-2CE6D59DF672}" xr6:coauthVersionLast="47" xr6:coauthVersionMax="47" xr10:uidLastSave="{9064D3AB-0BFE-44C1-B239-43840C0E9687}"/>
  <bookViews>
    <workbookView xWindow="19200" yWindow="0" windowWidth="19200" windowHeight="21000" activeTab="1" xr2:uid="{00000000-000D-0000-FFFF-FFFF00000000}"/>
  </bookViews>
  <sheets>
    <sheet name="READ ME" sheetId="4" r:id="rId1"/>
    <sheet name="markov model" sheetId="2" r:id="rId2"/>
    <sheet name="Output analysis" sheetId="7" r:id="rId3"/>
    <sheet name="Calc transition matrix" sheetId="6" r:id="rId4"/>
    <sheet name="Solutions" sheetId="5" r:id="rId5"/>
  </sheets>
  <definedNames>
    <definedName name="alpha">#REF!</definedName>
    <definedName name="codes">'Calc transition matrix'!$O$2:$P$5</definedName>
    <definedName name="ewp_baseline">#REF!</definedName>
    <definedName name="ewp_baseline_plus1">#REF!</definedName>
    <definedName name="lambda">'markov model'!$M$4</definedName>
    <definedName name="moddata">'markov model'!$M$7:$M$3656</definedName>
    <definedName name="mu">#REF!</definedName>
    <definedName name="mu_err">#REF!</definedName>
    <definedName name="obs">'Calc transition matrix'!#REF!</definedName>
    <definedName name="obsdata">'Calc transition matrix'!$E$2:$E$1458</definedName>
    <definedName name="pdd">'markov model'!$E$10</definedName>
    <definedName name="pdw">'markov model'!$D$10</definedName>
    <definedName name="pwd">'markov model'!$E$9</definedName>
    <definedName name="pww">'markov model'!$D$9</definedName>
    <definedName name="rainout">'markov model'!$B$7:$B$3656</definedName>
    <definedName name="sd_err">#REF!</definedName>
  </definedNames>
  <calcPr calcId="191028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3" i="2" l="1"/>
  <c r="T63" i="2"/>
  <c r="V61" i="2"/>
  <c r="T61" i="2"/>
  <c r="V59" i="2"/>
  <c r="T59" i="2"/>
  <c r="V57" i="2"/>
  <c r="T57" i="2"/>
  <c r="M23" i="6"/>
  <c r="M20" i="6"/>
  <c r="K4" i="6"/>
  <c r="K3" i="6"/>
  <c r="K2" i="6"/>
  <c r="AK52" i="2"/>
  <c r="AI52" i="2"/>
  <c r="AF52" i="2"/>
  <c r="AD52" i="2"/>
  <c r="AA52" i="2"/>
  <c r="Y52" i="2"/>
  <c r="V52" i="2" l="1"/>
  <c r="T52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2" i="2"/>
  <c r="Q13" i="2"/>
  <c r="L3658" i="2"/>
  <c r="L3659" i="2"/>
  <c r="L3660" i="2" s="1"/>
  <c r="L3661" i="2" s="1"/>
  <c r="L3662" i="2" s="1"/>
  <c r="L3663" i="2" s="1"/>
  <c r="L3664" i="2" s="1"/>
  <c r="L3665" i="2" s="1"/>
  <c r="L3666" i="2" s="1"/>
  <c r="L3667" i="2" s="1"/>
  <c r="L3668" i="2" s="1"/>
  <c r="L3669" i="2" s="1"/>
  <c r="L3670" i="2" s="1"/>
  <c r="L3671" i="2" s="1"/>
  <c r="L3672" i="2" s="1"/>
  <c r="L3673" i="2" s="1"/>
  <c r="L3674" i="2" s="1"/>
  <c r="L3675" i="2" s="1"/>
  <c r="L3676" i="2" s="1"/>
  <c r="L3677" i="2" s="1"/>
  <c r="L3678" i="2" s="1"/>
  <c r="L3679" i="2" s="1"/>
  <c r="L3680" i="2" s="1"/>
  <c r="L3681" i="2" s="1"/>
  <c r="L3682" i="2" s="1"/>
  <c r="L3683" i="2" s="1"/>
  <c r="L3684" i="2" s="1"/>
  <c r="L3685" i="2" s="1"/>
  <c r="L3686" i="2" s="1"/>
  <c r="L3687" i="2" s="1"/>
  <c r="L3688" i="2" s="1"/>
  <c r="L3689" i="2" s="1"/>
  <c r="L3690" i="2" s="1"/>
  <c r="L3691" i="2" s="1"/>
  <c r="L3692" i="2" s="1"/>
  <c r="L3693" i="2" s="1"/>
  <c r="L3694" i="2" s="1"/>
  <c r="L3695" i="2" s="1"/>
  <c r="L3696" i="2" s="1"/>
  <c r="L3697" i="2" s="1"/>
  <c r="L3698" i="2" s="1"/>
  <c r="L3699" i="2" s="1"/>
  <c r="L3700" i="2" s="1"/>
  <c r="L3701" i="2"/>
  <c r="L3702" i="2" s="1"/>
  <c r="L3703" i="2" s="1"/>
  <c r="L3704" i="2" s="1"/>
  <c r="L3705" i="2" s="1"/>
  <c r="L3706" i="2" s="1"/>
  <c r="L3707" i="2" s="1"/>
  <c r="L3708" i="2" s="1"/>
  <c r="L3709" i="2" s="1"/>
  <c r="L3710" i="2" s="1"/>
  <c r="L3711" i="2" s="1"/>
  <c r="L3712" i="2" s="1"/>
  <c r="L3713" i="2" s="1"/>
  <c r="L3714" i="2" s="1"/>
  <c r="L3715" i="2" s="1"/>
  <c r="L3716" i="2" s="1"/>
  <c r="L3717" i="2" s="1"/>
  <c r="L3718" i="2" s="1"/>
  <c r="L3719" i="2" s="1"/>
  <c r="L3720" i="2" s="1"/>
  <c r="L3721" i="2" s="1"/>
  <c r="L3722" i="2" s="1"/>
  <c r="L3723" i="2" s="1"/>
  <c r="L3724" i="2" s="1"/>
  <c r="L3725" i="2" s="1"/>
  <c r="L3726" i="2" s="1"/>
  <c r="L3727" i="2" s="1"/>
  <c r="L3728" i="2" s="1"/>
  <c r="L3729" i="2" s="1"/>
  <c r="L3730" i="2" s="1"/>
  <c r="L3731" i="2" s="1"/>
  <c r="L3732" i="2" s="1"/>
  <c r="L3733" i="2" s="1"/>
  <c r="L3734" i="2" s="1"/>
  <c r="L3735" i="2" s="1"/>
  <c r="L3736" i="2" s="1"/>
  <c r="L3737" i="2" s="1"/>
  <c r="L3738" i="2" s="1"/>
  <c r="L3739" i="2" s="1"/>
  <c r="L3740" i="2" s="1"/>
  <c r="L3741" i="2" s="1"/>
  <c r="L3742" i="2" s="1"/>
  <c r="L3743" i="2" s="1"/>
  <c r="L3744" i="2" s="1"/>
  <c r="L3745" i="2" s="1"/>
  <c r="L3746" i="2" s="1"/>
  <c r="L3747" i="2" s="1"/>
  <c r="L3748" i="2" s="1"/>
  <c r="L3749" i="2" s="1"/>
  <c r="L3750" i="2" s="1"/>
  <c r="L3751" i="2" s="1"/>
  <c r="L3752" i="2" s="1"/>
  <c r="L3753" i="2" s="1"/>
  <c r="L3754" i="2" s="1"/>
  <c r="L3755" i="2" s="1"/>
  <c r="L3756" i="2" s="1"/>
  <c r="L3757" i="2" s="1"/>
  <c r="L3758" i="2" s="1"/>
  <c r="L3759" i="2" s="1"/>
  <c r="L3760" i="2" s="1"/>
  <c r="L3761" i="2" s="1"/>
  <c r="L3762" i="2" s="1"/>
  <c r="L3763" i="2" s="1"/>
  <c r="L3764" i="2" s="1"/>
  <c r="L3765" i="2" s="1"/>
  <c r="L3766" i="2" s="1"/>
  <c r="L3767" i="2" s="1"/>
  <c r="L3768" i="2" s="1"/>
  <c r="L3769" i="2" s="1"/>
  <c r="L3770" i="2" s="1"/>
  <c r="L3771" i="2" s="1"/>
  <c r="L3772" i="2" s="1"/>
  <c r="L3773" i="2" s="1"/>
  <c r="L3774" i="2" s="1"/>
  <c r="L3775" i="2" s="1"/>
  <c r="L3776" i="2" s="1"/>
  <c r="L3777" i="2" s="1"/>
  <c r="L3778" i="2" s="1"/>
  <c r="L3779" i="2" s="1"/>
  <c r="L3780" i="2" s="1"/>
  <c r="L3781" i="2" s="1"/>
  <c r="L3782" i="2" s="1"/>
  <c r="L3783" i="2" s="1"/>
  <c r="L3784" i="2" s="1"/>
  <c r="L3785" i="2" s="1"/>
  <c r="L3786" i="2" s="1"/>
  <c r="L3787" i="2" s="1"/>
  <c r="L3788" i="2" s="1"/>
  <c r="L3789" i="2" s="1"/>
  <c r="L3790" i="2" s="1"/>
  <c r="L3791" i="2" s="1"/>
  <c r="L3792" i="2" s="1"/>
  <c r="L3793" i="2" s="1"/>
  <c r="L3794" i="2" s="1"/>
  <c r="L3795" i="2" s="1"/>
  <c r="L3796" i="2" s="1"/>
  <c r="L3797" i="2" s="1"/>
  <c r="L3798" i="2" s="1"/>
  <c r="L3799" i="2" s="1"/>
  <c r="L3800" i="2" s="1"/>
  <c r="L3801" i="2" s="1"/>
  <c r="L3802" i="2" s="1"/>
  <c r="L3803" i="2" s="1"/>
  <c r="L3804" i="2" s="1"/>
  <c r="L3805" i="2" s="1"/>
  <c r="L3806" i="2" s="1"/>
  <c r="L3807" i="2" s="1"/>
  <c r="L3808" i="2" s="1"/>
  <c r="L3809" i="2" s="1"/>
  <c r="L3810" i="2" s="1"/>
  <c r="L3811" i="2" s="1"/>
  <c r="L3812" i="2" s="1"/>
  <c r="L3813" i="2" s="1"/>
  <c r="L3814" i="2" s="1"/>
  <c r="L3815" i="2" s="1"/>
  <c r="L3816" i="2" s="1"/>
  <c r="L3817" i="2" s="1"/>
  <c r="L3818" i="2" s="1"/>
  <c r="L3819" i="2" s="1"/>
  <c r="L3820" i="2" s="1"/>
  <c r="L3821" i="2" s="1"/>
  <c r="L3822" i="2" s="1"/>
  <c r="L3823" i="2" s="1"/>
  <c r="L3824" i="2" s="1"/>
  <c r="L3825" i="2" s="1"/>
  <c r="L3826" i="2" s="1"/>
  <c r="L3827" i="2" s="1"/>
  <c r="L3828" i="2" s="1"/>
  <c r="L3829" i="2" s="1"/>
  <c r="L3830" i="2" s="1"/>
  <c r="L3831" i="2" s="1"/>
  <c r="L3832" i="2" s="1"/>
  <c r="L3833" i="2" s="1"/>
  <c r="L3834" i="2" s="1"/>
  <c r="L3835" i="2" s="1"/>
  <c r="L3836" i="2" s="1"/>
  <c r="L3837" i="2" s="1"/>
  <c r="L3838" i="2" s="1"/>
  <c r="L3839" i="2" s="1"/>
  <c r="L3840" i="2" s="1"/>
  <c r="L3841" i="2" s="1"/>
  <c r="L3842" i="2" s="1"/>
  <c r="L3843" i="2" s="1"/>
  <c r="L3844" i="2" s="1"/>
  <c r="L3845" i="2" s="1"/>
  <c r="L3846" i="2" s="1"/>
  <c r="L3847" i="2" s="1"/>
  <c r="L3848" i="2" s="1"/>
  <c r="L3849" i="2" s="1"/>
  <c r="L3850" i="2" s="1"/>
  <c r="L3851" i="2" s="1"/>
  <c r="L3852" i="2" s="1"/>
  <c r="L3853" i="2" s="1"/>
  <c r="L3854" i="2" s="1"/>
  <c r="L3855" i="2" s="1"/>
  <c r="L3856" i="2" s="1"/>
  <c r="L3857" i="2" s="1"/>
  <c r="L3858" i="2" s="1"/>
  <c r="L3859" i="2" s="1"/>
  <c r="L3860" i="2" s="1"/>
  <c r="L3861" i="2" s="1"/>
  <c r="L3862" i="2" s="1"/>
  <c r="L3863" i="2" s="1"/>
  <c r="L3864" i="2" s="1"/>
  <c r="L3865" i="2" s="1"/>
  <c r="L3866" i="2" s="1"/>
  <c r="L3867" i="2" s="1"/>
  <c r="L3868" i="2" s="1"/>
  <c r="L3869" i="2" s="1"/>
  <c r="L3870" i="2" s="1"/>
  <c r="L3871" i="2" s="1"/>
  <c r="L3872" i="2" s="1"/>
  <c r="L3873" i="2" s="1"/>
  <c r="L3874" i="2" s="1"/>
  <c r="L3875" i="2" s="1"/>
  <c r="L3876" i="2" s="1"/>
  <c r="L3877" i="2" s="1"/>
  <c r="L3878" i="2" s="1"/>
  <c r="L3879" i="2" s="1"/>
  <c r="L3880" i="2" s="1"/>
  <c r="L3881" i="2" s="1"/>
  <c r="L3882" i="2" s="1"/>
  <c r="L3883" i="2" s="1"/>
  <c r="L3884" i="2" s="1"/>
  <c r="L3885" i="2" s="1"/>
  <c r="L3886" i="2" s="1"/>
  <c r="L3887" i="2" s="1"/>
  <c r="L3888" i="2" s="1"/>
  <c r="L3889" i="2" s="1"/>
  <c r="L3890" i="2" s="1"/>
  <c r="L3891" i="2" s="1"/>
  <c r="L3892" i="2" s="1"/>
  <c r="L3893" i="2" s="1"/>
  <c r="L3894" i="2" s="1"/>
  <c r="L3895" i="2" s="1"/>
  <c r="L3896" i="2" s="1"/>
  <c r="L3897" i="2" s="1"/>
  <c r="L3898" i="2" s="1"/>
  <c r="L3899" i="2" s="1"/>
  <c r="L3900" i="2" s="1"/>
  <c r="L3901" i="2" s="1"/>
  <c r="L3902" i="2" s="1"/>
  <c r="L3903" i="2" s="1"/>
  <c r="L3904" i="2" s="1"/>
  <c r="L3905" i="2" s="1"/>
  <c r="L3906" i="2" s="1"/>
  <c r="L3907" i="2" s="1"/>
  <c r="L3908" i="2" s="1"/>
  <c r="L3909" i="2" s="1"/>
  <c r="L3910" i="2" s="1"/>
  <c r="L3911" i="2" s="1"/>
  <c r="L3912" i="2" s="1"/>
  <c r="L3913" i="2" s="1"/>
  <c r="L3914" i="2" s="1"/>
  <c r="L3915" i="2" s="1"/>
  <c r="L3916" i="2" s="1"/>
  <c r="L3917" i="2" s="1"/>
  <c r="L3918" i="2" s="1"/>
  <c r="L3919" i="2" s="1"/>
  <c r="L3920" i="2" s="1"/>
  <c r="L3921" i="2" s="1"/>
  <c r="L3922" i="2" s="1"/>
  <c r="L3923" i="2" s="1"/>
  <c r="L3924" i="2" s="1"/>
  <c r="L3925" i="2" s="1"/>
  <c r="L3926" i="2" s="1"/>
  <c r="L3927" i="2" s="1"/>
  <c r="L3928" i="2" s="1"/>
  <c r="L3929" i="2" s="1"/>
  <c r="L3930" i="2" s="1"/>
  <c r="L3931" i="2" s="1"/>
  <c r="L3932" i="2" s="1"/>
  <c r="L3933" i="2" s="1"/>
  <c r="L3934" i="2" s="1"/>
  <c r="L3935" i="2" s="1"/>
  <c r="L3936" i="2" s="1"/>
  <c r="L3937" i="2" s="1"/>
  <c r="L3938" i="2" s="1"/>
  <c r="L3939" i="2" s="1"/>
  <c r="L3940" i="2" s="1"/>
  <c r="L3941" i="2" s="1"/>
  <c r="L3942" i="2" s="1"/>
  <c r="L3943" i="2" s="1"/>
  <c r="L3944" i="2" s="1"/>
  <c r="L3945" i="2" s="1"/>
  <c r="L3946" i="2" s="1"/>
  <c r="L3947" i="2" s="1"/>
  <c r="L3948" i="2" s="1"/>
  <c r="L3949" i="2" s="1"/>
  <c r="L3950" i="2" s="1"/>
  <c r="L3951" i="2" s="1"/>
  <c r="L3952" i="2" s="1"/>
  <c r="L3953" i="2" s="1"/>
  <c r="L3954" i="2" s="1"/>
  <c r="L3955" i="2" s="1"/>
  <c r="L3956" i="2" s="1"/>
  <c r="L3957" i="2" s="1"/>
  <c r="L3958" i="2" s="1"/>
  <c r="L3959" i="2" s="1"/>
  <c r="L3960" i="2" s="1"/>
  <c r="L3961" i="2" s="1"/>
  <c r="L3962" i="2" s="1"/>
  <c r="L3963" i="2" s="1"/>
  <c r="L3964" i="2" s="1"/>
  <c r="L3965" i="2" s="1"/>
  <c r="L3966" i="2" s="1"/>
  <c r="L3967" i="2" s="1"/>
  <c r="L3968" i="2" s="1"/>
  <c r="L3969" i="2" s="1"/>
  <c r="L3970" i="2" s="1"/>
  <c r="L3971" i="2" s="1"/>
  <c r="L3972" i="2" s="1"/>
  <c r="L3973" i="2" s="1"/>
  <c r="L3974" i="2" s="1"/>
  <c r="L3975" i="2" s="1"/>
  <c r="L3976" i="2" s="1"/>
  <c r="L3977" i="2" s="1"/>
  <c r="L3978" i="2" s="1"/>
  <c r="L3979" i="2" s="1"/>
  <c r="L3980" i="2" s="1"/>
  <c r="L3981" i="2" s="1"/>
  <c r="L3982" i="2" s="1"/>
  <c r="L3983" i="2" s="1"/>
  <c r="L3984" i="2" s="1"/>
  <c r="L3985" i="2" s="1"/>
  <c r="L3986" i="2" s="1"/>
  <c r="L3987" i="2" s="1"/>
  <c r="L3988" i="2" s="1"/>
  <c r="L3989" i="2" s="1"/>
  <c r="L3990" i="2" s="1"/>
  <c r="L3991" i="2" s="1"/>
  <c r="L3992" i="2" s="1"/>
  <c r="L3993" i="2" s="1"/>
  <c r="L3994" i="2" s="1"/>
  <c r="L3995" i="2" s="1"/>
  <c r="L3996" i="2" s="1"/>
  <c r="L3997" i="2" s="1"/>
  <c r="L3998" i="2" s="1"/>
  <c r="L3999" i="2" s="1"/>
  <c r="L4000" i="2" s="1"/>
  <c r="L4001" i="2" s="1"/>
  <c r="L4002" i="2" s="1"/>
  <c r="L4003" i="2" s="1"/>
  <c r="L4004" i="2" s="1"/>
  <c r="L4005" i="2" s="1"/>
  <c r="L4006" i="2" s="1"/>
  <c r="L4007" i="2" s="1"/>
  <c r="L4008" i="2" s="1"/>
  <c r="L4009" i="2" s="1"/>
  <c r="L4010" i="2" s="1"/>
  <c r="L4011" i="2" s="1"/>
  <c r="L4012" i="2" s="1"/>
  <c r="L4013" i="2" s="1"/>
  <c r="L4014" i="2" s="1"/>
  <c r="L4015" i="2" s="1"/>
  <c r="L4016" i="2" s="1"/>
  <c r="L4017" i="2" s="1"/>
  <c r="L4018" i="2" s="1"/>
  <c r="L4019" i="2" s="1"/>
  <c r="L4020" i="2" s="1"/>
  <c r="L4021" i="2" s="1"/>
  <c r="L4022" i="2" s="1"/>
  <c r="L4023" i="2" s="1"/>
  <c r="L4024" i="2" s="1"/>
  <c r="L4025" i="2" s="1"/>
  <c r="L4026" i="2" s="1"/>
  <c r="L4027" i="2" s="1"/>
  <c r="L4028" i="2" s="1"/>
  <c r="L4029" i="2" s="1"/>
  <c r="L4030" i="2" s="1"/>
  <c r="L4031" i="2" s="1"/>
  <c r="L4032" i="2" s="1"/>
  <c r="L4033" i="2" s="1"/>
  <c r="L4034" i="2" s="1"/>
  <c r="L4035" i="2" s="1"/>
  <c r="L4036" i="2" s="1"/>
  <c r="L4037" i="2" s="1"/>
  <c r="L4038" i="2" s="1"/>
  <c r="L4039" i="2" s="1"/>
  <c r="L4040" i="2" s="1"/>
  <c r="L4041" i="2" s="1"/>
  <c r="L4042" i="2" s="1"/>
  <c r="L4043" i="2" s="1"/>
  <c r="L4044" i="2" s="1"/>
  <c r="L4045" i="2" s="1"/>
  <c r="L4046" i="2" s="1"/>
  <c r="L4047" i="2" s="1"/>
  <c r="L4048" i="2" s="1"/>
  <c r="L4049" i="2" s="1"/>
  <c r="L4050" i="2" s="1"/>
  <c r="L4051" i="2" s="1"/>
  <c r="L4052" i="2" s="1"/>
  <c r="L4053" i="2" s="1"/>
  <c r="L4054" i="2" s="1"/>
  <c r="L4055" i="2" s="1"/>
  <c r="L4056" i="2" s="1"/>
  <c r="L4057" i="2" s="1"/>
  <c r="L4058" i="2" s="1"/>
  <c r="L4059" i="2" s="1"/>
  <c r="L4060" i="2" s="1"/>
  <c r="L4061" i="2" s="1"/>
  <c r="L4062" i="2" s="1"/>
  <c r="L4063" i="2" s="1"/>
  <c r="L4064" i="2" s="1"/>
  <c r="L4065" i="2" s="1"/>
  <c r="L4066" i="2" s="1"/>
  <c r="L4067" i="2" s="1"/>
  <c r="L4068" i="2" s="1"/>
  <c r="L4069" i="2" s="1"/>
  <c r="L4070" i="2" s="1"/>
  <c r="L4071" i="2" s="1"/>
  <c r="L4072" i="2" s="1"/>
  <c r="L4073" i="2" s="1"/>
  <c r="L4074" i="2" s="1"/>
  <c r="L4075" i="2" s="1"/>
  <c r="L4076" i="2" s="1"/>
  <c r="L4077" i="2" s="1"/>
  <c r="L4078" i="2" s="1"/>
  <c r="L4079" i="2" s="1"/>
  <c r="L4080" i="2" s="1"/>
  <c r="L4081" i="2" s="1"/>
  <c r="L4082" i="2" s="1"/>
  <c r="L4083" i="2" s="1"/>
  <c r="L4084" i="2" s="1"/>
  <c r="L4085" i="2" s="1"/>
  <c r="L4086" i="2" s="1"/>
  <c r="L4087" i="2" s="1"/>
  <c r="L4088" i="2" s="1"/>
  <c r="L4089" i="2" s="1"/>
  <c r="L4090" i="2" s="1"/>
  <c r="L4091" i="2" s="1"/>
  <c r="L4092" i="2" s="1"/>
  <c r="L4093" i="2" s="1"/>
  <c r="L4094" i="2" s="1"/>
  <c r="L4095" i="2" s="1"/>
  <c r="L4096" i="2" s="1"/>
  <c r="L4097" i="2" s="1"/>
  <c r="L4098" i="2" s="1"/>
  <c r="L4099" i="2" s="1"/>
  <c r="L4100" i="2" s="1"/>
  <c r="L4101" i="2" s="1"/>
  <c r="L4102" i="2" s="1"/>
  <c r="L4103" i="2" s="1"/>
  <c r="L4104" i="2" s="1"/>
  <c r="L4105" i="2" s="1"/>
  <c r="L4106" i="2" s="1"/>
  <c r="L4107" i="2" s="1"/>
  <c r="L4108" i="2" s="1"/>
  <c r="L4109" i="2" s="1"/>
  <c r="L4110" i="2" s="1"/>
  <c r="L4111" i="2" s="1"/>
  <c r="L4112" i="2" s="1"/>
  <c r="L4113" i="2" s="1"/>
  <c r="L4114" i="2" s="1"/>
  <c r="L4115" i="2" s="1"/>
  <c r="L4116" i="2" s="1"/>
  <c r="L4117" i="2" s="1"/>
  <c r="L4118" i="2" s="1"/>
  <c r="L4119" i="2" s="1"/>
  <c r="L4120" i="2" s="1"/>
  <c r="L4121" i="2" s="1"/>
  <c r="L4122" i="2" s="1"/>
  <c r="L4123" i="2" s="1"/>
  <c r="L4124" i="2" s="1"/>
  <c r="L4125" i="2" s="1"/>
  <c r="L4126" i="2" s="1"/>
  <c r="L4127" i="2" s="1"/>
  <c r="L4128" i="2" s="1"/>
  <c r="L4129" i="2" s="1"/>
  <c r="L4130" i="2" s="1"/>
  <c r="L4131" i="2" s="1"/>
  <c r="L4132" i="2" s="1"/>
  <c r="L4133" i="2" s="1"/>
  <c r="L4134" i="2" s="1"/>
  <c r="L4135" i="2" s="1"/>
  <c r="L4136" i="2" s="1"/>
  <c r="L4137" i="2" s="1"/>
  <c r="L4138" i="2" s="1"/>
  <c r="L4139" i="2" s="1"/>
  <c r="L4140" i="2" s="1"/>
  <c r="L4141" i="2" s="1"/>
  <c r="L4142" i="2" s="1"/>
  <c r="L4143" i="2" s="1"/>
  <c r="L4144" i="2" s="1"/>
  <c r="L4145" i="2" s="1"/>
  <c r="L4146" i="2" s="1"/>
  <c r="L4147" i="2" s="1"/>
  <c r="L4148" i="2" s="1"/>
  <c r="L4149" i="2" s="1"/>
  <c r="L4150" i="2" s="1"/>
  <c r="L4151" i="2" s="1"/>
  <c r="L4152" i="2" s="1"/>
  <c r="L4153" i="2" s="1"/>
  <c r="L4154" i="2" s="1"/>
  <c r="L4155" i="2" s="1"/>
  <c r="L4156" i="2" s="1"/>
  <c r="L4157" i="2" s="1"/>
  <c r="L4158" i="2" s="1"/>
  <c r="L4159" i="2" s="1"/>
  <c r="L4160" i="2" s="1"/>
  <c r="L4161" i="2" s="1"/>
  <c r="L4162" i="2" s="1"/>
  <c r="L4163" i="2" s="1"/>
  <c r="L4164" i="2" s="1"/>
  <c r="L4165" i="2" s="1"/>
  <c r="L4166" i="2" s="1"/>
  <c r="L4167" i="2" s="1"/>
  <c r="L4168" i="2" s="1"/>
  <c r="L4169" i="2" s="1"/>
  <c r="L4170" i="2" s="1"/>
  <c r="L4171" i="2" s="1"/>
  <c r="L4172" i="2" s="1"/>
  <c r="L4173" i="2" s="1"/>
  <c r="L4174" i="2" s="1"/>
  <c r="L4175" i="2" s="1"/>
  <c r="L4176" i="2" s="1"/>
  <c r="L4177" i="2" s="1"/>
  <c r="L4178" i="2" s="1"/>
  <c r="L4179" i="2" s="1"/>
  <c r="L4180" i="2" s="1"/>
  <c r="L4181" i="2" s="1"/>
  <c r="L4182" i="2" s="1"/>
  <c r="L4183" i="2" s="1"/>
  <c r="L4184" i="2" s="1"/>
  <c r="L4185" i="2" s="1"/>
  <c r="L4186" i="2" s="1"/>
  <c r="L4187" i="2" s="1"/>
  <c r="L4188" i="2" s="1"/>
  <c r="L4189" i="2" s="1"/>
  <c r="L4190" i="2" s="1"/>
  <c r="L4191" i="2" s="1"/>
  <c r="L4192" i="2" s="1"/>
  <c r="L4193" i="2" s="1"/>
  <c r="L4194" i="2" s="1"/>
  <c r="L4195" i="2" s="1"/>
  <c r="L4196" i="2" s="1"/>
  <c r="L4197" i="2" s="1"/>
  <c r="L4198" i="2" s="1"/>
  <c r="L4199" i="2" s="1"/>
  <c r="L4200" i="2" s="1"/>
  <c r="L4201" i="2" s="1"/>
  <c r="L4202" i="2" s="1"/>
  <c r="L4203" i="2" s="1"/>
  <c r="L4204" i="2" s="1"/>
  <c r="L4205" i="2" s="1"/>
  <c r="L4206" i="2" s="1"/>
  <c r="L4207" i="2" s="1"/>
  <c r="L4208" i="2" s="1"/>
  <c r="L4209" i="2" s="1"/>
  <c r="L4210" i="2" s="1"/>
  <c r="L4211" i="2" s="1"/>
  <c r="L4212" i="2" s="1"/>
  <c r="L4213" i="2" s="1"/>
  <c r="L4214" i="2" s="1"/>
  <c r="L4215" i="2" s="1"/>
  <c r="L4216" i="2" s="1"/>
  <c r="L4217" i="2" s="1"/>
  <c r="L4218" i="2" s="1"/>
  <c r="L4219" i="2" s="1"/>
  <c r="L4220" i="2" s="1"/>
  <c r="L4221" i="2" s="1"/>
  <c r="L4222" i="2" s="1"/>
  <c r="L4223" i="2" s="1"/>
  <c r="L4224" i="2" s="1"/>
  <c r="L4225" i="2" s="1"/>
  <c r="L4226" i="2" s="1"/>
  <c r="L4227" i="2" s="1"/>
  <c r="L4228" i="2" s="1"/>
  <c r="L4229" i="2" s="1"/>
  <c r="L4230" i="2" s="1"/>
  <c r="L4231" i="2" s="1"/>
  <c r="L4232" i="2" s="1"/>
  <c r="L4233" i="2" s="1"/>
  <c r="L4234" i="2" s="1"/>
  <c r="L4235" i="2" s="1"/>
  <c r="L4236" i="2" s="1"/>
  <c r="L4237" i="2" s="1"/>
  <c r="L4238" i="2" s="1"/>
  <c r="L4239" i="2" s="1"/>
  <c r="L4240" i="2" s="1"/>
  <c r="L4241" i="2" s="1"/>
  <c r="L4242" i="2" s="1"/>
  <c r="L4243" i="2" s="1"/>
  <c r="L4244" i="2" s="1"/>
  <c r="L4245" i="2" s="1"/>
  <c r="L4246" i="2" s="1"/>
  <c r="L4247" i="2" s="1"/>
  <c r="L4248" i="2" s="1"/>
  <c r="L4249" i="2" s="1"/>
  <c r="L4250" i="2" s="1"/>
  <c r="L4251" i="2" s="1"/>
  <c r="L4252" i="2" s="1"/>
  <c r="L4253" i="2" s="1"/>
  <c r="L4254" i="2" s="1"/>
  <c r="L4255" i="2" s="1"/>
  <c r="L4256" i="2" s="1"/>
  <c r="L4257" i="2" s="1"/>
  <c r="L4258" i="2" s="1"/>
  <c r="L4259" i="2" s="1"/>
  <c r="L4260" i="2" s="1"/>
  <c r="L4261" i="2" s="1"/>
  <c r="L4262" i="2" s="1"/>
  <c r="L4263" i="2" s="1"/>
  <c r="L4264" i="2" s="1"/>
  <c r="L4265" i="2" s="1"/>
  <c r="L4266" i="2" s="1"/>
  <c r="L4267" i="2" s="1"/>
  <c r="L4268" i="2" s="1"/>
  <c r="L4269" i="2" s="1"/>
  <c r="L4270" i="2" s="1"/>
  <c r="L4271" i="2" s="1"/>
  <c r="L4272" i="2" s="1"/>
  <c r="L4273" i="2" s="1"/>
  <c r="L4274" i="2" s="1"/>
  <c r="L4275" i="2" s="1"/>
  <c r="L4276" i="2" s="1"/>
  <c r="L4277" i="2" s="1"/>
  <c r="L4278" i="2" s="1"/>
  <c r="L4279" i="2" s="1"/>
  <c r="L4280" i="2" s="1"/>
  <c r="L4281" i="2" s="1"/>
  <c r="L4282" i="2" s="1"/>
  <c r="L4283" i="2" s="1"/>
  <c r="L4284" i="2" s="1"/>
  <c r="L4285" i="2" s="1"/>
  <c r="L4286" i="2" s="1"/>
  <c r="L4287" i="2" s="1"/>
  <c r="L4288" i="2" s="1"/>
  <c r="L4289" i="2" s="1"/>
  <c r="L4290" i="2" s="1"/>
  <c r="L4291" i="2" s="1"/>
  <c r="L4292" i="2" s="1"/>
  <c r="L4293" i="2" s="1"/>
  <c r="L4294" i="2" s="1"/>
  <c r="L4295" i="2" s="1"/>
  <c r="L4296" i="2" s="1"/>
  <c r="L4297" i="2" s="1"/>
  <c r="L4298" i="2" s="1"/>
  <c r="L4299" i="2" s="1"/>
  <c r="L4300" i="2" s="1"/>
  <c r="L4301" i="2" s="1"/>
  <c r="L4302" i="2" s="1"/>
  <c r="L4303" i="2" s="1"/>
  <c r="L4304" i="2" s="1"/>
  <c r="L4305" i="2" s="1"/>
  <c r="L4306" i="2" s="1"/>
  <c r="L4307" i="2" s="1"/>
  <c r="L4308" i="2" s="1"/>
  <c r="L4309" i="2" s="1"/>
  <c r="L4310" i="2" s="1"/>
  <c r="L4311" i="2" s="1"/>
  <c r="L4312" i="2" s="1"/>
  <c r="L4313" i="2" s="1"/>
  <c r="L4314" i="2" s="1"/>
  <c r="L4315" i="2" s="1"/>
  <c r="L4316" i="2" s="1"/>
  <c r="L4317" i="2" s="1"/>
  <c r="L4318" i="2" s="1"/>
  <c r="L4319" i="2" s="1"/>
  <c r="L4320" i="2" s="1"/>
  <c r="L4321" i="2" s="1"/>
  <c r="L4322" i="2" s="1"/>
  <c r="L4323" i="2" s="1"/>
  <c r="L4324" i="2" s="1"/>
  <c r="L4325" i="2" s="1"/>
  <c r="L4326" i="2" s="1"/>
  <c r="L4327" i="2" s="1"/>
  <c r="L4328" i="2" s="1"/>
  <c r="L4329" i="2" s="1"/>
  <c r="L4330" i="2" s="1"/>
  <c r="L4331" i="2" s="1"/>
  <c r="L4332" i="2" s="1"/>
  <c r="L4333" i="2" s="1"/>
  <c r="L4334" i="2" s="1"/>
  <c r="L4335" i="2" s="1"/>
  <c r="L4336" i="2" s="1"/>
  <c r="L4337" i="2" s="1"/>
  <c r="L4338" i="2" s="1"/>
  <c r="L4339" i="2" s="1"/>
  <c r="L4340" i="2" s="1"/>
  <c r="L4341" i="2" s="1"/>
  <c r="L4342" i="2" s="1"/>
  <c r="L4343" i="2" s="1"/>
  <c r="L4344" i="2" s="1"/>
  <c r="L4345" i="2" s="1"/>
  <c r="L4346" i="2" s="1"/>
  <c r="L4347" i="2" s="1"/>
  <c r="L4348" i="2" s="1"/>
  <c r="L4349" i="2"/>
  <c r="L4350" i="2" s="1"/>
  <c r="L4351" i="2" s="1"/>
  <c r="L4352" i="2" s="1"/>
  <c r="L4353" i="2" s="1"/>
  <c r="L4354" i="2" s="1"/>
  <c r="L4355" i="2" s="1"/>
  <c r="L4356" i="2" s="1"/>
  <c r="L4357" i="2" s="1"/>
  <c r="L4358" i="2" s="1"/>
  <c r="L4359" i="2" s="1"/>
  <c r="L4360" i="2" s="1"/>
  <c r="L4361" i="2" s="1"/>
  <c r="L4362" i="2" s="1"/>
  <c r="L4363" i="2" s="1"/>
  <c r="L4364" i="2" s="1"/>
  <c r="L4365" i="2" s="1"/>
  <c r="L4366" i="2" s="1"/>
  <c r="L4367" i="2" s="1"/>
  <c r="L4368" i="2" s="1"/>
  <c r="L4369" i="2" s="1"/>
  <c r="L4370" i="2" s="1"/>
  <c r="L4371" i="2" s="1"/>
  <c r="L4372" i="2" s="1"/>
  <c r="L4373" i="2" s="1"/>
  <c r="L4374" i="2" s="1"/>
  <c r="L4375" i="2" s="1"/>
  <c r="L4376" i="2" s="1"/>
  <c r="L4377" i="2" s="1"/>
  <c r="L4378" i="2" s="1"/>
  <c r="L4379" i="2" s="1"/>
  <c r="L4380" i="2" s="1"/>
  <c r="L4381" i="2" s="1"/>
  <c r="L4382" i="2" s="1"/>
  <c r="L4383" i="2" s="1"/>
  <c r="L4384" i="2" s="1"/>
  <c r="L4385" i="2" s="1"/>
  <c r="L4386" i="2"/>
  <c r="L4387" i="2" s="1"/>
  <c r="L4388" i="2" s="1"/>
  <c r="L4389" i="2" s="1"/>
  <c r="L4390" i="2" s="1"/>
  <c r="L4391" i="2" s="1"/>
  <c r="L4392" i="2" s="1"/>
  <c r="L4393" i="2" s="1"/>
  <c r="L4394" i="2" s="1"/>
  <c r="L4395" i="2" s="1"/>
  <c r="L4396" i="2" s="1"/>
  <c r="L4397" i="2" s="1"/>
  <c r="L4398" i="2" s="1"/>
  <c r="L4399" i="2" s="1"/>
  <c r="L4400" i="2" s="1"/>
  <c r="L4401" i="2" s="1"/>
  <c r="L4402" i="2" s="1"/>
  <c r="L4403" i="2" s="1"/>
  <c r="L4404" i="2" s="1"/>
  <c r="L4405" i="2" s="1"/>
  <c r="L4406" i="2" s="1"/>
  <c r="L4407" i="2" s="1"/>
  <c r="L4408" i="2" s="1"/>
  <c r="L4409" i="2" s="1"/>
  <c r="L4410" i="2" s="1"/>
  <c r="L4411" i="2" s="1"/>
  <c r="L4412" i="2" s="1"/>
  <c r="L4413" i="2" s="1"/>
  <c r="L4414" i="2" s="1"/>
  <c r="L4415" i="2" s="1"/>
  <c r="L4416" i="2" s="1"/>
  <c r="L4417" i="2" s="1"/>
  <c r="L4418" i="2" s="1"/>
  <c r="L4419" i="2" s="1"/>
  <c r="L4420" i="2" s="1"/>
  <c r="L4421" i="2" s="1"/>
  <c r="L4422" i="2" s="1"/>
  <c r="L4423" i="2" s="1"/>
  <c r="L4424" i="2" s="1"/>
  <c r="L4425" i="2" s="1"/>
  <c r="L4426" i="2" s="1"/>
  <c r="L4427" i="2" s="1"/>
  <c r="L4428" i="2" s="1"/>
  <c r="L4429" i="2" s="1"/>
  <c r="L4430" i="2" s="1"/>
  <c r="L4431" i="2" s="1"/>
  <c r="L4432" i="2" s="1"/>
  <c r="L4433" i="2" s="1"/>
  <c r="L4434" i="2"/>
  <c r="L4435" i="2" s="1"/>
  <c r="L4436" i="2" s="1"/>
  <c r="L4437" i="2" s="1"/>
  <c r="L4438" i="2" s="1"/>
  <c r="L4439" i="2" s="1"/>
  <c r="L4440" i="2" s="1"/>
  <c r="L4441" i="2" s="1"/>
  <c r="L4442" i="2" s="1"/>
  <c r="L4443" i="2" s="1"/>
  <c r="L4444" i="2" s="1"/>
  <c r="L4445" i="2" s="1"/>
  <c r="L4446" i="2" s="1"/>
  <c r="L4447" i="2" s="1"/>
  <c r="L4448" i="2" s="1"/>
  <c r="L4449" i="2" s="1"/>
  <c r="L4450" i="2" s="1"/>
  <c r="L4451" i="2" s="1"/>
  <c r="L4452" i="2" s="1"/>
  <c r="L4453" i="2" s="1"/>
  <c r="L4454" i="2" s="1"/>
  <c r="L4455" i="2" s="1"/>
  <c r="L4456" i="2" s="1"/>
  <c r="L4457" i="2" s="1"/>
  <c r="L4458" i="2" s="1"/>
  <c r="L4459" i="2" s="1"/>
  <c r="L4460" i="2" s="1"/>
  <c r="L4461" i="2" s="1"/>
  <c r="L4462" i="2" s="1"/>
  <c r="L4463" i="2" s="1"/>
  <c r="L4464" i="2" s="1"/>
  <c r="L4465" i="2" s="1"/>
  <c r="L4466" i="2" s="1"/>
  <c r="L4467" i="2" s="1"/>
  <c r="L4468" i="2" s="1"/>
  <c r="L4469" i="2" s="1"/>
  <c r="L4470" i="2" s="1"/>
  <c r="L4471" i="2" s="1"/>
  <c r="L4472" i="2" s="1"/>
  <c r="L4473" i="2" s="1"/>
  <c r="L4474" i="2" s="1"/>
  <c r="L4475" i="2" s="1"/>
  <c r="L4476" i="2" s="1"/>
  <c r="L4477" i="2" s="1"/>
  <c r="L4478" i="2" s="1"/>
  <c r="L4479" i="2" s="1"/>
  <c r="L4480" i="2" s="1"/>
  <c r="L4481" i="2" s="1"/>
  <c r="L4482" i="2" s="1"/>
  <c r="L4483" i="2" s="1"/>
  <c r="L4484" i="2" s="1"/>
  <c r="L4485" i="2" s="1"/>
  <c r="L4486" i="2" s="1"/>
  <c r="L4487" i="2" s="1"/>
  <c r="L4488" i="2" s="1"/>
  <c r="L4489" i="2" s="1"/>
  <c r="L4490" i="2" s="1"/>
  <c r="L4491" i="2" s="1"/>
  <c r="L4492" i="2" s="1"/>
  <c r="L4493" i="2" s="1"/>
  <c r="L4494" i="2" s="1"/>
  <c r="L4495" i="2" s="1"/>
  <c r="L4496" i="2" s="1"/>
  <c r="L4497" i="2" s="1"/>
  <c r="L4498" i="2" s="1"/>
  <c r="L4499" i="2" s="1"/>
  <c r="L4500" i="2" s="1"/>
  <c r="L4501" i="2" s="1"/>
  <c r="L4502" i="2" s="1"/>
  <c r="L4503" i="2" s="1"/>
  <c r="L4504" i="2" s="1"/>
  <c r="L4505" i="2" s="1"/>
  <c r="L4506" i="2" s="1"/>
  <c r="L4507" i="2" s="1"/>
  <c r="L4508" i="2" s="1"/>
  <c r="L4509" i="2" s="1"/>
  <c r="L4510" i="2" s="1"/>
  <c r="L4511" i="2" s="1"/>
  <c r="L4512" i="2" s="1"/>
  <c r="L4513" i="2" s="1"/>
  <c r="L4514" i="2" s="1"/>
  <c r="L4515" i="2" s="1"/>
  <c r="L4516" i="2" s="1"/>
  <c r="L4517" i="2" s="1"/>
  <c r="L4518" i="2" s="1"/>
  <c r="L4519" i="2" s="1"/>
  <c r="L4520" i="2" s="1"/>
  <c r="L4521" i="2" s="1"/>
  <c r="L4522" i="2" s="1"/>
  <c r="L4523" i="2" s="1"/>
  <c r="L4524" i="2" s="1"/>
  <c r="L4525" i="2" s="1"/>
  <c r="L4526" i="2" s="1"/>
  <c r="L4527" i="2" s="1"/>
  <c r="L4528" i="2" s="1"/>
  <c r="L4529" i="2" s="1"/>
  <c r="L4530" i="2" s="1"/>
  <c r="L4531" i="2" s="1"/>
  <c r="L4532" i="2" s="1"/>
  <c r="L4533" i="2" s="1"/>
  <c r="L4534" i="2" s="1"/>
  <c r="L4535" i="2" s="1"/>
  <c r="L4536" i="2" s="1"/>
  <c r="L4537" i="2" s="1"/>
  <c r="L4538" i="2" s="1"/>
  <c r="L4539" i="2" s="1"/>
  <c r="L4540" i="2" s="1"/>
  <c r="L4541" i="2" s="1"/>
  <c r="L4542" i="2" s="1"/>
  <c r="L4543" i="2" s="1"/>
  <c r="L4544" i="2" s="1"/>
  <c r="L4545" i="2" s="1"/>
  <c r="L4546" i="2" s="1"/>
  <c r="L4547" i="2" s="1"/>
  <c r="L4548" i="2" s="1"/>
  <c r="L4549" i="2" s="1"/>
  <c r="L4550" i="2" s="1"/>
  <c r="L4551" i="2" s="1"/>
  <c r="L4552" i="2" s="1"/>
  <c r="L4553" i="2" s="1"/>
  <c r="L4554" i="2" s="1"/>
  <c r="L4555" i="2" s="1"/>
  <c r="L4556" i="2" s="1"/>
  <c r="L4557" i="2" s="1"/>
  <c r="L4558" i="2" s="1"/>
  <c r="L4559" i="2" s="1"/>
  <c r="L4560" i="2" s="1"/>
  <c r="L4561" i="2" s="1"/>
  <c r="L4562" i="2" s="1"/>
  <c r="L4563" i="2" s="1"/>
  <c r="L4564" i="2" s="1"/>
  <c r="L4565" i="2" s="1"/>
  <c r="L4566" i="2" s="1"/>
  <c r="L4567" i="2" s="1"/>
  <c r="L4568" i="2" s="1"/>
  <c r="L4569" i="2" s="1"/>
  <c r="L4570" i="2" s="1"/>
  <c r="L4571" i="2" s="1"/>
  <c r="L4572" i="2" s="1"/>
  <c r="L4573" i="2" s="1"/>
  <c r="L4574" i="2" s="1"/>
  <c r="L4575" i="2" s="1"/>
  <c r="L4576" i="2" s="1"/>
  <c r="L4577" i="2" s="1"/>
  <c r="L4578" i="2" s="1"/>
  <c r="L4579" i="2" s="1"/>
  <c r="L4580" i="2" s="1"/>
  <c r="L4581" i="2" s="1"/>
  <c r="L4582" i="2" s="1"/>
  <c r="L4583" i="2" s="1"/>
  <c r="L4584" i="2" s="1"/>
  <c r="L4585" i="2" s="1"/>
  <c r="L4586" i="2" s="1"/>
  <c r="L4587" i="2" s="1"/>
  <c r="L4588" i="2" s="1"/>
  <c r="L4589" i="2" s="1"/>
  <c r="L4590" i="2" s="1"/>
  <c r="L4591" i="2" s="1"/>
  <c r="L4592" i="2" s="1"/>
  <c r="L4593" i="2" s="1"/>
  <c r="L4594" i="2" s="1"/>
  <c r="L4595" i="2" s="1"/>
  <c r="L4596" i="2" s="1"/>
  <c r="L4597" i="2" s="1"/>
  <c r="L4598" i="2" s="1"/>
  <c r="L4599" i="2" s="1"/>
  <c r="L4600" i="2" s="1"/>
  <c r="L4601" i="2" s="1"/>
  <c r="L4602" i="2" s="1"/>
  <c r="L4603" i="2" s="1"/>
  <c r="L4604" i="2" s="1"/>
  <c r="L4605" i="2" s="1"/>
  <c r="L4606" i="2" s="1"/>
  <c r="L4607" i="2" s="1"/>
  <c r="L4608" i="2" s="1"/>
  <c r="L4609" i="2" s="1"/>
  <c r="L4610" i="2" s="1"/>
  <c r="L4611" i="2" s="1"/>
  <c r="L4612" i="2" s="1"/>
  <c r="L4613" i="2" s="1"/>
  <c r="L4614" i="2" s="1"/>
  <c r="L4615" i="2" s="1"/>
  <c r="L4616" i="2" s="1"/>
  <c r="L4617" i="2" s="1"/>
  <c r="L4618" i="2" s="1"/>
  <c r="L4619" i="2" s="1"/>
  <c r="L4620" i="2" s="1"/>
  <c r="L4621" i="2" s="1"/>
  <c r="L4622" i="2" s="1"/>
  <c r="L4623" i="2" s="1"/>
  <c r="L4624" i="2" s="1"/>
  <c r="L4625" i="2" s="1"/>
  <c r="L4626" i="2" s="1"/>
  <c r="L4627" i="2" s="1"/>
  <c r="L4628" i="2" s="1"/>
  <c r="L4629" i="2" s="1"/>
  <c r="L4630" i="2" s="1"/>
  <c r="L4631" i="2" s="1"/>
  <c r="L4632" i="2" s="1"/>
  <c r="L4633" i="2" s="1"/>
  <c r="L4634" i="2" s="1"/>
  <c r="L4635" i="2" s="1"/>
  <c r="L4636" i="2"/>
  <c r="L4637" i="2" s="1"/>
  <c r="L4638" i="2" s="1"/>
  <c r="L4639" i="2" s="1"/>
  <c r="L4640" i="2" s="1"/>
  <c r="L4641" i="2" s="1"/>
  <c r="L4642" i="2" s="1"/>
  <c r="L4643" i="2" s="1"/>
  <c r="L4644" i="2" s="1"/>
  <c r="L4645" i="2" s="1"/>
  <c r="L4646" i="2" s="1"/>
  <c r="L4647" i="2" s="1"/>
  <c r="L4648" i="2" s="1"/>
  <c r="L4649" i="2" s="1"/>
  <c r="L4650" i="2" s="1"/>
  <c r="L4651" i="2" s="1"/>
  <c r="L4652" i="2" s="1"/>
  <c r="L4653" i="2" s="1"/>
  <c r="L4654" i="2" s="1"/>
  <c r="L4655" i="2" s="1"/>
  <c r="L4656" i="2" s="1"/>
  <c r="L4657" i="2" s="1"/>
  <c r="L4658" i="2" s="1"/>
  <c r="L4659" i="2" s="1"/>
  <c r="L4660" i="2" s="1"/>
  <c r="L4661" i="2" s="1"/>
  <c r="L4662" i="2" s="1"/>
  <c r="L4663" i="2" s="1"/>
  <c r="L4664" i="2" s="1"/>
  <c r="L4665" i="2" s="1"/>
  <c r="L4666" i="2" s="1"/>
  <c r="L4667" i="2" s="1"/>
  <c r="L4668" i="2" s="1"/>
  <c r="L4669" i="2" s="1"/>
  <c r="L4670" i="2" s="1"/>
  <c r="L4671" i="2" s="1"/>
  <c r="L4672" i="2" s="1"/>
  <c r="L4673" i="2" s="1"/>
  <c r="L4674" i="2" s="1"/>
  <c r="L4675" i="2" s="1"/>
  <c r="L4676" i="2" s="1"/>
  <c r="L4677" i="2" s="1"/>
  <c r="L4678" i="2" s="1"/>
  <c r="L4679" i="2" s="1"/>
  <c r="L4680" i="2" s="1"/>
  <c r="L4681" i="2" s="1"/>
  <c r="L4682" i="2" s="1"/>
  <c r="L4683" i="2" s="1"/>
  <c r="L4684" i="2" s="1"/>
  <c r="L4685" i="2" s="1"/>
  <c r="L4686" i="2" s="1"/>
  <c r="L4687" i="2" s="1"/>
  <c r="L4688" i="2" s="1"/>
  <c r="L4689" i="2" s="1"/>
  <c r="L4690" i="2" s="1"/>
  <c r="L4691" i="2" s="1"/>
  <c r="L4692" i="2" s="1"/>
  <c r="L4693" i="2" s="1"/>
  <c r="L4694" i="2" s="1"/>
  <c r="L4695" i="2" s="1"/>
  <c r="L4696" i="2" s="1"/>
  <c r="L4697" i="2" s="1"/>
  <c r="L4698" i="2" s="1"/>
  <c r="L4699" i="2" s="1"/>
  <c r="L4700" i="2" s="1"/>
  <c r="L4701" i="2" s="1"/>
  <c r="L4702" i="2" s="1"/>
  <c r="L4703" i="2" s="1"/>
  <c r="L4704" i="2" s="1"/>
  <c r="L4705" i="2" s="1"/>
  <c r="L4706" i="2" s="1"/>
  <c r="L4707" i="2" s="1"/>
  <c r="L4708" i="2" s="1"/>
  <c r="L4709" i="2" s="1"/>
  <c r="L4710" i="2" s="1"/>
  <c r="L4711" i="2" s="1"/>
  <c r="L4712" i="2" s="1"/>
  <c r="L4713" i="2" s="1"/>
  <c r="L4714" i="2" s="1"/>
  <c r="L4715" i="2" s="1"/>
  <c r="L4716" i="2" s="1"/>
  <c r="L4717" i="2" s="1"/>
  <c r="L4718" i="2" s="1"/>
  <c r="L4719" i="2" s="1"/>
  <c r="L4720" i="2" s="1"/>
  <c r="L4721" i="2" s="1"/>
  <c r="L4722" i="2" s="1"/>
  <c r="L4723" i="2" s="1"/>
  <c r="L4724" i="2" s="1"/>
  <c r="L4725" i="2" s="1"/>
  <c r="L4726" i="2" s="1"/>
  <c r="L4727" i="2" s="1"/>
  <c r="L4728" i="2" s="1"/>
  <c r="L4729" i="2" s="1"/>
  <c r="L4730" i="2" s="1"/>
  <c r="L4731" i="2" s="1"/>
  <c r="L4732" i="2" s="1"/>
  <c r="L4733" i="2" s="1"/>
  <c r="L4734" i="2" s="1"/>
  <c r="L4735" i="2" s="1"/>
  <c r="L4736" i="2" s="1"/>
  <c r="L4737" i="2" s="1"/>
  <c r="L4738" i="2" s="1"/>
  <c r="L4739" i="2" s="1"/>
  <c r="L4740" i="2" s="1"/>
  <c r="L4741" i="2" s="1"/>
  <c r="L4742" i="2" s="1"/>
  <c r="L4743" i="2" s="1"/>
  <c r="L4744" i="2" s="1"/>
  <c r="L4745" i="2" s="1"/>
  <c r="L4746" i="2" s="1"/>
  <c r="L4747" i="2" s="1"/>
  <c r="L4748" i="2" s="1"/>
  <c r="L4749" i="2" s="1"/>
  <c r="L4750" i="2" s="1"/>
  <c r="L4751" i="2" s="1"/>
  <c r="L4752" i="2" s="1"/>
  <c r="L4753" i="2" s="1"/>
  <c r="L4754" i="2" s="1"/>
  <c r="L4755" i="2" s="1"/>
  <c r="L4756" i="2" s="1"/>
  <c r="L4757" i="2" s="1"/>
  <c r="L4758" i="2" s="1"/>
  <c r="L4759" i="2" s="1"/>
  <c r="L4760" i="2" s="1"/>
  <c r="L4761" i="2" s="1"/>
  <c r="L4762" i="2" s="1"/>
  <c r="L4763" i="2" s="1"/>
  <c r="L4764" i="2" s="1"/>
  <c r="L4765" i="2" s="1"/>
  <c r="L4766" i="2" s="1"/>
  <c r="L4767" i="2" s="1"/>
  <c r="L4768" i="2" s="1"/>
  <c r="L4769" i="2" s="1"/>
  <c r="L4770" i="2" s="1"/>
  <c r="L4771" i="2" s="1"/>
  <c r="L4772" i="2" s="1"/>
  <c r="L4773" i="2" s="1"/>
  <c r="L4774" i="2" s="1"/>
  <c r="L4775" i="2" s="1"/>
  <c r="L4776" i="2" s="1"/>
  <c r="L4777" i="2" s="1"/>
  <c r="L4778" i="2" s="1"/>
  <c r="L4779" i="2" s="1"/>
  <c r="L4780" i="2" s="1"/>
  <c r="L4781" i="2" s="1"/>
  <c r="L4782" i="2" s="1"/>
  <c r="L4783" i="2" s="1"/>
  <c r="L4784" i="2" s="1"/>
  <c r="L4785" i="2" s="1"/>
  <c r="L4786" i="2" s="1"/>
  <c r="L4787" i="2" s="1"/>
  <c r="L4788" i="2" s="1"/>
  <c r="L4789" i="2" s="1"/>
  <c r="L4790" i="2" s="1"/>
  <c r="L4791" i="2" s="1"/>
  <c r="L4792" i="2" s="1"/>
  <c r="L4793" i="2" s="1"/>
  <c r="L4794" i="2" s="1"/>
  <c r="L4795" i="2" s="1"/>
  <c r="L4796" i="2" s="1"/>
  <c r="L4797" i="2" s="1"/>
  <c r="L4798" i="2" s="1"/>
  <c r="L4799" i="2" s="1"/>
  <c r="L4800" i="2" s="1"/>
  <c r="L4801" i="2" s="1"/>
  <c r="L4802" i="2" s="1"/>
  <c r="L4803" i="2" s="1"/>
  <c r="L4804" i="2" s="1"/>
  <c r="L4805" i="2" s="1"/>
  <c r="L4806" i="2" s="1"/>
  <c r="L4807" i="2" s="1"/>
  <c r="L4808" i="2" s="1"/>
  <c r="L4809" i="2" s="1"/>
  <c r="L4810" i="2" s="1"/>
  <c r="L4811" i="2" s="1"/>
  <c r="L4812" i="2" s="1"/>
  <c r="L4813" i="2" s="1"/>
  <c r="L4814" i="2" s="1"/>
  <c r="L4815" i="2" s="1"/>
  <c r="L4816" i="2" s="1"/>
  <c r="L4817" i="2" s="1"/>
  <c r="L4818" i="2" s="1"/>
  <c r="L4819" i="2" s="1"/>
  <c r="L4820" i="2" s="1"/>
  <c r="L4821" i="2" s="1"/>
  <c r="L4822" i="2" s="1"/>
  <c r="L4823" i="2" s="1"/>
  <c r="L4824" i="2" s="1"/>
  <c r="L4825" i="2" s="1"/>
  <c r="L4826" i="2" s="1"/>
  <c r="L4827" i="2" s="1"/>
  <c r="L4828" i="2" s="1"/>
  <c r="L4829" i="2" s="1"/>
  <c r="L4830" i="2" s="1"/>
  <c r="L4831" i="2" s="1"/>
  <c r="L4832" i="2" s="1"/>
  <c r="L4833" i="2" s="1"/>
  <c r="L4834" i="2" s="1"/>
  <c r="L4835" i="2" s="1"/>
  <c r="L4836" i="2" s="1"/>
  <c r="L4837" i="2" s="1"/>
  <c r="L4838" i="2" s="1"/>
  <c r="L4839" i="2" s="1"/>
  <c r="L4840" i="2" s="1"/>
  <c r="L4841" i="2" s="1"/>
  <c r="L4842" i="2" s="1"/>
  <c r="L4843" i="2" s="1"/>
  <c r="L4844" i="2" s="1"/>
  <c r="L4845" i="2" s="1"/>
  <c r="L4846" i="2" s="1"/>
  <c r="L4847" i="2" s="1"/>
  <c r="L4848" i="2" s="1"/>
  <c r="L4849" i="2" s="1"/>
  <c r="L4850" i="2" s="1"/>
  <c r="L4851" i="2" s="1"/>
  <c r="L4852" i="2" s="1"/>
  <c r="L4853" i="2" s="1"/>
  <c r="L4854" i="2" s="1"/>
  <c r="L4855" i="2" s="1"/>
  <c r="L4856" i="2" s="1"/>
  <c r="L4857" i="2" s="1"/>
  <c r="L4858" i="2" s="1"/>
  <c r="L4859" i="2" s="1"/>
  <c r="L4860" i="2" s="1"/>
  <c r="L4861" i="2" s="1"/>
  <c r="L4862" i="2" s="1"/>
  <c r="L4863" i="2" s="1"/>
  <c r="L4864" i="2" s="1"/>
  <c r="L4865" i="2" s="1"/>
  <c r="L4866" i="2" s="1"/>
  <c r="L4867" i="2" s="1"/>
  <c r="L4868" i="2" s="1"/>
  <c r="L4869" i="2" s="1"/>
  <c r="L4870" i="2" s="1"/>
  <c r="L4871" i="2" s="1"/>
  <c r="L4872" i="2" s="1"/>
  <c r="L4873" i="2" s="1"/>
  <c r="L4874" i="2" s="1"/>
  <c r="L4875" i="2" s="1"/>
  <c r="L4876" i="2" s="1"/>
  <c r="L4877" i="2" s="1"/>
  <c r="L4878" i="2" s="1"/>
  <c r="L4879" i="2" s="1"/>
  <c r="L4880" i="2" s="1"/>
  <c r="L4881" i="2" s="1"/>
  <c r="L4882" i="2" s="1"/>
  <c r="L4883" i="2" s="1"/>
  <c r="L4884" i="2" s="1"/>
  <c r="L4885" i="2" s="1"/>
  <c r="L4886" i="2" s="1"/>
  <c r="L4887" i="2" s="1"/>
  <c r="L4888" i="2" s="1"/>
  <c r="L4889" i="2" s="1"/>
  <c r="L4890" i="2" s="1"/>
  <c r="L4891" i="2" s="1"/>
  <c r="L4892" i="2" s="1"/>
  <c r="L4893" i="2" s="1"/>
  <c r="L4894" i="2" s="1"/>
  <c r="L4895" i="2" s="1"/>
  <c r="L4896" i="2" s="1"/>
  <c r="L4897" i="2" s="1"/>
  <c r="L4898" i="2" s="1"/>
  <c r="L4899" i="2" s="1"/>
  <c r="L4900" i="2" s="1"/>
  <c r="L4901" i="2" s="1"/>
  <c r="L4902" i="2" s="1"/>
  <c r="L4903" i="2" s="1"/>
  <c r="L4904" i="2" s="1"/>
  <c r="L4905" i="2" s="1"/>
  <c r="L4906" i="2" s="1"/>
  <c r="L4907" i="2" s="1"/>
  <c r="L4908" i="2" s="1"/>
  <c r="L4909" i="2" s="1"/>
  <c r="L4910" i="2" s="1"/>
  <c r="L4911" i="2" s="1"/>
  <c r="L4912" i="2" s="1"/>
  <c r="L4913" i="2" s="1"/>
  <c r="L4914" i="2" s="1"/>
  <c r="L4915" i="2" s="1"/>
  <c r="L4916" i="2" s="1"/>
  <c r="L4917" i="2" s="1"/>
  <c r="L4918" i="2" s="1"/>
  <c r="L4919" i="2" s="1"/>
  <c r="L4920" i="2" s="1"/>
  <c r="L4921" i="2" s="1"/>
  <c r="L4922" i="2" s="1"/>
  <c r="L4923" i="2" s="1"/>
  <c r="L4924" i="2" s="1"/>
  <c r="L4925" i="2" s="1"/>
  <c r="L4926" i="2" s="1"/>
  <c r="L4927" i="2" s="1"/>
  <c r="L4928" i="2" s="1"/>
  <c r="L4929" i="2" s="1"/>
  <c r="L4930" i="2" s="1"/>
  <c r="L4931" i="2" s="1"/>
  <c r="L4932" i="2" s="1"/>
  <c r="L4933" i="2" s="1"/>
  <c r="L4934" i="2" s="1"/>
  <c r="L4935" i="2" s="1"/>
  <c r="L4936" i="2" s="1"/>
  <c r="L4937" i="2" s="1"/>
  <c r="L4938" i="2" s="1"/>
  <c r="L4939" i="2" s="1"/>
  <c r="L4940" i="2" s="1"/>
  <c r="L4941" i="2" s="1"/>
  <c r="L4942" i="2" s="1"/>
  <c r="L4943" i="2" s="1"/>
  <c r="L4944" i="2" s="1"/>
  <c r="L4945" i="2" s="1"/>
  <c r="L4946" i="2" s="1"/>
  <c r="L4947" i="2" s="1"/>
  <c r="L4948" i="2" s="1"/>
  <c r="L4949" i="2" s="1"/>
  <c r="L4950" i="2" s="1"/>
  <c r="L4951" i="2" s="1"/>
  <c r="L4952" i="2" s="1"/>
  <c r="L4953" i="2" s="1"/>
  <c r="L4954" i="2" s="1"/>
  <c r="L4955" i="2" s="1"/>
  <c r="L4956" i="2" s="1"/>
  <c r="L4957" i="2" s="1"/>
  <c r="L4958" i="2" s="1"/>
  <c r="L4959" i="2" s="1"/>
  <c r="L4960" i="2" s="1"/>
  <c r="L4961" i="2" s="1"/>
  <c r="L4962" i="2" s="1"/>
  <c r="L4963" i="2" s="1"/>
  <c r="L4964" i="2" s="1"/>
  <c r="L4965" i="2" s="1"/>
  <c r="L4966" i="2" s="1"/>
  <c r="L4967" i="2" s="1"/>
  <c r="L4968" i="2" s="1"/>
  <c r="L4969" i="2" s="1"/>
  <c r="L4970" i="2" s="1"/>
  <c r="L4971" i="2" s="1"/>
  <c r="L4972" i="2" s="1"/>
  <c r="L4973" i="2" s="1"/>
  <c r="L4974" i="2" s="1"/>
  <c r="L4975" i="2" s="1"/>
  <c r="L4976" i="2" s="1"/>
  <c r="L4977" i="2" s="1"/>
  <c r="L4978" i="2" s="1"/>
  <c r="L4979" i="2" s="1"/>
  <c r="L4980" i="2" s="1"/>
  <c r="L4981" i="2" s="1"/>
  <c r="L4982" i="2" s="1"/>
  <c r="L4983" i="2" s="1"/>
  <c r="L4984" i="2" s="1"/>
  <c r="L4985" i="2" s="1"/>
  <c r="L4986" i="2" s="1"/>
  <c r="L4987" i="2" s="1"/>
  <c r="L4988" i="2" s="1"/>
  <c r="L4989" i="2" s="1"/>
  <c r="L4990" i="2" s="1"/>
  <c r="L4991" i="2" s="1"/>
  <c r="L4992" i="2" s="1"/>
  <c r="L4993" i="2" s="1"/>
  <c r="L4994" i="2" s="1"/>
  <c r="L4995" i="2" s="1"/>
  <c r="L4996" i="2" s="1"/>
  <c r="L4997" i="2" s="1"/>
  <c r="L4998" i="2" s="1"/>
  <c r="L4999" i="2" s="1"/>
  <c r="L5000" i="2" s="1"/>
  <c r="L5001" i="2" s="1"/>
  <c r="L5002" i="2" s="1"/>
  <c r="L5003" i="2" s="1"/>
  <c r="L5004" i="2" s="1"/>
  <c r="L5005" i="2" s="1"/>
  <c r="L5006" i="2" s="1"/>
  <c r="L5007" i="2" s="1"/>
  <c r="L5008" i="2" s="1"/>
  <c r="L5009" i="2" s="1"/>
  <c r="L5010" i="2" s="1"/>
  <c r="L5011" i="2" s="1"/>
  <c r="L5012" i="2" s="1"/>
  <c r="L5013" i="2" s="1"/>
  <c r="L5014" i="2" s="1"/>
  <c r="L5015" i="2" s="1"/>
  <c r="L5016" i="2" s="1"/>
  <c r="L5017" i="2" s="1"/>
  <c r="L5018" i="2" s="1"/>
  <c r="L5019" i="2" s="1"/>
  <c r="L5020" i="2" s="1"/>
  <c r="L5021" i="2" s="1"/>
  <c r="L5022" i="2" s="1"/>
  <c r="L5023" i="2" s="1"/>
  <c r="L5024" i="2" s="1"/>
  <c r="L5025" i="2" s="1"/>
  <c r="L5026" i="2" s="1"/>
  <c r="L5027" i="2" s="1"/>
  <c r="L5028" i="2" s="1"/>
  <c r="L5029" i="2" s="1"/>
  <c r="L5030" i="2" s="1"/>
  <c r="L5031" i="2" s="1"/>
  <c r="L5032" i="2" s="1"/>
  <c r="L5033" i="2" s="1"/>
  <c r="L5034" i="2" s="1"/>
  <c r="L5035" i="2" s="1"/>
  <c r="L5036" i="2" s="1"/>
  <c r="L5037" i="2" s="1"/>
  <c r="L5038" i="2" s="1"/>
  <c r="L5039" i="2" s="1"/>
  <c r="L5040" i="2" s="1"/>
  <c r="L5041" i="2" s="1"/>
  <c r="L5042" i="2" s="1"/>
  <c r="L5043" i="2" s="1"/>
  <c r="L5044" i="2" s="1"/>
  <c r="L5045" i="2" s="1"/>
  <c r="L5046" i="2" s="1"/>
  <c r="L5047" i="2" s="1"/>
  <c r="L5048" i="2" s="1"/>
  <c r="L5049" i="2" s="1"/>
  <c r="L5050" i="2" s="1"/>
  <c r="L5051" i="2" s="1"/>
  <c r="L5052" i="2" s="1"/>
  <c r="L5053" i="2" s="1"/>
  <c r="L5054" i="2" s="1"/>
  <c r="L5055" i="2" s="1"/>
  <c r="L5056" i="2" s="1"/>
  <c r="L5057" i="2" s="1"/>
  <c r="L5058" i="2" s="1"/>
  <c r="L5059" i="2" s="1"/>
  <c r="L5060" i="2" s="1"/>
  <c r="L5061" i="2" s="1"/>
  <c r="L5062" i="2" s="1"/>
  <c r="L5063" i="2" s="1"/>
  <c r="L5064" i="2" s="1"/>
  <c r="L5065" i="2" s="1"/>
  <c r="L5066" i="2" s="1"/>
  <c r="L5067" i="2" s="1"/>
  <c r="L5068" i="2" s="1"/>
  <c r="L5069" i="2" s="1"/>
  <c r="L5070" i="2" s="1"/>
  <c r="L5071" i="2" s="1"/>
  <c r="L5072" i="2" s="1"/>
  <c r="L5073" i="2" s="1"/>
  <c r="L5074" i="2" s="1"/>
  <c r="L5075" i="2" s="1"/>
  <c r="L5076" i="2" s="1"/>
  <c r="L5077" i="2" s="1"/>
  <c r="L5078" i="2" s="1"/>
  <c r="L5079" i="2" s="1"/>
  <c r="L5080" i="2" s="1"/>
  <c r="L5081" i="2" s="1"/>
  <c r="L5082" i="2" s="1"/>
  <c r="L5083" i="2" s="1"/>
  <c r="L5084" i="2" s="1"/>
  <c r="L5085" i="2" s="1"/>
  <c r="L5086" i="2" s="1"/>
  <c r="L5087" i="2" s="1"/>
  <c r="L5088" i="2" s="1"/>
  <c r="L5089" i="2" s="1"/>
  <c r="L5090" i="2" s="1"/>
  <c r="L5091" i="2" s="1"/>
  <c r="L5092" i="2" s="1"/>
  <c r="L5093" i="2" s="1"/>
  <c r="L5094" i="2" s="1"/>
  <c r="L5095" i="2" s="1"/>
  <c r="L5096" i="2" s="1"/>
  <c r="L5097" i="2" s="1"/>
  <c r="L5098" i="2" s="1"/>
  <c r="L5099" i="2" s="1"/>
  <c r="L5100" i="2" s="1"/>
  <c r="L5101" i="2" s="1"/>
  <c r="L5102" i="2" s="1"/>
  <c r="L5103" i="2" s="1"/>
  <c r="L5104" i="2" s="1"/>
  <c r="L5105" i="2" s="1"/>
  <c r="L5106" i="2" s="1"/>
  <c r="L5107" i="2" s="1"/>
  <c r="L5108" i="2" s="1"/>
  <c r="L5109" i="2" s="1"/>
  <c r="L5110" i="2" s="1"/>
  <c r="L5111" i="2" s="1"/>
  <c r="L5112" i="2" s="1"/>
  <c r="L5113" i="2" s="1"/>
  <c r="L5114" i="2" s="1"/>
  <c r="L5115" i="2" s="1"/>
  <c r="L5116" i="2" s="1"/>
  <c r="L5117" i="2" s="1"/>
  <c r="L5118" i="2" s="1"/>
  <c r="L5119" i="2" s="1"/>
  <c r="L5120" i="2" s="1"/>
  <c r="L5121" i="2" s="1"/>
  <c r="L5122" i="2" s="1"/>
  <c r="L5123" i="2" s="1"/>
  <c r="L5124" i="2" s="1"/>
  <c r="L5125" i="2" s="1"/>
  <c r="L5126" i="2" s="1"/>
  <c r="L5127" i="2" s="1"/>
  <c r="L5128" i="2" s="1"/>
  <c r="L5129" i="2" s="1"/>
  <c r="L5130" i="2" s="1"/>
  <c r="L5131" i="2" s="1"/>
  <c r="L5132" i="2" s="1"/>
  <c r="L5133" i="2" s="1"/>
  <c r="L5134" i="2" s="1"/>
  <c r="L5135" i="2" s="1"/>
  <c r="L5136" i="2" s="1"/>
  <c r="L5137" i="2" s="1"/>
  <c r="L5138" i="2" s="1"/>
  <c r="L5139" i="2" s="1"/>
  <c r="L5140" i="2" s="1"/>
  <c r="L5141" i="2" s="1"/>
  <c r="L5142" i="2" s="1"/>
  <c r="L5143" i="2" s="1"/>
  <c r="L5144" i="2" s="1"/>
  <c r="L5145" i="2" s="1"/>
  <c r="L5146" i="2" s="1"/>
  <c r="L5147" i="2" s="1"/>
  <c r="L5148" i="2" s="1"/>
  <c r="L5149" i="2" s="1"/>
  <c r="L5150" i="2" s="1"/>
  <c r="L5151" i="2" s="1"/>
  <c r="L5152" i="2" s="1"/>
  <c r="L5153" i="2" s="1"/>
  <c r="L5154" i="2" s="1"/>
  <c r="L5155" i="2" s="1"/>
  <c r="L5156" i="2" s="1"/>
  <c r="L5157" i="2" s="1"/>
  <c r="L5158" i="2" s="1"/>
  <c r="L5159" i="2" s="1"/>
  <c r="L5160" i="2" s="1"/>
  <c r="L5161" i="2" s="1"/>
  <c r="L5162" i="2" s="1"/>
  <c r="L5163" i="2" s="1"/>
  <c r="L5164" i="2" s="1"/>
  <c r="L5165" i="2" s="1"/>
  <c r="L5166" i="2" s="1"/>
  <c r="L5167" i="2" s="1"/>
  <c r="L5168" i="2" s="1"/>
  <c r="L5169" i="2" s="1"/>
  <c r="L5170" i="2" s="1"/>
  <c r="L5171" i="2" s="1"/>
  <c r="L5172" i="2" s="1"/>
  <c r="L5173" i="2" s="1"/>
  <c r="L5174" i="2" s="1"/>
  <c r="L5175" i="2" s="1"/>
  <c r="L5176" i="2" s="1"/>
  <c r="L5177" i="2" s="1"/>
  <c r="L5178" i="2" s="1"/>
  <c r="L5179" i="2" s="1"/>
  <c r="L5180" i="2" s="1"/>
  <c r="L5181" i="2" s="1"/>
  <c r="L5182" i="2" s="1"/>
  <c r="L5183" i="2" s="1"/>
  <c r="L5184" i="2" s="1"/>
  <c r="L5185" i="2" s="1"/>
  <c r="L5186" i="2" s="1"/>
  <c r="L5187" i="2" s="1"/>
  <c r="L5188" i="2" s="1"/>
  <c r="L5189" i="2" s="1"/>
  <c r="L5190" i="2" s="1"/>
  <c r="L5191" i="2" s="1"/>
  <c r="L5192" i="2" s="1"/>
  <c r="L5193" i="2" s="1"/>
  <c r="L5194" i="2" s="1"/>
  <c r="L5195" i="2" s="1"/>
  <c r="L5196" i="2" s="1"/>
  <c r="L5197" i="2" s="1"/>
  <c r="L5198" i="2" s="1"/>
  <c r="L5199" i="2" s="1"/>
  <c r="L5200" i="2" s="1"/>
  <c r="L5201" i="2" s="1"/>
  <c r="L5202" i="2" s="1"/>
  <c r="L5203" i="2" s="1"/>
  <c r="L5204" i="2" s="1"/>
  <c r="L5205" i="2" s="1"/>
  <c r="L5206" i="2" s="1"/>
  <c r="L5207" i="2" s="1"/>
  <c r="L5208" i="2" s="1"/>
  <c r="L5209" i="2" s="1"/>
  <c r="L5210" i="2" s="1"/>
  <c r="L5211" i="2" s="1"/>
  <c r="L5212" i="2" s="1"/>
  <c r="L5213" i="2" s="1"/>
  <c r="L5214" i="2" s="1"/>
  <c r="L5215" i="2" s="1"/>
  <c r="L5216" i="2" s="1"/>
  <c r="L5217" i="2" s="1"/>
  <c r="L5218" i="2" s="1"/>
  <c r="L5219" i="2" s="1"/>
  <c r="L5220" i="2" s="1"/>
  <c r="L5221" i="2" s="1"/>
  <c r="L5222" i="2" s="1"/>
  <c r="L5223" i="2" s="1"/>
  <c r="L5224" i="2" s="1"/>
  <c r="L5225" i="2" s="1"/>
  <c r="L5226" i="2" s="1"/>
  <c r="L5227" i="2" s="1"/>
  <c r="L5228" i="2" s="1"/>
  <c r="L5229" i="2" s="1"/>
  <c r="L5230" i="2" s="1"/>
  <c r="L5231" i="2" s="1"/>
  <c r="L5232" i="2" s="1"/>
  <c r="L5233" i="2" s="1"/>
  <c r="L5234" i="2" s="1"/>
  <c r="L5235" i="2" s="1"/>
  <c r="L5236" i="2" s="1"/>
  <c r="L5237" i="2" s="1"/>
  <c r="L5238" i="2" s="1"/>
  <c r="L5239" i="2" s="1"/>
  <c r="L5240" i="2" s="1"/>
  <c r="L5241" i="2" s="1"/>
  <c r="L5242" i="2" s="1"/>
  <c r="L5243" i="2" s="1"/>
  <c r="L5244" i="2" s="1"/>
  <c r="L5245" i="2" s="1"/>
  <c r="L5246" i="2" s="1"/>
  <c r="L5247" i="2" s="1"/>
  <c r="L5248" i="2" s="1"/>
  <c r="L5249" i="2" s="1"/>
  <c r="L5250" i="2" s="1"/>
  <c r="L5251" i="2" s="1"/>
  <c r="L5252" i="2" s="1"/>
  <c r="L5253" i="2" s="1"/>
  <c r="L5254" i="2" s="1"/>
  <c r="L5255" i="2" s="1"/>
  <c r="L5256" i="2" s="1"/>
  <c r="L5257" i="2" s="1"/>
  <c r="L5258" i="2" s="1"/>
  <c r="L5259" i="2" s="1"/>
  <c r="L5260" i="2" s="1"/>
  <c r="L5261" i="2" s="1"/>
  <c r="L5262" i="2" s="1"/>
  <c r="L5263" i="2" s="1"/>
  <c r="L5264" i="2" s="1"/>
  <c r="L5265" i="2" s="1"/>
  <c r="L5266" i="2" s="1"/>
  <c r="L5267" i="2" s="1"/>
  <c r="L5268" i="2" s="1"/>
  <c r="L5269" i="2" s="1"/>
  <c r="L5270" i="2" s="1"/>
  <c r="L5271" i="2" s="1"/>
  <c r="L5272" i="2" s="1"/>
  <c r="L5273" i="2" s="1"/>
  <c r="L5274" i="2" s="1"/>
  <c r="L5275" i="2" s="1"/>
  <c r="L5276" i="2" s="1"/>
  <c r="L5277" i="2" s="1"/>
  <c r="L5278" i="2" s="1"/>
  <c r="L5279" i="2" s="1"/>
  <c r="L5280" i="2" s="1"/>
  <c r="L5281" i="2" s="1"/>
  <c r="L5282" i="2" s="1"/>
  <c r="L5283" i="2" s="1"/>
  <c r="L5284" i="2" s="1"/>
  <c r="L5285" i="2" s="1"/>
  <c r="L5286" i="2" s="1"/>
  <c r="L5287" i="2" s="1"/>
  <c r="L5288" i="2" s="1"/>
  <c r="L5289" i="2" s="1"/>
  <c r="L5290" i="2" s="1"/>
  <c r="L5291" i="2" s="1"/>
  <c r="L5292" i="2" s="1"/>
  <c r="L5293" i="2" s="1"/>
  <c r="L5294" i="2" s="1"/>
  <c r="L5295" i="2" s="1"/>
  <c r="L5296" i="2" s="1"/>
  <c r="L5297" i="2" s="1"/>
  <c r="L5298" i="2" s="1"/>
  <c r="L5299" i="2" s="1"/>
  <c r="L5300" i="2" s="1"/>
  <c r="L5301" i="2" s="1"/>
  <c r="L5302" i="2" s="1"/>
  <c r="L5303" i="2" s="1"/>
  <c r="L5304" i="2" s="1"/>
  <c r="L5305" i="2" s="1"/>
  <c r="L5306" i="2" s="1"/>
  <c r="L5307" i="2" s="1"/>
  <c r="L5308" i="2" s="1"/>
  <c r="L5309" i="2" s="1"/>
  <c r="L5310" i="2" s="1"/>
  <c r="L5311" i="2" s="1"/>
  <c r="L5312" i="2" s="1"/>
  <c r="L5313" i="2" s="1"/>
  <c r="L5314" i="2" s="1"/>
  <c r="L5315" i="2" s="1"/>
  <c r="L5316" i="2" s="1"/>
  <c r="L5317" i="2" s="1"/>
  <c r="L5318" i="2" s="1"/>
  <c r="L5319" i="2" s="1"/>
  <c r="L5320" i="2" s="1"/>
  <c r="L5321" i="2" s="1"/>
  <c r="L5322" i="2" s="1"/>
  <c r="L5323" i="2" s="1"/>
  <c r="L5324" i="2" s="1"/>
  <c r="L5325" i="2" s="1"/>
  <c r="L5326" i="2" s="1"/>
  <c r="L5327" i="2" s="1"/>
  <c r="L5328" i="2" s="1"/>
  <c r="L5329" i="2" s="1"/>
  <c r="L5330" i="2" s="1"/>
  <c r="L5331" i="2" s="1"/>
  <c r="L5332" i="2" s="1"/>
  <c r="L5333" i="2" s="1"/>
  <c r="L5334" i="2" s="1"/>
  <c r="L5335" i="2" s="1"/>
  <c r="L5336" i="2" s="1"/>
  <c r="L5337" i="2" s="1"/>
  <c r="L5338" i="2" s="1"/>
  <c r="L5339" i="2" s="1"/>
  <c r="L5340" i="2" s="1"/>
  <c r="L5341" i="2" s="1"/>
  <c r="L5342" i="2" s="1"/>
  <c r="L5343" i="2" s="1"/>
  <c r="L5344" i="2" s="1"/>
  <c r="L5345" i="2" s="1"/>
  <c r="L5346" i="2" s="1"/>
  <c r="L5347" i="2" s="1"/>
  <c r="L5348" i="2" s="1"/>
  <c r="L5349" i="2" s="1"/>
  <c r="L5350" i="2" s="1"/>
  <c r="L5351" i="2" s="1"/>
  <c r="L5352" i="2" s="1"/>
  <c r="L5353" i="2" s="1"/>
  <c r="L5354" i="2" s="1"/>
  <c r="L5355" i="2" s="1"/>
  <c r="L5356" i="2" s="1"/>
  <c r="L5357" i="2" s="1"/>
  <c r="L5358" i="2" s="1"/>
  <c r="L5359" i="2" s="1"/>
  <c r="L5360" i="2" s="1"/>
  <c r="L5361" i="2" s="1"/>
  <c r="L5362" i="2" s="1"/>
  <c r="L5363" i="2" s="1"/>
  <c r="L5364" i="2" s="1"/>
  <c r="L5365" i="2" s="1"/>
  <c r="L5366" i="2" s="1"/>
  <c r="L5367" i="2" s="1"/>
  <c r="L5368" i="2" s="1"/>
  <c r="L5369" i="2" s="1"/>
  <c r="L5370" i="2" s="1"/>
  <c r="L5371" i="2" s="1"/>
  <c r="L5372" i="2" s="1"/>
  <c r="L5373" i="2" s="1"/>
  <c r="L5374" i="2" s="1"/>
  <c r="L5375" i="2" s="1"/>
  <c r="L5376" i="2" s="1"/>
  <c r="L5377" i="2" s="1"/>
  <c r="L5378" i="2" s="1"/>
  <c r="L5379" i="2" s="1"/>
  <c r="L5380" i="2" s="1"/>
  <c r="L5381" i="2" s="1"/>
  <c r="L5382" i="2" s="1"/>
  <c r="L5383" i="2" s="1"/>
  <c r="L5384" i="2" s="1"/>
  <c r="L5385" i="2" s="1"/>
  <c r="L5386" i="2" s="1"/>
  <c r="L5387" i="2" s="1"/>
  <c r="L5388" i="2" s="1"/>
  <c r="L5389" i="2" s="1"/>
  <c r="L5390" i="2" s="1"/>
  <c r="L5391" i="2" s="1"/>
  <c r="L5392" i="2" s="1"/>
  <c r="L5393" i="2" s="1"/>
  <c r="L5394" i="2" s="1"/>
  <c r="L5395" i="2" s="1"/>
  <c r="L5396" i="2" s="1"/>
  <c r="L5397" i="2" s="1"/>
  <c r="L5398" i="2" s="1"/>
  <c r="L5399" i="2" s="1"/>
  <c r="L5400" i="2" s="1"/>
  <c r="L5401" i="2" s="1"/>
  <c r="L5402" i="2" s="1"/>
  <c r="L5403" i="2" s="1"/>
  <c r="L5404" i="2" s="1"/>
  <c r="L5405" i="2" s="1"/>
  <c r="L5406" i="2" s="1"/>
  <c r="L5407" i="2" s="1"/>
  <c r="L5408" i="2" s="1"/>
  <c r="L5409" i="2" s="1"/>
  <c r="L5410" i="2" s="1"/>
  <c r="L5411" i="2" s="1"/>
  <c r="L5412" i="2" s="1"/>
  <c r="L5413" i="2" s="1"/>
  <c r="L5414" i="2" s="1"/>
  <c r="L5415" i="2" s="1"/>
  <c r="L5416" i="2" s="1"/>
  <c r="L5417" i="2" s="1"/>
  <c r="L5418" i="2" s="1"/>
  <c r="L5419" i="2" s="1"/>
  <c r="L5420" i="2" s="1"/>
  <c r="L5421" i="2" s="1"/>
  <c r="L5422" i="2" s="1"/>
  <c r="L5423" i="2" s="1"/>
  <c r="L5424" i="2" s="1"/>
  <c r="L5425" i="2" s="1"/>
  <c r="L5426" i="2" s="1"/>
  <c r="L5427" i="2" s="1"/>
  <c r="L5428" i="2" s="1"/>
  <c r="L5429" i="2" s="1"/>
  <c r="L5430" i="2" s="1"/>
  <c r="L5431" i="2" s="1"/>
  <c r="L5432" i="2" s="1"/>
  <c r="L5433" i="2" s="1"/>
  <c r="L5434" i="2" s="1"/>
  <c r="L5435" i="2" s="1"/>
  <c r="L5436" i="2" s="1"/>
  <c r="L5437" i="2" s="1"/>
  <c r="L5438" i="2" s="1"/>
  <c r="L5439" i="2" s="1"/>
  <c r="L5440" i="2" s="1"/>
  <c r="L5441" i="2" s="1"/>
  <c r="L5442" i="2" s="1"/>
  <c r="L5443" i="2" s="1"/>
  <c r="L5444" i="2" s="1"/>
  <c r="L5445" i="2" s="1"/>
  <c r="L5446" i="2" s="1"/>
  <c r="L5447" i="2" s="1"/>
  <c r="L5448" i="2" s="1"/>
  <c r="L5449" i="2" s="1"/>
  <c r="L5450" i="2" s="1"/>
  <c r="L5451" i="2" s="1"/>
  <c r="L5452" i="2" s="1"/>
  <c r="L5453" i="2" s="1"/>
  <c r="L5454" i="2" s="1"/>
  <c r="L5455" i="2" s="1"/>
  <c r="L5456" i="2" s="1"/>
  <c r="L5457" i="2" s="1"/>
  <c r="L5458" i="2" s="1"/>
  <c r="L5459" i="2" s="1"/>
  <c r="L5460" i="2" s="1"/>
  <c r="L5461" i="2" s="1"/>
  <c r="L5462" i="2" s="1"/>
  <c r="L5463" i="2" s="1"/>
  <c r="L5464" i="2" s="1"/>
  <c r="L5465" i="2" s="1"/>
  <c r="L5466" i="2" s="1"/>
  <c r="L5467" i="2" s="1"/>
  <c r="L5468" i="2" s="1"/>
  <c r="L5469" i="2" s="1"/>
  <c r="L5470" i="2" s="1"/>
  <c r="L5471" i="2" s="1"/>
  <c r="L5472" i="2" s="1"/>
  <c r="L5473" i="2" s="1"/>
  <c r="L5474" i="2" s="1"/>
  <c r="L5475" i="2" s="1"/>
  <c r="L5476" i="2" s="1"/>
  <c r="L5477" i="2" s="1"/>
  <c r="L5478" i="2" s="1"/>
  <c r="L5479" i="2" s="1"/>
  <c r="L5480" i="2" s="1"/>
  <c r="L5481" i="2" s="1"/>
  <c r="L5482" i="2" s="1"/>
  <c r="L5483" i="2" s="1"/>
  <c r="L5484" i="2" s="1"/>
  <c r="L5485" i="2" s="1"/>
  <c r="L5486" i="2" s="1"/>
  <c r="L5487" i="2" s="1"/>
  <c r="L5488" i="2" s="1"/>
  <c r="L5489" i="2" s="1"/>
  <c r="L5490" i="2" s="1"/>
  <c r="L5491" i="2" s="1"/>
  <c r="L5492" i="2" s="1"/>
  <c r="L5493" i="2" s="1"/>
  <c r="L5494" i="2" s="1"/>
  <c r="L5495" i="2" s="1"/>
  <c r="L5496" i="2" s="1"/>
  <c r="L5497" i="2" s="1"/>
  <c r="L5498" i="2" s="1"/>
  <c r="L5499" i="2" s="1"/>
  <c r="L5500" i="2" s="1"/>
  <c r="L5501" i="2" s="1"/>
  <c r="L5502" i="2" s="1"/>
  <c r="L5503" i="2" s="1"/>
  <c r="L5504" i="2" s="1"/>
  <c r="L5505" i="2" s="1"/>
  <c r="L5506" i="2" s="1"/>
  <c r="L5507" i="2" s="1"/>
  <c r="L5508" i="2" s="1"/>
  <c r="L5509" i="2" s="1"/>
  <c r="L5510" i="2" s="1"/>
  <c r="L5511" i="2" s="1"/>
  <c r="L5512" i="2" s="1"/>
  <c r="L5513" i="2" s="1"/>
  <c r="L5514" i="2" s="1"/>
  <c r="L5515" i="2" s="1"/>
  <c r="L5516" i="2" s="1"/>
  <c r="L5517" i="2" s="1"/>
  <c r="L5518" i="2" s="1"/>
  <c r="L5519" i="2" s="1"/>
  <c r="L5520" i="2" s="1"/>
  <c r="L5521" i="2" s="1"/>
  <c r="L5522" i="2" s="1"/>
  <c r="L5523" i="2" s="1"/>
  <c r="L5524" i="2" s="1"/>
  <c r="L5525" i="2" s="1"/>
  <c r="L5526" i="2" s="1"/>
  <c r="L5527" i="2" s="1"/>
  <c r="L5528" i="2" s="1"/>
  <c r="L5529" i="2" s="1"/>
  <c r="L5530" i="2" s="1"/>
  <c r="L5531" i="2" s="1"/>
  <c r="L5532" i="2" s="1"/>
  <c r="L5533" i="2" s="1"/>
  <c r="L5534" i="2" s="1"/>
  <c r="L5535" i="2" s="1"/>
  <c r="L5536" i="2" s="1"/>
  <c r="L5537" i="2" s="1"/>
  <c r="L5538" i="2" s="1"/>
  <c r="L5539" i="2" s="1"/>
  <c r="L5540" i="2" s="1"/>
  <c r="L5541" i="2" s="1"/>
  <c r="L5542" i="2" s="1"/>
  <c r="L5543" i="2" s="1"/>
  <c r="L5544" i="2" s="1"/>
  <c r="L5545" i="2" s="1"/>
  <c r="L5546" i="2" s="1"/>
  <c r="L5547" i="2" s="1"/>
  <c r="L5548" i="2" s="1"/>
  <c r="L5549" i="2" s="1"/>
  <c r="L5550" i="2" s="1"/>
  <c r="L5551" i="2" s="1"/>
  <c r="L5552" i="2" s="1"/>
  <c r="L5553" i="2" s="1"/>
  <c r="L5554" i="2" s="1"/>
  <c r="L5555" i="2" s="1"/>
  <c r="L5556" i="2" s="1"/>
  <c r="L5557" i="2" s="1"/>
  <c r="L5558" i="2" s="1"/>
  <c r="L5559" i="2" s="1"/>
  <c r="L5560" i="2" s="1"/>
  <c r="L5561" i="2" s="1"/>
  <c r="L5562" i="2" s="1"/>
  <c r="L5563" i="2" s="1"/>
  <c r="L5564" i="2" s="1"/>
  <c r="L5565" i="2" s="1"/>
  <c r="L5566" i="2" s="1"/>
  <c r="L5567" i="2" s="1"/>
  <c r="L5568" i="2" s="1"/>
  <c r="L5569" i="2" s="1"/>
  <c r="L5570" i="2" s="1"/>
  <c r="L5571" i="2" s="1"/>
  <c r="L5572" i="2" s="1"/>
  <c r="L5573" i="2" s="1"/>
  <c r="L5574" i="2" s="1"/>
  <c r="L5575" i="2" s="1"/>
  <c r="L5576" i="2" s="1"/>
  <c r="L5577" i="2" s="1"/>
  <c r="L5578" i="2" s="1"/>
  <c r="L5579" i="2" s="1"/>
  <c r="L5580" i="2" s="1"/>
  <c r="L5581" i="2" s="1"/>
  <c r="L5582" i="2" s="1"/>
  <c r="L5583" i="2" s="1"/>
  <c r="L5584" i="2" s="1"/>
  <c r="L5585" i="2" s="1"/>
  <c r="L5586" i="2" s="1"/>
  <c r="L5587" i="2" s="1"/>
  <c r="L5588" i="2" s="1"/>
  <c r="L5589" i="2" s="1"/>
  <c r="L5590" i="2" s="1"/>
  <c r="L5591" i="2" s="1"/>
  <c r="L5592" i="2" s="1"/>
  <c r="L5593" i="2" s="1"/>
  <c r="L5594" i="2" s="1"/>
  <c r="L5595" i="2" s="1"/>
  <c r="L5596" i="2" s="1"/>
  <c r="L5597" i="2" s="1"/>
  <c r="L5598" i="2" s="1"/>
  <c r="L5599" i="2" s="1"/>
  <c r="L5600" i="2" s="1"/>
  <c r="L5601" i="2" s="1"/>
  <c r="L5602" i="2" s="1"/>
  <c r="L5603" i="2" s="1"/>
  <c r="L5604" i="2" s="1"/>
  <c r="L5605" i="2" s="1"/>
  <c r="L5606" i="2" s="1"/>
  <c r="L5607" i="2" s="1"/>
  <c r="L5608" i="2" s="1"/>
  <c r="L5609" i="2" s="1"/>
  <c r="L5610" i="2" s="1"/>
  <c r="L5611" i="2" s="1"/>
  <c r="L5612" i="2" s="1"/>
  <c r="L5613" i="2" s="1"/>
  <c r="L5614" i="2" s="1"/>
  <c r="L5615" i="2" s="1"/>
  <c r="L5616" i="2" s="1"/>
  <c r="L5617" i="2" s="1"/>
  <c r="L5618" i="2" s="1"/>
  <c r="L5619" i="2" s="1"/>
  <c r="L5620" i="2" s="1"/>
  <c r="L5621" i="2" s="1"/>
  <c r="L5622" i="2" s="1"/>
  <c r="L5623" i="2" s="1"/>
  <c r="L5624" i="2" s="1"/>
  <c r="L5625" i="2" s="1"/>
  <c r="L5626" i="2" s="1"/>
  <c r="L5627" i="2" s="1"/>
  <c r="L5628" i="2" s="1"/>
  <c r="L5629" i="2" s="1"/>
  <c r="L5630" i="2" s="1"/>
  <c r="L5631" i="2" s="1"/>
  <c r="L5632" i="2" s="1"/>
  <c r="L5633" i="2" s="1"/>
  <c r="L5634" i="2" s="1"/>
  <c r="L5635" i="2" s="1"/>
  <c r="L5636" i="2" s="1"/>
  <c r="L5637" i="2" s="1"/>
  <c r="L5638" i="2" s="1"/>
  <c r="L5639" i="2" s="1"/>
  <c r="L5640" i="2" s="1"/>
  <c r="L5641" i="2" s="1"/>
  <c r="L5642" i="2" s="1"/>
  <c r="L5643" i="2" s="1"/>
  <c r="L5644" i="2" s="1"/>
  <c r="L5645" i="2" s="1"/>
  <c r="L5646" i="2" s="1"/>
  <c r="L5647" i="2" s="1"/>
  <c r="L5648" i="2" s="1"/>
  <c r="L5649" i="2" s="1"/>
  <c r="L5650" i="2" s="1"/>
  <c r="L5651" i="2" s="1"/>
  <c r="L5652" i="2" s="1"/>
  <c r="L5653" i="2" s="1"/>
  <c r="L5654" i="2" s="1"/>
  <c r="L5655" i="2" s="1"/>
  <c r="L5656" i="2" s="1"/>
  <c r="L5657" i="2" s="1"/>
  <c r="L5658" i="2" s="1"/>
  <c r="L5659" i="2" s="1"/>
  <c r="L5660" i="2" s="1"/>
  <c r="L5661" i="2" s="1"/>
  <c r="L5662" i="2" s="1"/>
  <c r="L5663" i="2" s="1"/>
  <c r="L5664" i="2" s="1"/>
  <c r="L5665" i="2" s="1"/>
  <c r="L5666" i="2" s="1"/>
  <c r="L5667" i="2" s="1"/>
  <c r="L5668" i="2" s="1"/>
  <c r="L5669" i="2" s="1"/>
  <c r="L5670" i="2" s="1"/>
  <c r="L5671" i="2" s="1"/>
  <c r="L5672" i="2" s="1"/>
  <c r="L5673" i="2" s="1"/>
  <c r="L5674" i="2" s="1"/>
  <c r="L5675" i="2" s="1"/>
  <c r="L5676" i="2" s="1"/>
  <c r="L5677" i="2" s="1"/>
  <c r="L5678" i="2" s="1"/>
  <c r="L5679" i="2" s="1"/>
  <c r="L5680" i="2" s="1"/>
  <c r="L5681" i="2" s="1"/>
  <c r="L5682" i="2" s="1"/>
  <c r="L5683" i="2" s="1"/>
  <c r="L5684" i="2" s="1"/>
  <c r="L5685" i="2" s="1"/>
  <c r="L5686" i="2" s="1"/>
  <c r="L5687" i="2" s="1"/>
  <c r="L5688" i="2" s="1"/>
  <c r="L5689" i="2" s="1"/>
  <c r="L5690" i="2" s="1"/>
  <c r="L5691" i="2" s="1"/>
  <c r="L5692" i="2" s="1"/>
  <c r="L5693" i="2" s="1"/>
  <c r="L5694" i="2" s="1"/>
  <c r="L5695" i="2" s="1"/>
  <c r="L5696" i="2" s="1"/>
  <c r="L5697" i="2" s="1"/>
  <c r="L5698" i="2" s="1"/>
  <c r="L5699" i="2" s="1"/>
  <c r="L5700" i="2" s="1"/>
  <c r="L5701" i="2" s="1"/>
  <c r="L5702" i="2" s="1"/>
  <c r="L5703" i="2" s="1"/>
  <c r="L5704" i="2" s="1"/>
  <c r="L5705" i="2" s="1"/>
  <c r="L5706" i="2" s="1"/>
  <c r="L5707" i="2" s="1"/>
  <c r="L5708" i="2" s="1"/>
  <c r="L5709" i="2" s="1"/>
  <c r="L5710" i="2" s="1"/>
  <c r="L5711" i="2" s="1"/>
  <c r="L5712" i="2" s="1"/>
  <c r="L5713" i="2" s="1"/>
  <c r="L5714" i="2" s="1"/>
  <c r="L5715" i="2" s="1"/>
  <c r="L5716" i="2" s="1"/>
  <c r="L5717" i="2" s="1"/>
  <c r="L5718" i="2" s="1"/>
  <c r="L5719" i="2" s="1"/>
  <c r="L5720" i="2" s="1"/>
  <c r="L5721" i="2" s="1"/>
  <c r="L5722" i="2" s="1"/>
  <c r="L5723" i="2" s="1"/>
  <c r="L5724" i="2" s="1"/>
  <c r="L5725" i="2" s="1"/>
  <c r="L5726" i="2" s="1"/>
  <c r="L5727" i="2" s="1"/>
  <c r="L5728" i="2" s="1"/>
  <c r="L5729" i="2" s="1"/>
  <c r="L5730" i="2" s="1"/>
  <c r="L5731" i="2" s="1"/>
  <c r="L5732" i="2" s="1"/>
  <c r="L5733" i="2" s="1"/>
  <c r="L5734" i="2" s="1"/>
  <c r="L5735" i="2" s="1"/>
  <c r="L5736" i="2" s="1"/>
  <c r="L5737" i="2" s="1"/>
  <c r="L5738" i="2" s="1"/>
  <c r="L5739" i="2" s="1"/>
  <c r="L5740" i="2" s="1"/>
  <c r="L5741" i="2" s="1"/>
  <c r="L5742" i="2" s="1"/>
  <c r="L5743" i="2" s="1"/>
  <c r="L5744" i="2" s="1"/>
  <c r="L5745" i="2" s="1"/>
  <c r="L5746" i="2" s="1"/>
  <c r="L5747" i="2" s="1"/>
  <c r="L5748" i="2" s="1"/>
  <c r="L5749" i="2" s="1"/>
  <c r="L5750" i="2" s="1"/>
  <c r="L5751" i="2" s="1"/>
  <c r="L5752" i="2" s="1"/>
  <c r="L5753" i="2" s="1"/>
  <c r="L5754" i="2" s="1"/>
  <c r="L5755" i="2" s="1"/>
  <c r="L5756" i="2" s="1"/>
  <c r="L5757" i="2" s="1"/>
  <c r="L5758" i="2" s="1"/>
  <c r="L5759" i="2" s="1"/>
  <c r="L5760" i="2" s="1"/>
  <c r="L5761" i="2" s="1"/>
  <c r="L5762" i="2" s="1"/>
  <c r="L5763" i="2" s="1"/>
  <c r="L5764" i="2" s="1"/>
  <c r="L5765" i="2" s="1"/>
  <c r="L5766" i="2" s="1"/>
  <c r="L5767" i="2" s="1"/>
  <c r="L5768" i="2" s="1"/>
  <c r="L5769" i="2" s="1"/>
  <c r="L5770" i="2" s="1"/>
  <c r="L5771" i="2" s="1"/>
  <c r="L5772" i="2" s="1"/>
  <c r="L5773" i="2" s="1"/>
  <c r="L5774" i="2" s="1"/>
  <c r="L5775" i="2" s="1"/>
  <c r="L5776" i="2" s="1"/>
  <c r="L5777" i="2" s="1"/>
  <c r="L5778" i="2" s="1"/>
  <c r="L5779" i="2" s="1"/>
  <c r="L5780" i="2" s="1"/>
  <c r="L5781" i="2" s="1"/>
  <c r="L5782" i="2" s="1"/>
  <c r="L5783" i="2" s="1"/>
  <c r="L5784" i="2" s="1"/>
  <c r="L5785" i="2" s="1"/>
  <c r="L5786" i="2" s="1"/>
  <c r="L5787" i="2" s="1"/>
  <c r="L5788" i="2" s="1"/>
  <c r="L5789" i="2" s="1"/>
  <c r="L5790" i="2" s="1"/>
  <c r="L5791" i="2" s="1"/>
  <c r="L5792" i="2" s="1"/>
  <c r="L5793" i="2" s="1"/>
  <c r="L5794" i="2" s="1"/>
  <c r="L5795" i="2" s="1"/>
  <c r="L5796" i="2" s="1"/>
  <c r="L5797" i="2" s="1"/>
  <c r="L5798" i="2" s="1"/>
  <c r="L5799" i="2" s="1"/>
  <c r="L5800" i="2" s="1"/>
  <c r="L5801" i="2" s="1"/>
  <c r="L5802" i="2" s="1"/>
  <c r="L5803" i="2" s="1"/>
  <c r="L5804" i="2" s="1"/>
  <c r="L5805" i="2" s="1"/>
  <c r="L5806" i="2" s="1"/>
  <c r="L5807" i="2" s="1"/>
  <c r="L5808" i="2" s="1"/>
  <c r="L5809" i="2" s="1"/>
  <c r="L5810" i="2" s="1"/>
  <c r="L5811" i="2" s="1"/>
  <c r="L5812" i="2" s="1"/>
  <c r="L5813" i="2" s="1"/>
  <c r="L5814" i="2" s="1"/>
  <c r="L5815" i="2" s="1"/>
  <c r="L5816" i="2" s="1"/>
  <c r="L5817" i="2" s="1"/>
  <c r="L5818" i="2" s="1"/>
  <c r="L5819" i="2" s="1"/>
  <c r="L5820" i="2" s="1"/>
  <c r="L5821" i="2" s="1"/>
  <c r="L5822" i="2" s="1"/>
  <c r="L5823" i="2" s="1"/>
  <c r="L5824" i="2" s="1"/>
  <c r="L5825" i="2" s="1"/>
  <c r="L5826" i="2" s="1"/>
  <c r="L5827" i="2" s="1"/>
  <c r="L5828" i="2" s="1"/>
  <c r="L5829" i="2" s="1"/>
  <c r="L5830" i="2" s="1"/>
  <c r="L5831" i="2" s="1"/>
  <c r="L5832" i="2" s="1"/>
  <c r="L5833" i="2" s="1"/>
  <c r="L5834" i="2" s="1"/>
  <c r="L5835" i="2" s="1"/>
  <c r="L5836" i="2" s="1"/>
  <c r="L5837" i="2" s="1"/>
  <c r="L5838" i="2" s="1"/>
  <c r="L5839" i="2" s="1"/>
  <c r="L5840" i="2" s="1"/>
  <c r="L5841" i="2" s="1"/>
  <c r="L5842" i="2" s="1"/>
  <c r="L5843" i="2" s="1"/>
  <c r="L5844" i="2" s="1"/>
  <c r="L5845" i="2" s="1"/>
  <c r="L5846" i="2" s="1"/>
  <c r="L5847" i="2" s="1"/>
  <c r="L5848" i="2" s="1"/>
  <c r="L5849" i="2" s="1"/>
  <c r="L3657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148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F471" i="6"/>
  <c r="F459" i="6"/>
  <c r="F958" i="6"/>
  <c r="F946" i="6"/>
  <c r="F934" i="6"/>
  <c r="F1448" i="6"/>
  <c r="F1436" i="6"/>
  <c r="F1964" i="6"/>
  <c r="F1940" i="6"/>
  <c r="F446" i="6"/>
  <c r="F434" i="6"/>
  <c r="F922" i="6"/>
  <c r="F1423" i="6"/>
  <c r="F1411" i="6"/>
  <c r="F1399" i="6"/>
  <c r="F1926" i="6"/>
  <c r="F1914" i="6"/>
  <c r="F420" i="6"/>
  <c r="F408" i="6"/>
  <c r="F396" i="6"/>
  <c r="F897" i="6"/>
  <c r="F885" i="6"/>
  <c r="F1385" i="6"/>
  <c r="F1373" i="6"/>
  <c r="F1900" i="6"/>
  <c r="F1892" i="6"/>
  <c r="F1888" i="6"/>
  <c r="F1880" i="6"/>
  <c r="F1876" i="6"/>
  <c r="F386" i="6"/>
  <c r="F382" i="6"/>
  <c r="F374" i="6"/>
  <c r="F362" i="6"/>
  <c r="F872" i="6"/>
  <c r="F864" i="6"/>
  <c r="F860" i="6"/>
  <c r="F852" i="6"/>
  <c r="F848" i="6"/>
  <c r="F1363" i="6"/>
  <c r="F1359" i="6"/>
  <c r="F1351" i="6"/>
  <c r="F1347" i="6"/>
  <c r="F1339" i="6"/>
  <c r="F1335" i="6"/>
  <c r="F1866" i="6"/>
  <c r="F1862" i="6"/>
  <c r="F1854" i="6"/>
  <c r="F1850" i="6"/>
  <c r="F1842" i="6"/>
  <c r="F356" i="6"/>
  <c r="F348" i="6"/>
  <c r="F344" i="6"/>
  <c r="F336" i="6"/>
  <c r="F332" i="6"/>
  <c r="F839" i="6"/>
  <c r="F835" i="6"/>
  <c r="F827" i="6"/>
  <c r="F823" i="6"/>
  <c r="F815" i="6"/>
  <c r="F1333" i="6"/>
  <c r="F1325" i="6"/>
  <c r="F1321" i="6"/>
  <c r="F1313" i="6"/>
  <c r="F1309" i="6"/>
  <c r="F1837" i="6"/>
  <c r="F1829" i="6"/>
  <c r="F1825" i="6"/>
  <c r="F1817" i="6"/>
  <c r="F1813" i="6"/>
  <c r="F323" i="6"/>
  <c r="F319" i="6"/>
  <c r="F311" i="6"/>
  <c r="F307" i="6"/>
  <c r="F299" i="6"/>
  <c r="F811" i="6"/>
  <c r="F803" i="6"/>
  <c r="F799" i="6"/>
  <c r="F791" i="6"/>
  <c r="F787" i="6"/>
  <c r="F1300" i="6"/>
  <c r="F1296" i="6"/>
  <c r="F1288" i="6"/>
  <c r="F1284" i="6"/>
  <c r="F1276" i="6"/>
  <c r="F1803" i="6"/>
  <c r="F1799" i="6"/>
  <c r="F1791" i="6"/>
  <c r="F1787" i="6"/>
  <c r="F1782" i="6"/>
  <c r="F1783" i="6"/>
  <c r="F1784" i="6"/>
  <c r="F1785" i="6"/>
  <c r="F1786" i="6"/>
  <c r="F1788" i="6"/>
  <c r="F1789" i="6"/>
  <c r="F1790" i="6"/>
  <c r="F1792" i="6"/>
  <c r="F1793" i="6"/>
  <c r="F1794" i="6"/>
  <c r="F1795" i="6"/>
  <c r="F1796" i="6"/>
  <c r="F1797" i="6"/>
  <c r="F1798" i="6"/>
  <c r="F1800" i="6"/>
  <c r="F1801" i="6"/>
  <c r="F1802" i="6"/>
  <c r="G1803" i="6" s="1"/>
  <c r="H1803" i="6" s="1"/>
  <c r="I1803" i="6" s="1"/>
  <c r="F1804" i="6"/>
  <c r="F1805" i="6"/>
  <c r="F1806" i="6"/>
  <c r="F1807" i="6"/>
  <c r="F1808" i="6"/>
  <c r="F1809" i="6"/>
  <c r="F1273" i="6"/>
  <c r="F1274" i="6"/>
  <c r="F1275" i="6"/>
  <c r="F1277" i="6"/>
  <c r="F1278" i="6"/>
  <c r="F1279" i="6"/>
  <c r="F1280" i="6"/>
  <c r="F1281" i="6"/>
  <c r="F1282" i="6"/>
  <c r="F1283" i="6"/>
  <c r="F1285" i="6"/>
  <c r="F1286" i="6"/>
  <c r="F1287" i="6"/>
  <c r="F1289" i="6"/>
  <c r="F1290" i="6"/>
  <c r="F1291" i="6"/>
  <c r="F1292" i="6"/>
  <c r="F1293" i="6"/>
  <c r="F1294" i="6"/>
  <c r="F1295" i="6"/>
  <c r="F1297" i="6"/>
  <c r="F1298" i="6"/>
  <c r="F1299" i="6"/>
  <c r="F1301" i="6"/>
  <c r="F1302" i="6"/>
  <c r="F1303" i="6"/>
  <c r="F783" i="6"/>
  <c r="F784" i="6"/>
  <c r="F785" i="6"/>
  <c r="F786" i="6"/>
  <c r="F788" i="6"/>
  <c r="F789" i="6"/>
  <c r="F790" i="6"/>
  <c r="F792" i="6"/>
  <c r="F793" i="6"/>
  <c r="F794" i="6"/>
  <c r="F795" i="6"/>
  <c r="F796" i="6"/>
  <c r="F797" i="6"/>
  <c r="F798" i="6"/>
  <c r="F800" i="6"/>
  <c r="F801" i="6"/>
  <c r="F802" i="6"/>
  <c r="F804" i="6"/>
  <c r="F805" i="6"/>
  <c r="F806" i="6"/>
  <c r="F807" i="6"/>
  <c r="F808" i="6"/>
  <c r="F809" i="6"/>
  <c r="F810" i="6"/>
  <c r="F812" i="6"/>
  <c r="F297" i="6"/>
  <c r="F298" i="6"/>
  <c r="F300" i="6"/>
  <c r="F301" i="6"/>
  <c r="F302" i="6"/>
  <c r="F303" i="6"/>
  <c r="F304" i="6"/>
  <c r="F305" i="6"/>
  <c r="F306" i="6"/>
  <c r="F308" i="6"/>
  <c r="F309" i="6"/>
  <c r="F310" i="6"/>
  <c r="F312" i="6"/>
  <c r="F313" i="6"/>
  <c r="F314" i="6"/>
  <c r="F315" i="6"/>
  <c r="F316" i="6"/>
  <c r="F317" i="6"/>
  <c r="F318" i="6"/>
  <c r="G319" i="6" s="1"/>
  <c r="H319" i="6" s="1"/>
  <c r="I319" i="6" s="1"/>
  <c r="F320" i="6"/>
  <c r="F321" i="6"/>
  <c r="F322" i="6"/>
  <c r="F324" i="6"/>
  <c r="F325" i="6"/>
  <c r="F326" i="6"/>
  <c r="F327" i="6"/>
  <c r="F1810" i="6"/>
  <c r="F1811" i="6"/>
  <c r="F1812" i="6"/>
  <c r="G1813" i="6" s="1"/>
  <c r="H1813" i="6" s="1"/>
  <c r="I1813" i="6" s="1"/>
  <c r="F1814" i="6"/>
  <c r="F1815" i="6"/>
  <c r="F1816" i="6"/>
  <c r="G1816" i="6" s="1"/>
  <c r="H1816" i="6" s="1"/>
  <c r="I1816" i="6" s="1"/>
  <c r="F1818" i="6"/>
  <c r="F1819" i="6"/>
  <c r="F1820" i="6"/>
  <c r="F1821" i="6"/>
  <c r="F1822" i="6"/>
  <c r="F1823" i="6"/>
  <c r="F1824" i="6"/>
  <c r="F1826" i="6"/>
  <c r="F1827" i="6"/>
  <c r="F1828" i="6"/>
  <c r="F1830" i="6"/>
  <c r="F1831" i="6"/>
  <c r="F1832" i="6"/>
  <c r="F1833" i="6"/>
  <c r="F1834" i="6"/>
  <c r="F1835" i="6"/>
  <c r="G1835" i="6" s="1"/>
  <c r="H1835" i="6" s="1"/>
  <c r="I1835" i="6" s="1"/>
  <c r="F1836" i="6"/>
  <c r="F1838" i="6"/>
  <c r="F1839" i="6"/>
  <c r="F1840" i="6"/>
  <c r="F1304" i="6"/>
  <c r="F1305" i="6"/>
  <c r="F1306" i="6"/>
  <c r="F1307" i="6"/>
  <c r="F1308" i="6"/>
  <c r="F1310" i="6"/>
  <c r="F1311" i="6"/>
  <c r="F1312" i="6"/>
  <c r="F1314" i="6"/>
  <c r="F1315" i="6"/>
  <c r="F1316" i="6"/>
  <c r="F1317" i="6"/>
  <c r="F1318" i="6"/>
  <c r="F1319" i="6"/>
  <c r="F1320" i="6"/>
  <c r="F1322" i="6"/>
  <c r="F1323" i="6"/>
  <c r="F1324" i="6"/>
  <c r="F1326" i="6"/>
  <c r="F1327" i="6"/>
  <c r="F1328" i="6"/>
  <c r="F1329" i="6"/>
  <c r="F1330" i="6"/>
  <c r="F1331" i="6"/>
  <c r="F1332" i="6"/>
  <c r="F1334" i="6"/>
  <c r="F813" i="6"/>
  <c r="F814" i="6"/>
  <c r="F816" i="6"/>
  <c r="F817" i="6"/>
  <c r="F818" i="6"/>
  <c r="F819" i="6"/>
  <c r="F820" i="6"/>
  <c r="F821" i="6"/>
  <c r="F822" i="6"/>
  <c r="F824" i="6"/>
  <c r="F825" i="6"/>
  <c r="F826" i="6"/>
  <c r="F828" i="6"/>
  <c r="F829" i="6"/>
  <c r="F830" i="6"/>
  <c r="F831" i="6"/>
  <c r="F832" i="6"/>
  <c r="F833" i="6"/>
  <c r="F834" i="6"/>
  <c r="F836" i="6"/>
  <c r="F837" i="6"/>
  <c r="F838" i="6"/>
  <c r="F840" i="6"/>
  <c r="F841" i="6"/>
  <c r="F842" i="6"/>
  <c r="F328" i="6"/>
  <c r="F329" i="6"/>
  <c r="F330" i="6"/>
  <c r="F331" i="6"/>
  <c r="F333" i="6"/>
  <c r="F334" i="6"/>
  <c r="F335" i="6"/>
  <c r="F337" i="6"/>
  <c r="F338" i="6"/>
  <c r="F339" i="6"/>
  <c r="F340" i="6"/>
  <c r="F341" i="6"/>
  <c r="F342" i="6"/>
  <c r="F343" i="6"/>
  <c r="F345" i="6"/>
  <c r="F346" i="6"/>
  <c r="F347" i="6"/>
  <c r="F349" i="6"/>
  <c r="F350" i="6"/>
  <c r="F351" i="6"/>
  <c r="F352" i="6"/>
  <c r="F353" i="6"/>
  <c r="F354" i="6"/>
  <c r="F355" i="6"/>
  <c r="F357" i="6"/>
  <c r="F358" i="6"/>
  <c r="F1841" i="6"/>
  <c r="G1842" i="6" s="1"/>
  <c r="H1842" i="6" s="1"/>
  <c r="I1842" i="6" s="1"/>
  <c r="F1843" i="6"/>
  <c r="F1844" i="6"/>
  <c r="F1845" i="6"/>
  <c r="F1846" i="6"/>
  <c r="F1847" i="6"/>
  <c r="F1848" i="6"/>
  <c r="F1849" i="6"/>
  <c r="F1851" i="6"/>
  <c r="F1852" i="6"/>
  <c r="F1853" i="6"/>
  <c r="F1855" i="6"/>
  <c r="F1856" i="6"/>
  <c r="F1857" i="6"/>
  <c r="F1858" i="6"/>
  <c r="F1859" i="6"/>
  <c r="F1860" i="6"/>
  <c r="F1861" i="6"/>
  <c r="F1863" i="6"/>
  <c r="F1864" i="6"/>
  <c r="F1865" i="6"/>
  <c r="F1867" i="6"/>
  <c r="F1868" i="6"/>
  <c r="F1869" i="6"/>
  <c r="F1870" i="6"/>
  <c r="F1871" i="6"/>
  <c r="F1336" i="6"/>
  <c r="F1337" i="6"/>
  <c r="F1338" i="6"/>
  <c r="F1340" i="6"/>
  <c r="F1341" i="6"/>
  <c r="F1342" i="6"/>
  <c r="F1343" i="6"/>
  <c r="F1344" i="6"/>
  <c r="F1345" i="6"/>
  <c r="F1346" i="6"/>
  <c r="F1348" i="6"/>
  <c r="F1349" i="6"/>
  <c r="F1350" i="6"/>
  <c r="F1352" i="6"/>
  <c r="F1353" i="6"/>
  <c r="F1354" i="6"/>
  <c r="F1355" i="6"/>
  <c r="F1356" i="6"/>
  <c r="F1357" i="6"/>
  <c r="F1358" i="6"/>
  <c r="F1360" i="6"/>
  <c r="F1361" i="6"/>
  <c r="F1362" i="6"/>
  <c r="F1364" i="6"/>
  <c r="F1365" i="6"/>
  <c r="F843" i="6"/>
  <c r="F844" i="6"/>
  <c r="F845" i="6"/>
  <c r="F846" i="6"/>
  <c r="F847" i="6"/>
  <c r="F849" i="6"/>
  <c r="F850" i="6"/>
  <c r="F851" i="6"/>
  <c r="F853" i="6"/>
  <c r="F854" i="6"/>
  <c r="F855" i="6"/>
  <c r="F856" i="6"/>
  <c r="F857" i="6"/>
  <c r="F858" i="6"/>
  <c r="F859" i="6"/>
  <c r="F861" i="6"/>
  <c r="F862" i="6"/>
  <c r="F863" i="6"/>
  <c r="F865" i="6"/>
  <c r="F866" i="6"/>
  <c r="F867" i="6"/>
  <c r="F868" i="6"/>
  <c r="F869" i="6"/>
  <c r="F870" i="6"/>
  <c r="F871" i="6"/>
  <c r="F359" i="6"/>
  <c r="F360" i="6"/>
  <c r="F361" i="6"/>
  <c r="F363" i="6"/>
  <c r="F364" i="6"/>
  <c r="F365" i="6"/>
  <c r="F366" i="6"/>
  <c r="F367" i="6"/>
  <c r="F368" i="6"/>
  <c r="F369" i="6"/>
  <c r="F370" i="6"/>
  <c r="F371" i="6"/>
  <c r="F372" i="6"/>
  <c r="F373" i="6"/>
  <c r="F375" i="6"/>
  <c r="F376" i="6"/>
  <c r="F377" i="6"/>
  <c r="F378" i="6"/>
  <c r="F379" i="6"/>
  <c r="F380" i="6"/>
  <c r="F381" i="6"/>
  <c r="F383" i="6"/>
  <c r="F384" i="6"/>
  <c r="F385" i="6"/>
  <c r="F387" i="6"/>
  <c r="F388" i="6"/>
  <c r="F389" i="6"/>
  <c r="F1872" i="6"/>
  <c r="F1873" i="6"/>
  <c r="F1874" i="6"/>
  <c r="F1875" i="6"/>
  <c r="F1877" i="6"/>
  <c r="F1878" i="6"/>
  <c r="F1879" i="6"/>
  <c r="F1881" i="6"/>
  <c r="F1882" i="6"/>
  <c r="F1883" i="6"/>
  <c r="F1884" i="6"/>
  <c r="F1885" i="6"/>
  <c r="F1886" i="6"/>
  <c r="F1887" i="6"/>
  <c r="F1889" i="6"/>
  <c r="F1890" i="6"/>
  <c r="F1891" i="6"/>
  <c r="F1893" i="6"/>
  <c r="F1894" i="6"/>
  <c r="F1895" i="6"/>
  <c r="F1896" i="6"/>
  <c r="F1897" i="6"/>
  <c r="F1898" i="6"/>
  <c r="F1899" i="6"/>
  <c r="F1901" i="6"/>
  <c r="F1902" i="6"/>
  <c r="F1366" i="6"/>
  <c r="F1367" i="6"/>
  <c r="F1368" i="6"/>
  <c r="F1369" i="6"/>
  <c r="F1370" i="6"/>
  <c r="F1371" i="6"/>
  <c r="F1372" i="6"/>
  <c r="F1374" i="6"/>
  <c r="F1375" i="6"/>
  <c r="F1376" i="6"/>
  <c r="F1377" i="6"/>
  <c r="F1378" i="6"/>
  <c r="F1379" i="6"/>
  <c r="F1380" i="6"/>
  <c r="F1381" i="6"/>
  <c r="F1382" i="6"/>
  <c r="F1383" i="6"/>
  <c r="F1384" i="6"/>
  <c r="F1386" i="6"/>
  <c r="F1387" i="6"/>
  <c r="F1388" i="6"/>
  <c r="F1389" i="6"/>
  <c r="F1390" i="6"/>
  <c r="F1391" i="6"/>
  <c r="F1392" i="6"/>
  <c r="F1393" i="6"/>
  <c r="F1394" i="6"/>
  <c r="F1395" i="6"/>
  <c r="F1396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G885" i="6" s="1"/>
  <c r="H885" i="6" s="1"/>
  <c r="I885" i="6" s="1"/>
  <c r="F886" i="6"/>
  <c r="F887" i="6"/>
  <c r="F888" i="6"/>
  <c r="F889" i="6"/>
  <c r="F890" i="6"/>
  <c r="F891" i="6"/>
  <c r="F892" i="6"/>
  <c r="F893" i="6"/>
  <c r="F894" i="6"/>
  <c r="F895" i="6"/>
  <c r="F896" i="6"/>
  <c r="F898" i="6"/>
  <c r="F899" i="6"/>
  <c r="F900" i="6"/>
  <c r="F901" i="6"/>
  <c r="F902" i="6"/>
  <c r="F390" i="6"/>
  <c r="F391" i="6"/>
  <c r="F392" i="6"/>
  <c r="F393" i="6"/>
  <c r="F394" i="6"/>
  <c r="F395" i="6"/>
  <c r="F397" i="6"/>
  <c r="F398" i="6"/>
  <c r="F399" i="6"/>
  <c r="F400" i="6"/>
  <c r="F401" i="6"/>
  <c r="F402" i="6"/>
  <c r="F403" i="6"/>
  <c r="F404" i="6"/>
  <c r="F405" i="6"/>
  <c r="F406" i="6"/>
  <c r="F407" i="6"/>
  <c r="F409" i="6"/>
  <c r="F410" i="6"/>
  <c r="G410" i="6" s="1"/>
  <c r="H410" i="6" s="1"/>
  <c r="I410" i="6" s="1"/>
  <c r="F411" i="6"/>
  <c r="F412" i="6"/>
  <c r="F413" i="6"/>
  <c r="F414" i="6"/>
  <c r="F415" i="6"/>
  <c r="F416" i="6"/>
  <c r="F417" i="6"/>
  <c r="F418" i="6"/>
  <c r="F419" i="6"/>
  <c r="F1903" i="6"/>
  <c r="F1904" i="6"/>
  <c r="G1904" i="6" s="1"/>
  <c r="H1904" i="6" s="1"/>
  <c r="I1904" i="6" s="1"/>
  <c r="F1905" i="6"/>
  <c r="F1906" i="6"/>
  <c r="F1907" i="6"/>
  <c r="F1908" i="6"/>
  <c r="F1909" i="6"/>
  <c r="F1910" i="6"/>
  <c r="F1911" i="6"/>
  <c r="F1912" i="6"/>
  <c r="F1913" i="6"/>
  <c r="F1915" i="6"/>
  <c r="F1916" i="6"/>
  <c r="F1917" i="6"/>
  <c r="F1918" i="6"/>
  <c r="F1919" i="6"/>
  <c r="F1920" i="6"/>
  <c r="F1921" i="6"/>
  <c r="F1922" i="6"/>
  <c r="F1923" i="6"/>
  <c r="F1924" i="6"/>
  <c r="F1925" i="6"/>
  <c r="F1927" i="6"/>
  <c r="F1928" i="6"/>
  <c r="F1929" i="6"/>
  <c r="F1930" i="6"/>
  <c r="F1931" i="6"/>
  <c r="F1932" i="6"/>
  <c r="F1933" i="6"/>
  <c r="F1397" i="6"/>
  <c r="F1398" i="6"/>
  <c r="F1400" i="6"/>
  <c r="F1401" i="6"/>
  <c r="F1402" i="6"/>
  <c r="F1403" i="6"/>
  <c r="F1404" i="6"/>
  <c r="F1405" i="6"/>
  <c r="F1406" i="6"/>
  <c r="F1407" i="6"/>
  <c r="F1408" i="6"/>
  <c r="F1409" i="6"/>
  <c r="F1410" i="6"/>
  <c r="F1412" i="6"/>
  <c r="F1413" i="6"/>
  <c r="F1414" i="6"/>
  <c r="F1415" i="6"/>
  <c r="F1416" i="6"/>
  <c r="F1417" i="6"/>
  <c r="F1418" i="6"/>
  <c r="F1419" i="6"/>
  <c r="F1420" i="6"/>
  <c r="F1421" i="6"/>
  <c r="F1422" i="6"/>
  <c r="F1424" i="6"/>
  <c r="F1425" i="6"/>
  <c r="F1426" i="6"/>
  <c r="F1427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G922" i="6" s="1"/>
  <c r="H922" i="6" s="1"/>
  <c r="I922" i="6" s="1"/>
  <c r="F923" i="6"/>
  <c r="F924" i="6"/>
  <c r="F925" i="6"/>
  <c r="F926" i="6"/>
  <c r="F927" i="6"/>
  <c r="F928" i="6"/>
  <c r="F929" i="6"/>
  <c r="F930" i="6"/>
  <c r="F931" i="6"/>
  <c r="F932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G434" i="6" s="1"/>
  <c r="H434" i="6" s="1"/>
  <c r="I434" i="6" s="1"/>
  <c r="F435" i="6"/>
  <c r="F436" i="6"/>
  <c r="F437" i="6"/>
  <c r="F438" i="6"/>
  <c r="F439" i="6"/>
  <c r="F440" i="6"/>
  <c r="F441" i="6"/>
  <c r="F442" i="6"/>
  <c r="F443" i="6"/>
  <c r="F444" i="6"/>
  <c r="F445" i="6"/>
  <c r="F447" i="6"/>
  <c r="F448" i="6"/>
  <c r="F449" i="6"/>
  <c r="F450" i="6"/>
  <c r="F451" i="6"/>
  <c r="F1934" i="6"/>
  <c r="F1935" i="6"/>
  <c r="F1936" i="6"/>
  <c r="F1937" i="6"/>
  <c r="F1938" i="6"/>
  <c r="F1939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428" i="6"/>
  <c r="F1429" i="6"/>
  <c r="F1430" i="6"/>
  <c r="F1431" i="6"/>
  <c r="F1432" i="6"/>
  <c r="F1433" i="6"/>
  <c r="F1434" i="6"/>
  <c r="F1435" i="6"/>
  <c r="F1437" i="6"/>
  <c r="F1438" i="6"/>
  <c r="F1439" i="6"/>
  <c r="F1440" i="6"/>
  <c r="F1441" i="6"/>
  <c r="F1442" i="6"/>
  <c r="F1443" i="6"/>
  <c r="F1444" i="6"/>
  <c r="F1445" i="6"/>
  <c r="F1446" i="6"/>
  <c r="F1447" i="6"/>
  <c r="F1449" i="6"/>
  <c r="F1450" i="6"/>
  <c r="F1451" i="6"/>
  <c r="F1452" i="6"/>
  <c r="F1453" i="6"/>
  <c r="F1454" i="6"/>
  <c r="F1455" i="6"/>
  <c r="F1456" i="6"/>
  <c r="F1457" i="6"/>
  <c r="F1458" i="6"/>
  <c r="F933" i="6"/>
  <c r="F935" i="6"/>
  <c r="F936" i="6"/>
  <c r="F937" i="6"/>
  <c r="F938" i="6"/>
  <c r="F939" i="6"/>
  <c r="F940" i="6"/>
  <c r="F941" i="6"/>
  <c r="F942" i="6"/>
  <c r="F943" i="6"/>
  <c r="F944" i="6"/>
  <c r="F945" i="6"/>
  <c r="F947" i="6"/>
  <c r="F948" i="6"/>
  <c r="F949" i="6"/>
  <c r="F950" i="6"/>
  <c r="F951" i="6"/>
  <c r="F952" i="6"/>
  <c r="F953" i="6"/>
  <c r="F954" i="6"/>
  <c r="F955" i="6"/>
  <c r="F956" i="6"/>
  <c r="F957" i="6"/>
  <c r="F959" i="6"/>
  <c r="F960" i="6"/>
  <c r="F961" i="6"/>
  <c r="F962" i="6"/>
  <c r="F452" i="6"/>
  <c r="F453" i="6"/>
  <c r="F454" i="6"/>
  <c r="F455" i="6"/>
  <c r="F456" i="6"/>
  <c r="F457" i="6"/>
  <c r="F458" i="6"/>
  <c r="F460" i="6"/>
  <c r="F461" i="6"/>
  <c r="F462" i="6"/>
  <c r="F463" i="6"/>
  <c r="F464" i="6"/>
  <c r="F465" i="6"/>
  <c r="F466" i="6"/>
  <c r="F467" i="6"/>
  <c r="F468" i="6"/>
  <c r="F469" i="6"/>
  <c r="F470" i="6"/>
  <c r="G471" i="6" s="1"/>
  <c r="H471" i="6" s="1"/>
  <c r="I471" i="6" s="1"/>
  <c r="F472" i="6"/>
  <c r="F473" i="6"/>
  <c r="F474" i="6"/>
  <c r="F475" i="6"/>
  <c r="F476" i="6"/>
  <c r="F477" i="6"/>
  <c r="F478" i="6"/>
  <c r="F479" i="6"/>
  <c r="F480" i="6"/>
  <c r="F481" i="6"/>
  <c r="F482" i="6"/>
  <c r="F15" i="5"/>
  <c r="E16" i="5" s="1"/>
  <c r="C17" i="5" s="1"/>
  <c r="G1445" i="6" l="1"/>
  <c r="H1445" i="6" s="1"/>
  <c r="I1445" i="6" s="1"/>
  <c r="G958" i="6"/>
  <c r="H958" i="6" s="1"/>
  <c r="I958" i="6" s="1"/>
  <c r="G1964" i="6"/>
  <c r="H1964" i="6" s="1"/>
  <c r="I1964" i="6" s="1"/>
  <c r="G1888" i="6"/>
  <c r="H1888" i="6" s="1"/>
  <c r="I1888" i="6" s="1"/>
  <c r="G446" i="6"/>
  <c r="H446" i="6" s="1"/>
  <c r="I446" i="6" s="1"/>
  <c r="G1850" i="6"/>
  <c r="H1850" i="6" s="1"/>
  <c r="I1850" i="6" s="1"/>
  <c r="G827" i="6"/>
  <c r="H827" i="6" s="1"/>
  <c r="I827" i="6" s="1"/>
  <c r="G1787" i="6"/>
  <c r="H1787" i="6" s="1"/>
  <c r="I1787" i="6" s="1"/>
  <c r="G1854" i="6"/>
  <c r="H1854" i="6" s="1"/>
  <c r="I1854" i="6" s="1"/>
  <c r="G1880" i="6"/>
  <c r="H1880" i="6" s="1"/>
  <c r="I1880" i="6" s="1"/>
  <c r="G1825" i="6"/>
  <c r="H1825" i="6" s="1"/>
  <c r="I1825" i="6" s="1"/>
  <c r="G799" i="6"/>
  <c r="H799" i="6" s="1"/>
  <c r="I799" i="6" s="1"/>
  <c r="G790" i="6"/>
  <c r="H790" i="6" s="1"/>
  <c r="I790" i="6" s="1"/>
  <c r="G1341" i="6"/>
  <c r="H1341" i="6" s="1"/>
  <c r="I1341" i="6" s="1"/>
  <c r="G934" i="6"/>
  <c r="H934" i="6" s="1"/>
  <c r="I934" i="6" s="1"/>
  <c r="G346" i="6"/>
  <c r="H346" i="6" s="1"/>
  <c r="I346" i="6" s="1"/>
  <c r="G1309" i="6"/>
  <c r="H1309" i="6" s="1"/>
  <c r="I1309" i="6" s="1"/>
  <c r="G396" i="6"/>
  <c r="H396" i="6" s="1"/>
  <c r="I396" i="6" s="1"/>
  <c r="G1385" i="6"/>
  <c r="H1385" i="6" s="1"/>
  <c r="I1385" i="6" s="1"/>
  <c r="G1448" i="6"/>
  <c r="H1448" i="6" s="1"/>
  <c r="I1448" i="6" s="1"/>
  <c r="G1784" i="6"/>
  <c r="H1784" i="6" s="1"/>
  <c r="I1784" i="6" s="1"/>
  <c r="G1284" i="6"/>
  <c r="H1284" i="6" s="1"/>
  <c r="I1284" i="6" s="1"/>
  <c r="G459" i="6"/>
  <c r="H459" i="6" s="1"/>
  <c r="I459" i="6" s="1"/>
  <c r="G801" i="6"/>
  <c r="H801" i="6" s="1"/>
  <c r="I801" i="6" s="1"/>
  <c r="G946" i="6"/>
  <c r="H946" i="6" s="1"/>
  <c r="I946" i="6" s="1"/>
  <c r="G1940" i="6"/>
  <c r="H1940" i="6" s="1"/>
  <c r="I1940" i="6" s="1"/>
  <c r="G326" i="6"/>
  <c r="H326" i="6" s="1"/>
  <c r="I326" i="6" s="1"/>
  <c r="G811" i="6"/>
  <c r="H811" i="6" s="1"/>
  <c r="I811" i="6" s="1"/>
  <c r="G1436" i="6"/>
  <c r="H1436" i="6" s="1"/>
  <c r="I1436" i="6" s="1"/>
  <c r="G1914" i="6"/>
  <c r="H1914" i="6" s="1"/>
  <c r="I1914" i="6" s="1"/>
  <c r="G1411" i="6"/>
  <c r="H1411" i="6" s="1"/>
  <c r="I1411" i="6" s="1"/>
  <c r="G408" i="6"/>
  <c r="H408" i="6" s="1"/>
  <c r="I408" i="6" s="1"/>
  <c r="G382" i="6"/>
  <c r="H382" i="6" s="1"/>
  <c r="I382" i="6" s="1"/>
  <c r="G1371" i="6"/>
  <c r="H1371" i="6" s="1"/>
  <c r="I1371" i="6" s="1"/>
  <c r="G889" i="6"/>
  <c r="H889" i="6" s="1"/>
  <c r="I889" i="6" s="1"/>
  <c r="G348" i="6"/>
  <c r="H348" i="6" s="1"/>
  <c r="I348" i="6" s="1"/>
  <c r="G960" i="6"/>
  <c r="H960" i="6" s="1"/>
  <c r="I960" i="6" s="1"/>
  <c r="G1950" i="6"/>
  <c r="H1950" i="6" s="1"/>
  <c r="I1950" i="6" s="1"/>
  <c r="G448" i="6"/>
  <c r="H448" i="6" s="1"/>
  <c r="I448" i="6" s="1"/>
  <c r="G1947" i="6"/>
  <c r="H1947" i="6" s="1"/>
  <c r="I1947" i="6" s="1"/>
  <c r="G1827" i="6"/>
  <c r="H1827" i="6" s="1"/>
  <c r="I1827" i="6" s="1"/>
  <c r="G1358" i="6"/>
  <c r="H1358" i="6" s="1"/>
  <c r="I1358" i="6" s="1"/>
  <c r="G392" i="6"/>
  <c r="H392" i="6" s="1"/>
  <c r="I392" i="6" s="1"/>
  <c r="G858" i="6"/>
  <c r="H858" i="6" s="1"/>
  <c r="I858" i="6" s="1"/>
  <c r="G413" i="6"/>
  <c r="H413" i="6" s="1"/>
  <c r="I413" i="6" s="1"/>
  <c r="G953" i="6"/>
  <c r="H953" i="6" s="1"/>
  <c r="I953" i="6" s="1"/>
  <c r="G441" i="6"/>
  <c r="H441" i="6" s="1"/>
  <c r="I441" i="6" s="1"/>
  <c r="G1872" i="6"/>
  <c r="H1872" i="6" s="1"/>
  <c r="I1872" i="6" s="1"/>
  <c r="G342" i="6"/>
  <c r="H342" i="6" s="1"/>
  <c r="I342" i="6" s="1"/>
  <c r="G1331" i="6"/>
  <c r="H1331" i="6" s="1"/>
  <c r="I1331" i="6" s="1"/>
  <c r="G1307" i="6"/>
  <c r="H1307" i="6" s="1"/>
  <c r="I1307" i="6" s="1"/>
  <c r="G1845" i="6"/>
  <c r="H1845" i="6" s="1"/>
  <c r="I1845" i="6" s="1"/>
  <c r="G1797" i="6"/>
  <c r="H1797" i="6" s="1"/>
  <c r="I1797" i="6" s="1"/>
  <c r="G437" i="6"/>
  <c r="H437" i="6" s="1"/>
  <c r="I437" i="6" s="1"/>
  <c r="G1891" i="6"/>
  <c r="H1891" i="6" s="1"/>
  <c r="I1891" i="6" s="1"/>
  <c r="G1351" i="6"/>
  <c r="H1351" i="6" s="1"/>
  <c r="I1351" i="6" s="1"/>
  <c r="G1820" i="6"/>
  <c r="H1820" i="6" s="1"/>
  <c r="I1820" i="6" s="1"/>
  <c r="G806" i="6"/>
  <c r="H806" i="6" s="1"/>
  <c r="I806" i="6" s="1"/>
  <c r="G1431" i="6"/>
  <c r="H1431" i="6" s="1"/>
  <c r="I1431" i="6" s="1"/>
  <c r="G1380" i="6"/>
  <c r="H1380" i="6" s="1"/>
  <c r="I1380" i="6" s="1"/>
  <c r="G1325" i="6"/>
  <c r="H1325" i="6" s="1"/>
  <c r="I1325" i="6" s="1"/>
  <c r="G1795" i="6"/>
  <c r="H1795" i="6" s="1"/>
  <c r="I1795" i="6" s="1"/>
  <c r="G1430" i="6"/>
  <c r="H1430" i="6" s="1"/>
  <c r="I1430" i="6" s="1"/>
  <c r="G405" i="6"/>
  <c r="H405" i="6" s="1"/>
  <c r="I405" i="6" s="1"/>
  <c r="G897" i="6"/>
  <c r="H897" i="6" s="1"/>
  <c r="I897" i="6" s="1"/>
  <c r="G876" i="6"/>
  <c r="H876" i="6" s="1"/>
  <c r="I876" i="6" s="1"/>
  <c r="G335" i="6"/>
  <c r="H335" i="6" s="1"/>
  <c r="I335" i="6" s="1"/>
  <c r="G1324" i="6"/>
  <c r="H1324" i="6" s="1"/>
  <c r="I1324" i="6" s="1"/>
  <c r="G456" i="6"/>
  <c r="H456" i="6" s="1"/>
  <c r="I456" i="6" s="1"/>
  <c r="G1450" i="6"/>
  <c r="H1450" i="6" s="1"/>
  <c r="I1450" i="6" s="1"/>
  <c r="G896" i="6"/>
  <c r="H896" i="6" s="1"/>
  <c r="I896" i="6" s="1"/>
  <c r="G1377" i="6"/>
  <c r="H1377" i="6" s="1"/>
  <c r="I1377" i="6" s="1"/>
  <c r="G1347" i="6"/>
  <c r="H1347" i="6" s="1"/>
  <c r="I1347" i="6" s="1"/>
  <c r="G1840" i="6"/>
  <c r="H1840" i="6" s="1"/>
  <c r="I1840" i="6" s="1"/>
  <c r="G464" i="6"/>
  <c r="H464" i="6" s="1"/>
  <c r="I464" i="6" s="1"/>
  <c r="G1953" i="6"/>
  <c r="H1953" i="6" s="1"/>
  <c r="I1953" i="6" s="1"/>
  <c r="G1924" i="6"/>
  <c r="H1924" i="6" s="1"/>
  <c r="I1924" i="6" s="1"/>
  <c r="G1882" i="6"/>
  <c r="H1882" i="6" s="1"/>
  <c r="I1882" i="6" s="1"/>
  <c r="G796" i="6"/>
  <c r="H796" i="6" s="1"/>
  <c r="I796" i="6" s="1"/>
  <c r="G1415" i="6"/>
  <c r="H1415" i="6" s="1"/>
  <c r="I1415" i="6" s="1"/>
  <c r="G1799" i="6"/>
  <c r="H1799" i="6" s="1"/>
  <c r="I1799" i="6" s="1"/>
  <c r="G462" i="6"/>
  <c r="H462" i="6" s="1"/>
  <c r="I462" i="6" s="1"/>
  <c r="G1305" i="6"/>
  <c r="H1305" i="6" s="1"/>
  <c r="I1305" i="6" s="1"/>
  <c r="G1860" i="6"/>
  <c r="H1860" i="6" s="1"/>
  <c r="I1860" i="6" s="1"/>
  <c r="G1395" i="6"/>
  <c r="H1395" i="6" s="1"/>
  <c r="I1395" i="6" s="1"/>
  <c r="G1423" i="6"/>
  <c r="H1423" i="6" s="1"/>
  <c r="I1423" i="6" s="1"/>
  <c r="G420" i="6"/>
  <c r="H420" i="6" s="1"/>
  <c r="I420" i="6" s="1"/>
  <c r="G891" i="6"/>
  <c r="H891" i="6" s="1"/>
  <c r="I891" i="6" s="1"/>
  <c r="G449" i="6"/>
  <c r="H449" i="6" s="1"/>
  <c r="I449" i="6" s="1"/>
  <c r="G918" i="6"/>
  <c r="H918" i="6" s="1"/>
  <c r="I918" i="6" s="1"/>
  <c r="G374" i="6"/>
  <c r="H374" i="6" s="1"/>
  <c r="I374" i="6" s="1"/>
  <c r="G1296" i="6"/>
  <c r="H1296" i="6" s="1"/>
  <c r="I1296" i="6" s="1"/>
  <c r="G1399" i="6"/>
  <c r="H1399" i="6" s="1"/>
  <c r="I1399" i="6" s="1"/>
  <c r="G864" i="6"/>
  <c r="H864" i="6" s="1"/>
  <c r="I864" i="6" s="1"/>
  <c r="G1321" i="6"/>
  <c r="H1321" i="6" s="1"/>
  <c r="I1321" i="6" s="1"/>
  <c r="G1837" i="6"/>
  <c r="H1837" i="6" s="1"/>
  <c r="I1837" i="6" s="1"/>
  <c r="G469" i="6"/>
  <c r="H469" i="6" s="1"/>
  <c r="I469" i="6" s="1"/>
  <c r="G1339" i="6"/>
  <c r="H1339" i="6" s="1"/>
  <c r="I1339" i="6" s="1"/>
  <c r="G839" i="6"/>
  <c r="H839" i="6" s="1"/>
  <c r="I839" i="6" s="1"/>
  <c r="G1313" i="6"/>
  <c r="H1313" i="6" s="1"/>
  <c r="I1313" i="6" s="1"/>
  <c r="G1801" i="6"/>
  <c r="H1801" i="6" s="1"/>
  <c r="I1801" i="6" s="1"/>
  <c r="G402" i="6"/>
  <c r="H402" i="6" s="1"/>
  <c r="I402" i="6" s="1"/>
  <c r="G1442" i="6"/>
  <c r="H1442" i="6" s="1"/>
  <c r="I1442" i="6" s="1"/>
  <c r="G425" i="6"/>
  <c r="H425" i="6" s="1"/>
  <c r="I425" i="6" s="1"/>
  <c r="G468" i="6"/>
  <c r="H468" i="6" s="1"/>
  <c r="I468" i="6" s="1"/>
  <c r="G936" i="6"/>
  <c r="H936" i="6" s="1"/>
  <c r="I936" i="6" s="1"/>
  <c r="G394" i="6"/>
  <c r="H394" i="6" s="1"/>
  <c r="I394" i="6" s="1"/>
  <c r="G1368" i="6"/>
  <c r="H1368" i="6" s="1"/>
  <c r="I1368" i="6" s="1"/>
  <c r="G1900" i="6"/>
  <c r="H1900" i="6" s="1"/>
  <c r="I1900" i="6" s="1"/>
  <c r="G1853" i="6"/>
  <c r="H1853" i="6" s="1"/>
  <c r="I1853" i="6" s="1"/>
  <c r="G299" i="6"/>
  <c r="H299" i="6" s="1"/>
  <c r="I299" i="6" s="1"/>
  <c r="G821" i="6"/>
  <c r="H821" i="6" s="1"/>
  <c r="I821" i="6" s="1"/>
  <c r="G1275" i="6"/>
  <c r="H1275" i="6" s="1"/>
  <c r="I1275" i="6" s="1"/>
  <c r="G941" i="6"/>
  <c r="H941" i="6" s="1"/>
  <c r="I941" i="6" s="1"/>
  <c r="G1955" i="6"/>
  <c r="H1955" i="6" s="1"/>
  <c r="I1955" i="6" s="1"/>
  <c r="G1934" i="6"/>
  <c r="H1934" i="6" s="1"/>
  <c r="I1934" i="6" s="1"/>
  <c r="G1933" i="6"/>
  <c r="H1933" i="6" s="1"/>
  <c r="I1933" i="6" s="1"/>
  <c r="G1911" i="6"/>
  <c r="H1911" i="6" s="1"/>
  <c r="I1911" i="6" s="1"/>
  <c r="G352" i="6"/>
  <c r="H352" i="6" s="1"/>
  <c r="I352" i="6" s="1"/>
  <c r="G328" i="6"/>
  <c r="H328" i="6" s="1"/>
  <c r="I328" i="6" s="1"/>
  <c r="G1317" i="6"/>
  <c r="H1317" i="6" s="1"/>
  <c r="I1317" i="6" s="1"/>
  <c r="G307" i="6"/>
  <c r="H307" i="6" s="1"/>
  <c r="I307" i="6" s="1"/>
  <c r="G962" i="6"/>
  <c r="H962" i="6" s="1"/>
  <c r="I962" i="6" s="1"/>
  <c r="G940" i="6"/>
  <c r="H940" i="6" s="1"/>
  <c r="I940" i="6" s="1"/>
  <c r="G429" i="6"/>
  <c r="H429" i="6" s="1"/>
  <c r="I429" i="6" s="1"/>
  <c r="G1899" i="6"/>
  <c r="H1899" i="6" s="1"/>
  <c r="I1899" i="6" s="1"/>
  <c r="G371" i="6"/>
  <c r="H371" i="6" s="1"/>
  <c r="I371" i="6" s="1"/>
  <c r="G351" i="6"/>
  <c r="H351" i="6" s="1"/>
  <c r="I351" i="6" s="1"/>
  <c r="G818" i="6"/>
  <c r="H818" i="6" s="1"/>
  <c r="I818" i="6" s="1"/>
  <c r="G306" i="6"/>
  <c r="H306" i="6" s="1"/>
  <c r="I306" i="6" s="1"/>
  <c r="G1793" i="6"/>
  <c r="H1793" i="6" s="1"/>
  <c r="I1793" i="6" s="1"/>
  <c r="G353" i="6"/>
  <c r="H353" i="6" s="1"/>
  <c r="I353" i="6" s="1"/>
  <c r="G1834" i="6"/>
  <c r="H1834" i="6" s="1"/>
  <c r="I1834" i="6" s="1"/>
  <c r="G1811" i="6"/>
  <c r="H1811" i="6" s="1"/>
  <c r="I1811" i="6" s="1"/>
  <c r="G304" i="6"/>
  <c r="H304" i="6" s="1"/>
  <c r="I304" i="6" s="1"/>
  <c r="G1790" i="6"/>
  <c r="H1790" i="6" s="1"/>
  <c r="I1790" i="6" s="1"/>
  <c r="G426" i="6"/>
  <c r="H426" i="6" s="1"/>
  <c r="I426" i="6" s="1"/>
  <c r="G1335" i="6"/>
  <c r="H1335" i="6" s="1"/>
  <c r="I1335" i="6" s="1"/>
  <c r="G815" i="6"/>
  <c r="H815" i="6" s="1"/>
  <c r="I815" i="6" s="1"/>
  <c r="G794" i="6"/>
  <c r="H794" i="6" s="1"/>
  <c r="I794" i="6" s="1"/>
  <c r="G475" i="6"/>
  <c r="H475" i="6" s="1"/>
  <c r="I475" i="6" s="1"/>
  <c r="G401" i="6"/>
  <c r="H401" i="6" s="1"/>
  <c r="I401" i="6" s="1"/>
  <c r="G856" i="6"/>
  <c r="H856" i="6" s="1"/>
  <c r="I856" i="6" s="1"/>
  <c r="G344" i="6"/>
  <c r="H344" i="6" s="1"/>
  <c r="I344" i="6" s="1"/>
  <c r="G301" i="6"/>
  <c r="H301" i="6" s="1"/>
  <c r="I301" i="6" s="1"/>
  <c r="G793" i="6"/>
  <c r="H793" i="6" s="1"/>
  <c r="I793" i="6" s="1"/>
  <c r="G1786" i="6"/>
  <c r="H1786" i="6" s="1"/>
  <c r="I1786" i="6" s="1"/>
  <c r="G902" i="6"/>
  <c r="H902" i="6" s="1"/>
  <c r="I902" i="6" s="1"/>
  <c r="G933" i="6"/>
  <c r="H933" i="6" s="1"/>
  <c r="I933" i="6" s="1"/>
  <c r="G954" i="6"/>
  <c r="H954" i="6" s="1"/>
  <c r="I954" i="6" s="1"/>
  <c r="G423" i="6"/>
  <c r="H423" i="6" s="1"/>
  <c r="I423" i="6" s="1"/>
  <c r="G892" i="6"/>
  <c r="H892" i="6" s="1"/>
  <c r="I892" i="6" s="1"/>
  <c r="G365" i="6"/>
  <c r="H365" i="6" s="1"/>
  <c r="I365" i="6" s="1"/>
  <c r="G1809" i="6"/>
  <c r="H1809" i="6" s="1"/>
  <c r="I1809" i="6" s="1"/>
  <c r="G1785" i="6"/>
  <c r="H1785" i="6" s="1"/>
  <c r="I1785" i="6" s="1"/>
  <c r="G421" i="6"/>
  <c r="H421" i="6" s="1"/>
  <c r="I421" i="6" s="1"/>
  <c r="G912" i="6"/>
  <c r="H912" i="6" s="1"/>
  <c r="I912" i="6" s="1"/>
  <c r="G1394" i="6"/>
  <c r="H1394" i="6" s="1"/>
  <c r="I1394" i="6" s="1"/>
  <c r="G1373" i="6"/>
  <c r="H1373" i="6" s="1"/>
  <c r="I1373" i="6" s="1"/>
  <c r="G851" i="6"/>
  <c r="H851" i="6" s="1"/>
  <c r="I851" i="6" s="1"/>
  <c r="G1846" i="6"/>
  <c r="H1846" i="6" s="1"/>
  <c r="I1846" i="6" s="1"/>
  <c r="G321" i="6"/>
  <c r="H321" i="6" s="1"/>
  <c r="I321" i="6" s="1"/>
  <c r="G1807" i="6"/>
  <c r="H1807" i="6" s="1"/>
  <c r="I1807" i="6" s="1"/>
  <c r="G1817" i="6"/>
  <c r="H1817" i="6" s="1"/>
  <c r="I1817" i="6" s="1"/>
  <c r="G787" i="6"/>
  <c r="H787" i="6" s="1"/>
  <c r="I787" i="6" s="1"/>
  <c r="G1788" i="6"/>
  <c r="H1788" i="6" s="1"/>
  <c r="I1788" i="6" s="1"/>
  <c r="G482" i="6"/>
  <c r="H482" i="6" s="1"/>
  <c r="I482" i="6" s="1"/>
  <c r="G360" i="6"/>
  <c r="H360" i="6" s="1"/>
  <c r="I360" i="6" s="1"/>
  <c r="G880" i="6"/>
  <c r="H880" i="6" s="1"/>
  <c r="I880" i="6" s="1"/>
  <c r="G440" i="6"/>
  <c r="H440" i="6" s="1"/>
  <c r="I440" i="6" s="1"/>
  <c r="G481" i="6"/>
  <c r="H481" i="6" s="1"/>
  <c r="I481" i="6" s="1"/>
  <c r="G949" i="6"/>
  <c r="H949" i="6" s="1"/>
  <c r="I949" i="6" s="1"/>
  <c r="G1453" i="6"/>
  <c r="H1453" i="6" s="1"/>
  <c r="I1453" i="6" s="1"/>
  <c r="G1413" i="6"/>
  <c r="H1413" i="6" s="1"/>
  <c r="I1413" i="6" s="1"/>
  <c r="G1920" i="6"/>
  <c r="H1920" i="6" s="1"/>
  <c r="I1920" i="6" s="1"/>
  <c r="G416" i="6"/>
  <c r="H416" i="6" s="1"/>
  <c r="I416" i="6" s="1"/>
  <c r="G1391" i="6"/>
  <c r="H1391" i="6" s="1"/>
  <c r="I1391" i="6" s="1"/>
  <c r="G317" i="6"/>
  <c r="H317" i="6" s="1"/>
  <c r="I317" i="6" s="1"/>
  <c r="G809" i="6"/>
  <c r="H809" i="6" s="1"/>
  <c r="I809" i="6" s="1"/>
  <c r="G1454" i="6"/>
  <c r="H1454" i="6" s="1"/>
  <c r="I1454" i="6" s="1"/>
  <c r="G1451" i="6"/>
  <c r="H1451" i="6" s="1"/>
  <c r="I1451" i="6" s="1"/>
  <c r="G1370" i="6"/>
  <c r="H1370" i="6" s="1"/>
  <c r="I1370" i="6" s="1"/>
  <c r="G380" i="6"/>
  <c r="H380" i="6" s="1"/>
  <c r="I380" i="6" s="1"/>
  <c r="G1841" i="6"/>
  <c r="H1841" i="6" s="1"/>
  <c r="I1841" i="6" s="1"/>
  <c r="G336" i="6"/>
  <c r="H336" i="6" s="1"/>
  <c r="I336" i="6" s="1"/>
  <c r="G315" i="6"/>
  <c r="H315" i="6" s="1"/>
  <c r="I315" i="6" s="1"/>
  <c r="G784" i="6"/>
  <c r="H784" i="6" s="1"/>
  <c r="I784" i="6" s="1"/>
  <c r="G883" i="6"/>
  <c r="H883" i="6" s="1"/>
  <c r="I883" i="6" s="1"/>
  <c r="G1819" i="6"/>
  <c r="H1819" i="6" s="1"/>
  <c r="I1819" i="6" s="1"/>
  <c r="G477" i="6"/>
  <c r="H477" i="6" s="1"/>
  <c r="I477" i="6" s="1"/>
  <c r="G455" i="6"/>
  <c r="H455" i="6" s="1"/>
  <c r="I455" i="6" s="1"/>
  <c r="G1429" i="6"/>
  <c r="H1429" i="6" s="1"/>
  <c r="I1429" i="6" s="1"/>
  <c r="G1959" i="6"/>
  <c r="H1959" i="6" s="1"/>
  <c r="I1959" i="6" s="1"/>
  <c r="G844" i="6"/>
  <c r="H844" i="6" s="1"/>
  <c r="I844" i="6" s="1"/>
  <c r="G1343" i="6"/>
  <c r="H1343" i="6" s="1"/>
  <c r="I1343" i="6" s="1"/>
  <c r="G355" i="6"/>
  <c r="H355" i="6" s="1"/>
  <c r="I355" i="6" s="1"/>
  <c r="G1956" i="6"/>
  <c r="H1956" i="6" s="1"/>
  <c r="I1956" i="6" s="1"/>
  <c r="G450" i="6"/>
  <c r="H450" i="6" s="1"/>
  <c r="I450" i="6" s="1"/>
  <c r="G927" i="6"/>
  <c r="H927" i="6" s="1"/>
  <c r="I927" i="6" s="1"/>
  <c r="G1922" i="6"/>
  <c r="H1922" i="6" s="1"/>
  <c r="I1922" i="6" s="1"/>
  <c r="G1909" i="6"/>
  <c r="H1909" i="6" s="1"/>
  <c r="I1909" i="6" s="1"/>
  <c r="G403" i="6"/>
  <c r="H403" i="6" s="1"/>
  <c r="I403" i="6" s="1"/>
  <c r="G393" i="6"/>
  <c r="H393" i="6" s="1"/>
  <c r="I393" i="6" s="1"/>
  <c r="G1382" i="6"/>
  <c r="H1382" i="6" s="1"/>
  <c r="I1382" i="6" s="1"/>
  <c r="G1896" i="6"/>
  <c r="H1896" i="6" s="1"/>
  <c r="I1896" i="6" s="1"/>
  <c r="G388" i="6"/>
  <c r="H388" i="6" s="1"/>
  <c r="I388" i="6" s="1"/>
  <c r="G373" i="6"/>
  <c r="H373" i="6" s="1"/>
  <c r="I373" i="6" s="1"/>
  <c r="G1355" i="6"/>
  <c r="H1355" i="6" s="1"/>
  <c r="I1355" i="6" s="1"/>
  <c r="G1312" i="6"/>
  <c r="H1312" i="6" s="1"/>
  <c r="I1312" i="6" s="1"/>
  <c r="G1812" i="6"/>
  <c r="H1812" i="6" s="1"/>
  <c r="I1812" i="6" s="1"/>
  <c r="G1427" i="6"/>
  <c r="H1427" i="6" s="1"/>
  <c r="I1427" i="6" s="1"/>
  <c r="G1883" i="6"/>
  <c r="H1883" i="6" s="1"/>
  <c r="I1883" i="6" s="1"/>
  <c r="G327" i="6"/>
  <c r="H327" i="6" s="1"/>
  <c r="I327" i="6" s="1"/>
  <c r="G1334" i="6"/>
  <c r="H1334" i="6" s="1"/>
  <c r="I1334" i="6" s="1"/>
  <c r="G1359" i="6"/>
  <c r="H1359" i="6" s="1"/>
  <c r="I1359" i="6" s="1"/>
  <c r="G1881" i="6"/>
  <c r="H1881" i="6" s="1"/>
  <c r="I1881" i="6" s="1"/>
  <c r="G1447" i="6"/>
  <c r="H1447" i="6" s="1"/>
  <c r="I1447" i="6" s="1"/>
  <c r="G436" i="6"/>
  <c r="H436" i="6" s="1"/>
  <c r="I436" i="6" s="1"/>
  <c r="G925" i="6"/>
  <c r="H925" i="6" s="1"/>
  <c r="I925" i="6" s="1"/>
  <c r="G913" i="6"/>
  <c r="H913" i="6" s="1"/>
  <c r="I913" i="6" s="1"/>
  <c r="G1426" i="6"/>
  <c r="H1426" i="6" s="1"/>
  <c r="I1426" i="6" s="1"/>
  <c r="G1932" i="6"/>
  <c r="H1932" i="6" s="1"/>
  <c r="I1932" i="6" s="1"/>
  <c r="G1918" i="6"/>
  <c r="H1918" i="6" s="1"/>
  <c r="I1918" i="6" s="1"/>
  <c r="G1906" i="6"/>
  <c r="H1906" i="6" s="1"/>
  <c r="I1906" i="6" s="1"/>
  <c r="G1892" i="6"/>
  <c r="H1892" i="6" s="1"/>
  <c r="I1892" i="6" s="1"/>
  <c r="G384" i="6"/>
  <c r="H384" i="6" s="1"/>
  <c r="I384" i="6" s="1"/>
  <c r="G370" i="6"/>
  <c r="H370" i="6" s="1"/>
  <c r="I370" i="6" s="1"/>
  <c r="G1852" i="6"/>
  <c r="H1852" i="6" s="1"/>
  <c r="I1852" i="6" s="1"/>
  <c r="G830" i="6"/>
  <c r="H830" i="6" s="1"/>
  <c r="I830" i="6" s="1"/>
  <c r="G1308" i="6"/>
  <c r="H1308" i="6" s="1"/>
  <c r="I1308" i="6" s="1"/>
  <c r="G1821" i="6"/>
  <c r="H1821" i="6" s="1"/>
  <c r="I1821" i="6" s="1"/>
  <c r="G1796" i="6"/>
  <c r="H1796" i="6" s="1"/>
  <c r="I1796" i="6" s="1"/>
  <c r="G474" i="6"/>
  <c r="H474" i="6" s="1"/>
  <c r="I474" i="6" s="1"/>
  <c r="G461" i="6"/>
  <c r="H461" i="6" s="1"/>
  <c r="I461" i="6" s="1"/>
  <c r="G945" i="6"/>
  <c r="H945" i="6" s="1"/>
  <c r="I945" i="6" s="1"/>
  <c r="G1952" i="6"/>
  <c r="H1952" i="6" s="1"/>
  <c r="I1952" i="6" s="1"/>
  <c r="G1939" i="6"/>
  <c r="H1939" i="6" s="1"/>
  <c r="I1939" i="6" s="1"/>
  <c r="G911" i="6"/>
  <c r="H911" i="6" s="1"/>
  <c r="I911" i="6" s="1"/>
  <c r="G1930" i="6"/>
  <c r="H1930" i="6" s="1"/>
  <c r="I1930" i="6" s="1"/>
  <c r="G901" i="6"/>
  <c r="H901" i="6" s="1"/>
  <c r="I901" i="6" s="1"/>
  <c r="G1878" i="6"/>
  <c r="H1878" i="6" s="1"/>
  <c r="I1878" i="6" s="1"/>
  <c r="G368" i="6"/>
  <c r="H368" i="6" s="1"/>
  <c r="I368" i="6" s="1"/>
  <c r="G1349" i="6"/>
  <c r="H1349" i="6" s="1"/>
  <c r="I1349" i="6" s="1"/>
  <c r="G1320" i="6"/>
  <c r="H1320" i="6" s="1"/>
  <c r="I1320" i="6" s="1"/>
  <c r="G1832" i="6"/>
  <c r="H1832" i="6" s="1"/>
  <c r="I1832" i="6" s="1"/>
  <c r="G1281" i="6"/>
  <c r="H1281" i="6" s="1"/>
  <c r="I1281" i="6" s="1"/>
  <c r="G1808" i="6"/>
  <c r="H1808" i="6" s="1"/>
  <c r="I1808" i="6" s="1"/>
  <c r="G1862" i="6"/>
  <c r="H1862" i="6" s="1"/>
  <c r="I1862" i="6" s="1"/>
  <c r="G458" i="6"/>
  <c r="H458" i="6" s="1"/>
  <c r="I458" i="6" s="1"/>
  <c r="G956" i="6"/>
  <c r="H956" i="6" s="1"/>
  <c r="I956" i="6" s="1"/>
  <c r="G943" i="6"/>
  <c r="H943" i="6" s="1"/>
  <c r="I943" i="6" s="1"/>
  <c r="G1456" i="6"/>
  <c r="H1456" i="6" s="1"/>
  <c r="I1456" i="6" s="1"/>
  <c r="G1432" i="6"/>
  <c r="H1432" i="6" s="1"/>
  <c r="I1432" i="6" s="1"/>
  <c r="G443" i="6"/>
  <c r="H443" i="6" s="1"/>
  <c r="I443" i="6" s="1"/>
  <c r="G1421" i="6"/>
  <c r="H1421" i="6" s="1"/>
  <c r="I1421" i="6" s="1"/>
  <c r="G1397" i="6"/>
  <c r="H1397" i="6" s="1"/>
  <c r="I1397" i="6" s="1"/>
  <c r="G419" i="6"/>
  <c r="H419" i="6" s="1"/>
  <c r="I419" i="6" s="1"/>
  <c r="G407" i="6"/>
  <c r="H407" i="6" s="1"/>
  <c r="I407" i="6" s="1"/>
  <c r="G395" i="6"/>
  <c r="H395" i="6" s="1"/>
  <c r="I395" i="6" s="1"/>
  <c r="G899" i="6"/>
  <c r="H899" i="6" s="1"/>
  <c r="I899" i="6" s="1"/>
  <c r="G1388" i="6"/>
  <c r="H1388" i="6" s="1"/>
  <c r="I1388" i="6" s="1"/>
  <c r="G1376" i="6"/>
  <c r="H1376" i="6" s="1"/>
  <c r="I1376" i="6" s="1"/>
  <c r="G1902" i="6"/>
  <c r="H1902" i="6" s="1"/>
  <c r="I1902" i="6" s="1"/>
  <c r="G379" i="6"/>
  <c r="H379" i="6" s="1"/>
  <c r="I379" i="6" s="1"/>
  <c r="G867" i="6"/>
  <c r="H867" i="6" s="1"/>
  <c r="I867" i="6" s="1"/>
  <c r="G1361" i="6"/>
  <c r="H1361" i="6" s="1"/>
  <c r="I1361" i="6" s="1"/>
  <c r="G1346" i="6"/>
  <c r="H1346" i="6" s="1"/>
  <c r="I1346" i="6" s="1"/>
  <c r="G1861" i="6"/>
  <c r="H1861" i="6" s="1"/>
  <c r="I1861" i="6" s="1"/>
  <c r="G339" i="6"/>
  <c r="H339" i="6" s="1"/>
  <c r="I339" i="6" s="1"/>
  <c r="G825" i="6"/>
  <c r="H825" i="6" s="1"/>
  <c r="I825" i="6" s="1"/>
  <c r="G1318" i="6"/>
  <c r="H1318" i="6" s="1"/>
  <c r="I1318" i="6" s="1"/>
  <c r="G1304" i="6"/>
  <c r="H1304" i="6" s="1"/>
  <c r="I1304" i="6" s="1"/>
  <c r="G1831" i="6"/>
  <c r="H1831" i="6" s="1"/>
  <c r="I1831" i="6" s="1"/>
  <c r="G310" i="6"/>
  <c r="H310" i="6" s="1"/>
  <c r="I310" i="6" s="1"/>
  <c r="G1293" i="6"/>
  <c r="H1293" i="6" s="1"/>
  <c r="I1293" i="6" s="1"/>
  <c r="G1443" i="6"/>
  <c r="H1443" i="6" s="1"/>
  <c r="I1443" i="6" s="1"/>
  <c r="G442" i="6"/>
  <c r="H442" i="6" s="1"/>
  <c r="I442" i="6" s="1"/>
  <c r="G931" i="6"/>
  <c r="H931" i="6" s="1"/>
  <c r="I931" i="6" s="1"/>
  <c r="G1420" i="6"/>
  <c r="H1420" i="6" s="1"/>
  <c r="I1420" i="6" s="1"/>
  <c r="G1926" i="6"/>
  <c r="H1926" i="6" s="1"/>
  <c r="I1926" i="6" s="1"/>
  <c r="G1913" i="6"/>
  <c r="H1913" i="6" s="1"/>
  <c r="I1913" i="6" s="1"/>
  <c r="G418" i="6"/>
  <c r="H418" i="6" s="1"/>
  <c r="I418" i="6" s="1"/>
  <c r="G874" i="6"/>
  <c r="H874" i="6" s="1"/>
  <c r="I874" i="6" s="1"/>
  <c r="G366" i="6"/>
  <c r="H366" i="6" s="1"/>
  <c r="I366" i="6" s="1"/>
  <c r="G1345" i="6"/>
  <c r="H1345" i="6" s="1"/>
  <c r="I1345" i="6" s="1"/>
  <c r="G1829" i="6"/>
  <c r="H1829" i="6" s="1"/>
  <c r="I1829" i="6" s="1"/>
  <c r="G1278" i="6"/>
  <c r="H1278" i="6" s="1"/>
  <c r="I1278" i="6" s="1"/>
  <c r="G1805" i="6"/>
  <c r="H1805" i="6" s="1"/>
  <c r="I1805" i="6" s="1"/>
  <c r="G376" i="6"/>
  <c r="H376" i="6" s="1"/>
  <c r="I376" i="6" s="1"/>
  <c r="G1330" i="6"/>
  <c r="H1330" i="6" s="1"/>
  <c r="I1330" i="6" s="1"/>
  <c r="G480" i="6"/>
  <c r="H480" i="6" s="1"/>
  <c r="I480" i="6" s="1"/>
  <c r="G467" i="6"/>
  <c r="H467" i="6" s="1"/>
  <c r="I467" i="6" s="1"/>
  <c r="G454" i="6"/>
  <c r="H454" i="6" s="1"/>
  <c r="I454" i="6" s="1"/>
  <c r="G952" i="6"/>
  <c r="H952" i="6" s="1"/>
  <c r="I952" i="6" s="1"/>
  <c r="G939" i="6"/>
  <c r="H939" i="6" s="1"/>
  <c r="I939" i="6" s="1"/>
  <c r="G1958" i="6"/>
  <c r="H1958" i="6" s="1"/>
  <c r="I1958" i="6" s="1"/>
  <c r="G1946" i="6"/>
  <c r="H1946" i="6" s="1"/>
  <c r="I1946" i="6" s="1"/>
  <c r="G928" i="6"/>
  <c r="H928" i="6" s="1"/>
  <c r="I928" i="6" s="1"/>
  <c r="G916" i="6"/>
  <c r="H916" i="6" s="1"/>
  <c r="I916" i="6" s="1"/>
  <c r="G905" i="6"/>
  <c r="H905" i="6" s="1"/>
  <c r="I905" i="6" s="1"/>
  <c r="G1417" i="6"/>
  <c r="H1417" i="6" s="1"/>
  <c r="I1417" i="6" s="1"/>
  <c r="G1923" i="6"/>
  <c r="H1923" i="6" s="1"/>
  <c r="I1923" i="6" s="1"/>
  <c r="G1910" i="6"/>
  <c r="H1910" i="6" s="1"/>
  <c r="I1910" i="6" s="1"/>
  <c r="G415" i="6"/>
  <c r="H415" i="6" s="1"/>
  <c r="I415" i="6" s="1"/>
  <c r="G1897" i="6"/>
  <c r="H1897" i="6" s="1"/>
  <c r="I1897" i="6" s="1"/>
  <c r="G862" i="6"/>
  <c r="H862" i="6" s="1"/>
  <c r="I862" i="6" s="1"/>
  <c r="G1870" i="6"/>
  <c r="H1870" i="6" s="1"/>
  <c r="I1870" i="6" s="1"/>
  <c r="G334" i="6"/>
  <c r="H334" i="6" s="1"/>
  <c r="I334" i="6" s="1"/>
  <c r="G1328" i="6"/>
  <c r="H1328" i="6" s="1"/>
  <c r="I1328" i="6" s="1"/>
  <c r="G476" i="6"/>
  <c r="H476" i="6" s="1"/>
  <c r="I476" i="6" s="1"/>
  <c r="G463" i="6"/>
  <c r="H463" i="6" s="1"/>
  <c r="I463" i="6" s="1"/>
  <c r="G961" i="6"/>
  <c r="H961" i="6" s="1"/>
  <c r="I961" i="6" s="1"/>
  <c r="G948" i="6"/>
  <c r="H948" i="6" s="1"/>
  <c r="I948" i="6" s="1"/>
  <c r="G1438" i="6"/>
  <c r="H1438" i="6" s="1"/>
  <c r="I1438" i="6" s="1"/>
  <c r="G926" i="6"/>
  <c r="H926" i="6" s="1"/>
  <c r="I926" i="6" s="1"/>
  <c r="G917" i="6"/>
  <c r="H917" i="6" s="1"/>
  <c r="I917" i="6" s="1"/>
  <c r="G1398" i="6"/>
  <c r="H1398" i="6" s="1"/>
  <c r="I1398" i="6" s="1"/>
  <c r="G1905" i="6"/>
  <c r="H1905" i="6" s="1"/>
  <c r="I1905" i="6" s="1"/>
  <c r="G406" i="6"/>
  <c r="H406" i="6" s="1"/>
  <c r="I406" i="6" s="1"/>
  <c r="G390" i="6"/>
  <c r="H390" i="6" s="1"/>
  <c r="I390" i="6" s="1"/>
  <c r="G1931" i="6"/>
  <c r="H1931" i="6" s="1"/>
  <c r="I1931" i="6" s="1"/>
  <c r="G1912" i="6"/>
  <c r="H1912" i="6" s="1"/>
  <c r="I1912" i="6" s="1"/>
  <c r="G1851" i="6"/>
  <c r="H1851" i="6" s="1"/>
  <c r="I1851" i="6" s="1"/>
  <c r="G1903" i="6"/>
  <c r="H1903" i="6" s="1"/>
  <c r="I1903" i="6" s="1"/>
  <c r="G1941" i="6"/>
  <c r="H1941" i="6" s="1"/>
  <c r="I1941" i="6" s="1"/>
  <c r="G473" i="6"/>
  <c r="H473" i="6" s="1"/>
  <c r="I473" i="6" s="1"/>
  <c r="G957" i="6"/>
  <c r="H957" i="6" s="1"/>
  <c r="I957" i="6" s="1"/>
  <c r="G944" i="6"/>
  <c r="H944" i="6" s="1"/>
  <c r="I944" i="6" s="1"/>
  <c r="G1457" i="6"/>
  <c r="H1457" i="6" s="1"/>
  <c r="I1457" i="6" s="1"/>
  <c r="G1446" i="6"/>
  <c r="H1446" i="6" s="1"/>
  <c r="I1446" i="6" s="1"/>
  <c r="G1434" i="6"/>
  <c r="H1434" i="6" s="1"/>
  <c r="I1434" i="6" s="1"/>
  <c r="G1428" i="6"/>
  <c r="H1428" i="6" s="1"/>
  <c r="I1428" i="6" s="1"/>
  <c r="G433" i="6"/>
  <c r="H433" i="6" s="1"/>
  <c r="I433" i="6" s="1"/>
  <c r="G904" i="6"/>
  <c r="H904" i="6" s="1"/>
  <c r="I904" i="6" s="1"/>
  <c r="G1408" i="6"/>
  <c r="H1408" i="6" s="1"/>
  <c r="I1408" i="6" s="1"/>
  <c r="G1921" i="6"/>
  <c r="H1921" i="6" s="1"/>
  <c r="I1921" i="6" s="1"/>
  <c r="G414" i="6"/>
  <c r="H414" i="6" s="1"/>
  <c r="I414" i="6" s="1"/>
  <c r="G900" i="6"/>
  <c r="H900" i="6" s="1"/>
  <c r="I900" i="6" s="1"/>
  <c r="G879" i="6"/>
  <c r="H879" i="6" s="1"/>
  <c r="I879" i="6" s="1"/>
  <c r="G1392" i="6"/>
  <c r="H1392" i="6" s="1"/>
  <c r="I1392" i="6" s="1"/>
  <c r="G1379" i="6"/>
  <c r="H1379" i="6" s="1"/>
  <c r="I1379" i="6" s="1"/>
  <c r="G451" i="6"/>
  <c r="H451" i="6" s="1"/>
  <c r="I451" i="6" s="1"/>
  <c r="G470" i="6"/>
  <c r="H470" i="6" s="1"/>
  <c r="I470" i="6" s="1"/>
  <c r="G457" i="6"/>
  <c r="H457" i="6" s="1"/>
  <c r="I457" i="6" s="1"/>
  <c r="G955" i="6"/>
  <c r="H955" i="6" s="1"/>
  <c r="I955" i="6" s="1"/>
  <c r="G942" i="6"/>
  <c r="H942" i="6" s="1"/>
  <c r="I942" i="6" s="1"/>
  <c r="G1455" i="6"/>
  <c r="H1455" i="6" s="1"/>
  <c r="I1455" i="6" s="1"/>
  <c r="G1444" i="6"/>
  <c r="H1444" i="6" s="1"/>
  <c r="I1444" i="6" s="1"/>
  <c r="G1954" i="6"/>
  <c r="H1954" i="6" s="1"/>
  <c r="I1954" i="6" s="1"/>
  <c r="G1943" i="6"/>
  <c r="H1943" i="6" s="1"/>
  <c r="I1943" i="6" s="1"/>
  <c r="G422" i="6"/>
  <c r="H422" i="6" s="1"/>
  <c r="I422" i="6" s="1"/>
  <c r="G924" i="6"/>
  <c r="H924" i="6" s="1"/>
  <c r="I924" i="6" s="1"/>
  <c r="G1919" i="6"/>
  <c r="H1919" i="6" s="1"/>
  <c r="I1919" i="6" s="1"/>
  <c r="G411" i="6"/>
  <c r="H411" i="6" s="1"/>
  <c r="I411" i="6" s="1"/>
  <c r="G404" i="6"/>
  <c r="H404" i="6" s="1"/>
  <c r="I404" i="6" s="1"/>
  <c r="G888" i="6"/>
  <c r="H888" i="6" s="1"/>
  <c r="I888" i="6" s="1"/>
  <c r="G877" i="6"/>
  <c r="H877" i="6" s="1"/>
  <c r="I877" i="6" s="1"/>
  <c r="G1367" i="6"/>
  <c r="H1367" i="6" s="1"/>
  <c r="I1367" i="6" s="1"/>
  <c r="G1874" i="6"/>
  <c r="H1874" i="6" s="1"/>
  <c r="I1874" i="6" s="1"/>
  <c r="G1873" i="6"/>
  <c r="H1873" i="6" s="1"/>
  <c r="I1873" i="6" s="1"/>
  <c r="G802" i="6"/>
  <c r="H802" i="6" s="1"/>
  <c r="I802" i="6" s="1"/>
  <c r="G1433" i="6"/>
  <c r="H1433" i="6" s="1"/>
  <c r="I1433" i="6" s="1"/>
  <c r="G1416" i="6"/>
  <c r="H1416" i="6" s="1"/>
  <c r="I1416" i="6" s="1"/>
  <c r="G1405" i="6"/>
  <c r="H1405" i="6" s="1"/>
  <c r="I1405" i="6" s="1"/>
  <c r="G412" i="6"/>
  <c r="H412" i="6" s="1"/>
  <c r="I412" i="6" s="1"/>
  <c r="G1389" i="6"/>
  <c r="H1389" i="6" s="1"/>
  <c r="I1389" i="6" s="1"/>
  <c r="G1452" i="6"/>
  <c r="H1452" i="6" s="1"/>
  <c r="I1452" i="6" s="1"/>
  <c r="G1441" i="6"/>
  <c r="H1441" i="6" s="1"/>
  <c r="I1441" i="6" s="1"/>
  <c r="G1925" i="6"/>
  <c r="H1925" i="6" s="1"/>
  <c r="I1925" i="6" s="1"/>
  <c r="G479" i="6"/>
  <c r="H479" i="6" s="1"/>
  <c r="I479" i="6" s="1"/>
  <c r="G466" i="6"/>
  <c r="H466" i="6" s="1"/>
  <c r="I466" i="6" s="1"/>
  <c r="G453" i="6"/>
  <c r="H453" i="6" s="1"/>
  <c r="I453" i="6" s="1"/>
  <c r="G951" i="6"/>
  <c r="H951" i="6" s="1"/>
  <c r="I951" i="6" s="1"/>
  <c r="G938" i="6"/>
  <c r="H938" i="6" s="1"/>
  <c r="I938" i="6" s="1"/>
  <c r="G1961" i="6"/>
  <c r="H1961" i="6" s="1"/>
  <c r="I1961" i="6" s="1"/>
  <c r="G428" i="6"/>
  <c r="H428" i="6" s="1"/>
  <c r="I428" i="6" s="1"/>
  <c r="G910" i="6"/>
  <c r="H910" i="6" s="1"/>
  <c r="I910" i="6" s="1"/>
  <c r="G1414" i="6"/>
  <c r="H1414" i="6" s="1"/>
  <c r="I1414" i="6" s="1"/>
  <c r="G1402" i="6"/>
  <c r="H1402" i="6" s="1"/>
  <c r="I1402" i="6" s="1"/>
  <c r="G1908" i="6"/>
  <c r="H1908" i="6" s="1"/>
  <c r="I1908" i="6" s="1"/>
  <c r="G400" i="6"/>
  <c r="H400" i="6" s="1"/>
  <c r="I400" i="6" s="1"/>
  <c r="G391" i="6"/>
  <c r="H391" i="6" s="1"/>
  <c r="I391" i="6" s="1"/>
  <c r="G895" i="6"/>
  <c r="H895" i="6" s="1"/>
  <c r="I895" i="6" s="1"/>
  <c r="G873" i="6"/>
  <c r="H873" i="6" s="1"/>
  <c r="I873" i="6" s="1"/>
  <c r="G478" i="6"/>
  <c r="H478" i="6" s="1"/>
  <c r="I478" i="6" s="1"/>
  <c r="G465" i="6"/>
  <c r="H465" i="6" s="1"/>
  <c r="I465" i="6" s="1"/>
  <c r="G452" i="6"/>
  <c r="H452" i="6" s="1"/>
  <c r="I452" i="6" s="1"/>
  <c r="G950" i="6"/>
  <c r="H950" i="6" s="1"/>
  <c r="I950" i="6" s="1"/>
  <c r="G937" i="6"/>
  <c r="H937" i="6" s="1"/>
  <c r="I937" i="6" s="1"/>
  <c r="G1439" i="6"/>
  <c r="H1439" i="6" s="1"/>
  <c r="I1439" i="6" s="1"/>
  <c r="G1937" i="6"/>
  <c r="H1937" i="6" s="1"/>
  <c r="I1937" i="6" s="1"/>
  <c r="G919" i="6"/>
  <c r="H919" i="6" s="1"/>
  <c r="I919" i="6" s="1"/>
  <c r="G908" i="6"/>
  <c r="H908" i="6" s="1"/>
  <c r="I908" i="6" s="1"/>
  <c r="G1422" i="6"/>
  <c r="H1422" i="6" s="1"/>
  <c r="I1422" i="6" s="1"/>
  <c r="G399" i="6"/>
  <c r="H399" i="6" s="1"/>
  <c r="I399" i="6" s="1"/>
  <c r="G894" i="6"/>
  <c r="H894" i="6" s="1"/>
  <c r="I894" i="6" s="1"/>
  <c r="G1440" i="6"/>
  <c r="H1440" i="6" s="1"/>
  <c r="I1440" i="6" s="1"/>
  <c r="G1960" i="6"/>
  <c r="H1960" i="6" s="1"/>
  <c r="I1960" i="6" s="1"/>
  <c r="G1907" i="6"/>
  <c r="H1907" i="6" s="1"/>
  <c r="I1907" i="6" s="1"/>
  <c r="G417" i="6"/>
  <c r="H417" i="6" s="1"/>
  <c r="I417" i="6" s="1"/>
  <c r="G398" i="6"/>
  <c r="H398" i="6" s="1"/>
  <c r="I398" i="6" s="1"/>
  <c r="G882" i="6"/>
  <c r="H882" i="6" s="1"/>
  <c r="I882" i="6" s="1"/>
  <c r="G1383" i="6"/>
  <c r="H1383" i="6" s="1"/>
  <c r="I1383" i="6" s="1"/>
  <c r="G1898" i="6"/>
  <c r="H1898" i="6" s="1"/>
  <c r="I1898" i="6" s="1"/>
  <c r="G1887" i="6"/>
  <c r="H1887" i="6" s="1"/>
  <c r="I1887" i="6" s="1"/>
  <c r="G1875" i="6"/>
  <c r="H1875" i="6" s="1"/>
  <c r="I1875" i="6" s="1"/>
  <c r="G871" i="6"/>
  <c r="H871" i="6" s="1"/>
  <c r="I871" i="6" s="1"/>
  <c r="G845" i="6"/>
  <c r="H845" i="6" s="1"/>
  <c r="I845" i="6" s="1"/>
  <c r="G1356" i="6"/>
  <c r="H1356" i="6" s="1"/>
  <c r="I1356" i="6" s="1"/>
  <c r="G1344" i="6"/>
  <c r="H1344" i="6" s="1"/>
  <c r="I1344" i="6" s="1"/>
  <c r="G837" i="6"/>
  <c r="H837" i="6" s="1"/>
  <c r="I837" i="6" s="1"/>
  <c r="G1332" i="6"/>
  <c r="H1332" i="6" s="1"/>
  <c r="I1332" i="6" s="1"/>
  <c r="G1319" i="6"/>
  <c r="H1319" i="6" s="1"/>
  <c r="I1319" i="6" s="1"/>
  <c r="G1306" i="6"/>
  <c r="H1306" i="6" s="1"/>
  <c r="I1306" i="6" s="1"/>
  <c r="G298" i="6"/>
  <c r="H298" i="6" s="1"/>
  <c r="I298" i="6" s="1"/>
  <c r="G805" i="6"/>
  <c r="H805" i="6" s="1"/>
  <c r="I805" i="6" s="1"/>
  <c r="G323" i="6"/>
  <c r="H323" i="6" s="1"/>
  <c r="I323" i="6" s="1"/>
  <c r="G1322" i="6"/>
  <c r="H1322" i="6" s="1"/>
  <c r="I1322" i="6" s="1"/>
  <c r="G1348" i="6"/>
  <c r="H1348" i="6" s="1"/>
  <c r="I1348" i="6" s="1"/>
  <c r="G387" i="6"/>
  <c r="H387" i="6" s="1"/>
  <c r="I387" i="6" s="1"/>
  <c r="G397" i="6"/>
  <c r="H397" i="6" s="1"/>
  <c r="I397" i="6" s="1"/>
  <c r="G435" i="6"/>
  <c r="H435" i="6" s="1"/>
  <c r="I435" i="6" s="1"/>
  <c r="G369" i="6"/>
  <c r="H369" i="6" s="1"/>
  <c r="I369" i="6" s="1"/>
  <c r="G859" i="6"/>
  <c r="H859" i="6" s="1"/>
  <c r="I859" i="6" s="1"/>
  <c r="G1810" i="6"/>
  <c r="H1810" i="6" s="1"/>
  <c r="I1810" i="6" s="1"/>
  <c r="G318" i="6"/>
  <c r="H318" i="6" s="1"/>
  <c r="I318" i="6" s="1"/>
  <c r="G1290" i="6"/>
  <c r="H1290" i="6" s="1"/>
  <c r="I1290" i="6" s="1"/>
  <c r="G1806" i="6"/>
  <c r="H1806" i="6" s="1"/>
  <c r="I1806" i="6" s="1"/>
  <c r="G1326" i="6"/>
  <c r="H1326" i="6" s="1"/>
  <c r="I1326" i="6" s="1"/>
  <c r="G1843" i="6"/>
  <c r="H1843" i="6" s="1"/>
  <c r="I1843" i="6" s="1"/>
  <c r="G1352" i="6"/>
  <c r="H1352" i="6" s="1"/>
  <c r="I1352" i="6" s="1"/>
  <c r="G1876" i="6"/>
  <c r="H1876" i="6" s="1"/>
  <c r="I1876" i="6" s="1"/>
  <c r="G409" i="6"/>
  <c r="H409" i="6" s="1"/>
  <c r="I409" i="6" s="1"/>
  <c r="G1884" i="6"/>
  <c r="H1884" i="6" s="1"/>
  <c r="I1884" i="6" s="1"/>
  <c r="G378" i="6"/>
  <c r="H378" i="6" s="1"/>
  <c r="I378" i="6" s="1"/>
  <c r="G868" i="6"/>
  <c r="H868" i="6" s="1"/>
  <c r="I868" i="6" s="1"/>
  <c r="G1365" i="6"/>
  <c r="H1365" i="6" s="1"/>
  <c r="I1365" i="6" s="1"/>
  <c r="G1342" i="6"/>
  <c r="H1342" i="6" s="1"/>
  <c r="I1342" i="6" s="1"/>
  <c r="G1864" i="6"/>
  <c r="H1864" i="6" s="1"/>
  <c r="I1864" i="6" s="1"/>
  <c r="G833" i="6"/>
  <c r="H833" i="6" s="1"/>
  <c r="I833" i="6" s="1"/>
  <c r="G819" i="6"/>
  <c r="H819" i="6" s="1"/>
  <c r="I819" i="6" s="1"/>
  <c r="G1329" i="6"/>
  <c r="H1329" i="6" s="1"/>
  <c r="I1329" i="6" s="1"/>
  <c r="G1839" i="6"/>
  <c r="H1839" i="6" s="1"/>
  <c r="I1839" i="6" s="1"/>
  <c r="G1828" i="6"/>
  <c r="H1828" i="6" s="1"/>
  <c r="I1828" i="6" s="1"/>
  <c r="G1302" i="6"/>
  <c r="H1302" i="6" s="1"/>
  <c r="I1302" i="6" s="1"/>
  <c r="G1287" i="6"/>
  <c r="H1287" i="6" s="1"/>
  <c r="I1287" i="6" s="1"/>
  <c r="G1802" i="6"/>
  <c r="H1802" i="6" s="1"/>
  <c r="I1802" i="6" s="1"/>
  <c r="G1794" i="6"/>
  <c r="H1794" i="6" s="1"/>
  <c r="I1794" i="6" s="1"/>
  <c r="G1826" i="6"/>
  <c r="H1826" i="6" s="1"/>
  <c r="I1826" i="6" s="1"/>
  <c r="G816" i="6"/>
  <c r="H816" i="6" s="1"/>
  <c r="I816" i="6" s="1"/>
  <c r="G1855" i="6"/>
  <c r="H1855" i="6" s="1"/>
  <c r="I1855" i="6" s="1"/>
  <c r="G1364" i="6"/>
  <c r="H1364" i="6" s="1"/>
  <c r="I1364" i="6" s="1"/>
  <c r="G1889" i="6"/>
  <c r="H1889" i="6" s="1"/>
  <c r="I1889" i="6" s="1"/>
  <c r="G1915" i="6"/>
  <c r="H1915" i="6" s="1"/>
  <c r="I1915" i="6" s="1"/>
  <c r="G1316" i="6"/>
  <c r="H1316" i="6" s="1"/>
  <c r="I1316" i="6" s="1"/>
  <c r="G316" i="6"/>
  <c r="H316" i="6" s="1"/>
  <c r="I316" i="6" s="1"/>
  <c r="G1792" i="6"/>
  <c r="H1792" i="6" s="1"/>
  <c r="I1792" i="6" s="1"/>
  <c r="G1830" i="6"/>
  <c r="H1830" i="6" s="1"/>
  <c r="I1830" i="6" s="1"/>
  <c r="G824" i="6"/>
  <c r="H824" i="6" s="1"/>
  <c r="I824" i="6" s="1"/>
  <c r="G1863" i="6"/>
  <c r="H1863" i="6" s="1"/>
  <c r="I1863" i="6" s="1"/>
  <c r="G848" i="6"/>
  <c r="H848" i="6" s="1"/>
  <c r="I848" i="6" s="1"/>
  <c r="G1893" i="6"/>
  <c r="H1893" i="6" s="1"/>
  <c r="I1893" i="6" s="1"/>
  <c r="G1927" i="6"/>
  <c r="H1927" i="6" s="1"/>
  <c r="I1927" i="6" s="1"/>
  <c r="G389" i="6"/>
  <c r="H389" i="6" s="1"/>
  <c r="I389" i="6" s="1"/>
  <c r="G854" i="6"/>
  <c r="H854" i="6" s="1"/>
  <c r="I854" i="6" s="1"/>
  <c r="G1362" i="6"/>
  <c r="H1362" i="6" s="1"/>
  <c r="I1362" i="6" s="1"/>
  <c r="G343" i="6"/>
  <c r="H343" i="6" s="1"/>
  <c r="I343" i="6" s="1"/>
  <c r="G330" i="6"/>
  <c r="H330" i="6" s="1"/>
  <c r="I330" i="6" s="1"/>
  <c r="G831" i="6"/>
  <c r="H831" i="6" s="1"/>
  <c r="I831" i="6" s="1"/>
  <c r="G1327" i="6"/>
  <c r="H1327" i="6" s="1"/>
  <c r="I1327" i="6" s="1"/>
  <c r="G1315" i="6"/>
  <c r="H1315" i="6" s="1"/>
  <c r="I1315" i="6" s="1"/>
  <c r="G314" i="6"/>
  <c r="H314" i="6" s="1"/>
  <c r="I314" i="6" s="1"/>
  <c r="G1299" i="6"/>
  <c r="H1299" i="6" s="1"/>
  <c r="I1299" i="6" s="1"/>
  <c r="G1800" i="6"/>
  <c r="H1800" i="6" s="1"/>
  <c r="I1800" i="6" s="1"/>
  <c r="G800" i="6"/>
  <c r="H800" i="6" s="1"/>
  <c r="I800" i="6" s="1"/>
  <c r="G1838" i="6"/>
  <c r="H1838" i="6" s="1"/>
  <c r="I1838" i="6" s="1"/>
  <c r="G853" i="6"/>
  <c r="H853" i="6" s="1"/>
  <c r="I853" i="6" s="1"/>
  <c r="G1901" i="6"/>
  <c r="H1901" i="6" s="1"/>
  <c r="I1901" i="6" s="1"/>
  <c r="G1437" i="6"/>
  <c r="H1437" i="6" s="1"/>
  <c r="I1437" i="6" s="1"/>
  <c r="G364" i="6"/>
  <c r="H364" i="6" s="1"/>
  <c r="I364" i="6" s="1"/>
  <c r="G1337" i="6"/>
  <c r="H1337" i="6" s="1"/>
  <c r="I1337" i="6" s="1"/>
  <c r="G354" i="6"/>
  <c r="H354" i="6" s="1"/>
  <c r="I354" i="6" s="1"/>
  <c r="G810" i="6"/>
  <c r="H810" i="6" s="1"/>
  <c r="I810" i="6" s="1"/>
  <c r="G1791" i="6"/>
  <c r="H1791" i="6" s="1"/>
  <c r="I1791" i="6" s="1"/>
  <c r="G1804" i="6"/>
  <c r="H1804" i="6" s="1"/>
  <c r="I1804" i="6" s="1"/>
  <c r="G836" i="6"/>
  <c r="H836" i="6" s="1"/>
  <c r="I836" i="6" s="1"/>
  <c r="G1449" i="6"/>
  <c r="H1449" i="6" s="1"/>
  <c r="I1449" i="6" s="1"/>
  <c r="G313" i="6"/>
  <c r="H313" i="6" s="1"/>
  <c r="I313" i="6" s="1"/>
  <c r="G798" i="6"/>
  <c r="H798" i="6" s="1"/>
  <c r="I798" i="6" s="1"/>
  <c r="G865" i="6"/>
  <c r="H865" i="6" s="1"/>
  <c r="I865" i="6" s="1"/>
  <c r="G935" i="6"/>
  <c r="H935" i="6" s="1"/>
  <c r="I935" i="6" s="1"/>
  <c r="G1890" i="6"/>
  <c r="H1890" i="6" s="1"/>
  <c r="I1890" i="6" s="1"/>
  <c r="G1879" i="6"/>
  <c r="H1879" i="6" s="1"/>
  <c r="I1879" i="6" s="1"/>
  <c r="G372" i="6"/>
  <c r="H372" i="6" s="1"/>
  <c r="I372" i="6" s="1"/>
  <c r="G1871" i="6"/>
  <c r="H1871" i="6" s="1"/>
  <c r="I1871" i="6" s="1"/>
  <c r="G1859" i="6"/>
  <c r="H1859" i="6" s="1"/>
  <c r="I1859" i="6" s="1"/>
  <c r="G341" i="6"/>
  <c r="H341" i="6" s="1"/>
  <c r="I341" i="6" s="1"/>
  <c r="G842" i="6"/>
  <c r="H842" i="6" s="1"/>
  <c r="I842" i="6" s="1"/>
  <c r="G813" i="6"/>
  <c r="H813" i="6" s="1"/>
  <c r="I813" i="6" s="1"/>
  <c r="G1323" i="6"/>
  <c r="H1323" i="6" s="1"/>
  <c r="I1323" i="6" s="1"/>
  <c r="G1311" i="6"/>
  <c r="H1311" i="6" s="1"/>
  <c r="I1311" i="6" s="1"/>
  <c r="G1836" i="6"/>
  <c r="H1836" i="6" s="1"/>
  <c r="I1836" i="6" s="1"/>
  <c r="G1822" i="6"/>
  <c r="H1822" i="6" s="1"/>
  <c r="I1822" i="6" s="1"/>
  <c r="G322" i="6"/>
  <c r="H322" i="6" s="1"/>
  <c r="I322" i="6" s="1"/>
  <c r="G1789" i="6"/>
  <c r="H1789" i="6" s="1"/>
  <c r="I1789" i="6" s="1"/>
  <c r="G333" i="6"/>
  <c r="H333" i="6" s="1"/>
  <c r="I333" i="6" s="1"/>
  <c r="G872" i="6"/>
  <c r="H872" i="6" s="1"/>
  <c r="I872" i="6" s="1"/>
  <c r="G1374" i="6"/>
  <c r="H1374" i="6" s="1"/>
  <c r="I1374" i="6" s="1"/>
  <c r="G947" i="6"/>
  <c r="H947" i="6" s="1"/>
  <c r="I947" i="6" s="1"/>
  <c r="G1357" i="6"/>
  <c r="H1357" i="6" s="1"/>
  <c r="I1357" i="6" s="1"/>
  <c r="G308" i="6"/>
  <c r="H308" i="6" s="1"/>
  <c r="I308" i="6" s="1"/>
  <c r="G363" i="6"/>
  <c r="H363" i="6" s="1"/>
  <c r="I363" i="6" s="1"/>
  <c r="G1386" i="6"/>
  <c r="H1386" i="6" s="1"/>
  <c r="I1386" i="6" s="1"/>
  <c r="G959" i="6"/>
  <c r="H959" i="6" s="1"/>
  <c r="I959" i="6" s="1"/>
  <c r="G309" i="6"/>
  <c r="H309" i="6" s="1"/>
  <c r="I309" i="6" s="1"/>
  <c r="G795" i="6"/>
  <c r="H795" i="6" s="1"/>
  <c r="I795" i="6" s="1"/>
  <c r="G1798" i="6"/>
  <c r="H1798" i="6" s="1"/>
  <c r="I1798" i="6" s="1"/>
  <c r="G312" i="6"/>
  <c r="H312" i="6" s="1"/>
  <c r="I312" i="6" s="1"/>
  <c r="G1310" i="6"/>
  <c r="H1310" i="6" s="1"/>
  <c r="I1310" i="6" s="1"/>
  <c r="G345" i="6"/>
  <c r="H345" i="6" s="1"/>
  <c r="I345" i="6" s="1"/>
  <c r="G1336" i="6"/>
  <c r="H1336" i="6" s="1"/>
  <c r="I1336" i="6" s="1"/>
  <c r="G375" i="6"/>
  <c r="H375" i="6" s="1"/>
  <c r="I375" i="6" s="1"/>
  <c r="G886" i="6"/>
  <c r="H886" i="6" s="1"/>
  <c r="I886" i="6" s="1"/>
  <c r="G1424" i="6"/>
  <c r="H1424" i="6" s="1"/>
  <c r="I1424" i="6" s="1"/>
  <c r="G460" i="6"/>
  <c r="H460" i="6" s="1"/>
  <c r="I460" i="6" s="1"/>
  <c r="G381" i="6"/>
  <c r="H381" i="6" s="1"/>
  <c r="I381" i="6" s="1"/>
  <c r="G847" i="6"/>
  <c r="H847" i="6" s="1"/>
  <c r="I847" i="6" s="1"/>
  <c r="G1868" i="6"/>
  <c r="H1868" i="6" s="1"/>
  <c r="I1868" i="6" s="1"/>
  <c r="G1844" i="6"/>
  <c r="H1844" i="6" s="1"/>
  <c r="I1844" i="6" s="1"/>
  <c r="G350" i="6"/>
  <c r="H350" i="6" s="1"/>
  <c r="I350" i="6" s="1"/>
  <c r="G338" i="6"/>
  <c r="H338" i="6" s="1"/>
  <c r="I338" i="6" s="1"/>
  <c r="G1333" i="6"/>
  <c r="H1333" i="6" s="1"/>
  <c r="I1333" i="6" s="1"/>
  <c r="G320" i="6"/>
  <c r="H320" i="6" s="1"/>
  <c r="I320" i="6" s="1"/>
  <c r="G1314" i="6"/>
  <c r="H1314" i="6" s="1"/>
  <c r="I1314" i="6" s="1"/>
  <c r="G383" i="6"/>
  <c r="H383" i="6" s="1"/>
  <c r="I383" i="6" s="1"/>
  <c r="G898" i="6"/>
  <c r="H898" i="6" s="1"/>
  <c r="I898" i="6" s="1"/>
  <c r="G472" i="6"/>
  <c r="H472" i="6" s="1"/>
  <c r="I472" i="6" s="1"/>
  <c r="G860" i="6"/>
  <c r="H860" i="6" s="1"/>
  <c r="I860" i="6" s="1"/>
  <c r="G861" i="6"/>
  <c r="H861" i="6" s="1"/>
  <c r="I861" i="6" s="1"/>
  <c r="G1944" i="6"/>
  <c r="H1944" i="6" s="1"/>
  <c r="I1944" i="6" s="1"/>
  <c r="G438" i="6"/>
  <c r="H438" i="6" s="1"/>
  <c r="I438" i="6" s="1"/>
  <c r="G1412" i="6"/>
  <c r="H1412" i="6" s="1"/>
  <c r="I1412" i="6" s="1"/>
  <c r="G1942" i="6"/>
  <c r="H1942" i="6" s="1"/>
  <c r="I1942" i="6" s="1"/>
  <c r="G444" i="6"/>
  <c r="H444" i="6" s="1"/>
  <c r="I444" i="6" s="1"/>
  <c r="G1400" i="6"/>
  <c r="H1400" i="6" s="1"/>
  <c r="I1400" i="6" s="1"/>
  <c r="G803" i="6"/>
  <c r="H803" i="6" s="1"/>
  <c r="I803" i="6" s="1"/>
  <c r="G804" i="6"/>
  <c r="H804" i="6" s="1"/>
  <c r="I804" i="6" s="1"/>
  <c r="G1425" i="6"/>
  <c r="H1425" i="6" s="1"/>
  <c r="I1425" i="6" s="1"/>
  <c r="G1409" i="6"/>
  <c r="H1409" i="6" s="1"/>
  <c r="I1409" i="6" s="1"/>
  <c r="G1814" i="6"/>
  <c r="H1814" i="6" s="1"/>
  <c r="I1814" i="6" s="1"/>
  <c r="G923" i="6"/>
  <c r="H923" i="6" s="1"/>
  <c r="I923" i="6" s="1"/>
  <c r="G1406" i="6"/>
  <c r="H1406" i="6" s="1"/>
  <c r="I1406" i="6" s="1"/>
  <c r="G1962" i="6"/>
  <c r="H1962" i="6" s="1"/>
  <c r="I1962" i="6" s="1"/>
  <c r="G914" i="6"/>
  <c r="H914" i="6" s="1"/>
  <c r="I914" i="6" s="1"/>
  <c r="G843" i="6"/>
  <c r="H843" i="6" s="1"/>
  <c r="I843" i="6" s="1"/>
  <c r="G424" i="6"/>
  <c r="H424" i="6" s="1"/>
  <c r="I424" i="6" s="1"/>
  <c r="G447" i="6"/>
  <c r="H447" i="6" s="1"/>
  <c r="I447" i="6" s="1"/>
  <c r="G432" i="6"/>
  <c r="H432" i="6" s="1"/>
  <c r="I432" i="6" s="1"/>
  <c r="G920" i="6"/>
  <c r="H920" i="6" s="1"/>
  <c r="I920" i="6" s="1"/>
  <c r="G1403" i="6"/>
  <c r="H1403" i="6" s="1"/>
  <c r="I1403" i="6" s="1"/>
  <c r="G1353" i="6"/>
  <c r="H1353" i="6" s="1"/>
  <c r="I1353" i="6" s="1"/>
  <c r="G1354" i="6"/>
  <c r="H1354" i="6" s="1"/>
  <c r="I1354" i="6" s="1"/>
  <c r="G305" i="6"/>
  <c r="H305" i="6" s="1"/>
  <c r="I305" i="6" s="1"/>
  <c r="G385" i="6"/>
  <c r="H385" i="6" s="1"/>
  <c r="I385" i="6" s="1"/>
  <c r="G361" i="6"/>
  <c r="H361" i="6" s="1"/>
  <c r="I361" i="6" s="1"/>
  <c r="G866" i="6"/>
  <c r="H866" i="6" s="1"/>
  <c r="I866" i="6" s="1"/>
  <c r="G1350" i="6"/>
  <c r="H1350" i="6" s="1"/>
  <c r="I1350" i="6" s="1"/>
  <c r="G302" i="6"/>
  <c r="H302" i="6" s="1"/>
  <c r="I302" i="6" s="1"/>
  <c r="G1340" i="6"/>
  <c r="H1340" i="6" s="1"/>
  <c r="I1340" i="6" s="1"/>
  <c r="G1894" i="6"/>
  <c r="H1894" i="6" s="1"/>
  <c r="I1894" i="6" s="1"/>
  <c r="G367" i="6"/>
  <c r="H367" i="6" s="1"/>
  <c r="I367" i="6" s="1"/>
  <c r="G857" i="6"/>
  <c r="H857" i="6" s="1"/>
  <c r="I857" i="6" s="1"/>
  <c r="G324" i="6"/>
  <c r="H324" i="6" s="1"/>
  <c r="I324" i="6" s="1"/>
  <c r="G863" i="6"/>
  <c r="H863" i="6" s="1"/>
  <c r="I863" i="6" s="1"/>
  <c r="G300" i="6"/>
  <c r="H300" i="6" s="1"/>
  <c r="I300" i="6" s="1"/>
  <c r="G1885" i="6"/>
  <c r="H1885" i="6" s="1"/>
  <c r="I1885" i="6" s="1"/>
  <c r="G846" i="6"/>
  <c r="H846" i="6" s="1"/>
  <c r="I846" i="6" s="1"/>
  <c r="G1949" i="6"/>
  <c r="H1949" i="6" s="1"/>
  <c r="I1949" i="6" s="1"/>
  <c r="G1948" i="6"/>
  <c r="H1948" i="6" s="1"/>
  <c r="I1948" i="6" s="1"/>
  <c r="G1458" i="6"/>
  <c r="H1458" i="6" s="1"/>
  <c r="I1458" i="6" s="1"/>
  <c r="G1435" i="6"/>
  <c r="H1435" i="6" s="1"/>
  <c r="I1435" i="6" s="1"/>
  <c r="G930" i="6"/>
  <c r="H930" i="6" s="1"/>
  <c r="I930" i="6" s="1"/>
  <c r="G929" i="6"/>
  <c r="H929" i="6" s="1"/>
  <c r="I929" i="6" s="1"/>
  <c r="G1404" i="6"/>
  <c r="H1404" i="6" s="1"/>
  <c r="I1404" i="6" s="1"/>
  <c r="G909" i="6"/>
  <c r="H909" i="6" s="1"/>
  <c r="I909" i="6" s="1"/>
  <c r="G431" i="6"/>
  <c r="H431" i="6" s="1"/>
  <c r="I431" i="6" s="1"/>
  <c r="G430" i="6"/>
  <c r="H430" i="6" s="1"/>
  <c r="I430" i="6" s="1"/>
  <c r="G1419" i="6"/>
  <c r="H1419" i="6" s="1"/>
  <c r="I1419" i="6" s="1"/>
  <c r="G1418" i="6"/>
  <c r="H1418" i="6" s="1"/>
  <c r="I1418" i="6" s="1"/>
  <c r="G1936" i="6"/>
  <c r="H1936" i="6" s="1"/>
  <c r="I1936" i="6" s="1"/>
  <c r="G1935" i="6"/>
  <c r="H1935" i="6" s="1"/>
  <c r="I1935" i="6" s="1"/>
  <c r="G1938" i="6"/>
  <c r="H1938" i="6" s="1"/>
  <c r="I1938" i="6" s="1"/>
  <c r="G907" i="6"/>
  <c r="H907" i="6" s="1"/>
  <c r="I907" i="6" s="1"/>
  <c r="G906" i="6"/>
  <c r="H906" i="6" s="1"/>
  <c r="I906" i="6" s="1"/>
  <c r="G1951" i="6"/>
  <c r="H1951" i="6" s="1"/>
  <c r="I1951" i="6" s="1"/>
  <c r="G932" i="6"/>
  <c r="H932" i="6" s="1"/>
  <c r="I932" i="6" s="1"/>
  <c r="G1945" i="6"/>
  <c r="H1945" i="6" s="1"/>
  <c r="I1945" i="6" s="1"/>
  <c r="G427" i="6"/>
  <c r="H427" i="6" s="1"/>
  <c r="I427" i="6" s="1"/>
  <c r="G903" i="6"/>
  <c r="H903" i="6" s="1"/>
  <c r="I903" i="6" s="1"/>
  <c r="G1401" i="6"/>
  <c r="H1401" i="6" s="1"/>
  <c r="I1401" i="6" s="1"/>
  <c r="G1957" i="6"/>
  <c r="H1957" i="6" s="1"/>
  <c r="I1957" i="6" s="1"/>
  <c r="G439" i="6"/>
  <c r="H439" i="6" s="1"/>
  <c r="I439" i="6" s="1"/>
  <c r="G915" i="6"/>
  <c r="H915" i="6" s="1"/>
  <c r="I915" i="6" s="1"/>
  <c r="G1407" i="6"/>
  <c r="H1407" i="6" s="1"/>
  <c r="I1407" i="6" s="1"/>
  <c r="G1963" i="6"/>
  <c r="H1963" i="6" s="1"/>
  <c r="I1963" i="6" s="1"/>
  <c r="G445" i="6"/>
  <c r="H445" i="6" s="1"/>
  <c r="I445" i="6" s="1"/>
  <c r="G921" i="6"/>
  <c r="H921" i="6" s="1"/>
  <c r="I921" i="6" s="1"/>
  <c r="G1410" i="6"/>
  <c r="H1410" i="6" s="1"/>
  <c r="I1410" i="6" s="1"/>
  <c r="G1917" i="6"/>
  <c r="H1917" i="6" s="1"/>
  <c r="I1917" i="6" s="1"/>
  <c r="G1916" i="6"/>
  <c r="H1916" i="6" s="1"/>
  <c r="I1916" i="6" s="1"/>
  <c r="G1929" i="6"/>
  <c r="H1929" i="6" s="1"/>
  <c r="I1929" i="6" s="1"/>
  <c r="G1928" i="6"/>
  <c r="H1928" i="6" s="1"/>
  <c r="I1928" i="6" s="1"/>
  <c r="G893" i="6"/>
  <c r="H893" i="6" s="1"/>
  <c r="I893" i="6" s="1"/>
  <c r="G887" i="6"/>
  <c r="H887" i="6" s="1"/>
  <c r="I887" i="6" s="1"/>
  <c r="G881" i="6"/>
  <c r="H881" i="6" s="1"/>
  <c r="I881" i="6" s="1"/>
  <c r="G875" i="6"/>
  <c r="H875" i="6" s="1"/>
  <c r="I875" i="6" s="1"/>
  <c r="G1393" i="6"/>
  <c r="H1393" i="6" s="1"/>
  <c r="I1393" i="6" s="1"/>
  <c r="G1387" i="6"/>
  <c r="H1387" i="6" s="1"/>
  <c r="I1387" i="6" s="1"/>
  <c r="G1381" i="6"/>
  <c r="H1381" i="6" s="1"/>
  <c r="I1381" i="6" s="1"/>
  <c r="G1375" i="6"/>
  <c r="H1375" i="6" s="1"/>
  <c r="I1375" i="6" s="1"/>
  <c r="G1369" i="6"/>
  <c r="H1369" i="6" s="1"/>
  <c r="I1369" i="6" s="1"/>
  <c r="G890" i="6"/>
  <c r="H890" i="6" s="1"/>
  <c r="I890" i="6" s="1"/>
  <c r="G884" i="6"/>
  <c r="H884" i="6" s="1"/>
  <c r="I884" i="6" s="1"/>
  <c r="G878" i="6"/>
  <c r="H878" i="6" s="1"/>
  <c r="I878" i="6" s="1"/>
  <c r="G1396" i="6"/>
  <c r="H1396" i="6" s="1"/>
  <c r="I1396" i="6" s="1"/>
  <c r="G1390" i="6"/>
  <c r="H1390" i="6" s="1"/>
  <c r="I1390" i="6" s="1"/>
  <c r="G1384" i="6"/>
  <c r="H1384" i="6" s="1"/>
  <c r="I1384" i="6" s="1"/>
  <c r="G1378" i="6"/>
  <c r="H1378" i="6" s="1"/>
  <c r="I1378" i="6" s="1"/>
  <c r="G1372" i="6"/>
  <c r="H1372" i="6" s="1"/>
  <c r="I1372" i="6" s="1"/>
  <c r="G1366" i="6"/>
  <c r="H1366" i="6" s="1"/>
  <c r="I1366" i="6" s="1"/>
  <c r="G850" i="6"/>
  <c r="H850" i="6" s="1"/>
  <c r="I850" i="6" s="1"/>
  <c r="G849" i="6"/>
  <c r="H849" i="6" s="1"/>
  <c r="I849" i="6" s="1"/>
  <c r="G869" i="6"/>
  <c r="H869" i="6" s="1"/>
  <c r="I869" i="6" s="1"/>
  <c r="G870" i="6"/>
  <c r="H870" i="6" s="1"/>
  <c r="I870" i="6" s="1"/>
  <c r="G1857" i="6"/>
  <c r="H1857" i="6" s="1"/>
  <c r="I1857" i="6" s="1"/>
  <c r="G1856" i="6"/>
  <c r="H1856" i="6" s="1"/>
  <c r="I1856" i="6" s="1"/>
  <c r="G357" i="6"/>
  <c r="H357" i="6" s="1"/>
  <c r="I357" i="6" s="1"/>
  <c r="G356" i="6"/>
  <c r="H356" i="6" s="1"/>
  <c r="I356" i="6" s="1"/>
  <c r="G359" i="6"/>
  <c r="H359" i="6" s="1"/>
  <c r="I359" i="6" s="1"/>
  <c r="G1360" i="6"/>
  <c r="H1360" i="6" s="1"/>
  <c r="I1360" i="6" s="1"/>
  <c r="G852" i="6"/>
  <c r="H852" i="6" s="1"/>
  <c r="I852" i="6" s="1"/>
  <c r="G1338" i="6"/>
  <c r="H1338" i="6" s="1"/>
  <c r="I1338" i="6" s="1"/>
  <c r="G1895" i="6"/>
  <c r="H1895" i="6" s="1"/>
  <c r="I1895" i="6" s="1"/>
  <c r="G1886" i="6"/>
  <c r="H1886" i="6" s="1"/>
  <c r="I1886" i="6" s="1"/>
  <c r="G1877" i="6"/>
  <c r="H1877" i="6" s="1"/>
  <c r="I1877" i="6" s="1"/>
  <c r="G386" i="6"/>
  <c r="H386" i="6" s="1"/>
  <c r="I386" i="6" s="1"/>
  <c r="G377" i="6"/>
  <c r="H377" i="6" s="1"/>
  <c r="I377" i="6" s="1"/>
  <c r="G362" i="6"/>
  <c r="H362" i="6" s="1"/>
  <c r="I362" i="6" s="1"/>
  <c r="G1363" i="6"/>
  <c r="H1363" i="6" s="1"/>
  <c r="I1363" i="6" s="1"/>
  <c r="G855" i="6"/>
  <c r="H855" i="6" s="1"/>
  <c r="I855" i="6" s="1"/>
  <c r="G1866" i="6"/>
  <c r="H1866" i="6" s="1"/>
  <c r="I1866" i="6" s="1"/>
  <c r="G1865" i="6"/>
  <c r="H1865" i="6" s="1"/>
  <c r="I1865" i="6" s="1"/>
  <c r="G1848" i="6"/>
  <c r="H1848" i="6" s="1"/>
  <c r="I1848" i="6" s="1"/>
  <c r="G1847" i="6"/>
  <c r="H1847" i="6" s="1"/>
  <c r="I1847" i="6" s="1"/>
  <c r="G340" i="6"/>
  <c r="H340" i="6" s="1"/>
  <c r="I340" i="6" s="1"/>
  <c r="G1867" i="6"/>
  <c r="H1867" i="6" s="1"/>
  <c r="I1867" i="6" s="1"/>
  <c r="G1858" i="6"/>
  <c r="H1858" i="6" s="1"/>
  <c r="I1858" i="6" s="1"/>
  <c r="G1849" i="6"/>
  <c r="H1849" i="6" s="1"/>
  <c r="I1849" i="6" s="1"/>
  <c r="G358" i="6"/>
  <c r="H358" i="6" s="1"/>
  <c r="I358" i="6" s="1"/>
  <c r="G349" i="6"/>
  <c r="H349" i="6" s="1"/>
  <c r="I349" i="6" s="1"/>
  <c r="G329" i="6"/>
  <c r="H329" i="6" s="1"/>
  <c r="I329" i="6" s="1"/>
  <c r="G838" i="6"/>
  <c r="H838" i="6" s="1"/>
  <c r="I838" i="6" s="1"/>
  <c r="G832" i="6"/>
  <c r="H832" i="6" s="1"/>
  <c r="I832" i="6" s="1"/>
  <c r="G826" i="6"/>
  <c r="H826" i="6" s="1"/>
  <c r="I826" i="6" s="1"/>
  <c r="G820" i="6"/>
  <c r="H820" i="6" s="1"/>
  <c r="I820" i="6" s="1"/>
  <c r="G814" i="6"/>
  <c r="H814" i="6" s="1"/>
  <c r="I814" i="6" s="1"/>
  <c r="G812" i="6"/>
  <c r="H812" i="6" s="1"/>
  <c r="I812" i="6" s="1"/>
  <c r="G347" i="6"/>
  <c r="H347" i="6" s="1"/>
  <c r="I347" i="6" s="1"/>
  <c r="G337" i="6"/>
  <c r="H337" i="6" s="1"/>
  <c r="I337" i="6" s="1"/>
  <c r="G332" i="6"/>
  <c r="H332" i="6" s="1"/>
  <c r="I332" i="6" s="1"/>
  <c r="G841" i="6"/>
  <c r="H841" i="6" s="1"/>
  <c r="I841" i="6" s="1"/>
  <c r="G835" i="6"/>
  <c r="H835" i="6" s="1"/>
  <c r="I835" i="6" s="1"/>
  <c r="G829" i="6"/>
  <c r="H829" i="6" s="1"/>
  <c r="I829" i="6" s="1"/>
  <c r="G823" i="6"/>
  <c r="H823" i="6" s="1"/>
  <c r="I823" i="6" s="1"/>
  <c r="G817" i="6"/>
  <c r="H817" i="6" s="1"/>
  <c r="I817" i="6" s="1"/>
  <c r="G331" i="6"/>
  <c r="H331" i="6" s="1"/>
  <c r="I331" i="6" s="1"/>
  <c r="G840" i="6"/>
  <c r="H840" i="6" s="1"/>
  <c r="I840" i="6" s="1"/>
  <c r="G834" i="6"/>
  <c r="H834" i="6" s="1"/>
  <c r="I834" i="6" s="1"/>
  <c r="G828" i="6"/>
  <c r="H828" i="6" s="1"/>
  <c r="I828" i="6" s="1"/>
  <c r="G822" i="6"/>
  <c r="H822" i="6" s="1"/>
  <c r="I822" i="6" s="1"/>
  <c r="G1869" i="6"/>
  <c r="H1869" i="6" s="1"/>
  <c r="I1869" i="6" s="1"/>
  <c r="G311" i="6"/>
  <c r="H311" i="6" s="1"/>
  <c r="I311" i="6" s="1"/>
  <c r="G1824" i="6"/>
  <c r="H1824" i="6" s="1"/>
  <c r="I1824" i="6" s="1"/>
  <c r="G1823" i="6"/>
  <c r="H1823" i="6" s="1"/>
  <c r="I1823" i="6" s="1"/>
  <c r="G1298" i="6"/>
  <c r="H1298" i="6" s="1"/>
  <c r="I1298" i="6" s="1"/>
  <c r="G1297" i="6"/>
  <c r="H1297" i="6" s="1"/>
  <c r="I1297" i="6" s="1"/>
  <c r="G808" i="6"/>
  <c r="H808" i="6" s="1"/>
  <c r="I808" i="6" s="1"/>
  <c r="G807" i="6"/>
  <c r="H807" i="6" s="1"/>
  <c r="I807" i="6" s="1"/>
  <c r="G792" i="6"/>
  <c r="H792" i="6" s="1"/>
  <c r="I792" i="6" s="1"/>
  <c r="G791" i="6"/>
  <c r="H791" i="6" s="1"/>
  <c r="I791" i="6" s="1"/>
  <c r="G325" i="6"/>
  <c r="H325" i="6" s="1"/>
  <c r="I325" i="6" s="1"/>
  <c r="G797" i="6"/>
  <c r="H797" i="6" s="1"/>
  <c r="I797" i="6" s="1"/>
  <c r="G786" i="6"/>
  <c r="H786" i="6" s="1"/>
  <c r="I786" i="6" s="1"/>
  <c r="G785" i="6"/>
  <c r="H785" i="6" s="1"/>
  <c r="I785" i="6" s="1"/>
  <c r="G1833" i="6"/>
  <c r="H1833" i="6" s="1"/>
  <c r="I1833" i="6" s="1"/>
  <c r="G1292" i="6"/>
  <c r="H1292" i="6" s="1"/>
  <c r="I1292" i="6" s="1"/>
  <c r="G1291" i="6"/>
  <c r="H1291" i="6" s="1"/>
  <c r="I1291" i="6" s="1"/>
  <c r="G1277" i="6"/>
  <c r="H1277" i="6" s="1"/>
  <c r="I1277" i="6" s="1"/>
  <c r="G1276" i="6"/>
  <c r="H1276" i="6" s="1"/>
  <c r="I1276" i="6" s="1"/>
  <c r="G1283" i="6"/>
  <c r="H1283" i="6" s="1"/>
  <c r="I1283" i="6" s="1"/>
  <c r="G1282" i="6"/>
  <c r="H1282" i="6" s="1"/>
  <c r="I1282" i="6" s="1"/>
  <c r="G1303" i="6"/>
  <c r="H1303" i="6" s="1"/>
  <c r="I1303" i="6" s="1"/>
  <c r="G1274" i="6"/>
  <c r="H1274" i="6" s="1"/>
  <c r="I1274" i="6" s="1"/>
  <c r="G1289" i="6"/>
  <c r="H1289" i="6" s="1"/>
  <c r="I1289" i="6" s="1"/>
  <c r="G1288" i="6"/>
  <c r="H1288" i="6" s="1"/>
  <c r="I1288" i="6" s="1"/>
  <c r="G1815" i="6"/>
  <c r="H1815" i="6" s="1"/>
  <c r="I1815" i="6" s="1"/>
  <c r="G789" i="6"/>
  <c r="H789" i="6" s="1"/>
  <c r="I789" i="6" s="1"/>
  <c r="G788" i="6"/>
  <c r="H788" i="6" s="1"/>
  <c r="I788" i="6" s="1"/>
  <c r="G1818" i="6"/>
  <c r="H1818" i="6" s="1"/>
  <c r="I1818" i="6" s="1"/>
  <c r="G1295" i="6"/>
  <c r="H1295" i="6" s="1"/>
  <c r="I1295" i="6" s="1"/>
  <c r="G1294" i="6"/>
  <c r="H1294" i="6" s="1"/>
  <c r="I1294" i="6" s="1"/>
  <c r="G303" i="6"/>
  <c r="H303" i="6" s="1"/>
  <c r="I303" i="6" s="1"/>
  <c r="G1280" i="6"/>
  <c r="H1280" i="6" s="1"/>
  <c r="I1280" i="6" s="1"/>
  <c r="G1279" i="6"/>
  <c r="H1279" i="6" s="1"/>
  <c r="I1279" i="6" s="1"/>
  <c r="G1301" i="6"/>
  <c r="H1301" i="6" s="1"/>
  <c r="I1301" i="6" s="1"/>
  <c r="G1300" i="6"/>
  <c r="H1300" i="6" s="1"/>
  <c r="I1300" i="6" s="1"/>
  <c r="G1286" i="6"/>
  <c r="H1286" i="6" s="1"/>
  <c r="I1286" i="6" s="1"/>
  <c r="G1285" i="6"/>
  <c r="H1285" i="6" s="1"/>
  <c r="I1285" i="6" s="1"/>
  <c r="G1783" i="6"/>
  <c r="H1783" i="6" s="1"/>
  <c r="I1783" i="6" s="1"/>
  <c r="L14" i="7"/>
  <c r="K14" i="7"/>
  <c r="J28" i="7"/>
  <c r="Z2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P123" i="7" s="1"/>
  <c r="O5" i="7"/>
  <c r="O6" i="7"/>
  <c r="O7" i="7"/>
  <c r="O8" i="7"/>
  <c r="O9" i="7"/>
  <c r="O10" i="7"/>
  <c r="O11" i="7"/>
  <c r="O12" i="7"/>
  <c r="O13" i="7"/>
  <c r="O14" i="7"/>
  <c r="O15" i="7"/>
  <c r="O4" i="7"/>
  <c r="T18" i="7"/>
  <c r="T20" i="7"/>
  <c r="G13" i="7"/>
  <c r="M4" i="2"/>
  <c r="T21" i="7" l="1"/>
  <c r="T22" i="7" l="1"/>
  <c r="T23" i="7" l="1"/>
  <c r="K18" i="6"/>
  <c r="K17" i="6"/>
  <c r="K16" i="6"/>
  <c r="K15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G1273" i="6" s="1"/>
  <c r="H1273" i="6" s="1"/>
  <c r="I1273" i="6" s="1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G783" i="6" s="1"/>
  <c r="H783" i="6" s="1"/>
  <c r="I783" i="6" s="1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G297" i="6" s="1"/>
  <c r="H297" i="6" s="1"/>
  <c r="I297" i="6" s="1"/>
  <c r="F1779" i="6"/>
  <c r="F1780" i="6"/>
  <c r="F1781" i="6"/>
  <c r="G1782" i="6" s="1"/>
  <c r="H1782" i="6" s="1"/>
  <c r="I1782" i="6" s="1"/>
  <c r="T24" i="7" l="1"/>
  <c r="T25" i="7" s="1"/>
  <c r="T26" i="7" s="1"/>
  <c r="T27" i="7" s="1"/>
  <c r="O17" i="6"/>
  <c r="O15" i="6"/>
  <c r="O16" i="6"/>
  <c r="O18" i="6"/>
  <c r="G978" i="6"/>
  <c r="H978" i="6" s="1"/>
  <c r="I978" i="6" s="1"/>
  <c r="G483" i="6"/>
  <c r="H483" i="6" s="1"/>
  <c r="I483" i="6" s="1"/>
  <c r="G4" i="6"/>
  <c r="H4" i="6" s="1"/>
  <c r="I4" i="6" s="1"/>
  <c r="G20" i="6"/>
  <c r="H20" i="6" s="1"/>
  <c r="I20" i="6" s="1"/>
  <c r="G1491" i="6"/>
  <c r="H1491" i="6" s="1"/>
  <c r="I1491" i="6" s="1"/>
  <c r="G1507" i="6"/>
  <c r="H1507" i="6" s="1"/>
  <c r="I1507" i="6" s="1"/>
  <c r="G1011" i="6"/>
  <c r="H1011" i="6" s="1"/>
  <c r="I1011" i="6" s="1"/>
  <c r="G515" i="6"/>
  <c r="H515" i="6" s="1"/>
  <c r="I515" i="6" s="1"/>
  <c r="G531" i="6"/>
  <c r="H531" i="6" s="1"/>
  <c r="I531" i="6" s="1"/>
  <c r="G37" i="6"/>
  <c r="H37" i="6" s="1"/>
  <c r="I37" i="6" s="1"/>
  <c r="A9" i="5"/>
  <c r="B8" i="5"/>
  <c r="D10" i="2"/>
  <c r="C3655" i="2"/>
  <c r="C3656" i="2"/>
  <c r="C3651" i="2"/>
  <c r="C3652" i="2"/>
  <c r="C3653" i="2"/>
  <c r="C3654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E9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C10" i="2"/>
  <c r="C11" i="2"/>
  <c r="C12" i="2"/>
  <c r="C13" i="2"/>
  <c r="C14" i="2"/>
  <c r="C15" i="2"/>
  <c r="C16" i="2"/>
  <c r="C17" i="2"/>
  <c r="C18" i="2"/>
  <c r="C8" i="2"/>
  <c r="C7" i="2"/>
  <c r="T28" i="7" l="1"/>
  <c r="T29" i="7" s="1"/>
  <c r="G995" i="6"/>
  <c r="H995" i="6" s="1"/>
  <c r="I995" i="6" s="1"/>
  <c r="G499" i="6"/>
  <c r="H499" i="6" s="1"/>
  <c r="I499" i="6" s="1"/>
  <c r="G1780" i="6"/>
  <c r="H1780" i="6" s="1"/>
  <c r="I1780" i="6" s="1"/>
  <c r="G294" i="6"/>
  <c r="H294" i="6" s="1"/>
  <c r="I294" i="6" s="1"/>
  <c r="G290" i="6"/>
  <c r="H290" i="6" s="1"/>
  <c r="I290" i="6" s="1"/>
  <c r="G286" i="6"/>
  <c r="H286" i="6" s="1"/>
  <c r="I286" i="6" s="1"/>
  <c r="G282" i="6"/>
  <c r="H282" i="6" s="1"/>
  <c r="I282" i="6" s="1"/>
  <c r="G278" i="6"/>
  <c r="H278" i="6" s="1"/>
  <c r="I278" i="6" s="1"/>
  <c r="G274" i="6"/>
  <c r="H274" i="6" s="1"/>
  <c r="I274" i="6" s="1"/>
  <c r="G270" i="6"/>
  <c r="H270" i="6" s="1"/>
  <c r="I270" i="6" s="1"/>
  <c r="G780" i="6"/>
  <c r="H780" i="6" s="1"/>
  <c r="I780" i="6" s="1"/>
  <c r="G776" i="6"/>
  <c r="H776" i="6" s="1"/>
  <c r="I776" i="6" s="1"/>
  <c r="G772" i="6"/>
  <c r="H772" i="6" s="1"/>
  <c r="I772" i="6" s="1"/>
  <c r="G768" i="6"/>
  <c r="H768" i="6" s="1"/>
  <c r="I768" i="6" s="1"/>
  <c r="G764" i="6"/>
  <c r="H764" i="6" s="1"/>
  <c r="I764" i="6" s="1"/>
  <c r="G760" i="6"/>
  <c r="H760" i="6" s="1"/>
  <c r="I760" i="6" s="1"/>
  <c r="G756" i="6"/>
  <c r="H756" i="6" s="1"/>
  <c r="I756" i="6" s="1"/>
  <c r="G1272" i="6"/>
  <c r="H1272" i="6" s="1"/>
  <c r="I1272" i="6" s="1"/>
  <c r="G1268" i="6"/>
  <c r="H1268" i="6" s="1"/>
  <c r="I1268" i="6" s="1"/>
  <c r="G1264" i="6"/>
  <c r="H1264" i="6" s="1"/>
  <c r="I1264" i="6" s="1"/>
  <c r="G1260" i="6"/>
  <c r="H1260" i="6" s="1"/>
  <c r="I1260" i="6" s="1"/>
  <c r="G1256" i="6"/>
  <c r="H1256" i="6" s="1"/>
  <c r="I1256" i="6" s="1"/>
  <c r="G1252" i="6"/>
  <c r="H1252" i="6" s="1"/>
  <c r="I1252" i="6" s="1"/>
  <c r="G1248" i="6"/>
  <c r="H1248" i="6" s="1"/>
  <c r="I1248" i="6" s="1"/>
  <c r="G1244" i="6"/>
  <c r="H1244" i="6" s="1"/>
  <c r="I1244" i="6" s="1"/>
  <c r="G1776" i="6"/>
  <c r="H1776" i="6" s="1"/>
  <c r="I1776" i="6" s="1"/>
  <c r="G1772" i="6"/>
  <c r="H1772" i="6" s="1"/>
  <c r="I1772" i="6" s="1"/>
  <c r="G1768" i="6"/>
  <c r="H1768" i="6" s="1"/>
  <c r="I1768" i="6" s="1"/>
  <c r="G1764" i="6"/>
  <c r="H1764" i="6" s="1"/>
  <c r="I1764" i="6" s="1"/>
  <c r="G1760" i="6"/>
  <c r="H1760" i="6" s="1"/>
  <c r="I1760" i="6" s="1"/>
  <c r="G1756" i="6"/>
  <c r="H1756" i="6" s="1"/>
  <c r="I1756" i="6" s="1"/>
  <c r="G1752" i="6"/>
  <c r="H1752" i="6" s="1"/>
  <c r="I1752" i="6" s="1"/>
  <c r="G1748" i="6"/>
  <c r="H1748" i="6" s="1"/>
  <c r="I1748" i="6" s="1"/>
  <c r="G267" i="6"/>
  <c r="H267" i="6" s="1"/>
  <c r="I267" i="6" s="1"/>
  <c r="G263" i="6"/>
  <c r="H263" i="6" s="1"/>
  <c r="I263" i="6" s="1"/>
  <c r="G259" i="6"/>
  <c r="H259" i="6" s="1"/>
  <c r="I259" i="6" s="1"/>
  <c r="G255" i="6"/>
  <c r="H255" i="6" s="1"/>
  <c r="I255" i="6" s="1"/>
  <c r="G251" i="6"/>
  <c r="H251" i="6" s="1"/>
  <c r="I251" i="6" s="1"/>
  <c r="G247" i="6"/>
  <c r="H247" i="6" s="1"/>
  <c r="I247" i="6" s="1"/>
  <c r="G243" i="6"/>
  <c r="H243" i="6" s="1"/>
  <c r="I243" i="6" s="1"/>
  <c r="G752" i="6"/>
  <c r="H752" i="6" s="1"/>
  <c r="I752" i="6" s="1"/>
  <c r="G748" i="6"/>
  <c r="H748" i="6" s="1"/>
  <c r="I748" i="6" s="1"/>
  <c r="G744" i="6"/>
  <c r="H744" i="6" s="1"/>
  <c r="I744" i="6" s="1"/>
  <c r="G740" i="6"/>
  <c r="H740" i="6" s="1"/>
  <c r="I740" i="6" s="1"/>
  <c r="G736" i="6"/>
  <c r="H736" i="6" s="1"/>
  <c r="I736" i="6" s="1"/>
  <c r="G732" i="6"/>
  <c r="H732" i="6" s="1"/>
  <c r="I732" i="6" s="1"/>
  <c r="G728" i="6"/>
  <c r="H728" i="6" s="1"/>
  <c r="I728" i="6" s="1"/>
  <c r="G724" i="6"/>
  <c r="H724" i="6" s="1"/>
  <c r="I724" i="6" s="1"/>
  <c r="G1239" i="6"/>
  <c r="H1239" i="6" s="1"/>
  <c r="I1239" i="6" s="1"/>
  <c r="G1235" i="6"/>
  <c r="H1235" i="6" s="1"/>
  <c r="I1235" i="6" s="1"/>
  <c r="G1231" i="6"/>
  <c r="H1231" i="6" s="1"/>
  <c r="I1231" i="6" s="1"/>
  <c r="G1227" i="6"/>
  <c r="H1227" i="6" s="1"/>
  <c r="I1227" i="6" s="1"/>
  <c r="G1223" i="6"/>
  <c r="H1223" i="6" s="1"/>
  <c r="I1223" i="6" s="1"/>
  <c r="G1219" i="6"/>
  <c r="H1219" i="6" s="1"/>
  <c r="I1219" i="6" s="1"/>
  <c r="G1215" i="6"/>
  <c r="H1215" i="6" s="1"/>
  <c r="I1215" i="6" s="1"/>
  <c r="G1211" i="6"/>
  <c r="H1211" i="6" s="1"/>
  <c r="I1211" i="6" s="1"/>
  <c r="G1744" i="6"/>
  <c r="H1744" i="6" s="1"/>
  <c r="I1744" i="6" s="1"/>
  <c r="G1740" i="6"/>
  <c r="H1740" i="6" s="1"/>
  <c r="I1740" i="6" s="1"/>
  <c r="G1736" i="6"/>
  <c r="H1736" i="6" s="1"/>
  <c r="I1736" i="6" s="1"/>
  <c r="G1732" i="6"/>
  <c r="H1732" i="6" s="1"/>
  <c r="I1732" i="6" s="1"/>
  <c r="G1728" i="6"/>
  <c r="H1728" i="6" s="1"/>
  <c r="I1728" i="6" s="1"/>
  <c r="G1724" i="6"/>
  <c r="H1724" i="6" s="1"/>
  <c r="I1724" i="6" s="1"/>
  <c r="G1720" i="6"/>
  <c r="H1720" i="6" s="1"/>
  <c r="I1720" i="6" s="1"/>
  <c r="G1716" i="6"/>
  <c r="H1716" i="6" s="1"/>
  <c r="I1716" i="6" s="1"/>
  <c r="G239" i="6"/>
  <c r="H239" i="6" s="1"/>
  <c r="I239" i="6" s="1"/>
  <c r="G235" i="6"/>
  <c r="H235" i="6" s="1"/>
  <c r="I235" i="6" s="1"/>
  <c r="G231" i="6"/>
  <c r="H231" i="6" s="1"/>
  <c r="I231" i="6" s="1"/>
  <c r="G227" i="6"/>
  <c r="H227" i="6" s="1"/>
  <c r="I227" i="6" s="1"/>
  <c r="G223" i="6"/>
  <c r="H223" i="6" s="1"/>
  <c r="I223" i="6" s="1"/>
  <c r="G219" i="6"/>
  <c r="H219" i="6" s="1"/>
  <c r="I219" i="6" s="1"/>
  <c r="G215" i="6"/>
  <c r="H215" i="6" s="1"/>
  <c r="I215" i="6" s="1"/>
  <c r="G211" i="6"/>
  <c r="H211" i="6" s="1"/>
  <c r="I211" i="6" s="1"/>
  <c r="G719" i="6"/>
  <c r="H719" i="6" s="1"/>
  <c r="I719" i="6" s="1"/>
  <c r="G715" i="6"/>
  <c r="H715" i="6" s="1"/>
  <c r="I715" i="6" s="1"/>
  <c r="G711" i="6"/>
  <c r="H711" i="6" s="1"/>
  <c r="I711" i="6" s="1"/>
  <c r="G707" i="6"/>
  <c r="H707" i="6" s="1"/>
  <c r="I707" i="6" s="1"/>
  <c r="G703" i="6"/>
  <c r="H703" i="6" s="1"/>
  <c r="I703" i="6" s="1"/>
  <c r="G699" i="6"/>
  <c r="H699" i="6" s="1"/>
  <c r="I699" i="6" s="1"/>
  <c r="G695" i="6"/>
  <c r="H695" i="6" s="1"/>
  <c r="I695" i="6" s="1"/>
  <c r="G1209" i="6"/>
  <c r="H1209" i="6" s="1"/>
  <c r="I1209" i="6" s="1"/>
  <c r="G1205" i="6"/>
  <c r="H1205" i="6" s="1"/>
  <c r="I1205" i="6" s="1"/>
  <c r="G1201" i="6"/>
  <c r="H1201" i="6" s="1"/>
  <c r="I1201" i="6" s="1"/>
  <c r="G1197" i="6"/>
  <c r="H1197" i="6" s="1"/>
  <c r="I1197" i="6" s="1"/>
  <c r="G1193" i="6"/>
  <c r="H1193" i="6" s="1"/>
  <c r="I1193" i="6" s="1"/>
  <c r="G1189" i="6"/>
  <c r="H1189" i="6" s="1"/>
  <c r="I1189" i="6" s="1"/>
  <c r="G1185" i="6"/>
  <c r="H1185" i="6" s="1"/>
  <c r="I1185" i="6" s="1"/>
  <c r="G1181" i="6"/>
  <c r="H1181" i="6" s="1"/>
  <c r="I1181" i="6" s="1"/>
  <c r="G1712" i="6"/>
  <c r="H1712" i="6" s="1"/>
  <c r="I1712" i="6" s="1"/>
  <c r="G1708" i="6"/>
  <c r="H1708" i="6" s="1"/>
  <c r="I1708" i="6" s="1"/>
  <c r="G1704" i="6"/>
  <c r="H1704" i="6" s="1"/>
  <c r="I1704" i="6" s="1"/>
  <c r="G1700" i="6"/>
  <c r="H1700" i="6" s="1"/>
  <c r="I1700" i="6" s="1"/>
  <c r="G1696" i="6"/>
  <c r="H1696" i="6" s="1"/>
  <c r="I1696" i="6" s="1"/>
  <c r="G1692" i="6"/>
  <c r="H1692" i="6" s="1"/>
  <c r="I1692" i="6" s="1"/>
  <c r="G1688" i="6"/>
  <c r="H1688" i="6" s="1"/>
  <c r="I1688" i="6" s="1"/>
  <c r="G1684" i="6"/>
  <c r="H1684" i="6" s="1"/>
  <c r="I1684" i="6" s="1"/>
  <c r="G1680" i="6"/>
  <c r="H1680" i="6" s="1"/>
  <c r="I1680" i="6" s="1"/>
  <c r="G207" i="6"/>
  <c r="H207" i="6" s="1"/>
  <c r="I207" i="6" s="1"/>
  <c r="G203" i="6"/>
  <c r="H203" i="6" s="1"/>
  <c r="I203" i="6" s="1"/>
  <c r="G199" i="6"/>
  <c r="H199" i="6" s="1"/>
  <c r="I199" i="6" s="1"/>
  <c r="G195" i="6"/>
  <c r="H195" i="6" s="1"/>
  <c r="I195" i="6" s="1"/>
  <c r="G191" i="6"/>
  <c r="H191" i="6" s="1"/>
  <c r="I191" i="6" s="1"/>
  <c r="G187" i="6"/>
  <c r="H187" i="6" s="1"/>
  <c r="I187" i="6" s="1"/>
  <c r="G183" i="6"/>
  <c r="H183" i="6" s="1"/>
  <c r="I183" i="6" s="1"/>
  <c r="G690" i="6"/>
  <c r="H690" i="6" s="1"/>
  <c r="I690" i="6" s="1"/>
  <c r="G686" i="6"/>
  <c r="H686" i="6" s="1"/>
  <c r="I686" i="6" s="1"/>
  <c r="G682" i="6"/>
  <c r="H682" i="6" s="1"/>
  <c r="I682" i="6" s="1"/>
  <c r="G678" i="6"/>
  <c r="H678" i="6" s="1"/>
  <c r="I678" i="6" s="1"/>
  <c r="G674" i="6"/>
  <c r="H674" i="6" s="1"/>
  <c r="I674" i="6" s="1"/>
  <c r="G670" i="6"/>
  <c r="H670" i="6" s="1"/>
  <c r="I670" i="6" s="1"/>
  <c r="G666" i="6"/>
  <c r="H666" i="6" s="1"/>
  <c r="I666" i="6" s="1"/>
  <c r="G1179" i="6"/>
  <c r="H1179" i="6" s="1"/>
  <c r="I1179" i="6" s="1"/>
  <c r="G1175" i="6"/>
  <c r="H1175" i="6" s="1"/>
  <c r="I1175" i="6" s="1"/>
  <c r="G1171" i="6"/>
  <c r="H1171" i="6" s="1"/>
  <c r="I1171" i="6" s="1"/>
  <c r="G1167" i="6"/>
  <c r="H1167" i="6" s="1"/>
  <c r="I1167" i="6" s="1"/>
  <c r="G1163" i="6"/>
  <c r="H1163" i="6" s="1"/>
  <c r="I1163" i="6" s="1"/>
  <c r="G1159" i="6"/>
  <c r="H1159" i="6" s="1"/>
  <c r="I1159" i="6" s="1"/>
  <c r="G1155" i="6"/>
  <c r="H1155" i="6" s="1"/>
  <c r="I1155" i="6" s="1"/>
  <c r="G1151" i="6"/>
  <c r="H1151" i="6" s="1"/>
  <c r="I1151" i="6" s="1"/>
  <c r="G1676" i="6"/>
  <c r="H1676" i="6" s="1"/>
  <c r="I1676" i="6" s="1"/>
  <c r="G1672" i="6"/>
  <c r="H1672" i="6" s="1"/>
  <c r="I1672" i="6" s="1"/>
  <c r="G1668" i="6"/>
  <c r="H1668" i="6" s="1"/>
  <c r="I1668" i="6" s="1"/>
  <c r="G1664" i="6"/>
  <c r="H1664" i="6" s="1"/>
  <c r="I1664" i="6" s="1"/>
  <c r="G1660" i="6"/>
  <c r="H1660" i="6" s="1"/>
  <c r="I1660" i="6" s="1"/>
  <c r="G1656" i="6"/>
  <c r="H1656" i="6" s="1"/>
  <c r="I1656" i="6" s="1"/>
  <c r="G1652" i="6"/>
  <c r="H1652" i="6" s="1"/>
  <c r="I1652" i="6" s="1"/>
  <c r="G1648" i="6"/>
  <c r="H1648" i="6" s="1"/>
  <c r="I1648" i="6" s="1"/>
  <c r="G179" i="6"/>
  <c r="H179" i="6" s="1"/>
  <c r="I179" i="6" s="1"/>
  <c r="G175" i="6"/>
  <c r="H175" i="6" s="1"/>
  <c r="I175" i="6" s="1"/>
  <c r="G171" i="6"/>
  <c r="H171" i="6" s="1"/>
  <c r="I171" i="6" s="1"/>
  <c r="G167" i="6"/>
  <c r="H167" i="6" s="1"/>
  <c r="I167" i="6" s="1"/>
  <c r="G163" i="6"/>
  <c r="H163" i="6" s="1"/>
  <c r="I163" i="6" s="1"/>
  <c r="G159" i="6"/>
  <c r="H159" i="6" s="1"/>
  <c r="I159" i="6" s="1"/>
  <c r="G155" i="6"/>
  <c r="H155" i="6" s="1"/>
  <c r="I155" i="6" s="1"/>
  <c r="G661" i="6"/>
  <c r="H661" i="6" s="1"/>
  <c r="I661" i="6" s="1"/>
  <c r="G657" i="6"/>
  <c r="H657" i="6" s="1"/>
  <c r="I657" i="6" s="1"/>
  <c r="G653" i="6"/>
  <c r="H653" i="6" s="1"/>
  <c r="I653" i="6" s="1"/>
  <c r="G649" i="6"/>
  <c r="H649" i="6" s="1"/>
  <c r="I649" i="6" s="1"/>
  <c r="G645" i="6"/>
  <c r="H645" i="6" s="1"/>
  <c r="I645" i="6" s="1"/>
  <c r="G641" i="6"/>
  <c r="H641" i="6" s="1"/>
  <c r="I641" i="6" s="1"/>
  <c r="G637" i="6"/>
  <c r="H637" i="6" s="1"/>
  <c r="I637" i="6" s="1"/>
  <c r="G633" i="6"/>
  <c r="H633" i="6" s="1"/>
  <c r="I633" i="6" s="1"/>
  <c r="G1145" i="6"/>
  <c r="H1145" i="6" s="1"/>
  <c r="I1145" i="6" s="1"/>
  <c r="G1141" i="6"/>
  <c r="H1141" i="6" s="1"/>
  <c r="I1141" i="6" s="1"/>
  <c r="G1137" i="6"/>
  <c r="H1137" i="6" s="1"/>
  <c r="I1137" i="6" s="1"/>
  <c r="G1133" i="6"/>
  <c r="H1133" i="6" s="1"/>
  <c r="I1133" i="6" s="1"/>
  <c r="G1129" i="6"/>
  <c r="H1129" i="6" s="1"/>
  <c r="I1129" i="6" s="1"/>
  <c r="G1125" i="6"/>
  <c r="H1125" i="6" s="1"/>
  <c r="I1125" i="6" s="1"/>
  <c r="G1121" i="6"/>
  <c r="H1121" i="6" s="1"/>
  <c r="I1121" i="6" s="1"/>
  <c r="G1778" i="6"/>
  <c r="H1778" i="6" s="1"/>
  <c r="I1778" i="6" s="1"/>
  <c r="G1762" i="6"/>
  <c r="H1762" i="6" s="1"/>
  <c r="I1762" i="6" s="1"/>
  <c r="G1746" i="6"/>
  <c r="H1746" i="6" s="1"/>
  <c r="I1746" i="6" s="1"/>
  <c r="G750" i="6"/>
  <c r="H750" i="6" s="1"/>
  <c r="I750" i="6" s="1"/>
  <c r="G734" i="6"/>
  <c r="H734" i="6" s="1"/>
  <c r="I734" i="6" s="1"/>
  <c r="G1237" i="6"/>
  <c r="H1237" i="6" s="1"/>
  <c r="I1237" i="6" s="1"/>
  <c r="G1726" i="6"/>
  <c r="H1726" i="6" s="1"/>
  <c r="I1726" i="6" s="1"/>
  <c r="G237" i="6"/>
  <c r="H237" i="6" s="1"/>
  <c r="I237" i="6" s="1"/>
  <c r="G221" i="6"/>
  <c r="H221" i="6" s="1"/>
  <c r="I221" i="6" s="1"/>
  <c r="G701" i="6"/>
  <c r="H701" i="6" s="1"/>
  <c r="I701" i="6" s="1"/>
  <c r="G1203" i="6"/>
  <c r="H1203" i="6" s="1"/>
  <c r="I1203" i="6" s="1"/>
  <c r="G1187" i="6"/>
  <c r="H1187" i="6" s="1"/>
  <c r="I1187" i="6" s="1"/>
  <c r="G1706" i="6"/>
  <c r="H1706" i="6" s="1"/>
  <c r="I1706" i="6" s="1"/>
  <c r="G205" i="6"/>
  <c r="H205" i="6" s="1"/>
  <c r="I205" i="6" s="1"/>
  <c r="G189" i="6"/>
  <c r="H189" i="6" s="1"/>
  <c r="I189" i="6" s="1"/>
  <c r="G1645" i="6"/>
  <c r="H1645" i="6" s="1"/>
  <c r="I1645" i="6" s="1"/>
  <c r="G1641" i="6"/>
  <c r="H1641" i="6" s="1"/>
  <c r="I1641" i="6" s="1"/>
  <c r="G1637" i="6"/>
  <c r="H1637" i="6" s="1"/>
  <c r="I1637" i="6" s="1"/>
  <c r="G1633" i="6"/>
  <c r="H1633" i="6" s="1"/>
  <c r="I1633" i="6" s="1"/>
  <c r="G1629" i="6"/>
  <c r="H1629" i="6" s="1"/>
  <c r="I1629" i="6" s="1"/>
  <c r="G1625" i="6"/>
  <c r="H1625" i="6" s="1"/>
  <c r="I1625" i="6" s="1"/>
  <c r="G1621" i="6"/>
  <c r="H1621" i="6" s="1"/>
  <c r="I1621" i="6" s="1"/>
  <c r="G1617" i="6"/>
  <c r="H1617" i="6" s="1"/>
  <c r="I1617" i="6" s="1"/>
  <c r="G151" i="6"/>
  <c r="H151" i="6" s="1"/>
  <c r="I151" i="6" s="1"/>
  <c r="G147" i="6"/>
  <c r="H147" i="6" s="1"/>
  <c r="I147" i="6" s="1"/>
  <c r="G143" i="6"/>
  <c r="H143" i="6" s="1"/>
  <c r="I143" i="6" s="1"/>
  <c r="G139" i="6"/>
  <c r="H139" i="6" s="1"/>
  <c r="I139" i="6" s="1"/>
  <c r="G135" i="6"/>
  <c r="H135" i="6" s="1"/>
  <c r="I135" i="6" s="1"/>
  <c r="G131" i="6"/>
  <c r="H131" i="6" s="1"/>
  <c r="I131" i="6" s="1"/>
  <c r="G127" i="6"/>
  <c r="H127" i="6" s="1"/>
  <c r="I127" i="6" s="1"/>
  <c r="G123" i="6"/>
  <c r="H123" i="6" s="1"/>
  <c r="I123" i="6" s="1"/>
  <c r="G629" i="6"/>
  <c r="H629" i="6" s="1"/>
  <c r="I629" i="6" s="1"/>
  <c r="G625" i="6"/>
  <c r="H625" i="6" s="1"/>
  <c r="I625" i="6" s="1"/>
  <c r="G621" i="6"/>
  <c r="H621" i="6" s="1"/>
  <c r="I621" i="6" s="1"/>
  <c r="G617" i="6"/>
  <c r="H617" i="6" s="1"/>
  <c r="I617" i="6" s="1"/>
  <c r="G613" i="6"/>
  <c r="H613" i="6" s="1"/>
  <c r="I613" i="6" s="1"/>
  <c r="G609" i="6"/>
  <c r="H609" i="6" s="1"/>
  <c r="I609" i="6" s="1"/>
  <c r="G605" i="6"/>
  <c r="H605" i="6" s="1"/>
  <c r="I605" i="6" s="1"/>
  <c r="G1116" i="6"/>
  <c r="H1116" i="6" s="1"/>
  <c r="I1116" i="6" s="1"/>
  <c r="G1112" i="6"/>
  <c r="H1112" i="6" s="1"/>
  <c r="I1112" i="6" s="1"/>
  <c r="G1108" i="6"/>
  <c r="H1108" i="6" s="1"/>
  <c r="I1108" i="6" s="1"/>
  <c r="G1104" i="6"/>
  <c r="H1104" i="6" s="1"/>
  <c r="I1104" i="6" s="1"/>
  <c r="G1100" i="6"/>
  <c r="H1100" i="6" s="1"/>
  <c r="I1100" i="6" s="1"/>
  <c r="G1096" i="6"/>
  <c r="H1096" i="6" s="1"/>
  <c r="I1096" i="6" s="1"/>
  <c r="G1092" i="6"/>
  <c r="H1092" i="6" s="1"/>
  <c r="I1092" i="6" s="1"/>
  <c r="G1088" i="6"/>
  <c r="H1088" i="6" s="1"/>
  <c r="I1088" i="6" s="1"/>
  <c r="G1614" i="6"/>
  <c r="H1614" i="6" s="1"/>
  <c r="I1614" i="6" s="1"/>
  <c r="G1610" i="6"/>
  <c r="H1610" i="6" s="1"/>
  <c r="I1610" i="6" s="1"/>
  <c r="G1606" i="6"/>
  <c r="H1606" i="6" s="1"/>
  <c r="I1606" i="6" s="1"/>
  <c r="G1602" i="6"/>
  <c r="H1602" i="6" s="1"/>
  <c r="I1602" i="6" s="1"/>
  <c r="G1598" i="6"/>
  <c r="H1598" i="6" s="1"/>
  <c r="I1598" i="6" s="1"/>
  <c r="G1594" i="6"/>
  <c r="H1594" i="6" s="1"/>
  <c r="I1594" i="6" s="1"/>
  <c r="G1590" i="6"/>
  <c r="H1590" i="6" s="1"/>
  <c r="I1590" i="6" s="1"/>
  <c r="G1586" i="6"/>
  <c r="H1586" i="6" s="1"/>
  <c r="I1586" i="6" s="1"/>
  <c r="G122" i="6"/>
  <c r="H122" i="6" s="1"/>
  <c r="I122" i="6" s="1"/>
  <c r="G118" i="6"/>
  <c r="H118" i="6" s="1"/>
  <c r="I118" i="6" s="1"/>
  <c r="G114" i="6"/>
  <c r="H114" i="6" s="1"/>
  <c r="I114" i="6" s="1"/>
  <c r="G110" i="6"/>
  <c r="H110" i="6" s="1"/>
  <c r="I110" i="6" s="1"/>
  <c r="G106" i="6"/>
  <c r="H106" i="6" s="1"/>
  <c r="I106" i="6" s="1"/>
  <c r="G102" i="6"/>
  <c r="H102" i="6" s="1"/>
  <c r="I102" i="6" s="1"/>
  <c r="G98" i="6"/>
  <c r="H98" i="6" s="1"/>
  <c r="I98" i="6" s="1"/>
  <c r="G94" i="6"/>
  <c r="H94" i="6" s="1"/>
  <c r="I94" i="6" s="1"/>
  <c r="G600" i="6"/>
  <c r="H600" i="6" s="1"/>
  <c r="I600" i="6" s="1"/>
  <c r="G596" i="6"/>
  <c r="H596" i="6" s="1"/>
  <c r="I596" i="6" s="1"/>
  <c r="G592" i="6"/>
  <c r="H592" i="6" s="1"/>
  <c r="I592" i="6" s="1"/>
  <c r="G588" i="6"/>
  <c r="H588" i="6" s="1"/>
  <c r="I588" i="6" s="1"/>
  <c r="G584" i="6"/>
  <c r="H584" i="6" s="1"/>
  <c r="I584" i="6" s="1"/>
  <c r="G580" i="6"/>
  <c r="H580" i="6" s="1"/>
  <c r="I580" i="6" s="1"/>
  <c r="G576" i="6"/>
  <c r="H576" i="6" s="1"/>
  <c r="I576" i="6" s="1"/>
  <c r="G1086" i="6"/>
  <c r="H1086" i="6" s="1"/>
  <c r="I1086" i="6" s="1"/>
  <c r="G1082" i="6"/>
  <c r="H1082" i="6" s="1"/>
  <c r="I1082" i="6" s="1"/>
  <c r="G1078" i="6"/>
  <c r="H1078" i="6" s="1"/>
  <c r="I1078" i="6" s="1"/>
  <c r="G1074" i="6"/>
  <c r="H1074" i="6" s="1"/>
  <c r="I1074" i="6" s="1"/>
  <c r="G1070" i="6"/>
  <c r="H1070" i="6" s="1"/>
  <c r="I1070" i="6" s="1"/>
  <c r="G1066" i="6"/>
  <c r="H1066" i="6" s="1"/>
  <c r="I1066" i="6" s="1"/>
  <c r="G1062" i="6"/>
  <c r="H1062" i="6" s="1"/>
  <c r="I1062" i="6" s="1"/>
  <c r="G1058" i="6"/>
  <c r="H1058" i="6" s="1"/>
  <c r="I1058" i="6" s="1"/>
  <c r="G1612" i="6"/>
  <c r="H1612" i="6" s="1"/>
  <c r="I1612" i="6" s="1"/>
  <c r="G1608" i="6"/>
  <c r="H1608" i="6" s="1"/>
  <c r="I1608" i="6" s="1"/>
  <c r="G1604" i="6"/>
  <c r="H1604" i="6" s="1"/>
  <c r="I1604" i="6" s="1"/>
  <c r="G1600" i="6"/>
  <c r="H1600" i="6" s="1"/>
  <c r="I1600" i="6" s="1"/>
  <c r="G1596" i="6"/>
  <c r="H1596" i="6" s="1"/>
  <c r="I1596" i="6" s="1"/>
  <c r="G1592" i="6"/>
  <c r="H1592" i="6" s="1"/>
  <c r="I1592" i="6" s="1"/>
  <c r="G1588" i="6"/>
  <c r="H1588" i="6" s="1"/>
  <c r="I1588" i="6" s="1"/>
  <c r="G1584" i="6"/>
  <c r="H1584" i="6" s="1"/>
  <c r="I1584" i="6" s="1"/>
  <c r="G120" i="6"/>
  <c r="H120" i="6" s="1"/>
  <c r="I120" i="6" s="1"/>
  <c r="G116" i="6"/>
  <c r="H116" i="6" s="1"/>
  <c r="I116" i="6" s="1"/>
  <c r="G112" i="6"/>
  <c r="H112" i="6" s="1"/>
  <c r="I112" i="6" s="1"/>
  <c r="G108" i="6"/>
  <c r="H108" i="6" s="1"/>
  <c r="I108" i="6" s="1"/>
  <c r="G104" i="6"/>
  <c r="H104" i="6" s="1"/>
  <c r="I104" i="6" s="1"/>
  <c r="G100" i="6"/>
  <c r="H100" i="6" s="1"/>
  <c r="I100" i="6" s="1"/>
  <c r="G96" i="6"/>
  <c r="H96" i="6" s="1"/>
  <c r="I96" i="6" s="1"/>
  <c r="G602" i="6"/>
  <c r="H602" i="6" s="1"/>
  <c r="I602" i="6" s="1"/>
  <c r="G598" i="6"/>
  <c r="H598" i="6" s="1"/>
  <c r="I598" i="6" s="1"/>
  <c r="G594" i="6"/>
  <c r="H594" i="6" s="1"/>
  <c r="I594" i="6" s="1"/>
  <c r="G590" i="6"/>
  <c r="H590" i="6" s="1"/>
  <c r="I590" i="6" s="1"/>
  <c r="G586" i="6"/>
  <c r="H586" i="6" s="1"/>
  <c r="I586" i="6" s="1"/>
  <c r="G582" i="6"/>
  <c r="H582" i="6" s="1"/>
  <c r="I582" i="6" s="1"/>
  <c r="G578" i="6"/>
  <c r="H578" i="6" s="1"/>
  <c r="I578" i="6" s="1"/>
  <c r="G574" i="6"/>
  <c r="H574" i="6" s="1"/>
  <c r="I574" i="6" s="1"/>
  <c r="G1084" i="6"/>
  <c r="H1084" i="6" s="1"/>
  <c r="I1084" i="6" s="1"/>
  <c r="G1080" i="6"/>
  <c r="H1080" i="6" s="1"/>
  <c r="I1080" i="6" s="1"/>
  <c r="G1076" i="6"/>
  <c r="H1076" i="6" s="1"/>
  <c r="I1076" i="6" s="1"/>
  <c r="G1072" i="6"/>
  <c r="H1072" i="6" s="1"/>
  <c r="I1072" i="6" s="1"/>
  <c r="G1068" i="6"/>
  <c r="H1068" i="6" s="1"/>
  <c r="I1068" i="6" s="1"/>
  <c r="G1064" i="6"/>
  <c r="H1064" i="6" s="1"/>
  <c r="I1064" i="6" s="1"/>
  <c r="G1060" i="6"/>
  <c r="H1060" i="6" s="1"/>
  <c r="I1060" i="6" s="1"/>
  <c r="G1056" i="6"/>
  <c r="H1056" i="6" s="1"/>
  <c r="I1056" i="6" s="1"/>
  <c r="G1581" i="6"/>
  <c r="H1581" i="6" s="1"/>
  <c r="I1581" i="6" s="1"/>
  <c r="G1577" i="6"/>
  <c r="H1577" i="6" s="1"/>
  <c r="I1577" i="6" s="1"/>
  <c r="G1573" i="6"/>
  <c r="H1573" i="6" s="1"/>
  <c r="I1573" i="6" s="1"/>
  <c r="G1569" i="6"/>
  <c r="H1569" i="6" s="1"/>
  <c r="I1569" i="6" s="1"/>
  <c r="G1565" i="6"/>
  <c r="H1565" i="6" s="1"/>
  <c r="I1565" i="6" s="1"/>
  <c r="G1561" i="6"/>
  <c r="H1561" i="6" s="1"/>
  <c r="I1561" i="6" s="1"/>
  <c r="G1557" i="6"/>
  <c r="H1557" i="6" s="1"/>
  <c r="I1557" i="6" s="1"/>
  <c r="G1553" i="6"/>
  <c r="H1553" i="6" s="1"/>
  <c r="I1553" i="6" s="1"/>
  <c r="G91" i="6"/>
  <c r="H91" i="6" s="1"/>
  <c r="I91" i="6" s="1"/>
  <c r="G87" i="6"/>
  <c r="H87" i="6" s="1"/>
  <c r="I87" i="6" s="1"/>
  <c r="G83" i="6"/>
  <c r="H83" i="6" s="1"/>
  <c r="I83" i="6" s="1"/>
  <c r="G79" i="6"/>
  <c r="H79" i="6" s="1"/>
  <c r="I79" i="6" s="1"/>
  <c r="G75" i="6"/>
  <c r="H75" i="6" s="1"/>
  <c r="I75" i="6" s="1"/>
  <c r="G71" i="6"/>
  <c r="H71" i="6" s="1"/>
  <c r="I71" i="6" s="1"/>
  <c r="G67" i="6"/>
  <c r="H67" i="6" s="1"/>
  <c r="I67" i="6" s="1"/>
  <c r="G63" i="6"/>
  <c r="H63" i="6" s="1"/>
  <c r="I63" i="6" s="1"/>
  <c r="G569" i="6"/>
  <c r="H569" i="6" s="1"/>
  <c r="I569" i="6" s="1"/>
  <c r="G565" i="6"/>
  <c r="H565" i="6" s="1"/>
  <c r="I565" i="6" s="1"/>
  <c r="G561" i="6"/>
  <c r="H561" i="6" s="1"/>
  <c r="I561" i="6" s="1"/>
  <c r="G557" i="6"/>
  <c r="H557" i="6" s="1"/>
  <c r="I557" i="6" s="1"/>
  <c r="G553" i="6"/>
  <c r="H553" i="6" s="1"/>
  <c r="I553" i="6" s="1"/>
  <c r="G1579" i="6"/>
  <c r="H1579" i="6" s="1"/>
  <c r="I1579" i="6" s="1"/>
  <c r="G1575" i="6"/>
  <c r="H1575" i="6" s="1"/>
  <c r="I1575" i="6" s="1"/>
  <c r="G1571" i="6"/>
  <c r="H1571" i="6" s="1"/>
  <c r="I1571" i="6" s="1"/>
  <c r="G1567" i="6"/>
  <c r="H1567" i="6" s="1"/>
  <c r="I1567" i="6" s="1"/>
  <c r="G1563" i="6"/>
  <c r="H1563" i="6" s="1"/>
  <c r="I1563" i="6" s="1"/>
  <c r="G1559" i="6"/>
  <c r="H1559" i="6" s="1"/>
  <c r="I1559" i="6" s="1"/>
  <c r="G1555" i="6"/>
  <c r="H1555" i="6" s="1"/>
  <c r="I1555" i="6" s="1"/>
  <c r="G1551" i="6"/>
  <c r="H1551" i="6" s="1"/>
  <c r="I1551" i="6" s="1"/>
  <c r="G89" i="6"/>
  <c r="H89" i="6" s="1"/>
  <c r="I89" i="6" s="1"/>
  <c r="G85" i="6"/>
  <c r="H85" i="6" s="1"/>
  <c r="I85" i="6" s="1"/>
  <c r="G81" i="6"/>
  <c r="H81" i="6" s="1"/>
  <c r="I81" i="6" s="1"/>
  <c r="G77" i="6"/>
  <c r="H77" i="6" s="1"/>
  <c r="I77" i="6" s="1"/>
  <c r="G73" i="6"/>
  <c r="H73" i="6" s="1"/>
  <c r="I73" i="6" s="1"/>
  <c r="G69" i="6"/>
  <c r="H69" i="6" s="1"/>
  <c r="I69" i="6" s="1"/>
  <c r="G65" i="6"/>
  <c r="H65" i="6" s="1"/>
  <c r="I65" i="6" s="1"/>
  <c r="G571" i="6"/>
  <c r="H571" i="6" s="1"/>
  <c r="I571" i="6" s="1"/>
  <c r="G567" i="6"/>
  <c r="H567" i="6" s="1"/>
  <c r="I567" i="6" s="1"/>
  <c r="G563" i="6"/>
  <c r="H563" i="6" s="1"/>
  <c r="I563" i="6" s="1"/>
  <c r="G559" i="6"/>
  <c r="H559" i="6" s="1"/>
  <c r="I559" i="6" s="1"/>
  <c r="G555" i="6"/>
  <c r="H555" i="6" s="1"/>
  <c r="I555" i="6" s="1"/>
  <c r="G551" i="6"/>
  <c r="H551" i="6" s="1"/>
  <c r="I551" i="6" s="1"/>
  <c r="G547" i="6"/>
  <c r="H547" i="6" s="1"/>
  <c r="I547" i="6" s="1"/>
  <c r="G543" i="6"/>
  <c r="H543" i="6" s="1"/>
  <c r="I543" i="6" s="1"/>
  <c r="G1052" i="6"/>
  <c r="H1052" i="6" s="1"/>
  <c r="I1052" i="6" s="1"/>
  <c r="G1048" i="6"/>
  <c r="H1048" i="6" s="1"/>
  <c r="I1048" i="6" s="1"/>
  <c r="G1044" i="6"/>
  <c r="H1044" i="6" s="1"/>
  <c r="I1044" i="6" s="1"/>
  <c r="G1040" i="6"/>
  <c r="H1040" i="6" s="1"/>
  <c r="I1040" i="6" s="1"/>
  <c r="G1036" i="6"/>
  <c r="H1036" i="6" s="1"/>
  <c r="I1036" i="6" s="1"/>
  <c r="G1032" i="6"/>
  <c r="H1032" i="6" s="1"/>
  <c r="I1032" i="6" s="1"/>
  <c r="G570" i="6"/>
  <c r="H570" i="6" s="1"/>
  <c r="I570" i="6" s="1"/>
  <c r="G554" i="6"/>
  <c r="H554" i="6" s="1"/>
  <c r="I554" i="6" s="1"/>
  <c r="G1051" i="6"/>
  <c r="H1051" i="6" s="1"/>
  <c r="I1051" i="6" s="1"/>
  <c r="G1035" i="6"/>
  <c r="H1035" i="6" s="1"/>
  <c r="I1035" i="6" s="1"/>
  <c r="G549" i="6"/>
  <c r="H549" i="6" s="1"/>
  <c r="I549" i="6" s="1"/>
  <c r="G545" i="6"/>
  <c r="H545" i="6" s="1"/>
  <c r="I545" i="6" s="1"/>
  <c r="G1054" i="6"/>
  <c r="H1054" i="6" s="1"/>
  <c r="I1054" i="6" s="1"/>
  <c r="G1050" i="6"/>
  <c r="H1050" i="6" s="1"/>
  <c r="I1050" i="6" s="1"/>
  <c r="G1046" i="6"/>
  <c r="H1046" i="6" s="1"/>
  <c r="I1046" i="6" s="1"/>
  <c r="G1042" i="6"/>
  <c r="H1042" i="6" s="1"/>
  <c r="I1042" i="6" s="1"/>
  <c r="G1038" i="6"/>
  <c r="H1038" i="6" s="1"/>
  <c r="I1038" i="6" s="1"/>
  <c r="G1034" i="6"/>
  <c r="H1034" i="6" s="1"/>
  <c r="I1034" i="6" s="1"/>
  <c r="G1030" i="6"/>
  <c r="H1030" i="6" s="1"/>
  <c r="I1030" i="6" s="1"/>
  <c r="G1026" i="6"/>
  <c r="H1026" i="6" s="1"/>
  <c r="I1026" i="6" s="1"/>
  <c r="G1550" i="6"/>
  <c r="H1550" i="6" s="1"/>
  <c r="I1550" i="6" s="1"/>
  <c r="G1546" i="6"/>
  <c r="H1546" i="6" s="1"/>
  <c r="I1546" i="6" s="1"/>
  <c r="G1542" i="6"/>
  <c r="H1542" i="6" s="1"/>
  <c r="I1542" i="6" s="1"/>
  <c r="G1538" i="6"/>
  <c r="H1538" i="6" s="1"/>
  <c r="I1538" i="6" s="1"/>
  <c r="G1534" i="6"/>
  <c r="H1534" i="6" s="1"/>
  <c r="I1534" i="6" s="1"/>
  <c r="G1530" i="6"/>
  <c r="H1530" i="6" s="1"/>
  <c r="I1530" i="6" s="1"/>
  <c r="G1526" i="6"/>
  <c r="H1526" i="6" s="1"/>
  <c r="I1526" i="6" s="1"/>
  <c r="G1522" i="6"/>
  <c r="H1522" i="6" s="1"/>
  <c r="I1522" i="6" s="1"/>
  <c r="G62" i="6"/>
  <c r="H62" i="6" s="1"/>
  <c r="I62" i="6" s="1"/>
  <c r="G58" i="6"/>
  <c r="H58" i="6" s="1"/>
  <c r="I58" i="6" s="1"/>
  <c r="G54" i="6"/>
  <c r="H54" i="6" s="1"/>
  <c r="I54" i="6" s="1"/>
  <c r="G50" i="6"/>
  <c r="H50" i="6" s="1"/>
  <c r="I50" i="6" s="1"/>
  <c r="G536" i="6"/>
  <c r="H536" i="6" s="1"/>
  <c r="I536" i="6" s="1"/>
  <c r="G532" i="6"/>
  <c r="H532" i="6" s="1"/>
  <c r="I532" i="6" s="1"/>
  <c r="G528" i="6"/>
  <c r="H528" i="6" s="1"/>
  <c r="I528" i="6" s="1"/>
  <c r="G1471" i="6"/>
  <c r="H1471" i="6" s="1"/>
  <c r="I1471" i="6" s="1"/>
  <c r="G1773" i="6"/>
  <c r="H1773" i="6" s="1"/>
  <c r="I1773" i="6" s="1"/>
  <c r="G1757" i="6"/>
  <c r="H1757" i="6" s="1"/>
  <c r="I1757" i="6" s="1"/>
  <c r="G264" i="6"/>
  <c r="H264" i="6" s="1"/>
  <c r="I264" i="6" s="1"/>
  <c r="G248" i="6"/>
  <c r="H248" i="6" s="1"/>
  <c r="I248" i="6" s="1"/>
  <c r="G745" i="6"/>
  <c r="H745" i="6" s="1"/>
  <c r="I745" i="6" s="1"/>
  <c r="G729" i="6"/>
  <c r="H729" i="6" s="1"/>
  <c r="I729" i="6" s="1"/>
  <c r="G1232" i="6"/>
  <c r="H1232" i="6" s="1"/>
  <c r="I1232" i="6" s="1"/>
  <c r="G1216" i="6"/>
  <c r="H1216" i="6" s="1"/>
  <c r="I1216" i="6" s="1"/>
  <c r="G253" i="6"/>
  <c r="H253" i="6" s="1"/>
  <c r="I253" i="6" s="1"/>
  <c r="G717" i="6"/>
  <c r="H717" i="6" s="1"/>
  <c r="I717" i="6" s="1"/>
  <c r="G1711" i="6"/>
  <c r="H1711" i="6" s="1"/>
  <c r="I1711" i="6" s="1"/>
  <c r="G1707" i="6"/>
  <c r="H1707" i="6" s="1"/>
  <c r="I1707" i="6" s="1"/>
  <c r="G1703" i="6"/>
  <c r="H1703" i="6" s="1"/>
  <c r="I1703" i="6" s="1"/>
  <c r="G1699" i="6"/>
  <c r="H1699" i="6" s="1"/>
  <c r="I1699" i="6" s="1"/>
  <c r="G1695" i="6"/>
  <c r="H1695" i="6" s="1"/>
  <c r="I1695" i="6" s="1"/>
  <c r="G1691" i="6"/>
  <c r="H1691" i="6" s="1"/>
  <c r="I1691" i="6" s="1"/>
  <c r="G1687" i="6"/>
  <c r="H1687" i="6" s="1"/>
  <c r="I1687" i="6" s="1"/>
  <c r="G1683" i="6"/>
  <c r="H1683" i="6" s="1"/>
  <c r="I1683" i="6" s="1"/>
  <c r="G210" i="6"/>
  <c r="H210" i="6" s="1"/>
  <c r="I210" i="6" s="1"/>
  <c r="G206" i="6"/>
  <c r="H206" i="6" s="1"/>
  <c r="I206" i="6" s="1"/>
  <c r="G202" i="6"/>
  <c r="H202" i="6" s="1"/>
  <c r="I202" i="6" s="1"/>
  <c r="G198" i="6"/>
  <c r="H198" i="6" s="1"/>
  <c r="I198" i="6" s="1"/>
  <c r="G194" i="6"/>
  <c r="H194" i="6" s="1"/>
  <c r="I194" i="6" s="1"/>
  <c r="G190" i="6"/>
  <c r="H190" i="6" s="1"/>
  <c r="I190" i="6" s="1"/>
  <c r="G186" i="6"/>
  <c r="H186" i="6" s="1"/>
  <c r="I186" i="6" s="1"/>
  <c r="G182" i="6"/>
  <c r="H182" i="6" s="1"/>
  <c r="I182" i="6" s="1"/>
  <c r="G689" i="6"/>
  <c r="H689" i="6" s="1"/>
  <c r="I689" i="6" s="1"/>
  <c r="G685" i="6"/>
  <c r="H685" i="6" s="1"/>
  <c r="I685" i="6" s="1"/>
  <c r="G681" i="6"/>
  <c r="H681" i="6" s="1"/>
  <c r="I681" i="6" s="1"/>
  <c r="G677" i="6"/>
  <c r="H677" i="6" s="1"/>
  <c r="I677" i="6" s="1"/>
  <c r="G673" i="6"/>
  <c r="H673" i="6" s="1"/>
  <c r="I673" i="6" s="1"/>
  <c r="G669" i="6"/>
  <c r="H669" i="6" s="1"/>
  <c r="I669" i="6" s="1"/>
  <c r="G665" i="6"/>
  <c r="H665" i="6" s="1"/>
  <c r="I665" i="6" s="1"/>
  <c r="G1178" i="6"/>
  <c r="H1178" i="6" s="1"/>
  <c r="I1178" i="6" s="1"/>
  <c r="G1174" i="6"/>
  <c r="H1174" i="6" s="1"/>
  <c r="I1174" i="6" s="1"/>
  <c r="G1170" i="6"/>
  <c r="H1170" i="6" s="1"/>
  <c r="I1170" i="6" s="1"/>
  <c r="G1166" i="6"/>
  <c r="H1166" i="6" s="1"/>
  <c r="I1166" i="6" s="1"/>
  <c r="G1162" i="6"/>
  <c r="H1162" i="6" s="1"/>
  <c r="I1162" i="6" s="1"/>
  <c r="G1158" i="6"/>
  <c r="H1158" i="6" s="1"/>
  <c r="I1158" i="6" s="1"/>
  <c r="G1154" i="6"/>
  <c r="H1154" i="6" s="1"/>
  <c r="I1154" i="6" s="1"/>
  <c r="G1150" i="6"/>
  <c r="H1150" i="6" s="1"/>
  <c r="I1150" i="6" s="1"/>
  <c r="G1679" i="6"/>
  <c r="H1679" i="6" s="1"/>
  <c r="I1679" i="6" s="1"/>
  <c r="G1675" i="6"/>
  <c r="H1675" i="6" s="1"/>
  <c r="I1675" i="6" s="1"/>
  <c r="G1671" i="6"/>
  <c r="H1671" i="6" s="1"/>
  <c r="I1671" i="6" s="1"/>
  <c r="G1667" i="6"/>
  <c r="H1667" i="6" s="1"/>
  <c r="I1667" i="6" s="1"/>
  <c r="G1663" i="6"/>
  <c r="H1663" i="6" s="1"/>
  <c r="I1663" i="6" s="1"/>
  <c r="G1659" i="6"/>
  <c r="H1659" i="6" s="1"/>
  <c r="I1659" i="6" s="1"/>
  <c r="G1655" i="6"/>
  <c r="H1655" i="6" s="1"/>
  <c r="I1655" i="6" s="1"/>
  <c r="G1651" i="6"/>
  <c r="H1651" i="6" s="1"/>
  <c r="I1651" i="6" s="1"/>
  <c r="G1647" i="6"/>
  <c r="H1647" i="6" s="1"/>
  <c r="I1647" i="6" s="1"/>
  <c r="G178" i="6"/>
  <c r="H178" i="6" s="1"/>
  <c r="I178" i="6" s="1"/>
  <c r="G174" i="6"/>
  <c r="H174" i="6" s="1"/>
  <c r="I174" i="6" s="1"/>
  <c r="G170" i="6"/>
  <c r="H170" i="6" s="1"/>
  <c r="I170" i="6" s="1"/>
  <c r="G166" i="6"/>
  <c r="H166" i="6" s="1"/>
  <c r="I166" i="6" s="1"/>
  <c r="G162" i="6"/>
  <c r="H162" i="6" s="1"/>
  <c r="I162" i="6" s="1"/>
  <c r="G158" i="6"/>
  <c r="H158" i="6" s="1"/>
  <c r="I158" i="6" s="1"/>
  <c r="G154" i="6"/>
  <c r="H154" i="6" s="1"/>
  <c r="I154" i="6" s="1"/>
  <c r="G660" i="6"/>
  <c r="H660" i="6" s="1"/>
  <c r="I660" i="6" s="1"/>
  <c r="G656" i="6"/>
  <c r="H656" i="6" s="1"/>
  <c r="I656" i="6" s="1"/>
  <c r="G652" i="6"/>
  <c r="H652" i="6" s="1"/>
  <c r="I652" i="6" s="1"/>
  <c r="G1737" i="6"/>
  <c r="H1737" i="6" s="1"/>
  <c r="I1737" i="6" s="1"/>
  <c r="G1721" i="6"/>
  <c r="H1721" i="6" s="1"/>
  <c r="I1721" i="6" s="1"/>
  <c r="G232" i="6"/>
  <c r="H232" i="6" s="1"/>
  <c r="I232" i="6" s="1"/>
  <c r="G216" i="6"/>
  <c r="H216" i="6" s="1"/>
  <c r="I216" i="6" s="1"/>
  <c r="G712" i="6"/>
  <c r="H712" i="6" s="1"/>
  <c r="I712" i="6" s="1"/>
  <c r="G696" i="6"/>
  <c r="H696" i="6" s="1"/>
  <c r="I696" i="6" s="1"/>
  <c r="G1198" i="6"/>
  <c r="H1198" i="6" s="1"/>
  <c r="I1198" i="6" s="1"/>
  <c r="G1182" i="6"/>
  <c r="H1182" i="6" s="1"/>
  <c r="I1182" i="6" s="1"/>
  <c r="G1701" i="6"/>
  <c r="H1701" i="6" s="1"/>
  <c r="I1701" i="6" s="1"/>
  <c r="G1685" i="6"/>
  <c r="H1685" i="6" s="1"/>
  <c r="I1685" i="6" s="1"/>
  <c r="G200" i="6"/>
  <c r="H200" i="6" s="1"/>
  <c r="I200" i="6" s="1"/>
  <c r="G184" i="6"/>
  <c r="H184" i="6" s="1"/>
  <c r="I184" i="6" s="1"/>
  <c r="G103" i="6"/>
  <c r="H103" i="6" s="1"/>
  <c r="I103" i="6" s="1"/>
  <c r="G1541" i="6"/>
  <c r="H1541" i="6" s="1"/>
  <c r="I1541" i="6" s="1"/>
  <c r="G1525" i="6"/>
  <c r="H1525" i="6" s="1"/>
  <c r="I1525" i="6" s="1"/>
  <c r="G53" i="6"/>
  <c r="H53" i="6" s="1"/>
  <c r="I53" i="6" s="1"/>
  <c r="G1028" i="6"/>
  <c r="H1028" i="6" s="1"/>
  <c r="I1028" i="6" s="1"/>
  <c r="G648" i="6"/>
  <c r="H648" i="6" s="1"/>
  <c r="I648" i="6" s="1"/>
  <c r="G644" i="6"/>
  <c r="H644" i="6" s="1"/>
  <c r="I644" i="6" s="1"/>
  <c r="G640" i="6"/>
  <c r="H640" i="6" s="1"/>
  <c r="I640" i="6" s="1"/>
  <c r="G636" i="6"/>
  <c r="H636" i="6" s="1"/>
  <c r="I636" i="6" s="1"/>
  <c r="G1148" i="6"/>
  <c r="H1148" i="6" s="1"/>
  <c r="I1148" i="6" s="1"/>
  <c r="G1144" i="6"/>
  <c r="H1144" i="6" s="1"/>
  <c r="I1144" i="6" s="1"/>
  <c r="G1140" i="6"/>
  <c r="H1140" i="6" s="1"/>
  <c r="I1140" i="6" s="1"/>
  <c r="G1136" i="6"/>
  <c r="H1136" i="6" s="1"/>
  <c r="I1136" i="6" s="1"/>
  <c r="G1132" i="6"/>
  <c r="H1132" i="6" s="1"/>
  <c r="I1132" i="6" s="1"/>
  <c r="G1128" i="6"/>
  <c r="H1128" i="6" s="1"/>
  <c r="I1128" i="6" s="1"/>
  <c r="G1124" i="6"/>
  <c r="H1124" i="6" s="1"/>
  <c r="I1124" i="6" s="1"/>
  <c r="G1120" i="6"/>
  <c r="H1120" i="6" s="1"/>
  <c r="I1120" i="6" s="1"/>
  <c r="G1644" i="6"/>
  <c r="H1644" i="6" s="1"/>
  <c r="I1644" i="6" s="1"/>
  <c r="G1640" i="6"/>
  <c r="H1640" i="6" s="1"/>
  <c r="I1640" i="6" s="1"/>
  <c r="G1636" i="6"/>
  <c r="H1636" i="6" s="1"/>
  <c r="I1636" i="6" s="1"/>
  <c r="G1632" i="6"/>
  <c r="H1632" i="6" s="1"/>
  <c r="I1632" i="6" s="1"/>
  <c r="G1628" i="6"/>
  <c r="H1628" i="6" s="1"/>
  <c r="I1628" i="6" s="1"/>
  <c r="G1624" i="6"/>
  <c r="H1624" i="6" s="1"/>
  <c r="I1624" i="6" s="1"/>
  <c r="G1620" i="6"/>
  <c r="H1620" i="6" s="1"/>
  <c r="I1620" i="6" s="1"/>
  <c r="G1616" i="6"/>
  <c r="H1616" i="6" s="1"/>
  <c r="I1616" i="6" s="1"/>
  <c r="G150" i="6"/>
  <c r="H150" i="6" s="1"/>
  <c r="I150" i="6" s="1"/>
  <c r="G146" i="6"/>
  <c r="H146" i="6" s="1"/>
  <c r="I146" i="6" s="1"/>
  <c r="G142" i="6"/>
  <c r="H142" i="6" s="1"/>
  <c r="I142" i="6" s="1"/>
  <c r="G138" i="6"/>
  <c r="H138" i="6" s="1"/>
  <c r="I138" i="6" s="1"/>
  <c r="G134" i="6"/>
  <c r="H134" i="6" s="1"/>
  <c r="I134" i="6" s="1"/>
  <c r="G130" i="6"/>
  <c r="H130" i="6" s="1"/>
  <c r="I130" i="6" s="1"/>
  <c r="G126" i="6"/>
  <c r="H126" i="6" s="1"/>
  <c r="I126" i="6" s="1"/>
  <c r="G632" i="6"/>
  <c r="H632" i="6" s="1"/>
  <c r="I632" i="6" s="1"/>
  <c r="G628" i="6"/>
  <c r="H628" i="6" s="1"/>
  <c r="I628" i="6" s="1"/>
  <c r="G624" i="6"/>
  <c r="H624" i="6" s="1"/>
  <c r="I624" i="6" s="1"/>
  <c r="G620" i="6"/>
  <c r="H620" i="6" s="1"/>
  <c r="I620" i="6" s="1"/>
  <c r="G616" i="6"/>
  <c r="H616" i="6" s="1"/>
  <c r="I616" i="6" s="1"/>
  <c r="G612" i="6"/>
  <c r="H612" i="6" s="1"/>
  <c r="I612" i="6" s="1"/>
  <c r="G608" i="6"/>
  <c r="H608" i="6" s="1"/>
  <c r="I608" i="6" s="1"/>
  <c r="G604" i="6"/>
  <c r="H604" i="6" s="1"/>
  <c r="I604" i="6" s="1"/>
  <c r="G1115" i="6"/>
  <c r="H1115" i="6" s="1"/>
  <c r="I1115" i="6" s="1"/>
  <c r="G1111" i="6"/>
  <c r="H1111" i="6" s="1"/>
  <c r="I1111" i="6" s="1"/>
  <c r="G1107" i="6"/>
  <c r="H1107" i="6" s="1"/>
  <c r="I1107" i="6" s="1"/>
  <c r="G1103" i="6"/>
  <c r="H1103" i="6" s="1"/>
  <c r="I1103" i="6" s="1"/>
  <c r="G1099" i="6"/>
  <c r="H1099" i="6" s="1"/>
  <c r="I1099" i="6" s="1"/>
  <c r="G1095" i="6"/>
  <c r="H1095" i="6" s="1"/>
  <c r="I1095" i="6" s="1"/>
  <c r="G1091" i="6"/>
  <c r="H1091" i="6" s="1"/>
  <c r="I1091" i="6" s="1"/>
  <c r="G1087" i="6"/>
  <c r="H1087" i="6" s="1"/>
  <c r="I1087" i="6" s="1"/>
  <c r="G1601" i="6"/>
  <c r="H1601" i="6" s="1"/>
  <c r="I1601" i="6" s="1"/>
  <c r="G109" i="6"/>
  <c r="H109" i="6" s="1"/>
  <c r="I109" i="6" s="1"/>
  <c r="G93" i="6"/>
  <c r="H93" i="6" s="1"/>
  <c r="I93" i="6" s="1"/>
  <c r="G587" i="6"/>
  <c r="H587" i="6" s="1"/>
  <c r="I587" i="6" s="1"/>
  <c r="G1069" i="6"/>
  <c r="H1069" i="6" s="1"/>
  <c r="I1069" i="6" s="1"/>
  <c r="G1582" i="6"/>
  <c r="H1582" i="6" s="1"/>
  <c r="I1582" i="6" s="1"/>
  <c r="G1566" i="6"/>
  <c r="H1566" i="6" s="1"/>
  <c r="I1566" i="6" s="1"/>
  <c r="G92" i="6"/>
  <c r="H92" i="6" s="1"/>
  <c r="I92" i="6" s="1"/>
  <c r="G1548" i="6"/>
  <c r="H1548" i="6" s="1"/>
  <c r="I1548" i="6" s="1"/>
  <c r="G1544" i="6"/>
  <c r="H1544" i="6" s="1"/>
  <c r="I1544" i="6" s="1"/>
  <c r="G1540" i="6"/>
  <c r="H1540" i="6" s="1"/>
  <c r="I1540" i="6" s="1"/>
  <c r="G1536" i="6"/>
  <c r="H1536" i="6" s="1"/>
  <c r="I1536" i="6" s="1"/>
  <c r="G1532" i="6"/>
  <c r="H1532" i="6" s="1"/>
  <c r="I1532" i="6" s="1"/>
  <c r="G1528" i="6"/>
  <c r="H1528" i="6" s="1"/>
  <c r="I1528" i="6" s="1"/>
  <c r="G1524" i="6"/>
  <c r="H1524" i="6" s="1"/>
  <c r="I1524" i="6" s="1"/>
  <c r="G1520" i="6"/>
  <c r="H1520" i="6" s="1"/>
  <c r="I1520" i="6" s="1"/>
  <c r="G60" i="6"/>
  <c r="H60" i="6" s="1"/>
  <c r="I60" i="6" s="1"/>
  <c r="G56" i="6"/>
  <c r="H56" i="6" s="1"/>
  <c r="I56" i="6" s="1"/>
  <c r="G52" i="6"/>
  <c r="H52" i="6" s="1"/>
  <c r="I52" i="6" s="1"/>
  <c r="G48" i="6"/>
  <c r="H48" i="6" s="1"/>
  <c r="I48" i="6" s="1"/>
  <c r="G44" i="6"/>
  <c r="H44" i="6" s="1"/>
  <c r="I44" i="6" s="1"/>
  <c r="G40" i="6"/>
  <c r="H40" i="6" s="1"/>
  <c r="I40" i="6" s="1"/>
  <c r="G36" i="6"/>
  <c r="H36" i="6" s="1"/>
  <c r="I36" i="6" s="1"/>
  <c r="G542" i="6"/>
  <c r="H542" i="6" s="1"/>
  <c r="I542" i="6" s="1"/>
  <c r="G538" i="6"/>
  <c r="H538" i="6" s="1"/>
  <c r="I538" i="6" s="1"/>
  <c r="G534" i="6"/>
  <c r="H534" i="6" s="1"/>
  <c r="I534" i="6" s="1"/>
  <c r="G530" i="6"/>
  <c r="H530" i="6" s="1"/>
  <c r="I530" i="6" s="1"/>
  <c r="G526" i="6"/>
  <c r="H526" i="6" s="1"/>
  <c r="I526" i="6" s="1"/>
  <c r="G522" i="6"/>
  <c r="H522" i="6" s="1"/>
  <c r="I522" i="6" s="1"/>
  <c r="G518" i="6"/>
  <c r="H518" i="6" s="1"/>
  <c r="I518" i="6" s="1"/>
  <c r="G514" i="6"/>
  <c r="H514" i="6" s="1"/>
  <c r="I514" i="6" s="1"/>
  <c r="G1022" i="6"/>
  <c r="H1022" i="6" s="1"/>
  <c r="I1022" i="6" s="1"/>
  <c r="G1018" i="6"/>
  <c r="H1018" i="6" s="1"/>
  <c r="I1018" i="6" s="1"/>
  <c r="G1014" i="6"/>
  <c r="H1014" i="6" s="1"/>
  <c r="I1014" i="6" s="1"/>
  <c r="G1010" i="6"/>
  <c r="H1010" i="6" s="1"/>
  <c r="I1010" i="6" s="1"/>
  <c r="G1006" i="6"/>
  <c r="H1006" i="6" s="1"/>
  <c r="I1006" i="6" s="1"/>
  <c r="G1002" i="6"/>
  <c r="H1002" i="6" s="1"/>
  <c r="I1002" i="6" s="1"/>
  <c r="G998" i="6"/>
  <c r="H998" i="6" s="1"/>
  <c r="I998" i="6" s="1"/>
  <c r="G994" i="6"/>
  <c r="H994" i="6" s="1"/>
  <c r="I994" i="6" s="1"/>
  <c r="G46" i="6"/>
  <c r="H46" i="6" s="1"/>
  <c r="I46" i="6" s="1"/>
  <c r="G42" i="6"/>
  <c r="H42" i="6" s="1"/>
  <c r="I42" i="6" s="1"/>
  <c r="G38" i="6"/>
  <c r="H38" i="6" s="1"/>
  <c r="I38" i="6" s="1"/>
  <c r="G34" i="6"/>
  <c r="H34" i="6" s="1"/>
  <c r="I34" i="6" s="1"/>
  <c r="G540" i="6"/>
  <c r="H540" i="6" s="1"/>
  <c r="I540" i="6" s="1"/>
  <c r="G1518" i="6"/>
  <c r="H1518" i="6" s="1"/>
  <c r="I1518" i="6" s="1"/>
  <c r="G1514" i="6"/>
  <c r="H1514" i="6" s="1"/>
  <c r="I1514" i="6" s="1"/>
  <c r="G1510" i="6"/>
  <c r="H1510" i="6" s="1"/>
  <c r="I1510" i="6" s="1"/>
  <c r="G1506" i="6"/>
  <c r="H1506" i="6" s="1"/>
  <c r="I1506" i="6" s="1"/>
  <c r="G1502" i="6"/>
  <c r="H1502" i="6" s="1"/>
  <c r="I1502" i="6" s="1"/>
  <c r="G1498" i="6"/>
  <c r="H1498" i="6" s="1"/>
  <c r="I1498" i="6" s="1"/>
  <c r="G1494" i="6"/>
  <c r="H1494" i="6" s="1"/>
  <c r="I1494" i="6" s="1"/>
  <c r="G1490" i="6"/>
  <c r="H1490" i="6" s="1"/>
  <c r="I1490" i="6" s="1"/>
  <c r="G31" i="6"/>
  <c r="H31" i="6" s="1"/>
  <c r="I31" i="6" s="1"/>
  <c r="G27" i="6"/>
  <c r="H27" i="6" s="1"/>
  <c r="I27" i="6" s="1"/>
  <c r="G23" i="6"/>
  <c r="H23" i="6" s="1"/>
  <c r="I23" i="6" s="1"/>
  <c r="G19" i="6"/>
  <c r="H19" i="6" s="1"/>
  <c r="I19" i="6" s="1"/>
  <c r="G15" i="6"/>
  <c r="H15" i="6" s="1"/>
  <c r="I15" i="6" s="1"/>
  <c r="G11" i="6"/>
  <c r="H11" i="6" s="1"/>
  <c r="I11" i="6" s="1"/>
  <c r="G7" i="6"/>
  <c r="H7" i="6" s="1"/>
  <c r="I7" i="6" s="1"/>
  <c r="G3" i="6"/>
  <c r="H3" i="6" s="1"/>
  <c r="I3" i="6" s="1"/>
  <c r="G510" i="6"/>
  <c r="H510" i="6" s="1"/>
  <c r="I510" i="6" s="1"/>
  <c r="G506" i="6"/>
  <c r="H506" i="6" s="1"/>
  <c r="I506" i="6" s="1"/>
  <c r="G502" i="6"/>
  <c r="H502" i="6" s="1"/>
  <c r="I502" i="6" s="1"/>
  <c r="G498" i="6"/>
  <c r="H498" i="6" s="1"/>
  <c r="I498" i="6" s="1"/>
  <c r="G494" i="6"/>
  <c r="H494" i="6" s="1"/>
  <c r="I494" i="6" s="1"/>
  <c r="G490" i="6"/>
  <c r="H490" i="6" s="1"/>
  <c r="I490" i="6" s="1"/>
  <c r="G486" i="6"/>
  <c r="H486" i="6" s="1"/>
  <c r="I486" i="6" s="1"/>
  <c r="G524" i="6"/>
  <c r="H524" i="6" s="1"/>
  <c r="I524" i="6" s="1"/>
  <c r="G520" i="6"/>
  <c r="H520" i="6" s="1"/>
  <c r="I520" i="6" s="1"/>
  <c r="G516" i="6"/>
  <c r="H516" i="6" s="1"/>
  <c r="I516" i="6" s="1"/>
  <c r="G1024" i="6"/>
  <c r="H1024" i="6" s="1"/>
  <c r="I1024" i="6" s="1"/>
  <c r="G1020" i="6"/>
  <c r="H1020" i="6" s="1"/>
  <c r="I1020" i="6" s="1"/>
  <c r="G1016" i="6"/>
  <c r="H1016" i="6" s="1"/>
  <c r="I1016" i="6" s="1"/>
  <c r="G1012" i="6"/>
  <c r="H1012" i="6" s="1"/>
  <c r="I1012" i="6" s="1"/>
  <c r="G1008" i="6"/>
  <c r="H1008" i="6" s="1"/>
  <c r="I1008" i="6" s="1"/>
  <c r="G1004" i="6"/>
  <c r="H1004" i="6" s="1"/>
  <c r="I1004" i="6" s="1"/>
  <c r="G1000" i="6"/>
  <c r="H1000" i="6" s="1"/>
  <c r="I1000" i="6" s="1"/>
  <c r="G996" i="6"/>
  <c r="H996" i="6" s="1"/>
  <c r="I996" i="6" s="1"/>
  <c r="G993" i="6"/>
  <c r="H993" i="6" s="1"/>
  <c r="I993" i="6" s="1"/>
  <c r="G989" i="6"/>
  <c r="H989" i="6" s="1"/>
  <c r="I989" i="6" s="1"/>
  <c r="G985" i="6"/>
  <c r="H985" i="6" s="1"/>
  <c r="I985" i="6" s="1"/>
  <c r="G981" i="6"/>
  <c r="H981" i="6" s="1"/>
  <c r="I981" i="6" s="1"/>
  <c r="G977" i="6"/>
  <c r="H977" i="6" s="1"/>
  <c r="I977" i="6" s="1"/>
  <c r="G973" i="6"/>
  <c r="H973" i="6" s="1"/>
  <c r="I973" i="6" s="1"/>
  <c r="G969" i="6"/>
  <c r="H969" i="6" s="1"/>
  <c r="I969" i="6" s="1"/>
  <c r="G965" i="6"/>
  <c r="H965" i="6" s="1"/>
  <c r="I965" i="6" s="1"/>
  <c r="G1484" i="6"/>
  <c r="H1484" i="6" s="1"/>
  <c r="I1484" i="6" s="1"/>
  <c r="G1480" i="6"/>
  <c r="H1480" i="6" s="1"/>
  <c r="I1480" i="6" s="1"/>
  <c r="G1476" i="6"/>
  <c r="H1476" i="6" s="1"/>
  <c r="I1476" i="6" s="1"/>
  <c r="G1472" i="6"/>
  <c r="H1472" i="6" s="1"/>
  <c r="I1472" i="6" s="1"/>
  <c r="G1468" i="6"/>
  <c r="H1468" i="6" s="1"/>
  <c r="I1468" i="6" s="1"/>
  <c r="G1464" i="6"/>
  <c r="H1464" i="6" s="1"/>
  <c r="I1464" i="6" s="1"/>
  <c r="G1460" i="6"/>
  <c r="H1460" i="6" s="1"/>
  <c r="I1460" i="6" s="1"/>
  <c r="G1779" i="6"/>
  <c r="H1779" i="6" s="1"/>
  <c r="I1779" i="6" s="1"/>
  <c r="G289" i="6"/>
  <c r="H289" i="6" s="1"/>
  <c r="I289" i="6" s="1"/>
  <c r="G281" i="6"/>
  <c r="H281" i="6" s="1"/>
  <c r="I281" i="6" s="1"/>
  <c r="G273" i="6"/>
  <c r="H273" i="6" s="1"/>
  <c r="I273" i="6" s="1"/>
  <c r="G779" i="6"/>
  <c r="H779" i="6" s="1"/>
  <c r="I779" i="6" s="1"/>
  <c r="G771" i="6"/>
  <c r="H771" i="6" s="1"/>
  <c r="I771" i="6" s="1"/>
  <c r="G763" i="6"/>
  <c r="H763" i="6" s="1"/>
  <c r="I763" i="6" s="1"/>
  <c r="G755" i="6"/>
  <c r="H755" i="6" s="1"/>
  <c r="I755" i="6" s="1"/>
  <c r="G1267" i="6"/>
  <c r="H1267" i="6" s="1"/>
  <c r="I1267" i="6" s="1"/>
  <c r="G1259" i="6"/>
  <c r="H1259" i="6" s="1"/>
  <c r="I1259" i="6" s="1"/>
  <c r="G1251" i="6"/>
  <c r="H1251" i="6" s="1"/>
  <c r="I1251" i="6" s="1"/>
  <c r="G1243" i="6"/>
  <c r="H1243" i="6" s="1"/>
  <c r="I1243" i="6" s="1"/>
  <c r="G1775" i="6"/>
  <c r="H1775" i="6" s="1"/>
  <c r="I1775" i="6" s="1"/>
  <c r="G1767" i="6"/>
  <c r="H1767" i="6" s="1"/>
  <c r="I1767" i="6" s="1"/>
  <c r="G1759" i="6"/>
  <c r="H1759" i="6" s="1"/>
  <c r="I1759" i="6" s="1"/>
  <c r="G1751" i="6"/>
  <c r="H1751" i="6" s="1"/>
  <c r="I1751" i="6" s="1"/>
  <c r="G266" i="6"/>
  <c r="H266" i="6" s="1"/>
  <c r="I266" i="6" s="1"/>
  <c r="G258" i="6"/>
  <c r="H258" i="6" s="1"/>
  <c r="I258" i="6" s="1"/>
  <c r="G246" i="6"/>
  <c r="H246" i="6" s="1"/>
  <c r="I246" i="6" s="1"/>
  <c r="G743" i="6"/>
  <c r="H743" i="6" s="1"/>
  <c r="I743" i="6" s="1"/>
  <c r="G735" i="6"/>
  <c r="H735" i="6" s="1"/>
  <c r="I735" i="6" s="1"/>
  <c r="G727" i="6"/>
  <c r="H727" i="6" s="1"/>
  <c r="I727" i="6" s="1"/>
  <c r="G1238" i="6"/>
  <c r="H1238" i="6" s="1"/>
  <c r="I1238" i="6" s="1"/>
  <c r="G1230" i="6"/>
  <c r="H1230" i="6" s="1"/>
  <c r="I1230" i="6" s="1"/>
  <c r="G1226" i="6"/>
  <c r="H1226" i="6" s="1"/>
  <c r="I1226" i="6" s="1"/>
  <c r="G1218" i="6"/>
  <c r="H1218" i="6" s="1"/>
  <c r="I1218" i="6" s="1"/>
  <c r="G1739" i="6"/>
  <c r="H1739" i="6" s="1"/>
  <c r="I1739" i="6" s="1"/>
  <c r="G1731" i="6"/>
  <c r="H1731" i="6" s="1"/>
  <c r="I1731" i="6" s="1"/>
  <c r="G1723" i="6"/>
  <c r="H1723" i="6" s="1"/>
  <c r="I1723" i="6" s="1"/>
  <c r="G1715" i="6"/>
  <c r="H1715" i="6" s="1"/>
  <c r="I1715" i="6" s="1"/>
  <c r="G234" i="6"/>
  <c r="H234" i="6" s="1"/>
  <c r="I234" i="6" s="1"/>
  <c r="G226" i="6"/>
  <c r="H226" i="6" s="1"/>
  <c r="I226" i="6" s="1"/>
  <c r="G218" i="6"/>
  <c r="H218" i="6" s="1"/>
  <c r="I218" i="6" s="1"/>
  <c r="G722" i="6"/>
  <c r="H722" i="6" s="1"/>
  <c r="I722" i="6" s="1"/>
  <c r="G714" i="6"/>
  <c r="H714" i="6" s="1"/>
  <c r="I714" i="6" s="1"/>
  <c r="G706" i="6"/>
  <c r="H706" i="6" s="1"/>
  <c r="I706" i="6" s="1"/>
  <c r="G698" i="6"/>
  <c r="H698" i="6" s="1"/>
  <c r="I698" i="6" s="1"/>
  <c r="G1208" i="6"/>
  <c r="H1208" i="6" s="1"/>
  <c r="I1208" i="6" s="1"/>
  <c r="G1204" i="6"/>
  <c r="H1204" i="6" s="1"/>
  <c r="I1204" i="6" s="1"/>
  <c r="G1196" i="6"/>
  <c r="H1196" i="6" s="1"/>
  <c r="I1196" i="6" s="1"/>
  <c r="G1188" i="6"/>
  <c r="H1188" i="6" s="1"/>
  <c r="I1188" i="6" s="1"/>
  <c r="G1180" i="6"/>
  <c r="H1180" i="6" s="1"/>
  <c r="I1180" i="6" s="1"/>
  <c r="G292" i="6"/>
  <c r="H292" i="6" s="1"/>
  <c r="I292" i="6" s="1"/>
  <c r="G284" i="6"/>
  <c r="H284" i="6" s="1"/>
  <c r="I284" i="6" s="1"/>
  <c r="G280" i="6"/>
  <c r="H280" i="6" s="1"/>
  <c r="I280" i="6" s="1"/>
  <c r="G272" i="6"/>
  <c r="H272" i="6" s="1"/>
  <c r="I272" i="6" s="1"/>
  <c r="G782" i="6"/>
  <c r="H782" i="6" s="1"/>
  <c r="I782" i="6" s="1"/>
  <c r="G778" i="6"/>
  <c r="H778" i="6" s="1"/>
  <c r="I778" i="6" s="1"/>
  <c r="G774" i="6"/>
  <c r="H774" i="6" s="1"/>
  <c r="I774" i="6" s="1"/>
  <c r="G770" i="6"/>
  <c r="H770" i="6" s="1"/>
  <c r="I770" i="6" s="1"/>
  <c r="G766" i="6"/>
  <c r="H766" i="6" s="1"/>
  <c r="I766" i="6" s="1"/>
  <c r="G758" i="6"/>
  <c r="H758" i="6" s="1"/>
  <c r="I758" i="6" s="1"/>
  <c r="G754" i="6"/>
  <c r="H754" i="6" s="1"/>
  <c r="I754" i="6" s="1"/>
  <c r="G1270" i="6"/>
  <c r="H1270" i="6" s="1"/>
  <c r="I1270" i="6" s="1"/>
  <c r="G1266" i="6"/>
  <c r="H1266" i="6" s="1"/>
  <c r="I1266" i="6" s="1"/>
  <c r="G1262" i="6"/>
  <c r="H1262" i="6" s="1"/>
  <c r="I1262" i="6" s="1"/>
  <c r="G1258" i="6"/>
  <c r="H1258" i="6" s="1"/>
  <c r="I1258" i="6" s="1"/>
  <c r="G1254" i="6"/>
  <c r="H1254" i="6" s="1"/>
  <c r="I1254" i="6" s="1"/>
  <c r="G1250" i="6"/>
  <c r="H1250" i="6" s="1"/>
  <c r="I1250" i="6" s="1"/>
  <c r="G1246" i="6"/>
  <c r="H1246" i="6" s="1"/>
  <c r="I1246" i="6" s="1"/>
  <c r="G1242" i="6"/>
  <c r="H1242" i="6" s="1"/>
  <c r="I1242" i="6" s="1"/>
  <c r="G1774" i="6"/>
  <c r="H1774" i="6" s="1"/>
  <c r="I1774" i="6" s="1"/>
  <c r="G1770" i="6"/>
  <c r="H1770" i="6" s="1"/>
  <c r="I1770" i="6" s="1"/>
  <c r="G1766" i="6"/>
  <c r="H1766" i="6" s="1"/>
  <c r="I1766" i="6" s="1"/>
  <c r="G1758" i="6"/>
  <c r="H1758" i="6" s="1"/>
  <c r="I1758" i="6" s="1"/>
  <c r="G1754" i="6"/>
  <c r="H1754" i="6" s="1"/>
  <c r="I1754" i="6" s="1"/>
  <c r="G1750" i="6"/>
  <c r="H1750" i="6" s="1"/>
  <c r="I1750" i="6" s="1"/>
  <c r="G265" i="6"/>
  <c r="H265" i="6" s="1"/>
  <c r="I265" i="6" s="1"/>
  <c r="G261" i="6"/>
  <c r="H261" i="6" s="1"/>
  <c r="I261" i="6" s="1"/>
  <c r="G257" i="6"/>
  <c r="H257" i="6" s="1"/>
  <c r="I257" i="6" s="1"/>
  <c r="G249" i="6"/>
  <c r="H249" i="6" s="1"/>
  <c r="I249" i="6" s="1"/>
  <c r="G245" i="6"/>
  <c r="H245" i="6" s="1"/>
  <c r="I245" i="6" s="1"/>
  <c r="G241" i="6"/>
  <c r="H241" i="6" s="1"/>
  <c r="I241" i="6" s="1"/>
  <c r="G746" i="6"/>
  <c r="H746" i="6" s="1"/>
  <c r="I746" i="6" s="1"/>
  <c r="G742" i="6"/>
  <c r="H742" i="6" s="1"/>
  <c r="I742" i="6" s="1"/>
  <c r="G738" i="6"/>
  <c r="H738" i="6" s="1"/>
  <c r="I738" i="6" s="1"/>
  <c r="G730" i="6"/>
  <c r="H730" i="6" s="1"/>
  <c r="I730" i="6" s="1"/>
  <c r="G726" i="6"/>
  <c r="H726" i="6" s="1"/>
  <c r="I726" i="6" s="1"/>
  <c r="G1241" i="6"/>
  <c r="H1241" i="6" s="1"/>
  <c r="I1241" i="6" s="1"/>
  <c r="G1233" i="6"/>
  <c r="H1233" i="6" s="1"/>
  <c r="I1233" i="6" s="1"/>
  <c r="G1229" i="6"/>
  <c r="H1229" i="6" s="1"/>
  <c r="I1229" i="6" s="1"/>
  <c r="G1225" i="6"/>
  <c r="H1225" i="6" s="1"/>
  <c r="I1225" i="6" s="1"/>
  <c r="G1217" i="6"/>
  <c r="H1217" i="6" s="1"/>
  <c r="I1217" i="6" s="1"/>
  <c r="G1213" i="6"/>
  <c r="H1213" i="6" s="1"/>
  <c r="I1213" i="6" s="1"/>
  <c r="G1738" i="6"/>
  <c r="H1738" i="6" s="1"/>
  <c r="I1738" i="6" s="1"/>
  <c r="G1734" i="6"/>
  <c r="H1734" i="6" s="1"/>
  <c r="I1734" i="6" s="1"/>
  <c r="G1730" i="6"/>
  <c r="H1730" i="6" s="1"/>
  <c r="I1730" i="6" s="1"/>
  <c r="G1722" i="6"/>
  <c r="H1722" i="6" s="1"/>
  <c r="I1722" i="6" s="1"/>
  <c r="G1718" i="6"/>
  <c r="H1718" i="6" s="1"/>
  <c r="I1718" i="6" s="1"/>
  <c r="G1714" i="6"/>
  <c r="H1714" i="6" s="1"/>
  <c r="I1714" i="6" s="1"/>
  <c r="G233" i="6"/>
  <c r="H233" i="6" s="1"/>
  <c r="I233" i="6" s="1"/>
  <c r="G229" i="6"/>
  <c r="H229" i="6" s="1"/>
  <c r="I229" i="6" s="1"/>
  <c r="G225" i="6"/>
  <c r="H225" i="6" s="1"/>
  <c r="I225" i="6" s="1"/>
  <c r="G217" i="6"/>
  <c r="H217" i="6" s="1"/>
  <c r="I217" i="6" s="1"/>
  <c r="G213" i="6"/>
  <c r="H213" i="6" s="1"/>
  <c r="I213" i="6" s="1"/>
  <c r="G721" i="6"/>
  <c r="H721" i="6" s="1"/>
  <c r="I721" i="6" s="1"/>
  <c r="G713" i="6"/>
  <c r="H713" i="6" s="1"/>
  <c r="I713" i="6" s="1"/>
  <c r="G709" i="6"/>
  <c r="H709" i="6" s="1"/>
  <c r="I709" i="6" s="1"/>
  <c r="G705" i="6"/>
  <c r="H705" i="6" s="1"/>
  <c r="I705" i="6" s="1"/>
  <c r="G697" i="6"/>
  <c r="H697" i="6" s="1"/>
  <c r="I697" i="6" s="1"/>
  <c r="G693" i="6"/>
  <c r="H693" i="6" s="1"/>
  <c r="I693" i="6" s="1"/>
  <c r="G1207" i="6"/>
  <c r="H1207" i="6" s="1"/>
  <c r="I1207" i="6" s="1"/>
  <c r="G1199" i="6"/>
  <c r="H1199" i="6" s="1"/>
  <c r="I1199" i="6" s="1"/>
  <c r="G1195" i="6"/>
  <c r="H1195" i="6" s="1"/>
  <c r="I1195" i="6" s="1"/>
  <c r="G1191" i="6"/>
  <c r="H1191" i="6" s="1"/>
  <c r="I1191" i="6" s="1"/>
  <c r="G1183" i="6"/>
  <c r="H1183" i="6" s="1"/>
  <c r="I1183" i="6" s="1"/>
  <c r="G1710" i="6"/>
  <c r="H1710" i="6" s="1"/>
  <c r="I1710" i="6" s="1"/>
  <c r="G1702" i="6"/>
  <c r="H1702" i="6" s="1"/>
  <c r="I1702" i="6" s="1"/>
  <c r="G1698" i="6"/>
  <c r="H1698" i="6" s="1"/>
  <c r="I1698" i="6" s="1"/>
  <c r="G1694" i="6"/>
  <c r="H1694" i="6" s="1"/>
  <c r="I1694" i="6" s="1"/>
  <c r="G1686" i="6"/>
  <c r="H1686" i="6" s="1"/>
  <c r="I1686" i="6" s="1"/>
  <c r="G1682" i="6"/>
  <c r="H1682" i="6" s="1"/>
  <c r="I1682" i="6" s="1"/>
  <c r="G209" i="6"/>
  <c r="H209" i="6" s="1"/>
  <c r="I209" i="6" s="1"/>
  <c r="G201" i="6"/>
  <c r="H201" i="6" s="1"/>
  <c r="I201" i="6" s="1"/>
  <c r="G197" i="6"/>
  <c r="H197" i="6" s="1"/>
  <c r="I197" i="6" s="1"/>
  <c r="G193" i="6"/>
  <c r="H193" i="6" s="1"/>
  <c r="I193" i="6" s="1"/>
  <c r="G185" i="6"/>
  <c r="H185" i="6" s="1"/>
  <c r="I185" i="6" s="1"/>
  <c r="G692" i="6"/>
  <c r="H692" i="6" s="1"/>
  <c r="I692" i="6" s="1"/>
  <c r="G688" i="6"/>
  <c r="H688" i="6" s="1"/>
  <c r="I688" i="6" s="1"/>
  <c r="G684" i="6"/>
  <c r="H684" i="6" s="1"/>
  <c r="I684" i="6" s="1"/>
  <c r="G680" i="6"/>
  <c r="H680" i="6" s="1"/>
  <c r="I680" i="6" s="1"/>
  <c r="G676" i="6"/>
  <c r="H676" i="6" s="1"/>
  <c r="I676" i="6" s="1"/>
  <c r="G672" i="6"/>
  <c r="H672" i="6" s="1"/>
  <c r="I672" i="6" s="1"/>
  <c r="G668" i="6"/>
  <c r="H668" i="6" s="1"/>
  <c r="I668" i="6" s="1"/>
  <c r="G664" i="6"/>
  <c r="H664" i="6" s="1"/>
  <c r="I664" i="6" s="1"/>
  <c r="G1177" i="6"/>
  <c r="H1177" i="6" s="1"/>
  <c r="I1177" i="6" s="1"/>
  <c r="G1173" i="6"/>
  <c r="H1173" i="6" s="1"/>
  <c r="I1173" i="6" s="1"/>
  <c r="G1169" i="6"/>
  <c r="H1169" i="6" s="1"/>
  <c r="I1169" i="6" s="1"/>
  <c r="G1165" i="6"/>
  <c r="H1165" i="6" s="1"/>
  <c r="I1165" i="6" s="1"/>
  <c r="G1161" i="6"/>
  <c r="H1161" i="6" s="1"/>
  <c r="I1161" i="6" s="1"/>
  <c r="G1157" i="6"/>
  <c r="H1157" i="6" s="1"/>
  <c r="I1157" i="6" s="1"/>
  <c r="G1153" i="6"/>
  <c r="H1153" i="6" s="1"/>
  <c r="I1153" i="6" s="1"/>
  <c r="G1149" i="6"/>
  <c r="H1149" i="6" s="1"/>
  <c r="I1149" i="6" s="1"/>
  <c r="G1678" i="6"/>
  <c r="H1678" i="6" s="1"/>
  <c r="I1678" i="6" s="1"/>
  <c r="G1674" i="6"/>
  <c r="H1674" i="6" s="1"/>
  <c r="I1674" i="6" s="1"/>
  <c r="G1670" i="6"/>
  <c r="H1670" i="6" s="1"/>
  <c r="I1670" i="6" s="1"/>
  <c r="G1666" i="6"/>
  <c r="H1666" i="6" s="1"/>
  <c r="I1666" i="6" s="1"/>
  <c r="G1662" i="6"/>
  <c r="H1662" i="6" s="1"/>
  <c r="I1662" i="6" s="1"/>
  <c r="G1658" i="6"/>
  <c r="H1658" i="6" s="1"/>
  <c r="I1658" i="6" s="1"/>
  <c r="G1654" i="6"/>
  <c r="H1654" i="6" s="1"/>
  <c r="I1654" i="6" s="1"/>
  <c r="G1650" i="6"/>
  <c r="H1650" i="6" s="1"/>
  <c r="I1650" i="6" s="1"/>
  <c r="G181" i="6"/>
  <c r="H181" i="6" s="1"/>
  <c r="I181" i="6" s="1"/>
  <c r="G177" i="6"/>
  <c r="H177" i="6" s="1"/>
  <c r="I177" i="6" s="1"/>
  <c r="G173" i="6"/>
  <c r="H173" i="6" s="1"/>
  <c r="I173" i="6" s="1"/>
  <c r="G169" i="6"/>
  <c r="H169" i="6" s="1"/>
  <c r="I169" i="6" s="1"/>
  <c r="G165" i="6"/>
  <c r="H165" i="6" s="1"/>
  <c r="I165" i="6" s="1"/>
  <c r="G161" i="6"/>
  <c r="H161" i="6" s="1"/>
  <c r="I161" i="6" s="1"/>
  <c r="G157" i="6"/>
  <c r="H157" i="6" s="1"/>
  <c r="I157" i="6" s="1"/>
  <c r="G153" i="6"/>
  <c r="H153" i="6" s="1"/>
  <c r="I153" i="6" s="1"/>
  <c r="G659" i="6"/>
  <c r="H659" i="6" s="1"/>
  <c r="I659" i="6" s="1"/>
  <c r="G655" i="6"/>
  <c r="H655" i="6" s="1"/>
  <c r="I655" i="6" s="1"/>
  <c r="G651" i="6"/>
  <c r="H651" i="6" s="1"/>
  <c r="I651" i="6" s="1"/>
  <c r="G647" i="6"/>
  <c r="H647" i="6" s="1"/>
  <c r="I647" i="6" s="1"/>
  <c r="G643" i="6"/>
  <c r="H643" i="6" s="1"/>
  <c r="I643" i="6" s="1"/>
  <c r="G639" i="6"/>
  <c r="H639" i="6" s="1"/>
  <c r="I639" i="6" s="1"/>
  <c r="G635" i="6"/>
  <c r="H635" i="6" s="1"/>
  <c r="I635" i="6" s="1"/>
  <c r="G1147" i="6"/>
  <c r="H1147" i="6" s="1"/>
  <c r="I1147" i="6" s="1"/>
  <c r="G1143" i="6"/>
  <c r="H1143" i="6" s="1"/>
  <c r="I1143" i="6" s="1"/>
  <c r="G1139" i="6"/>
  <c r="H1139" i="6" s="1"/>
  <c r="I1139" i="6" s="1"/>
  <c r="G1135" i="6"/>
  <c r="H1135" i="6" s="1"/>
  <c r="I1135" i="6" s="1"/>
  <c r="G1131" i="6"/>
  <c r="H1131" i="6" s="1"/>
  <c r="I1131" i="6" s="1"/>
  <c r="G1127" i="6"/>
  <c r="H1127" i="6" s="1"/>
  <c r="I1127" i="6" s="1"/>
  <c r="G1123" i="6"/>
  <c r="H1123" i="6" s="1"/>
  <c r="I1123" i="6" s="1"/>
  <c r="G1119" i="6"/>
  <c r="H1119" i="6" s="1"/>
  <c r="I1119" i="6" s="1"/>
  <c r="G1643" i="6"/>
  <c r="H1643" i="6" s="1"/>
  <c r="I1643" i="6" s="1"/>
  <c r="G1639" i="6"/>
  <c r="H1639" i="6" s="1"/>
  <c r="I1639" i="6" s="1"/>
  <c r="G1635" i="6"/>
  <c r="H1635" i="6" s="1"/>
  <c r="I1635" i="6" s="1"/>
  <c r="G1631" i="6"/>
  <c r="H1631" i="6" s="1"/>
  <c r="I1631" i="6" s="1"/>
  <c r="G1627" i="6"/>
  <c r="H1627" i="6" s="1"/>
  <c r="I1627" i="6" s="1"/>
  <c r="G1623" i="6"/>
  <c r="H1623" i="6" s="1"/>
  <c r="I1623" i="6" s="1"/>
  <c r="G1619" i="6"/>
  <c r="H1619" i="6" s="1"/>
  <c r="I1619" i="6" s="1"/>
  <c r="G1615" i="6"/>
  <c r="H1615" i="6" s="1"/>
  <c r="I1615" i="6" s="1"/>
  <c r="G149" i="6"/>
  <c r="H149" i="6" s="1"/>
  <c r="I149" i="6" s="1"/>
  <c r="G145" i="6"/>
  <c r="H145" i="6" s="1"/>
  <c r="I145" i="6" s="1"/>
  <c r="G141" i="6"/>
  <c r="H141" i="6" s="1"/>
  <c r="I141" i="6" s="1"/>
  <c r="G137" i="6"/>
  <c r="H137" i="6" s="1"/>
  <c r="I137" i="6" s="1"/>
  <c r="G133" i="6"/>
  <c r="H133" i="6" s="1"/>
  <c r="I133" i="6" s="1"/>
  <c r="G129" i="6"/>
  <c r="H129" i="6" s="1"/>
  <c r="I129" i="6" s="1"/>
  <c r="G125" i="6"/>
  <c r="H125" i="6" s="1"/>
  <c r="I125" i="6" s="1"/>
  <c r="G631" i="6"/>
  <c r="H631" i="6" s="1"/>
  <c r="I631" i="6" s="1"/>
  <c r="G627" i="6"/>
  <c r="H627" i="6" s="1"/>
  <c r="I627" i="6" s="1"/>
  <c r="G623" i="6"/>
  <c r="H623" i="6" s="1"/>
  <c r="I623" i="6" s="1"/>
  <c r="G619" i="6"/>
  <c r="H619" i="6" s="1"/>
  <c r="I619" i="6" s="1"/>
  <c r="G615" i="6"/>
  <c r="H615" i="6" s="1"/>
  <c r="I615" i="6" s="1"/>
  <c r="G611" i="6"/>
  <c r="H611" i="6" s="1"/>
  <c r="I611" i="6" s="1"/>
  <c r="G607" i="6"/>
  <c r="H607" i="6" s="1"/>
  <c r="I607" i="6" s="1"/>
  <c r="G603" i="6"/>
  <c r="H603" i="6" s="1"/>
  <c r="I603" i="6" s="1"/>
  <c r="G1114" i="6"/>
  <c r="H1114" i="6" s="1"/>
  <c r="I1114" i="6" s="1"/>
  <c r="G1110" i="6"/>
  <c r="H1110" i="6" s="1"/>
  <c r="I1110" i="6" s="1"/>
  <c r="G1106" i="6"/>
  <c r="H1106" i="6" s="1"/>
  <c r="I1106" i="6" s="1"/>
  <c r="G1102" i="6"/>
  <c r="H1102" i="6" s="1"/>
  <c r="I1102" i="6" s="1"/>
  <c r="G1098" i="6"/>
  <c r="H1098" i="6" s="1"/>
  <c r="I1098" i="6" s="1"/>
  <c r="G1094" i="6"/>
  <c r="H1094" i="6" s="1"/>
  <c r="I1094" i="6" s="1"/>
  <c r="G1090" i="6"/>
  <c r="H1090" i="6" s="1"/>
  <c r="I1090" i="6" s="1"/>
  <c r="G1113" i="6"/>
  <c r="H1113" i="6" s="1"/>
  <c r="I1113" i="6" s="1"/>
  <c r="G76" i="6"/>
  <c r="H76" i="6" s="1"/>
  <c r="I76" i="6" s="1"/>
  <c r="G293" i="6"/>
  <c r="H293" i="6" s="1"/>
  <c r="I293" i="6" s="1"/>
  <c r="G285" i="6"/>
  <c r="H285" i="6" s="1"/>
  <c r="I285" i="6" s="1"/>
  <c r="G277" i="6"/>
  <c r="H277" i="6" s="1"/>
  <c r="I277" i="6" s="1"/>
  <c r="G269" i="6"/>
  <c r="H269" i="6" s="1"/>
  <c r="I269" i="6" s="1"/>
  <c r="G775" i="6"/>
  <c r="H775" i="6" s="1"/>
  <c r="I775" i="6" s="1"/>
  <c r="G767" i="6"/>
  <c r="H767" i="6" s="1"/>
  <c r="I767" i="6" s="1"/>
  <c r="G759" i="6"/>
  <c r="H759" i="6" s="1"/>
  <c r="I759" i="6" s="1"/>
  <c r="G1271" i="6"/>
  <c r="H1271" i="6" s="1"/>
  <c r="I1271" i="6" s="1"/>
  <c r="G1263" i="6"/>
  <c r="H1263" i="6" s="1"/>
  <c r="I1263" i="6" s="1"/>
  <c r="G1255" i="6"/>
  <c r="H1255" i="6" s="1"/>
  <c r="I1255" i="6" s="1"/>
  <c r="G1247" i="6"/>
  <c r="H1247" i="6" s="1"/>
  <c r="I1247" i="6" s="1"/>
  <c r="G1771" i="6"/>
  <c r="H1771" i="6" s="1"/>
  <c r="I1771" i="6" s="1"/>
  <c r="G1763" i="6"/>
  <c r="H1763" i="6" s="1"/>
  <c r="I1763" i="6" s="1"/>
  <c r="G1755" i="6"/>
  <c r="H1755" i="6" s="1"/>
  <c r="I1755" i="6" s="1"/>
  <c r="G1747" i="6"/>
  <c r="H1747" i="6" s="1"/>
  <c r="I1747" i="6" s="1"/>
  <c r="G262" i="6"/>
  <c r="H262" i="6" s="1"/>
  <c r="I262" i="6" s="1"/>
  <c r="G254" i="6"/>
  <c r="H254" i="6" s="1"/>
  <c r="I254" i="6" s="1"/>
  <c r="G250" i="6"/>
  <c r="H250" i="6" s="1"/>
  <c r="I250" i="6" s="1"/>
  <c r="G242" i="6"/>
  <c r="H242" i="6" s="1"/>
  <c r="I242" i="6" s="1"/>
  <c r="G751" i="6"/>
  <c r="H751" i="6" s="1"/>
  <c r="I751" i="6" s="1"/>
  <c r="G747" i="6"/>
  <c r="H747" i="6" s="1"/>
  <c r="I747" i="6" s="1"/>
  <c r="G739" i="6"/>
  <c r="H739" i="6" s="1"/>
  <c r="I739" i="6" s="1"/>
  <c r="G731" i="6"/>
  <c r="H731" i="6" s="1"/>
  <c r="I731" i="6" s="1"/>
  <c r="G723" i="6"/>
  <c r="H723" i="6" s="1"/>
  <c r="I723" i="6" s="1"/>
  <c r="G1234" i="6"/>
  <c r="H1234" i="6" s="1"/>
  <c r="I1234" i="6" s="1"/>
  <c r="G1222" i="6"/>
  <c r="H1222" i="6" s="1"/>
  <c r="I1222" i="6" s="1"/>
  <c r="G1214" i="6"/>
  <c r="H1214" i="6" s="1"/>
  <c r="I1214" i="6" s="1"/>
  <c r="G1743" i="6"/>
  <c r="H1743" i="6" s="1"/>
  <c r="I1743" i="6" s="1"/>
  <c r="G1735" i="6"/>
  <c r="H1735" i="6" s="1"/>
  <c r="I1735" i="6" s="1"/>
  <c r="G1727" i="6"/>
  <c r="H1727" i="6" s="1"/>
  <c r="I1727" i="6" s="1"/>
  <c r="G1719" i="6"/>
  <c r="H1719" i="6" s="1"/>
  <c r="I1719" i="6" s="1"/>
  <c r="G238" i="6"/>
  <c r="H238" i="6" s="1"/>
  <c r="I238" i="6" s="1"/>
  <c r="G230" i="6"/>
  <c r="H230" i="6" s="1"/>
  <c r="I230" i="6" s="1"/>
  <c r="G222" i="6"/>
  <c r="H222" i="6" s="1"/>
  <c r="I222" i="6" s="1"/>
  <c r="G214" i="6"/>
  <c r="H214" i="6" s="1"/>
  <c r="I214" i="6" s="1"/>
  <c r="G718" i="6"/>
  <c r="H718" i="6" s="1"/>
  <c r="I718" i="6" s="1"/>
  <c r="G710" i="6"/>
  <c r="H710" i="6" s="1"/>
  <c r="I710" i="6" s="1"/>
  <c r="G702" i="6"/>
  <c r="H702" i="6" s="1"/>
  <c r="I702" i="6" s="1"/>
  <c r="G694" i="6"/>
  <c r="H694" i="6" s="1"/>
  <c r="I694" i="6" s="1"/>
  <c r="G1200" i="6"/>
  <c r="H1200" i="6" s="1"/>
  <c r="I1200" i="6" s="1"/>
  <c r="G1192" i="6"/>
  <c r="H1192" i="6" s="1"/>
  <c r="I1192" i="6" s="1"/>
  <c r="G1184" i="6"/>
  <c r="H1184" i="6" s="1"/>
  <c r="I1184" i="6" s="1"/>
  <c r="G1221" i="6"/>
  <c r="H1221" i="6" s="1"/>
  <c r="I1221" i="6" s="1"/>
  <c r="G1742" i="6"/>
  <c r="H1742" i="6" s="1"/>
  <c r="I1742" i="6" s="1"/>
  <c r="G1690" i="6"/>
  <c r="H1690" i="6" s="1"/>
  <c r="I1690" i="6" s="1"/>
  <c r="G296" i="6"/>
  <c r="H296" i="6" s="1"/>
  <c r="I296" i="6" s="1"/>
  <c r="G288" i="6"/>
  <c r="H288" i="6" s="1"/>
  <c r="I288" i="6" s="1"/>
  <c r="G276" i="6"/>
  <c r="H276" i="6" s="1"/>
  <c r="I276" i="6" s="1"/>
  <c r="G762" i="6"/>
  <c r="H762" i="6" s="1"/>
  <c r="I762" i="6" s="1"/>
  <c r="G1781" i="6"/>
  <c r="H1781" i="6" s="1"/>
  <c r="I1781" i="6" s="1"/>
  <c r="G295" i="6"/>
  <c r="H295" i="6" s="1"/>
  <c r="I295" i="6" s="1"/>
  <c r="G291" i="6"/>
  <c r="H291" i="6" s="1"/>
  <c r="I291" i="6" s="1"/>
  <c r="G287" i="6"/>
  <c r="H287" i="6" s="1"/>
  <c r="I287" i="6" s="1"/>
  <c r="G283" i="6"/>
  <c r="H283" i="6" s="1"/>
  <c r="I283" i="6" s="1"/>
  <c r="G279" i="6"/>
  <c r="H279" i="6" s="1"/>
  <c r="I279" i="6" s="1"/>
  <c r="G275" i="6"/>
  <c r="H275" i="6" s="1"/>
  <c r="I275" i="6" s="1"/>
  <c r="G271" i="6"/>
  <c r="H271" i="6" s="1"/>
  <c r="I271" i="6" s="1"/>
  <c r="G781" i="6"/>
  <c r="H781" i="6" s="1"/>
  <c r="I781" i="6" s="1"/>
  <c r="G777" i="6"/>
  <c r="H777" i="6" s="1"/>
  <c r="I777" i="6" s="1"/>
  <c r="G773" i="6"/>
  <c r="H773" i="6" s="1"/>
  <c r="I773" i="6" s="1"/>
  <c r="G769" i="6"/>
  <c r="H769" i="6" s="1"/>
  <c r="I769" i="6" s="1"/>
  <c r="G765" i="6"/>
  <c r="H765" i="6" s="1"/>
  <c r="I765" i="6" s="1"/>
  <c r="G761" i="6"/>
  <c r="H761" i="6" s="1"/>
  <c r="I761" i="6" s="1"/>
  <c r="G757" i="6"/>
  <c r="H757" i="6" s="1"/>
  <c r="I757" i="6" s="1"/>
  <c r="G753" i="6"/>
  <c r="H753" i="6" s="1"/>
  <c r="I753" i="6" s="1"/>
  <c r="G1269" i="6"/>
  <c r="H1269" i="6" s="1"/>
  <c r="I1269" i="6" s="1"/>
  <c r="G1265" i="6"/>
  <c r="H1265" i="6" s="1"/>
  <c r="I1265" i="6" s="1"/>
  <c r="G1261" i="6"/>
  <c r="H1261" i="6" s="1"/>
  <c r="I1261" i="6" s="1"/>
  <c r="G1257" i="6"/>
  <c r="H1257" i="6" s="1"/>
  <c r="I1257" i="6" s="1"/>
  <c r="G1253" i="6"/>
  <c r="H1253" i="6" s="1"/>
  <c r="I1253" i="6" s="1"/>
  <c r="G1249" i="6"/>
  <c r="H1249" i="6" s="1"/>
  <c r="I1249" i="6" s="1"/>
  <c r="G1245" i="6"/>
  <c r="H1245" i="6" s="1"/>
  <c r="I1245" i="6" s="1"/>
  <c r="G1777" i="6"/>
  <c r="H1777" i="6" s="1"/>
  <c r="I1777" i="6" s="1"/>
  <c r="G1769" i="6"/>
  <c r="H1769" i="6" s="1"/>
  <c r="I1769" i="6" s="1"/>
  <c r="G1765" i="6"/>
  <c r="H1765" i="6" s="1"/>
  <c r="I1765" i="6" s="1"/>
  <c r="G1761" i="6"/>
  <c r="H1761" i="6" s="1"/>
  <c r="I1761" i="6" s="1"/>
  <c r="G1753" i="6"/>
  <c r="H1753" i="6" s="1"/>
  <c r="I1753" i="6" s="1"/>
  <c r="G1749" i="6"/>
  <c r="H1749" i="6" s="1"/>
  <c r="I1749" i="6" s="1"/>
  <c r="G268" i="6"/>
  <c r="H268" i="6" s="1"/>
  <c r="I268" i="6" s="1"/>
  <c r="G260" i="6"/>
  <c r="H260" i="6" s="1"/>
  <c r="I260" i="6" s="1"/>
  <c r="G256" i="6"/>
  <c r="H256" i="6" s="1"/>
  <c r="I256" i="6" s="1"/>
  <c r="G252" i="6"/>
  <c r="H252" i="6" s="1"/>
  <c r="I252" i="6" s="1"/>
  <c r="G244" i="6"/>
  <c r="H244" i="6" s="1"/>
  <c r="I244" i="6" s="1"/>
  <c r="G240" i="6"/>
  <c r="H240" i="6" s="1"/>
  <c r="I240" i="6" s="1"/>
  <c r="G749" i="6"/>
  <c r="H749" i="6" s="1"/>
  <c r="I749" i="6" s="1"/>
  <c r="G741" i="6"/>
  <c r="H741" i="6" s="1"/>
  <c r="I741" i="6" s="1"/>
  <c r="G737" i="6"/>
  <c r="H737" i="6" s="1"/>
  <c r="I737" i="6" s="1"/>
  <c r="G733" i="6"/>
  <c r="H733" i="6" s="1"/>
  <c r="I733" i="6" s="1"/>
  <c r="G725" i="6"/>
  <c r="H725" i="6" s="1"/>
  <c r="I725" i="6" s="1"/>
  <c r="G1240" i="6"/>
  <c r="H1240" i="6" s="1"/>
  <c r="I1240" i="6" s="1"/>
  <c r="G1236" i="6"/>
  <c r="H1236" i="6" s="1"/>
  <c r="I1236" i="6" s="1"/>
  <c r="G1228" i="6"/>
  <c r="H1228" i="6" s="1"/>
  <c r="I1228" i="6" s="1"/>
  <c r="G1224" i="6"/>
  <c r="H1224" i="6" s="1"/>
  <c r="I1224" i="6" s="1"/>
  <c r="G1220" i="6"/>
  <c r="H1220" i="6" s="1"/>
  <c r="I1220" i="6" s="1"/>
  <c r="G1212" i="6"/>
  <c r="H1212" i="6" s="1"/>
  <c r="I1212" i="6" s="1"/>
  <c r="G1745" i="6"/>
  <c r="H1745" i="6" s="1"/>
  <c r="I1745" i="6" s="1"/>
  <c r="G1741" i="6"/>
  <c r="H1741" i="6" s="1"/>
  <c r="I1741" i="6" s="1"/>
  <c r="G1733" i="6"/>
  <c r="H1733" i="6" s="1"/>
  <c r="I1733" i="6" s="1"/>
  <c r="G1729" i="6"/>
  <c r="H1729" i="6" s="1"/>
  <c r="I1729" i="6" s="1"/>
  <c r="G1725" i="6"/>
  <c r="H1725" i="6" s="1"/>
  <c r="I1725" i="6" s="1"/>
  <c r="G1717" i="6"/>
  <c r="H1717" i="6" s="1"/>
  <c r="I1717" i="6" s="1"/>
  <c r="G1713" i="6"/>
  <c r="H1713" i="6" s="1"/>
  <c r="I1713" i="6" s="1"/>
  <c r="G236" i="6"/>
  <c r="H236" i="6" s="1"/>
  <c r="I236" i="6" s="1"/>
  <c r="G228" i="6"/>
  <c r="H228" i="6" s="1"/>
  <c r="I228" i="6" s="1"/>
  <c r="G224" i="6"/>
  <c r="H224" i="6" s="1"/>
  <c r="I224" i="6" s="1"/>
  <c r="G220" i="6"/>
  <c r="H220" i="6" s="1"/>
  <c r="I220" i="6" s="1"/>
  <c r="G212" i="6"/>
  <c r="H212" i="6" s="1"/>
  <c r="I212" i="6" s="1"/>
  <c r="G720" i="6"/>
  <c r="H720" i="6" s="1"/>
  <c r="I720" i="6" s="1"/>
  <c r="G716" i="6"/>
  <c r="H716" i="6" s="1"/>
  <c r="I716" i="6" s="1"/>
  <c r="G708" i="6"/>
  <c r="H708" i="6" s="1"/>
  <c r="I708" i="6" s="1"/>
  <c r="G704" i="6"/>
  <c r="H704" i="6" s="1"/>
  <c r="I704" i="6" s="1"/>
  <c r="G700" i="6"/>
  <c r="H700" i="6" s="1"/>
  <c r="I700" i="6" s="1"/>
  <c r="G1210" i="6"/>
  <c r="H1210" i="6" s="1"/>
  <c r="I1210" i="6" s="1"/>
  <c r="G1206" i="6"/>
  <c r="H1206" i="6" s="1"/>
  <c r="I1206" i="6" s="1"/>
  <c r="G1202" i="6"/>
  <c r="H1202" i="6" s="1"/>
  <c r="I1202" i="6" s="1"/>
  <c r="G1194" i="6"/>
  <c r="H1194" i="6" s="1"/>
  <c r="I1194" i="6" s="1"/>
  <c r="G1190" i="6"/>
  <c r="H1190" i="6" s="1"/>
  <c r="I1190" i="6" s="1"/>
  <c r="G1186" i="6"/>
  <c r="H1186" i="6" s="1"/>
  <c r="I1186" i="6" s="1"/>
  <c r="G1709" i="6"/>
  <c r="H1709" i="6" s="1"/>
  <c r="I1709" i="6" s="1"/>
  <c r="G1705" i="6"/>
  <c r="H1705" i="6" s="1"/>
  <c r="I1705" i="6" s="1"/>
  <c r="G1697" i="6"/>
  <c r="H1697" i="6" s="1"/>
  <c r="I1697" i="6" s="1"/>
  <c r="G1693" i="6"/>
  <c r="H1693" i="6" s="1"/>
  <c r="I1693" i="6" s="1"/>
  <c r="G1689" i="6"/>
  <c r="H1689" i="6" s="1"/>
  <c r="I1689" i="6" s="1"/>
  <c r="G1681" i="6"/>
  <c r="H1681" i="6" s="1"/>
  <c r="I1681" i="6" s="1"/>
  <c r="G208" i="6"/>
  <c r="H208" i="6" s="1"/>
  <c r="I208" i="6" s="1"/>
  <c r="G204" i="6"/>
  <c r="H204" i="6" s="1"/>
  <c r="I204" i="6" s="1"/>
  <c r="G196" i="6"/>
  <c r="H196" i="6" s="1"/>
  <c r="I196" i="6" s="1"/>
  <c r="G192" i="6"/>
  <c r="H192" i="6" s="1"/>
  <c r="I192" i="6" s="1"/>
  <c r="G188" i="6"/>
  <c r="H188" i="6" s="1"/>
  <c r="I188" i="6" s="1"/>
  <c r="G691" i="6"/>
  <c r="H691" i="6" s="1"/>
  <c r="I691" i="6" s="1"/>
  <c r="G687" i="6"/>
  <c r="H687" i="6" s="1"/>
  <c r="I687" i="6" s="1"/>
  <c r="G683" i="6"/>
  <c r="H683" i="6" s="1"/>
  <c r="I683" i="6" s="1"/>
  <c r="G679" i="6"/>
  <c r="H679" i="6" s="1"/>
  <c r="I679" i="6" s="1"/>
  <c r="G675" i="6"/>
  <c r="H675" i="6" s="1"/>
  <c r="I675" i="6" s="1"/>
  <c r="G671" i="6"/>
  <c r="H671" i="6" s="1"/>
  <c r="I671" i="6" s="1"/>
  <c r="G667" i="6"/>
  <c r="H667" i="6" s="1"/>
  <c r="I667" i="6" s="1"/>
  <c r="G663" i="6"/>
  <c r="H663" i="6" s="1"/>
  <c r="I663" i="6" s="1"/>
  <c r="G1176" i="6"/>
  <c r="H1176" i="6" s="1"/>
  <c r="I1176" i="6" s="1"/>
  <c r="G1172" i="6"/>
  <c r="H1172" i="6" s="1"/>
  <c r="I1172" i="6" s="1"/>
  <c r="G1168" i="6"/>
  <c r="H1168" i="6" s="1"/>
  <c r="I1168" i="6" s="1"/>
  <c r="G1164" i="6"/>
  <c r="H1164" i="6" s="1"/>
  <c r="I1164" i="6" s="1"/>
  <c r="G1160" i="6"/>
  <c r="H1160" i="6" s="1"/>
  <c r="I1160" i="6" s="1"/>
  <c r="G1156" i="6"/>
  <c r="H1156" i="6" s="1"/>
  <c r="I1156" i="6" s="1"/>
  <c r="G1152" i="6"/>
  <c r="H1152" i="6" s="1"/>
  <c r="I1152" i="6" s="1"/>
  <c r="G1646" i="6"/>
  <c r="H1646" i="6" s="1"/>
  <c r="I1646" i="6" s="1"/>
  <c r="G1630" i="6"/>
  <c r="H1630" i="6" s="1"/>
  <c r="I1630" i="6" s="1"/>
  <c r="G136" i="6"/>
  <c r="H136" i="6" s="1"/>
  <c r="I136" i="6" s="1"/>
  <c r="G630" i="6"/>
  <c r="H630" i="6" s="1"/>
  <c r="I630" i="6" s="1"/>
  <c r="G614" i="6"/>
  <c r="H614" i="6" s="1"/>
  <c r="I614" i="6" s="1"/>
  <c r="G1097" i="6"/>
  <c r="H1097" i="6" s="1"/>
  <c r="I1097" i="6" s="1"/>
  <c r="G1611" i="6"/>
  <c r="H1611" i="6" s="1"/>
  <c r="I1611" i="6" s="1"/>
  <c r="G1595" i="6"/>
  <c r="H1595" i="6" s="1"/>
  <c r="I1595" i="6" s="1"/>
  <c r="G119" i="6"/>
  <c r="H119" i="6" s="1"/>
  <c r="I119" i="6" s="1"/>
  <c r="G597" i="6"/>
  <c r="H597" i="6" s="1"/>
  <c r="I597" i="6" s="1"/>
  <c r="G581" i="6"/>
  <c r="H581" i="6" s="1"/>
  <c r="I581" i="6" s="1"/>
  <c r="G1079" i="6"/>
  <c r="H1079" i="6" s="1"/>
  <c r="I1079" i="6" s="1"/>
  <c r="G1560" i="6"/>
  <c r="H1560" i="6" s="1"/>
  <c r="I1560" i="6" s="1"/>
  <c r="G86" i="6"/>
  <c r="H86" i="6" s="1"/>
  <c r="I86" i="6" s="1"/>
  <c r="G70" i="6"/>
  <c r="H70" i="6" s="1"/>
  <c r="I70" i="6" s="1"/>
  <c r="G548" i="6"/>
  <c r="H548" i="6" s="1"/>
  <c r="I548" i="6" s="1"/>
  <c r="G1045" i="6"/>
  <c r="H1045" i="6" s="1"/>
  <c r="I1045" i="6" s="1"/>
  <c r="G1029" i="6"/>
  <c r="H1029" i="6" s="1"/>
  <c r="I1029" i="6" s="1"/>
  <c r="G152" i="6"/>
  <c r="H152" i="6" s="1"/>
  <c r="I152" i="6" s="1"/>
  <c r="G1085" i="6"/>
  <c r="H1085" i="6" s="1"/>
  <c r="I1085" i="6" s="1"/>
  <c r="G564" i="6"/>
  <c r="H564" i="6" s="1"/>
  <c r="I564" i="6" s="1"/>
  <c r="G1585" i="6"/>
  <c r="H1585" i="6" s="1"/>
  <c r="I1585" i="6" s="1"/>
  <c r="G1063" i="6"/>
  <c r="H1063" i="6" s="1"/>
  <c r="I1063" i="6" s="1"/>
  <c r="G1576" i="6"/>
  <c r="H1576" i="6" s="1"/>
  <c r="I1576" i="6" s="1"/>
  <c r="G1677" i="6"/>
  <c r="H1677" i="6" s="1"/>
  <c r="I1677" i="6" s="1"/>
  <c r="G1673" i="6"/>
  <c r="H1673" i="6" s="1"/>
  <c r="I1673" i="6" s="1"/>
  <c r="G1669" i="6"/>
  <c r="H1669" i="6" s="1"/>
  <c r="I1669" i="6" s="1"/>
  <c r="G1665" i="6"/>
  <c r="H1665" i="6" s="1"/>
  <c r="I1665" i="6" s="1"/>
  <c r="G1661" i="6"/>
  <c r="H1661" i="6" s="1"/>
  <c r="I1661" i="6" s="1"/>
  <c r="G1657" i="6"/>
  <c r="H1657" i="6" s="1"/>
  <c r="I1657" i="6" s="1"/>
  <c r="G1653" i="6"/>
  <c r="H1653" i="6" s="1"/>
  <c r="I1653" i="6" s="1"/>
  <c r="G1649" i="6"/>
  <c r="H1649" i="6" s="1"/>
  <c r="I1649" i="6" s="1"/>
  <c r="G180" i="6"/>
  <c r="H180" i="6" s="1"/>
  <c r="I180" i="6" s="1"/>
  <c r="G176" i="6"/>
  <c r="H176" i="6" s="1"/>
  <c r="I176" i="6" s="1"/>
  <c r="G172" i="6"/>
  <c r="H172" i="6" s="1"/>
  <c r="I172" i="6" s="1"/>
  <c r="G168" i="6"/>
  <c r="H168" i="6" s="1"/>
  <c r="I168" i="6" s="1"/>
  <c r="G164" i="6"/>
  <c r="H164" i="6" s="1"/>
  <c r="I164" i="6" s="1"/>
  <c r="G160" i="6"/>
  <c r="H160" i="6" s="1"/>
  <c r="I160" i="6" s="1"/>
  <c r="G156" i="6"/>
  <c r="H156" i="6" s="1"/>
  <c r="I156" i="6" s="1"/>
  <c r="G662" i="6"/>
  <c r="H662" i="6" s="1"/>
  <c r="I662" i="6" s="1"/>
  <c r="G658" i="6"/>
  <c r="H658" i="6" s="1"/>
  <c r="I658" i="6" s="1"/>
  <c r="G654" i="6"/>
  <c r="H654" i="6" s="1"/>
  <c r="I654" i="6" s="1"/>
  <c r="G650" i="6"/>
  <c r="H650" i="6" s="1"/>
  <c r="I650" i="6" s="1"/>
  <c r="G646" i="6"/>
  <c r="H646" i="6" s="1"/>
  <c r="I646" i="6" s="1"/>
  <c r="G642" i="6"/>
  <c r="H642" i="6" s="1"/>
  <c r="I642" i="6" s="1"/>
  <c r="G638" i="6"/>
  <c r="H638" i="6" s="1"/>
  <c r="I638" i="6" s="1"/>
  <c r="G634" i="6"/>
  <c r="H634" i="6" s="1"/>
  <c r="I634" i="6" s="1"/>
  <c r="G1146" i="6"/>
  <c r="H1146" i="6" s="1"/>
  <c r="I1146" i="6" s="1"/>
  <c r="G1142" i="6"/>
  <c r="H1142" i="6" s="1"/>
  <c r="I1142" i="6" s="1"/>
  <c r="G1138" i="6"/>
  <c r="H1138" i="6" s="1"/>
  <c r="I1138" i="6" s="1"/>
  <c r="G1134" i="6"/>
  <c r="H1134" i="6" s="1"/>
  <c r="I1134" i="6" s="1"/>
  <c r="G1130" i="6"/>
  <c r="H1130" i="6" s="1"/>
  <c r="I1130" i="6" s="1"/>
  <c r="G1126" i="6"/>
  <c r="H1126" i="6" s="1"/>
  <c r="I1126" i="6" s="1"/>
  <c r="G1122" i="6"/>
  <c r="H1122" i="6" s="1"/>
  <c r="I1122" i="6" s="1"/>
  <c r="G1118" i="6"/>
  <c r="H1118" i="6" s="1"/>
  <c r="I1118" i="6" s="1"/>
  <c r="G1642" i="6"/>
  <c r="H1642" i="6" s="1"/>
  <c r="I1642" i="6" s="1"/>
  <c r="G1638" i="6"/>
  <c r="H1638" i="6" s="1"/>
  <c r="I1638" i="6" s="1"/>
  <c r="G1634" i="6"/>
  <c r="H1634" i="6" s="1"/>
  <c r="I1634" i="6" s="1"/>
  <c r="G1626" i="6"/>
  <c r="H1626" i="6" s="1"/>
  <c r="I1626" i="6" s="1"/>
  <c r="G1622" i="6"/>
  <c r="H1622" i="6" s="1"/>
  <c r="I1622" i="6" s="1"/>
  <c r="G1618" i="6"/>
  <c r="H1618" i="6" s="1"/>
  <c r="I1618" i="6" s="1"/>
  <c r="G148" i="6"/>
  <c r="H148" i="6" s="1"/>
  <c r="I148" i="6" s="1"/>
  <c r="G144" i="6"/>
  <c r="H144" i="6" s="1"/>
  <c r="I144" i="6" s="1"/>
  <c r="G140" i="6"/>
  <c r="H140" i="6" s="1"/>
  <c r="I140" i="6" s="1"/>
  <c r="G132" i="6"/>
  <c r="H132" i="6" s="1"/>
  <c r="I132" i="6" s="1"/>
  <c r="G128" i="6"/>
  <c r="H128" i="6" s="1"/>
  <c r="I128" i="6" s="1"/>
  <c r="G124" i="6"/>
  <c r="H124" i="6" s="1"/>
  <c r="I124" i="6" s="1"/>
  <c r="G626" i="6"/>
  <c r="H626" i="6" s="1"/>
  <c r="I626" i="6" s="1"/>
  <c r="G622" i="6"/>
  <c r="H622" i="6" s="1"/>
  <c r="I622" i="6" s="1"/>
  <c r="G618" i="6"/>
  <c r="H618" i="6" s="1"/>
  <c r="I618" i="6" s="1"/>
  <c r="G610" i="6"/>
  <c r="H610" i="6" s="1"/>
  <c r="I610" i="6" s="1"/>
  <c r="G606" i="6"/>
  <c r="H606" i="6" s="1"/>
  <c r="I606" i="6" s="1"/>
  <c r="G1117" i="6"/>
  <c r="H1117" i="6" s="1"/>
  <c r="I1117" i="6" s="1"/>
  <c r="G1109" i="6"/>
  <c r="H1109" i="6" s="1"/>
  <c r="I1109" i="6" s="1"/>
  <c r="G1105" i="6"/>
  <c r="H1105" i="6" s="1"/>
  <c r="I1105" i="6" s="1"/>
  <c r="G1101" i="6"/>
  <c r="H1101" i="6" s="1"/>
  <c r="I1101" i="6" s="1"/>
  <c r="G1093" i="6"/>
  <c r="H1093" i="6" s="1"/>
  <c r="I1093" i="6" s="1"/>
  <c r="G1089" i="6"/>
  <c r="H1089" i="6" s="1"/>
  <c r="I1089" i="6" s="1"/>
  <c r="G1607" i="6"/>
  <c r="H1607" i="6" s="1"/>
  <c r="I1607" i="6" s="1"/>
  <c r="G1603" i="6"/>
  <c r="H1603" i="6" s="1"/>
  <c r="I1603" i="6" s="1"/>
  <c r="G1599" i="6"/>
  <c r="H1599" i="6" s="1"/>
  <c r="I1599" i="6" s="1"/>
  <c r="G1591" i="6"/>
  <c r="H1591" i="6" s="1"/>
  <c r="I1591" i="6" s="1"/>
  <c r="G1587" i="6"/>
  <c r="H1587" i="6" s="1"/>
  <c r="I1587" i="6" s="1"/>
  <c r="G1583" i="6"/>
  <c r="H1583" i="6" s="1"/>
  <c r="I1583" i="6" s="1"/>
  <c r="G115" i="6"/>
  <c r="H115" i="6" s="1"/>
  <c r="I115" i="6" s="1"/>
  <c r="G111" i="6"/>
  <c r="H111" i="6" s="1"/>
  <c r="I111" i="6" s="1"/>
  <c r="G107" i="6"/>
  <c r="H107" i="6" s="1"/>
  <c r="I107" i="6" s="1"/>
  <c r="G99" i="6"/>
  <c r="H99" i="6" s="1"/>
  <c r="I99" i="6" s="1"/>
  <c r="G95" i="6"/>
  <c r="H95" i="6" s="1"/>
  <c r="I95" i="6" s="1"/>
  <c r="G601" i="6"/>
  <c r="H601" i="6" s="1"/>
  <c r="I601" i="6" s="1"/>
  <c r="G593" i="6"/>
  <c r="H593" i="6" s="1"/>
  <c r="I593" i="6" s="1"/>
  <c r="G589" i="6"/>
  <c r="H589" i="6" s="1"/>
  <c r="I589" i="6" s="1"/>
  <c r="G585" i="6"/>
  <c r="H585" i="6" s="1"/>
  <c r="I585" i="6" s="1"/>
  <c r="G577" i="6"/>
  <c r="H577" i="6" s="1"/>
  <c r="I577" i="6" s="1"/>
  <c r="G573" i="6"/>
  <c r="H573" i="6" s="1"/>
  <c r="I573" i="6" s="1"/>
  <c r="G1083" i="6"/>
  <c r="H1083" i="6" s="1"/>
  <c r="I1083" i="6" s="1"/>
  <c r="G1075" i="6"/>
  <c r="H1075" i="6" s="1"/>
  <c r="I1075" i="6" s="1"/>
  <c r="G1071" i="6"/>
  <c r="H1071" i="6" s="1"/>
  <c r="I1071" i="6" s="1"/>
  <c r="G1067" i="6"/>
  <c r="H1067" i="6" s="1"/>
  <c r="I1067" i="6" s="1"/>
  <c r="G1059" i="6"/>
  <c r="H1059" i="6" s="1"/>
  <c r="I1059" i="6" s="1"/>
  <c r="G1580" i="6"/>
  <c r="H1580" i="6" s="1"/>
  <c r="I1580" i="6" s="1"/>
  <c r="G1572" i="6"/>
  <c r="H1572" i="6" s="1"/>
  <c r="I1572" i="6" s="1"/>
  <c r="G1568" i="6"/>
  <c r="H1568" i="6" s="1"/>
  <c r="I1568" i="6" s="1"/>
  <c r="G1564" i="6"/>
  <c r="H1564" i="6" s="1"/>
  <c r="I1564" i="6" s="1"/>
  <c r="G1556" i="6"/>
  <c r="H1556" i="6" s="1"/>
  <c r="I1556" i="6" s="1"/>
  <c r="G1552" i="6"/>
  <c r="H1552" i="6" s="1"/>
  <c r="I1552" i="6" s="1"/>
  <c r="G90" i="6"/>
  <c r="H90" i="6" s="1"/>
  <c r="I90" i="6" s="1"/>
  <c r="G82" i="6"/>
  <c r="H82" i="6" s="1"/>
  <c r="I82" i="6" s="1"/>
  <c r="G78" i="6"/>
  <c r="H78" i="6" s="1"/>
  <c r="I78" i="6" s="1"/>
  <c r="G74" i="6"/>
  <c r="H74" i="6" s="1"/>
  <c r="I74" i="6" s="1"/>
  <c r="G66" i="6"/>
  <c r="H66" i="6" s="1"/>
  <c r="I66" i="6" s="1"/>
  <c r="G572" i="6"/>
  <c r="H572" i="6" s="1"/>
  <c r="I572" i="6" s="1"/>
  <c r="G568" i="6"/>
  <c r="H568" i="6" s="1"/>
  <c r="I568" i="6" s="1"/>
  <c r="G560" i="6"/>
  <c r="H560" i="6" s="1"/>
  <c r="I560" i="6" s="1"/>
  <c r="G556" i="6"/>
  <c r="H556" i="6" s="1"/>
  <c r="I556" i="6" s="1"/>
  <c r="G552" i="6"/>
  <c r="H552" i="6" s="1"/>
  <c r="I552" i="6" s="1"/>
  <c r="G544" i="6"/>
  <c r="H544" i="6" s="1"/>
  <c r="I544" i="6" s="1"/>
  <c r="G1053" i="6"/>
  <c r="H1053" i="6" s="1"/>
  <c r="I1053" i="6" s="1"/>
  <c r="G1049" i="6"/>
  <c r="H1049" i="6" s="1"/>
  <c r="I1049" i="6" s="1"/>
  <c r="G1041" i="6"/>
  <c r="H1041" i="6" s="1"/>
  <c r="I1041" i="6" s="1"/>
  <c r="G1037" i="6"/>
  <c r="H1037" i="6" s="1"/>
  <c r="I1037" i="6" s="1"/>
  <c r="G1033" i="6"/>
  <c r="H1033" i="6" s="1"/>
  <c r="I1033" i="6" s="1"/>
  <c r="G1025" i="6"/>
  <c r="H1025" i="6" s="1"/>
  <c r="I1025" i="6" s="1"/>
  <c r="G1549" i="6"/>
  <c r="H1549" i="6" s="1"/>
  <c r="I1549" i="6" s="1"/>
  <c r="G1545" i="6"/>
  <c r="H1545" i="6" s="1"/>
  <c r="I1545" i="6" s="1"/>
  <c r="G1537" i="6"/>
  <c r="H1537" i="6" s="1"/>
  <c r="I1537" i="6" s="1"/>
  <c r="G1533" i="6"/>
  <c r="H1533" i="6" s="1"/>
  <c r="I1533" i="6" s="1"/>
  <c r="G1529" i="6"/>
  <c r="H1529" i="6" s="1"/>
  <c r="I1529" i="6" s="1"/>
  <c r="G1521" i="6"/>
  <c r="H1521" i="6" s="1"/>
  <c r="I1521" i="6" s="1"/>
  <c r="G61" i="6"/>
  <c r="H61" i="6" s="1"/>
  <c r="I61" i="6" s="1"/>
  <c r="G57" i="6"/>
  <c r="H57" i="6" s="1"/>
  <c r="I57" i="6" s="1"/>
  <c r="G49" i="6"/>
  <c r="H49" i="6" s="1"/>
  <c r="I49" i="6" s="1"/>
  <c r="G45" i="6"/>
  <c r="H45" i="6" s="1"/>
  <c r="I45" i="6" s="1"/>
  <c r="G41" i="6"/>
  <c r="H41" i="6" s="1"/>
  <c r="I41" i="6" s="1"/>
  <c r="G33" i="6"/>
  <c r="H33" i="6" s="1"/>
  <c r="I33" i="6" s="1"/>
  <c r="G539" i="6"/>
  <c r="H539" i="6" s="1"/>
  <c r="I539" i="6" s="1"/>
  <c r="G535" i="6"/>
  <c r="H535" i="6" s="1"/>
  <c r="I535" i="6" s="1"/>
  <c r="G527" i="6"/>
  <c r="H527" i="6" s="1"/>
  <c r="I527" i="6" s="1"/>
  <c r="G523" i="6"/>
  <c r="H523" i="6" s="1"/>
  <c r="I523" i="6" s="1"/>
  <c r="G519" i="6"/>
  <c r="H519" i="6" s="1"/>
  <c r="I519" i="6" s="1"/>
  <c r="G1023" i="6"/>
  <c r="H1023" i="6" s="1"/>
  <c r="I1023" i="6" s="1"/>
  <c r="G1019" i="6"/>
  <c r="H1019" i="6" s="1"/>
  <c r="I1019" i="6" s="1"/>
  <c r="G1015" i="6"/>
  <c r="H1015" i="6" s="1"/>
  <c r="I1015" i="6" s="1"/>
  <c r="G1007" i="6"/>
  <c r="H1007" i="6" s="1"/>
  <c r="I1007" i="6" s="1"/>
  <c r="G1003" i="6"/>
  <c r="H1003" i="6" s="1"/>
  <c r="I1003" i="6" s="1"/>
  <c r="G999" i="6"/>
  <c r="H999" i="6" s="1"/>
  <c r="I999" i="6" s="1"/>
  <c r="G1515" i="6"/>
  <c r="H1515" i="6" s="1"/>
  <c r="I1515" i="6" s="1"/>
  <c r="G1511" i="6"/>
  <c r="H1511" i="6" s="1"/>
  <c r="I1511" i="6" s="1"/>
  <c r="G1503" i="6"/>
  <c r="H1503" i="6" s="1"/>
  <c r="I1503" i="6" s="1"/>
  <c r="G1499" i="6"/>
  <c r="H1499" i="6" s="1"/>
  <c r="I1499" i="6" s="1"/>
  <c r="G1495" i="6"/>
  <c r="H1495" i="6" s="1"/>
  <c r="I1495" i="6" s="1"/>
  <c r="G32" i="6"/>
  <c r="H32" i="6" s="1"/>
  <c r="I32" i="6" s="1"/>
  <c r="G28" i="6"/>
  <c r="H28" i="6" s="1"/>
  <c r="I28" i="6" s="1"/>
  <c r="G24" i="6"/>
  <c r="H24" i="6" s="1"/>
  <c r="I24" i="6" s="1"/>
  <c r="G16" i="6"/>
  <c r="H16" i="6" s="1"/>
  <c r="I16" i="6" s="1"/>
  <c r="G12" i="6"/>
  <c r="H12" i="6" s="1"/>
  <c r="I12" i="6" s="1"/>
  <c r="G8" i="6"/>
  <c r="H8" i="6" s="1"/>
  <c r="I8" i="6" s="1"/>
  <c r="G511" i="6"/>
  <c r="H511" i="6" s="1"/>
  <c r="I511" i="6" s="1"/>
  <c r="G507" i="6"/>
  <c r="H507" i="6" s="1"/>
  <c r="I507" i="6" s="1"/>
  <c r="G503" i="6"/>
  <c r="H503" i="6" s="1"/>
  <c r="I503" i="6" s="1"/>
  <c r="G495" i="6"/>
  <c r="H495" i="6" s="1"/>
  <c r="I495" i="6" s="1"/>
  <c r="G491" i="6"/>
  <c r="H491" i="6" s="1"/>
  <c r="I491" i="6" s="1"/>
  <c r="G487" i="6"/>
  <c r="H487" i="6" s="1"/>
  <c r="I487" i="6" s="1"/>
  <c r="G990" i="6"/>
  <c r="H990" i="6" s="1"/>
  <c r="I990" i="6" s="1"/>
  <c r="G986" i="6"/>
  <c r="H986" i="6" s="1"/>
  <c r="I986" i="6" s="1"/>
  <c r="G982" i="6"/>
  <c r="H982" i="6" s="1"/>
  <c r="I982" i="6" s="1"/>
  <c r="G974" i="6"/>
  <c r="H974" i="6" s="1"/>
  <c r="I974" i="6" s="1"/>
  <c r="G970" i="6"/>
  <c r="H970" i="6" s="1"/>
  <c r="I970" i="6" s="1"/>
  <c r="G966" i="6"/>
  <c r="H966" i="6" s="1"/>
  <c r="I966" i="6" s="1"/>
  <c r="G1485" i="6"/>
  <c r="H1485" i="6" s="1"/>
  <c r="I1485" i="6" s="1"/>
  <c r="G1481" i="6"/>
  <c r="H1481" i="6" s="1"/>
  <c r="I1481" i="6" s="1"/>
  <c r="G1477" i="6"/>
  <c r="H1477" i="6" s="1"/>
  <c r="I1477" i="6" s="1"/>
  <c r="G1473" i="6"/>
  <c r="H1473" i="6" s="1"/>
  <c r="I1473" i="6" s="1"/>
  <c r="G1469" i="6"/>
  <c r="H1469" i="6" s="1"/>
  <c r="I1469" i="6" s="1"/>
  <c r="G1465" i="6"/>
  <c r="H1465" i="6" s="1"/>
  <c r="I1465" i="6" s="1"/>
  <c r="G1461" i="6"/>
  <c r="H1461" i="6" s="1"/>
  <c r="I1461" i="6" s="1"/>
  <c r="G1613" i="6"/>
  <c r="H1613" i="6" s="1"/>
  <c r="I1613" i="6" s="1"/>
  <c r="G1609" i="6"/>
  <c r="H1609" i="6" s="1"/>
  <c r="I1609" i="6" s="1"/>
  <c r="G1605" i="6"/>
  <c r="H1605" i="6" s="1"/>
  <c r="I1605" i="6" s="1"/>
  <c r="G1597" i="6"/>
  <c r="H1597" i="6" s="1"/>
  <c r="I1597" i="6" s="1"/>
  <c r="G1593" i="6"/>
  <c r="H1593" i="6" s="1"/>
  <c r="I1593" i="6" s="1"/>
  <c r="G1589" i="6"/>
  <c r="H1589" i="6" s="1"/>
  <c r="I1589" i="6" s="1"/>
  <c r="G121" i="6"/>
  <c r="H121" i="6" s="1"/>
  <c r="I121" i="6" s="1"/>
  <c r="G117" i="6"/>
  <c r="H117" i="6" s="1"/>
  <c r="I117" i="6" s="1"/>
  <c r="G113" i="6"/>
  <c r="H113" i="6" s="1"/>
  <c r="I113" i="6" s="1"/>
  <c r="G105" i="6"/>
  <c r="H105" i="6" s="1"/>
  <c r="I105" i="6" s="1"/>
  <c r="G101" i="6"/>
  <c r="H101" i="6" s="1"/>
  <c r="I101" i="6" s="1"/>
  <c r="G97" i="6"/>
  <c r="H97" i="6" s="1"/>
  <c r="I97" i="6" s="1"/>
  <c r="G599" i="6"/>
  <c r="H599" i="6" s="1"/>
  <c r="I599" i="6" s="1"/>
  <c r="G595" i="6"/>
  <c r="H595" i="6" s="1"/>
  <c r="I595" i="6" s="1"/>
  <c r="G591" i="6"/>
  <c r="H591" i="6" s="1"/>
  <c r="I591" i="6" s="1"/>
  <c r="G583" i="6"/>
  <c r="H583" i="6" s="1"/>
  <c r="I583" i="6" s="1"/>
  <c r="G579" i="6"/>
  <c r="H579" i="6" s="1"/>
  <c r="I579" i="6" s="1"/>
  <c r="G575" i="6"/>
  <c r="H575" i="6" s="1"/>
  <c r="I575" i="6" s="1"/>
  <c r="G1081" i="6"/>
  <c r="H1081" i="6" s="1"/>
  <c r="I1081" i="6" s="1"/>
  <c r="G1077" i="6"/>
  <c r="H1077" i="6" s="1"/>
  <c r="I1077" i="6" s="1"/>
  <c r="G1073" i="6"/>
  <c r="H1073" i="6" s="1"/>
  <c r="I1073" i="6" s="1"/>
  <c r="G1065" i="6"/>
  <c r="H1065" i="6" s="1"/>
  <c r="I1065" i="6" s="1"/>
  <c r="G1061" i="6"/>
  <c r="H1061" i="6" s="1"/>
  <c r="I1061" i="6" s="1"/>
  <c r="G1057" i="6"/>
  <c r="H1057" i="6" s="1"/>
  <c r="I1057" i="6" s="1"/>
  <c r="G1578" i="6"/>
  <c r="H1578" i="6" s="1"/>
  <c r="I1578" i="6" s="1"/>
  <c r="G1574" i="6"/>
  <c r="H1574" i="6" s="1"/>
  <c r="I1574" i="6" s="1"/>
  <c r="G1570" i="6"/>
  <c r="H1570" i="6" s="1"/>
  <c r="I1570" i="6" s="1"/>
  <c r="G1562" i="6"/>
  <c r="H1562" i="6" s="1"/>
  <c r="I1562" i="6" s="1"/>
  <c r="G1558" i="6"/>
  <c r="H1558" i="6" s="1"/>
  <c r="I1558" i="6" s="1"/>
  <c r="G1554" i="6"/>
  <c r="H1554" i="6" s="1"/>
  <c r="I1554" i="6" s="1"/>
  <c r="G88" i="6"/>
  <c r="H88" i="6" s="1"/>
  <c r="I88" i="6" s="1"/>
  <c r="G84" i="6"/>
  <c r="H84" i="6" s="1"/>
  <c r="I84" i="6" s="1"/>
  <c r="G80" i="6"/>
  <c r="H80" i="6" s="1"/>
  <c r="I80" i="6" s="1"/>
  <c r="G72" i="6"/>
  <c r="H72" i="6" s="1"/>
  <c r="I72" i="6" s="1"/>
  <c r="G68" i="6"/>
  <c r="H68" i="6" s="1"/>
  <c r="I68" i="6" s="1"/>
  <c r="G64" i="6"/>
  <c r="H64" i="6" s="1"/>
  <c r="I64" i="6" s="1"/>
  <c r="G566" i="6"/>
  <c r="H566" i="6" s="1"/>
  <c r="I566" i="6" s="1"/>
  <c r="G562" i="6"/>
  <c r="H562" i="6" s="1"/>
  <c r="I562" i="6" s="1"/>
  <c r="G558" i="6"/>
  <c r="H558" i="6" s="1"/>
  <c r="I558" i="6" s="1"/>
  <c r="G550" i="6"/>
  <c r="H550" i="6" s="1"/>
  <c r="I550" i="6" s="1"/>
  <c r="G546" i="6"/>
  <c r="H546" i="6" s="1"/>
  <c r="I546" i="6" s="1"/>
  <c r="G1055" i="6"/>
  <c r="H1055" i="6" s="1"/>
  <c r="I1055" i="6" s="1"/>
  <c r="G1047" i="6"/>
  <c r="H1047" i="6" s="1"/>
  <c r="I1047" i="6" s="1"/>
  <c r="G1043" i="6"/>
  <c r="H1043" i="6" s="1"/>
  <c r="I1043" i="6" s="1"/>
  <c r="G1039" i="6"/>
  <c r="H1039" i="6" s="1"/>
  <c r="I1039" i="6" s="1"/>
  <c r="G1031" i="6"/>
  <c r="H1031" i="6" s="1"/>
  <c r="I1031" i="6" s="1"/>
  <c r="G1027" i="6"/>
  <c r="H1027" i="6" s="1"/>
  <c r="I1027" i="6" s="1"/>
  <c r="G1547" i="6"/>
  <c r="H1547" i="6" s="1"/>
  <c r="I1547" i="6" s="1"/>
  <c r="G1543" i="6"/>
  <c r="H1543" i="6" s="1"/>
  <c r="I1543" i="6" s="1"/>
  <c r="G1539" i="6"/>
  <c r="H1539" i="6" s="1"/>
  <c r="I1539" i="6" s="1"/>
  <c r="G1535" i="6"/>
  <c r="H1535" i="6" s="1"/>
  <c r="I1535" i="6" s="1"/>
  <c r="G1531" i="6"/>
  <c r="H1531" i="6" s="1"/>
  <c r="I1531" i="6" s="1"/>
  <c r="G1527" i="6"/>
  <c r="H1527" i="6" s="1"/>
  <c r="I1527" i="6" s="1"/>
  <c r="G1523" i="6"/>
  <c r="H1523" i="6" s="1"/>
  <c r="I1523" i="6" s="1"/>
  <c r="G1519" i="6"/>
  <c r="H1519" i="6" s="1"/>
  <c r="I1519" i="6" s="1"/>
  <c r="G59" i="6"/>
  <c r="H59" i="6" s="1"/>
  <c r="I59" i="6" s="1"/>
  <c r="G55" i="6"/>
  <c r="H55" i="6" s="1"/>
  <c r="I55" i="6" s="1"/>
  <c r="G51" i="6"/>
  <c r="H51" i="6" s="1"/>
  <c r="I51" i="6" s="1"/>
  <c r="G47" i="6"/>
  <c r="H47" i="6" s="1"/>
  <c r="I47" i="6" s="1"/>
  <c r="G43" i="6"/>
  <c r="H43" i="6" s="1"/>
  <c r="I43" i="6" s="1"/>
  <c r="G39" i="6"/>
  <c r="H39" i="6" s="1"/>
  <c r="I39" i="6" s="1"/>
  <c r="G35" i="6"/>
  <c r="H35" i="6" s="1"/>
  <c r="I35" i="6" s="1"/>
  <c r="G541" i="6"/>
  <c r="H541" i="6" s="1"/>
  <c r="I541" i="6" s="1"/>
  <c r="G537" i="6"/>
  <c r="H537" i="6" s="1"/>
  <c r="I537" i="6" s="1"/>
  <c r="G533" i="6"/>
  <c r="H533" i="6" s="1"/>
  <c r="I533" i="6" s="1"/>
  <c r="G529" i="6"/>
  <c r="H529" i="6" s="1"/>
  <c r="I529" i="6" s="1"/>
  <c r="G525" i="6"/>
  <c r="H525" i="6" s="1"/>
  <c r="I525" i="6" s="1"/>
  <c r="G521" i="6"/>
  <c r="H521" i="6" s="1"/>
  <c r="I521" i="6" s="1"/>
  <c r="G517" i="6"/>
  <c r="H517" i="6" s="1"/>
  <c r="I517" i="6" s="1"/>
  <c r="G513" i="6"/>
  <c r="H513" i="6" s="1"/>
  <c r="I513" i="6" s="1"/>
  <c r="G1021" i="6"/>
  <c r="H1021" i="6" s="1"/>
  <c r="I1021" i="6" s="1"/>
  <c r="G1017" i="6"/>
  <c r="H1017" i="6" s="1"/>
  <c r="I1017" i="6" s="1"/>
  <c r="G1013" i="6"/>
  <c r="H1013" i="6" s="1"/>
  <c r="I1013" i="6" s="1"/>
  <c r="G1009" i="6"/>
  <c r="H1009" i="6" s="1"/>
  <c r="I1009" i="6" s="1"/>
  <c r="G1005" i="6"/>
  <c r="H1005" i="6" s="1"/>
  <c r="I1005" i="6" s="1"/>
  <c r="G1001" i="6"/>
  <c r="H1001" i="6" s="1"/>
  <c r="I1001" i="6" s="1"/>
  <c r="G997" i="6"/>
  <c r="H997" i="6" s="1"/>
  <c r="I997" i="6" s="1"/>
  <c r="G1517" i="6"/>
  <c r="H1517" i="6" s="1"/>
  <c r="I1517" i="6" s="1"/>
  <c r="G1513" i="6"/>
  <c r="H1513" i="6" s="1"/>
  <c r="I1513" i="6" s="1"/>
  <c r="G1509" i="6"/>
  <c r="H1509" i="6" s="1"/>
  <c r="I1509" i="6" s="1"/>
  <c r="G1505" i="6"/>
  <c r="H1505" i="6" s="1"/>
  <c r="I1505" i="6" s="1"/>
  <c r="G1501" i="6"/>
  <c r="H1501" i="6" s="1"/>
  <c r="I1501" i="6" s="1"/>
  <c r="G1497" i="6"/>
  <c r="H1497" i="6" s="1"/>
  <c r="I1497" i="6" s="1"/>
  <c r="G1493" i="6"/>
  <c r="H1493" i="6" s="1"/>
  <c r="I1493" i="6" s="1"/>
  <c r="G1489" i="6"/>
  <c r="H1489" i="6" s="1"/>
  <c r="I1489" i="6" s="1"/>
  <c r="G30" i="6"/>
  <c r="H30" i="6" s="1"/>
  <c r="I30" i="6" s="1"/>
  <c r="G26" i="6"/>
  <c r="H26" i="6" s="1"/>
  <c r="I26" i="6" s="1"/>
  <c r="G22" i="6"/>
  <c r="H22" i="6" s="1"/>
  <c r="I22" i="6" s="1"/>
  <c r="G18" i="6"/>
  <c r="H18" i="6" s="1"/>
  <c r="I18" i="6" s="1"/>
  <c r="G14" i="6"/>
  <c r="H14" i="6" s="1"/>
  <c r="I14" i="6" s="1"/>
  <c r="G10" i="6"/>
  <c r="H10" i="6" s="1"/>
  <c r="I10" i="6" s="1"/>
  <c r="G6" i="6"/>
  <c r="H6" i="6" s="1"/>
  <c r="I6" i="6" s="1"/>
  <c r="G2" i="6"/>
  <c r="H2" i="6" s="1"/>
  <c r="I2" i="6" s="1"/>
  <c r="G509" i="6"/>
  <c r="H509" i="6" s="1"/>
  <c r="I509" i="6" s="1"/>
  <c r="G505" i="6"/>
  <c r="H505" i="6" s="1"/>
  <c r="I505" i="6" s="1"/>
  <c r="G501" i="6"/>
  <c r="H501" i="6" s="1"/>
  <c r="I501" i="6" s="1"/>
  <c r="G497" i="6"/>
  <c r="H497" i="6" s="1"/>
  <c r="I497" i="6" s="1"/>
  <c r="G493" i="6"/>
  <c r="H493" i="6" s="1"/>
  <c r="I493" i="6" s="1"/>
  <c r="G489" i="6"/>
  <c r="H489" i="6" s="1"/>
  <c r="I489" i="6" s="1"/>
  <c r="G485" i="6"/>
  <c r="H485" i="6" s="1"/>
  <c r="I485" i="6" s="1"/>
  <c r="G992" i="6"/>
  <c r="H992" i="6" s="1"/>
  <c r="I992" i="6" s="1"/>
  <c r="G988" i="6"/>
  <c r="H988" i="6" s="1"/>
  <c r="I988" i="6" s="1"/>
  <c r="G984" i="6"/>
  <c r="H984" i="6" s="1"/>
  <c r="I984" i="6" s="1"/>
  <c r="G980" i="6"/>
  <c r="H980" i="6" s="1"/>
  <c r="I980" i="6" s="1"/>
  <c r="G976" i="6"/>
  <c r="H976" i="6" s="1"/>
  <c r="I976" i="6" s="1"/>
  <c r="G972" i="6"/>
  <c r="H972" i="6" s="1"/>
  <c r="I972" i="6" s="1"/>
  <c r="G968" i="6"/>
  <c r="H968" i="6" s="1"/>
  <c r="I968" i="6" s="1"/>
  <c r="G964" i="6"/>
  <c r="H964" i="6" s="1"/>
  <c r="I964" i="6" s="1"/>
  <c r="G1487" i="6"/>
  <c r="H1487" i="6" s="1"/>
  <c r="I1487" i="6" s="1"/>
  <c r="G1483" i="6"/>
  <c r="H1483" i="6" s="1"/>
  <c r="I1483" i="6" s="1"/>
  <c r="G1479" i="6"/>
  <c r="H1479" i="6" s="1"/>
  <c r="I1479" i="6" s="1"/>
  <c r="G1475" i="6"/>
  <c r="H1475" i="6" s="1"/>
  <c r="I1475" i="6" s="1"/>
  <c r="G1467" i="6"/>
  <c r="H1467" i="6" s="1"/>
  <c r="I1467" i="6" s="1"/>
  <c r="G1463" i="6"/>
  <c r="H1463" i="6" s="1"/>
  <c r="I1463" i="6" s="1"/>
  <c r="G1459" i="6"/>
  <c r="H1459" i="6" s="1"/>
  <c r="I1459" i="6" s="1"/>
  <c r="G1516" i="6"/>
  <c r="H1516" i="6" s="1"/>
  <c r="I1516" i="6" s="1"/>
  <c r="G1512" i="6"/>
  <c r="H1512" i="6" s="1"/>
  <c r="I1512" i="6" s="1"/>
  <c r="G1508" i="6"/>
  <c r="H1508" i="6" s="1"/>
  <c r="I1508" i="6" s="1"/>
  <c r="G1504" i="6"/>
  <c r="H1504" i="6" s="1"/>
  <c r="I1504" i="6" s="1"/>
  <c r="G1500" i="6"/>
  <c r="H1500" i="6" s="1"/>
  <c r="I1500" i="6" s="1"/>
  <c r="G1496" i="6"/>
  <c r="H1496" i="6" s="1"/>
  <c r="I1496" i="6" s="1"/>
  <c r="G1492" i="6"/>
  <c r="H1492" i="6" s="1"/>
  <c r="I1492" i="6" s="1"/>
  <c r="G1488" i="6"/>
  <c r="H1488" i="6" s="1"/>
  <c r="I1488" i="6" s="1"/>
  <c r="G29" i="6"/>
  <c r="H29" i="6" s="1"/>
  <c r="I29" i="6" s="1"/>
  <c r="G25" i="6"/>
  <c r="H25" i="6" s="1"/>
  <c r="I25" i="6" s="1"/>
  <c r="G21" i="6"/>
  <c r="H21" i="6" s="1"/>
  <c r="I21" i="6" s="1"/>
  <c r="G17" i="6"/>
  <c r="H17" i="6" s="1"/>
  <c r="I17" i="6" s="1"/>
  <c r="G13" i="6"/>
  <c r="H13" i="6" s="1"/>
  <c r="I13" i="6" s="1"/>
  <c r="G9" i="6"/>
  <c r="H9" i="6" s="1"/>
  <c r="I9" i="6" s="1"/>
  <c r="G5" i="6"/>
  <c r="H5" i="6" s="1"/>
  <c r="I5" i="6" s="1"/>
  <c r="G512" i="6"/>
  <c r="H512" i="6" s="1"/>
  <c r="I512" i="6" s="1"/>
  <c r="G508" i="6"/>
  <c r="H508" i="6" s="1"/>
  <c r="I508" i="6" s="1"/>
  <c r="G504" i="6"/>
  <c r="H504" i="6" s="1"/>
  <c r="I504" i="6" s="1"/>
  <c r="G500" i="6"/>
  <c r="H500" i="6" s="1"/>
  <c r="I500" i="6" s="1"/>
  <c r="G496" i="6"/>
  <c r="H496" i="6" s="1"/>
  <c r="I496" i="6" s="1"/>
  <c r="G492" i="6"/>
  <c r="H492" i="6" s="1"/>
  <c r="I492" i="6" s="1"/>
  <c r="G488" i="6"/>
  <c r="H488" i="6" s="1"/>
  <c r="I488" i="6" s="1"/>
  <c r="G484" i="6"/>
  <c r="H484" i="6" s="1"/>
  <c r="I484" i="6" s="1"/>
  <c r="G991" i="6"/>
  <c r="H991" i="6" s="1"/>
  <c r="I991" i="6" s="1"/>
  <c r="G987" i="6"/>
  <c r="H987" i="6" s="1"/>
  <c r="I987" i="6" s="1"/>
  <c r="G983" i="6"/>
  <c r="H983" i="6" s="1"/>
  <c r="I983" i="6" s="1"/>
  <c r="G979" i="6"/>
  <c r="H979" i="6" s="1"/>
  <c r="I979" i="6" s="1"/>
  <c r="G975" i="6"/>
  <c r="H975" i="6" s="1"/>
  <c r="I975" i="6" s="1"/>
  <c r="G971" i="6"/>
  <c r="H971" i="6" s="1"/>
  <c r="I971" i="6" s="1"/>
  <c r="G967" i="6"/>
  <c r="H967" i="6" s="1"/>
  <c r="I967" i="6" s="1"/>
  <c r="G963" i="6"/>
  <c r="H963" i="6" s="1"/>
  <c r="I963" i="6" s="1"/>
  <c r="G1486" i="6"/>
  <c r="H1486" i="6" s="1"/>
  <c r="I1486" i="6" s="1"/>
  <c r="G1482" i="6"/>
  <c r="H1482" i="6" s="1"/>
  <c r="I1482" i="6" s="1"/>
  <c r="G1478" i="6"/>
  <c r="H1478" i="6" s="1"/>
  <c r="I1478" i="6" s="1"/>
  <c r="G1474" i="6"/>
  <c r="H1474" i="6" s="1"/>
  <c r="I1474" i="6" s="1"/>
  <c r="G1470" i="6"/>
  <c r="H1470" i="6" s="1"/>
  <c r="I1470" i="6" s="1"/>
  <c r="G1466" i="6"/>
  <c r="H1466" i="6" s="1"/>
  <c r="I1466" i="6" s="1"/>
  <c r="G1462" i="6"/>
  <c r="H1462" i="6" s="1"/>
  <c r="I1462" i="6" s="1"/>
  <c r="K5" i="6"/>
  <c r="K6" i="6" s="1"/>
  <c r="B8" i="2"/>
  <c r="K11" i="6" l="1"/>
  <c r="K9" i="6"/>
  <c r="K12" i="6"/>
  <c r="K10" i="6"/>
  <c r="T30" i="7"/>
  <c r="T31" i="7" s="1"/>
  <c r="T32" i="7" s="1"/>
  <c r="T33" i="7" s="1"/>
  <c r="J7" i="2"/>
  <c r="B9" i="2"/>
  <c r="K7" i="2"/>
  <c r="T34" i="7" l="1"/>
  <c r="T35" i="7" s="1"/>
  <c r="K8" i="2"/>
  <c r="J8" i="2"/>
  <c r="B10" i="2"/>
  <c r="T36" i="7" l="1"/>
  <c r="T37" i="7" s="1"/>
  <c r="T38" i="7" s="1"/>
  <c r="K9" i="2"/>
  <c r="J9" i="2"/>
  <c r="B11" i="2"/>
  <c r="T39" i="7" l="1"/>
  <c r="T40" i="7" s="1"/>
  <c r="T41" i="7" s="1"/>
  <c r="T42" i="7" s="1"/>
  <c r="T43" i="7" s="1"/>
  <c r="K10" i="2"/>
  <c r="J10" i="2"/>
  <c r="B12" i="2"/>
  <c r="T44" i="7" l="1"/>
  <c r="T45" i="7" s="1"/>
  <c r="T46" i="7" s="1"/>
  <c r="T47" i="7" s="1"/>
  <c r="T17" i="7" s="1"/>
  <c r="K11" i="2"/>
  <c r="B13" i="2"/>
  <c r="J11" i="2"/>
  <c r="J12" i="2" l="1"/>
  <c r="B14" i="2"/>
  <c r="K12" i="2"/>
  <c r="B15" i="2" l="1"/>
  <c r="J13" i="2"/>
  <c r="K13" i="2"/>
  <c r="K14" i="2" l="1"/>
  <c r="J14" i="2"/>
  <c r="B16" i="2"/>
  <c r="J15" i="2" l="1"/>
  <c r="B17" i="2"/>
  <c r="K15" i="2"/>
  <c r="J16" i="2" l="1"/>
  <c r="B18" i="2"/>
  <c r="K16" i="2"/>
  <c r="J17" i="2" l="1"/>
  <c r="B19" i="2"/>
  <c r="K17" i="2"/>
  <c r="K18" i="2" l="1"/>
  <c r="J18" i="2"/>
  <c r="B20" i="2"/>
  <c r="B21" i="2" l="1"/>
  <c r="J19" i="2"/>
  <c r="K19" i="2"/>
  <c r="K20" i="2" l="1"/>
  <c r="B22" i="2"/>
  <c r="J20" i="2"/>
  <c r="K21" i="2" l="1"/>
  <c r="B23" i="2"/>
  <c r="J21" i="2"/>
  <c r="K22" i="2" l="1"/>
  <c r="B24" i="2"/>
  <c r="J22" i="2"/>
  <c r="K23" i="2" l="1"/>
  <c r="B25" i="2"/>
  <c r="J23" i="2"/>
  <c r="B26" i="2" l="1"/>
  <c r="J24" i="2"/>
  <c r="K24" i="2"/>
  <c r="K25" i="2" l="1"/>
  <c r="B27" i="2"/>
  <c r="J25" i="2"/>
  <c r="K26" i="2" l="1"/>
  <c r="B28" i="2"/>
  <c r="J26" i="2"/>
  <c r="K27" i="2" l="1"/>
  <c r="B29" i="2"/>
  <c r="J27" i="2"/>
  <c r="B30" i="2" l="1"/>
  <c r="J29" i="2" s="1"/>
  <c r="J28" i="2"/>
  <c r="K28" i="2"/>
  <c r="K29" i="2" l="1"/>
  <c r="B31" i="2"/>
  <c r="K30" i="2" l="1"/>
  <c r="J30" i="2"/>
  <c r="B32" i="2"/>
  <c r="J31" i="2" l="1"/>
  <c r="B33" i="2"/>
  <c r="K31" i="2"/>
  <c r="J32" i="2" l="1"/>
  <c r="K32" i="2"/>
  <c r="B34" i="2"/>
  <c r="J33" i="2" l="1"/>
  <c r="B35" i="2"/>
  <c r="K33" i="2"/>
  <c r="J34" i="2" l="1"/>
  <c r="B36" i="2"/>
  <c r="K34" i="2"/>
  <c r="J35" i="2" l="1"/>
  <c r="B37" i="2"/>
  <c r="K35" i="2"/>
  <c r="J36" i="2" l="1"/>
  <c r="B38" i="2"/>
  <c r="K36" i="2"/>
  <c r="J37" i="2" l="1"/>
  <c r="B39" i="2"/>
  <c r="K37" i="2"/>
  <c r="J38" i="2" l="1"/>
  <c r="B40" i="2"/>
  <c r="K38" i="2"/>
  <c r="J39" i="2" l="1"/>
  <c r="B41" i="2"/>
  <c r="K39" i="2"/>
  <c r="B42" i="2" l="1"/>
  <c r="J40" i="2"/>
  <c r="K40" i="2"/>
  <c r="K41" i="2" l="1"/>
  <c r="J41" i="2"/>
  <c r="B43" i="2"/>
  <c r="B44" i="2" l="1"/>
  <c r="J43" i="2" s="1"/>
  <c r="J42" i="2"/>
  <c r="K42" i="2"/>
  <c r="K43" i="2" l="1"/>
  <c r="B45" i="2"/>
  <c r="K44" i="2" l="1"/>
  <c r="B46" i="2"/>
  <c r="J44" i="2"/>
  <c r="K45" i="2" l="1"/>
  <c r="J45" i="2"/>
  <c r="B47" i="2"/>
  <c r="B48" i="2" l="1"/>
  <c r="J46" i="2"/>
  <c r="K46" i="2"/>
  <c r="K47" i="2" l="1"/>
  <c r="J47" i="2"/>
  <c r="B49" i="2"/>
  <c r="B50" i="2" l="1"/>
  <c r="J48" i="2"/>
  <c r="K48" i="2"/>
  <c r="K49" i="2" l="1"/>
  <c r="J49" i="2"/>
  <c r="B51" i="2"/>
  <c r="J50" i="2" l="1"/>
  <c r="B52" i="2"/>
  <c r="K50" i="2"/>
  <c r="J51" i="2" l="1"/>
  <c r="B53" i="2"/>
  <c r="K51" i="2"/>
  <c r="J52" i="2" l="1"/>
  <c r="B54" i="2"/>
  <c r="K52" i="2"/>
  <c r="J53" i="2" l="1"/>
  <c r="B55" i="2"/>
  <c r="K53" i="2"/>
  <c r="J54" i="2" l="1"/>
  <c r="B56" i="2"/>
  <c r="K54" i="2"/>
  <c r="J55" i="2" l="1"/>
  <c r="B57" i="2"/>
  <c r="K55" i="2"/>
  <c r="J56" i="2" l="1"/>
  <c r="B58" i="2"/>
  <c r="K56" i="2"/>
  <c r="J57" i="2" l="1"/>
  <c r="B59" i="2"/>
  <c r="K57" i="2"/>
  <c r="J58" i="2" l="1"/>
  <c r="B60" i="2"/>
  <c r="K58" i="2"/>
  <c r="J59" i="2" l="1"/>
  <c r="B61" i="2"/>
  <c r="K59" i="2"/>
  <c r="J60" i="2" l="1"/>
  <c r="B62" i="2"/>
  <c r="K60" i="2"/>
  <c r="J61" i="2" l="1"/>
  <c r="B63" i="2"/>
  <c r="K61" i="2"/>
  <c r="J62" i="2" l="1"/>
  <c r="B64" i="2"/>
  <c r="K62" i="2"/>
  <c r="J63" i="2" l="1"/>
  <c r="B65" i="2"/>
  <c r="K63" i="2"/>
  <c r="J64" i="2" l="1"/>
  <c r="B66" i="2"/>
  <c r="K64" i="2"/>
  <c r="J65" i="2" l="1"/>
  <c r="B67" i="2"/>
  <c r="K65" i="2"/>
  <c r="J66" i="2" l="1"/>
  <c r="B68" i="2"/>
  <c r="K66" i="2"/>
  <c r="J67" i="2" l="1"/>
  <c r="B69" i="2"/>
  <c r="K67" i="2"/>
  <c r="J68" i="2" l="1"/>
  <c r="B70" i="2"/>
  <c r="K68" i="2"/>
  <c r="J69" i="2" l="1"/>
  <c r="B71" i="2"/>
  <c r="K69" i="2"/>
  <c r="J70" i="2" l="1"/>
  <c r="B72" i="2"/>
  <c r="K70" i="2"/>
  <c r="J71" i="2" l="1"/>
  <c r="B73" i="2"/>
  <c r="K71" i="2"/>
  <c r="J72" i="2" l="1"/>
  <c r="B74" i="2"/>
  <c r="K72" i="2"/>
  <c r="J73" i="2" l="1"/>
  <c r="B75" i="2"/>
  <c r="K73" i="2"/>
  <c r="J74" i="2" l="1"/>
  <c r="B76" i="2"/>
  <c r="K74" i="2"/>
  <c r="J75" i="2" l="1"/>
  <c r="B77" i="2"/>
  <c r="K75" i="2"/>
  <c r="J76" i="2" l="1"/>
  <c r="B78" i="2"/>
  <c r="K76" i="2"/>
  <c r="J77" i="2" l="1"/>
  <c r="B79" i="2"/>
  <c r="K77" i="2"/>
  <c r="J78" i="2" l="1"/>
  <c r="B80" i="2"/>
  <c r="K78" i="2"/>
  <c r="J79" i="2" l="1"/>
  <c r="B81" i="2"/>
  <c r="K79" i="2"/>
  <c r="J80" i="2" l="1"/>
  <c r="B82" i="2"/>
  <c r="K80" i="2"/>
  <c r="J81" i="2" l="1"/>
  <c r="B83" i="2"/>
  <c r="K81" i="2"/>
  <c r="J82" i="2" l="1"/>
  <c r="B84" i="2"/>
  <c r="K82" i="2"/>
  <c r="J83" i="2" l="1"/>
  <c r="B85" i="2"/>
  <c r="K83" i="2"/>
  <c r="J84" i="2" l="1"/>
  <c r="B86" i="2"/>
  <c r="K84" i="2"/>
  <c r="J85" i="2" l="1"/>
  <c r="B87" i="2"/>
  <c r="K85" i="2"/>
  <c r="J86" i="2" l="1"/>
  <c r="B88" i="2"/>
  <c r="K86" i="2"/>
  <c r="J87" i="2" l="1"/>
  <c r="B89" i="2"/>
  <c r="K87" i="2"/>
  <c r="J88" i="2" l="1"/>
  <c r="B90" i="2"/>
  <c r="K88" i="2"/>
  <c r="J89" i="2" l="1"/>
  <c r="B91" i="2"/>
  <c r="K89" i="2"/>
  <c r="J90" i="2" l="1"/>
  <c r="B92" i="2"/>
  <c r="K90" i="2"/>
  <c r="J91" i="2" l="1"/>
  <c r="B93" i="2"/>
  <c r="K91" i="2"/>
  <c r="J92" i="2" l="1"/>
  <c r="B94" i="2"/>
  <c r="K92" i="2"/>
  <c r="J93" i="2" l="1"/>
  <c r="B95" i="2"/>
  <c r="K93" i="2"/>
  <c r="J94" i="2" l="1"/>
  <c r="B96" i="2"/>
  <c r="K94" i="2"/>
  <c r="J95" i="2" l="1"/>
  <c r="B97" i="2"/>
  <c r="K95" i="2"/>
  <c r="J96" i="2" l="1"/>
  <c r="B98" i="2"/>
  <c r="K96" i="2"/>
  <c r="J97" i="2" l="1"/>
  <c r="B99" i="2"/>
  <c r="K97" i="2"/>
  <c r="J98" i="2" l="1"/>
  <c r="B100" i="2"/>
  <c r="K98" i="2"/>
  <c r="J99" i="2" l="1"/>
  <c r="B101" i="2"/>
  <c r="K99" i="2"/>
  <c r="J100" i="2" l="1"/>
  <c r="B102" i="2"/>
  <c r="K100" i="2"/>
  <c r="J101" i="2" l="1"/>
  <c r="B103" i="2"/>
  <c r="K101" i="2"/>
  <c r="J102" i="2" l="1"/>
  <c r="B104" i="2"/>
  <c r="K102" i="2"/>
  <c r="J103" i="2" l="1"/>
  <c r="B105" i="2"/>
  <c r="K103" i="2"/>
  <c r="J104" i="2" l="1"/>
  <c r="B106" i="2"/>
  <c r="K104" i="2"/>
  <c r="J105" i="2" l="1"/>
  <c r="B107" i="2"/>
  <c r="K105" i="2"/>
  <c r="J106" i="2" l="1"/>
  <c r="B108" i="2"/>
  <c r="K106" i="2"/>
  <c r="J107" i="2" l="1"/>
  <c r="B109" i="2"/>
  <c r="K107" i="2"/>
  <c r="B110" i="2" l="1"/>
  <c r="J108" i="2"/>
  <c r="K108" i="2"/>
  <c r="K109" i="2" l="1"/>
  <c r="B111" i="2"/>
  <c r="J109" i="2"/>
  <c r="K110" i="2" l="1"/>
  <c r="B112" i="2"/>
  <c r="J110" i="2"/>
  <c r="K111" i="2" l="1"/>
  <c r="J111" i="2"/>
  <c r="B113" i="2"/>
  <c r="B114" i="2" l="1"/>
  <c r="J112" i="2"/>
  <c r="K112" i="2"/>
  <c r="B115" i="2" l="1"/>
  <c r="J113" i="2"/>
  <c r="K113" i="2"/>
  <c r="K114" i="2" l="1"/>
  <c r="J114" i="2"/>
  <c r="B116" i="2"/>
  <c r="J115" i="2" l="1"/>
  <c r="B117" i="2"/>
  <c r="K115" i="2"/>
  <c r="J116" i="2" l="1"/>
  <c r="B118" i="2"/>
  <c r="K116" i="2"/>
  <c r="J117" i="2" l="1"/>
  <c r="B119" i="2"/>
  <c r="K117" i="2"/>
  <c r="J118" i="2" l="1"/>
  <c r="B120" i="2"/>
  <c r="K118" i="2"/>
  <c r="J119" i="2" l="1"/>
  <c r="B121" i="2"/>
  <c r="K119" i="2"/>
  <c r="J120" i="2" l="1"/>
  <c r="B122" i="2"/>
  <c r="K120" i="2"/>
  <c r="J121" i="2" l="1"/>
  <c r="B123" i="2"/>
  <c r="K121" i="2"/>
  <c r="J122" i="2" l="1"/>
  <c r="B124" i="2"/>
  <c r="K122" i="2"/>
  <c r="J123" i="2" l="1"/>
  <c r="B125" i="2"/>
  <c r="K123" i="2"/>
  <c r="J124" i="2" l="1"/>
  <c r="B126" i="2"/>
  <c r="K124" i="2"/>
  <c r="J125" i="2" l="1"/>
  <c r="B127" i="2"/>
  <c r="K125" i="2"/>
  <c r="J126" i="2" l="1"/>
  <c r="B128" i="2"/>
  <c r="K126" i="2"/>
  <c r="J127" i="2" l="1"/>
  <c r="B129" i="2"/>
  <c r="K127" i="2"/>
  <c r="J128" i="2" l="1"/>
  <c r="B130" i="2"/>
  <c r="K128" i="2"/>
  <c r="J129" i="2" l="1"/>
  <c r="B131" i="2"/>
  <c r="K129" i="2"/>
  <c r="J130" i="2" l="1"/>
  <c r="B132" i="2"/>
  <c r="K130" i="2"/>
  <c r="J131" i="2" l="1"/>
  <c r="B133" i="2"/>
  <c r="K131" i="2"/>
  <c r="J132" i="2" l="1"/>
  <c r="B134" i="2"/>
  <c r="K132" i="2"/>
  <c r="J133" i="2" l="1"/>
  <c r="B135" i="2"/>
  <c r="K133" i="2"/>
  <c r="J134" i="2" l="1"/>
  <c r="B136" i="2"/>
  <c r="K134" i="2"/>
  <c r="J135" i="2" l="1"/>
  <c r="B137" i="2"/>
  <c r="K135" i="2"/>
  <c r="J136" i="2" l="1"/>
  <c r="B138" i="2"/>
  <c r="K136" i="2"/>
  <c r="J137" i="2" l="1"/>
  <c r="B139" i="2"/>
  <c r="K137" i="2"/>
  <c r="J138" i="2" l="1"/>
  <c r="B140" i="2"/>
  <c r="K138" i="2"/>
  <c r="J139" i="2" l="1"/>
  <c r="B141" i="2"/>
  <c r="K139" i="2"/>
  <c r="J140" i="2" l="1"/>
  <c r="B142" i="2"/>
  <c r="K140" i="2"/>
  <c r="J141" i="2" l="1"/>
  <c r="B143" i="2"/>
  <c r="K141" i="2"/>
  <c r="J142" i="2" l="1"/>
  <c r="B144" i="2"/>
  <c r="K142" i="2"/>
  <c r="J143" i="2" l="1"/>
  <c r="B145" i="2"/>
  <c r="K143" i="2"/>
  <c r="J144" i="2" l="1"/>
  <c r="B146" i="2"/>
  <c r="K144" i="2"/>
  <c r="J145" i="2" l="1"/>
  <c r="B147" i="2"/>
  <c r="K145" i="2"/>
  <c r="J146" i="2" l="1"/>
  <c r="B148" i="2"/>
  <c r="K146" i="2"/>
  <c r="J147" i="2" l="1"/>
  <c r="B149" i="2"/>
  <c r="K147" i="2"/>
  <c r="J148" i="2" l="1"/>
  <c r="B150" i="2"/>
  <c r="K148" i="2"/>
  <c r="J149" i="2" l="1"/>
  <c r="B151" i="2"/>
  <c r="K149" i="2"/>
  <c r="J150" i="2" l="1"/>
  <c r="B152" i="2"/>
  <c r="K150" i="2"/>
  <c r="J151" i="2" l="1"/>
  <c r="B153" i="2"/>
  <c r="K151" i="2"/>
  <c r="J152" i="2" l="1"/>
  <c r="B154" i="2"/>
  <c r="K152" i="2"/>
  <c r="J153" i="2" l="1"/>
  <c r="B155" i="2"/>
  <c r="K153" i="2"/>
  <c r="J154" i="2" l="1"/>
  <c r="B156" i="2"/>
  <c r="K154" i="2"/>
  <c r="J155" i="2" l="1"/>
  <c r="B157" i="2"/>
  <c r="K155" i="2"/>
  <c r="J156" i="2" l="1"/>
  <c r="B158" i="2"/>
  <c r="K156" i="2"/>
  <c r="J157" i="2" l="1"/>
  <c r="B159" i="2"/>
  <c r="K157" i="2"/>
  <c r="J158" i="2" l="1"/>
  <c r="B160" i="2"/>
  <c r="K158" i="2"/>
  <c r="J159" i="2" l="1"/>
  <c r="B161" i="2"/>
  <c r="K159" i="2"/>
  <c r="J160" i="2" l="1"/>
  <c r="B162" i="2"/>
  <c r="K160" i="2"/>
  <c r="J161" i="2" l="1"/>
  <c r="B163" i="2"/>
  <c r="K161" i="2"/>
  <c r="J162" i="2" l="1"/>
  <c r="B164" i="2"/>
  <c r="K162" i="2"/>
  <c r="J163" i="2" l="1"/>
  <c r="B165" i="2"/>
  <c r="K163" i="2"/>
  <c r="K164" i="2" l="1"/>
  <c r="J164" i="2"/>
  <c r="B166" i="2"/>
  <c r="J165" i="2" l="1"/>
  <c r="B167" i="2"/>
  <c r="K165" i="2"/>
  <c r="J166" i="2" l="1"/>
  <c r="B168" i="2"/>
  <c r="K166" i="2"/>
  <c r="J167" i="2" l="1"/>
  <c r="B169" i="2"/>
  <c r="K167" i="2"/>
  <c r="J168" i="2" l="1"/>
  <c r="B170" i="2"/>
  <c r="K168" i="2"/>
  <c r="J169" i="2" l="1"/>
  <c r="B171" i="2"/>
  <c r="K169" i="2"/>
  <c r="J170" i="2" l="1"/>
  <c r="B172" i="2"/>
  <c r="K170" i="2"/>
  <c r="J171" i="2" l="1"/>
  <c r="B173" i="2"/>
  <c r="K171" i="2"/>
  <c r="J172" i="2" l="1"/>
  <c r="B174" i="2"/>
  <c r="K172" i="2"/>
  <c r="J173" i="2" l="1"/>
  <c r="B175" i="2"/>
  <c r="K173" i="2"/>
  <c r="J174" i="2" l="1"/>
  <c r="B176" i="2"/>
  <c r="K174" i="2"/>
  <c r="J175" i="2" l="1"/>
  <c r="B177" i="2"/>
  <c r="K175" i="2"/>
  <c r="J176" i="2" l="1"/>
  <c r="B178" i="2"/>
  <c r="K176" i="2"/>
  <c r="J177" i="2" l="1"/>
  <c r="B179" i="2"/>
  <c r="K177" i="2"/>
  <c r="J178" i="2" l="1"/>
  <c r="B180" i="2"/>
  <c r="K178" i="2"/>
  <c r="J179" i="2" l="1"/>
  <c r="B181" i="2"/>
  <c r="K179" i="2"/>
  <c r="K180" i="2" l="1"/>
  <c r="J180" i="2"/>
  <c r="B182" i="2"/>
  <c r="K181" i="2" l="1"/>
  <c r="J181" i="2"/>
  <c r="B183" i="2"/>
  <c r="K182" i="2" l="1"/>
  <c r="J182" i="2"/>
  <c r="B184" i="2"/>
  <c r="K183" i="2" l="1"/>
  <c r="J183" i="2"/>
  <c r="B185" i="2"/>
  <c r="J184" i="2" l="1"/>
  <c r="B186" i="2"/>
  <c r="K184" i="2"/>
  <c r="J185" i="2" l="1"/>
  <c r="B187" i="2"/>
  <c r="K185" i="2"/>
  <c r="J186" i="2" l="1"/>
  <c r="B188" i="2"/>
  <c r="K186" i="2"/>
  <c r="J187" i="2" l="1"/>
  <c r="B189" i="2"/>
  <c r="K187" i="2"/>
  <c r="J188" i="2" l="1"/>
  <c r="B190" i="2"/>
  <c r="K188" i="2"/>
  <c r="K189" i="2" l="1"/>
  <c r="J189" i="2"/>
  <c r="B191" i="2"/>
  <c r="K190" i="2" l="1"/>
  <c r="J190" i="2"/>
  <c r="B192" i="2"/>
  <c r="J191" i="2" l="1"/>
  <c r="B193" i="2"/>
  <c r="K191" i="2"/>
  <c r="J192" i="2" l="1"/>
  <c r="B194" i="2"/>
  <c r="K192" i="2"/>
  <c r="J193" i="2" l="1"/>
  <c r="B195" i="2"/>
  <c r="K193" i="2"/>
  <c r="J194" i="2" l="1"/>
  <c r="B196" i="2"/>
  <c r="K194" i="2"/>
  <c r="J195" i="2" l="1"/>
  <c r="B197" i="2"/>
  <c r="K195" i="2"/>
  <c r="J196" i="2" l="1"/>
  <c r="B198" i="2"/>
  <c r="K196" i="2"/>
  <c r="J197" i="2" l="1"/>
  <c r="B199" i="2"/>
  <c r="K197" i="2"/>
  <c r="J198" i="2" l="1"/>
  <c r="B200" i="2"/>
  <c r="K198" i="2"/>
  <c r="J199" i="2" l="1"/>
  <c r="B201" i="2"/>
  <c r="K199" i="2"/>
  <c r="J200" i="2" l="1"/>
  <c r="B202" i="2"/>
  <c r="K200" i="2"/>
  <c r="J201" i="2" l="1"/>
  <c r="B203" i="2"/>
  <c r="K201" i="2"/>
  <c r="J202" i="2" l="1"/>
  <c r="B204" i="2"/>
  <c r="K202" i="2"/>
  <c r="J203" i="2" l="1"/>
  <c r="B205" i="2"/>
  <c r="K203" i="2"/>
  <c r="J204" i="2" l="1"/>
  <c r="B206" i="2"/>
  <c r="K204" i="2"/>
  <c r="J205" i="2" l="1"/>
  <c r="B207" i="2"/>
  <c r="K205" i="2"/>
  <c r="J206" i="2" l="1"/>
  <c r="B208" i="2"/>
  <c r="K206" i="2"/>
  <c r="J207" i="2" l="1"/>
  <c r="B209" i="2"/>
  <c r="K207" i="2"/>
  <c r="J208" i="2" l="1"/>
  <c r="B210" i="2"/>
  <c r="K208" i="2"/>
  <c r="J209" i="2" l="1"/>
  <c r="B211" i="2"/>
  <c r="K209" i="2"/>
  <c r="J210" i="2" l="1"/>
  <c r="B212" i="2"/>
  <c r="K210" i="2"/>
  <c r="J211" i="2" l="1"/>
  <c r="B213" i="2"/>
  <c r="K211" i="2"/>
  <c r="J212" i="2" l="1"/>
  <c r="B214" i="2"/>
  <c r="K212" i="2"/>
  <c r="J213" i="2" l="1"/>
  <c r="B215" i="2"/>
  <c r="K213" i="2"/>
  <c r="J214" i="2" l="1"/>
  <c r="B216" i="2"/>
  <c r="K214" i="2"/>
  <c r="J215" i="2" l="1"/>
  <c r="B217" i="2"/>
  <c r="K215" i="2"/>
  <c r="J216" i="2" l="1"/>
  <c r="B218" i="2"/>
  <c r="K216" i="2"/>
  <c r="J217" i="2" l="1"/>
  <c r="B219" i="2"/>
  <c r="K217" i="2"/>
  <c r="J218" i="2" l="1"/>
  <c r="B220" i="2"/>
  <c r="K218" i="2"/>
  <c r="J219" i="2" l="1"/>
  <c r="B221" i="2"/>
  <c r="K219" i="2"/>
  <c r="J220" i="2" l="1"/>
  <c r="B222" i="2"/>
  <c r="K220" i="2"/>
  <c r="J221" i="2" l="1"/>
  <c r="B223" i="2"/>
  <c r="K221" i="2"/>
  <c r="J222" i="2" l="1"/>
  <c r="B224" i="2"/>
  <c r="K222" i="2"/>
  <c r="B225" i="2" l="1"/>
  <c r="J223" i="2"/>
  <c r="K223" i="2"/>
  <c r="K224" i="2" l="1"/>
  <c r="J224" i="2"/>
  <c r="B226" i="2"/>
  <c r="J225" i="2" l="1"/>
  <c r="B227" i="2"/>
  <c r="K225" i="2"/>
  <c r="J226" i="2" l="1"/>
  <c r="B228" i="2"/>
  <c r="K226" i="2"/>
  <c r="J227" i="2" l="1"/>
  <c r="B229" i="2"/>
  <c r="K227" i="2"/>
  <c r="B230" i="2" l="1"/>
  <c r="J228" i="2"/>
  <c r="K228" i="2"/>
  <c r="K229" i="2" l="1"/>
  <c r="J229" i="2"/>
  <c r="B231" i="2"/>
  <c r="J230" i="2" l="1"/>
  <c r="B232" i="2"/>
  <c r="K230" i="2"/>
  <c r="J231" i="2" l="1"/>
  <c r="B233" i="2"/>
  <c r="K231" i="2"/>
  <c r="J232" i="2" l="1"/>
  <c r="B234" i="2"/>
  <c r="K232" i="2"/>
  <c r="J233" i="2" l="1"/>
  <c r="B235" i="2"/>
  <c r="K233" i="2"/>
  <c r="J234" i="2" l="1"/>
  <c r="B236" i="2"/>
  <c r="K234" i="2"/>
  <c r="J235" i="2" l="1"/>
  <c r="B237" i="2"/>
  <c r="K235" i="2"/>
  <c r="J236" i="2" l="1"/>
  <c r="B238" i="2"/>
  <c r="K236" i="2"/>
  <c r="J237" i="2" l="1"/>
  <c r="B239" i="2"/>
  <c r="K237" i="2"/>
  <c r="J238" i="2" l="1"/>
  <c r="B240" i="2"/>
  <c r="K238" i="2"/>
  <c r="J239" i="2" l="1"/>
  <c r="B241" i="2"/>
  <c r="K239" i="2"/>
  <c r="J240" i="2" l="1"/>
  <c r="B242" i="2"/>
  <c r="K240" i="2"/>
  <c r="B243" i="2" l="1"/>
  <c r="K241" i="2"/>
  <c r="J241" i="2"/>
  <c r="K242" i="2" l="1"/>
  <c r="J242" i="2"/>
  <c r="B244" i="2"/>
  <c r="J243" i="2" l="1"/>
  <c r="B245" i="2"/>
  <c r="K243" i="2"/>
  <c r="J244" i="2" l="1"/>
  <c r="B246" i="2"/>
  <c r="K244" i="2"/>
  <c r="J245" i="2" l="1"/>
  <c r="B247" i="2"/>
  <c r="K245" i="2"/>
  <c r="J246" i="2" l="1"/>
  <c r="B248" i="2"/>
  <c r="K246" i="2"/>
  <c r="J247" i="2" l="1"/>
  <c r="B249" i="2"/>
  <c r="K247" i="2"/>
  <c r="J248" i="2" l="1"/>
  <c r="B250" i="2"/>
  <c r="K248" i="2"/>
  <c r="J249" i="2" l="1"/>
  <c r="B251" i="2"/>
  <c r="K249" i="2"/>
  <c r="J250" i="2" l="1"/>
  <c r="B252" i="2"/>
  <c r="K250" i="2"/>
  <c r="B253" i="2" l="1"/>
  <c r="J251" i="2"/>
  <c r="K251" i="2"/>
  <c r="K252" i="2" l="1"/>
  <c r="J252" i="2"/>
  <c r="B254" i="2"/>
  <c r="J253" i="2" l="1"/>
  <c r="B255" i="2"/>
  <c r="K253" i="2"/>
  <c r="J254" i="2" l="1"/>
  <c r="B256" i="2"/>
  <c r="K254" i="2"/>
  <c r="J255" i="2" l="1"/>
  <c r="B257" i="2"/>
  <c r="K255" i="2"/>
  <c r="J256" i="2" l="1"/>
  <c r="B258" i="2"/>
  <c r="K256" i="2"/>
  <c r="J257" i="2" l="1"/>
  <c r="B259" i="2"/>
  <c r="K257" i="2"/>
  <c r="J258" i="2" l="1"/>
  <c r="B260" i="2"/>
  <c r="K258" i="2"/>
  <c r="J259" i="2" l="1"/>
  <c r="B261" i="2"/>
  <c r="K259" i="2"/>
  <c r="J260" i="2" l="1"/>
  <c r="B262" i="2"/>
  <c r="K260" i="2"/>
  <c r="J261" i="2" l="1"/>
  <c r="B263" i="2"/>
  <c r="K261" i="2"/>
  <c r="J262" i="2" l="1"/>
  <c r="B264" i="2"/>
  <c r="K262" i="2"/>
  <c r="J263" i="2" l="1"/>
  <c r="B265" i="2"/>
  <c r="K263" i="2"/>
  <c r="J264" i="2" l="1"/>
  <c r="B266" i="2"/>
  <c r="K264" i="2"/>
  <c r="J265" i="2" l="1"/>
  <c r="B267" i="2"/>
  <c r="K265" i="2"/>
  <c r="J266" i="2" l="1"/>
  <c r="B268" i="2"/>
  <c r="K266" i="2"/>
  <c r="J267" i="2" l="1"/>
  <c r="B269" i="2"/>
  <c r="K267" i="2"/>
  <c r="J268" i="2" l="1"/>
  <c r="B270" i="2"/>
  <c r="K268" i="2"/>
  <c r="J269" i="2" l="1"/>
  <c r="B271" i="2"/>
  <c r="K269" i="2"/>
  <c r="J270" i="2" l="1"/>
  <c r="B272" i="2"/>
  <c r="K270" i="2"/>
  <c r="J271" i="2" l="1"/>
  <c r="B273" i="2"/>
  <c r="K271" i="2"/>
  <c r="J272" i="2" l="1"/>
  <c r="B274" i="2"/>
  <c r="K272" i="2"/>
  <c r="B275" i="2" l="1"/>
  <c r="J273" i="2"/>
  <c r="K273" i="2"/>
  <c r="K274" i="2" l="1"/>
  <c r="B276" i="2"/>
  <c r="J274" i="2"/>
  <c r="K275" i="2" l="1"/>
  <c r="J275" i="2"/>
  <c r="B277" i="2"/>
  <c r="B278" i="2" l="1"/>
  <c r="J276" i="2"/>
  <c r="K276" i="2"/>
  <c r="K277" i="2" l="1"/>
  <c r="B279" i="2"/>
  <c r="J277" i="2"/>
  <c r="K278" i="2" l="1"/>
  <c r="B280" i="2"/>
  <c r="J278" i="2"/>
  <c r="K279" i="2" l="1"/>
  <c r="J279" i="2"/>
  <c r="B281" i="2"/>
  <c r="J280" i="2" l="1"/>
  <c r="B282" i="2"/>
  <c r="K280" i="2"/>
  <c r="J281" i="2" l="1"/>
  <c r="B283" i="2"/>
  <c r="K281" i="2"/>
  <c r="J282" i="2" l="1"/>
  <c r="B284" i="2"/>
  <c r="K282" i="2"/>
  <c r="J283" i="2" l="1"/>
  <c r="B285" i="2"/>
  <c r="K283" i="2"/>
  <c r="J284" i="2" l="1"/>
  <c r="B286" i="2"/>
  <c r="K284" i="2"/>
  <c r="J285" i="2" l="1"/>
  <c r="B287" i="2"/>
  <c r="K285" i="2"/>
  <c r="J286" i="2" l="1"/>
  <c r="B288" i="2"/>
  <c r="K286" i="2"/>
  <c r="J287" i="2" l="1"/>
  <c r="B289" i="2"/>
  <c r="K287" i="2"/>
  <c r="J288" i="2" l="1"/>
  <c r="B290" i="2"/>
  <c r="K288" i="2"/>
  <c r="J289" i="2" l="1"/>
  <c r="B291" i="2"/>
  <c r="K289" i="2"/>
  <c r="J290" i="2" l="1"/>
  <c r="B292" i="2"/>
  <c r="K290" i="2"/>
  <c r="J291" i="2" l="1"/>
  <c r="B293" i="2"/>
  <c r="K291" i="2"/>
  <c r="J292" i="2" l="1"/>
  <c r="B294" i="2"/>
  <c r="K292" i="2"/>
  <c r="J293" i="2" l="1"/>
  <c r="B295" i="2"/>
  <c r="K293" i="2"/>
  <c r="J294" i="2" l="1"/>
  <c r="B296" i="2"/>
  <c r="K294" i="2"/>
  <c r="J295" i="2" l="1"/>
  <c r="B297" i="2"/>
  <c r="K295" i="2"/>
  <c r="J296" i="2" l="1"/>
  <c r="B298" i="2"/>
  <c r="K296" i="2"/>
  <c r="J297" i="2" l="1"/>
  <c r="B299" i="2"/>
  <c r="K297" i="2"/>
  <c r="J298" i="2" l="1"/>
  <c r="B300" i="2"/>
  <c r="K298" i="2"/>
  <c r="J299" i="2" l="1"/>
  <c r="B301" i="2"/>
  <c r="K299" i="2"/>
  <c r="J300" i="2" l="1"/>
  <c r="B302" i="2"/>
  <c r="K300" i="2"/>
  <c r="K301" i="2" l="1"/>
  <c r="J301" i="2"/>
  <c r="B303" i="2"/>
  <c r="J302" i="2" l="1"/>
  <c r="B304" i="2"/>
  <c r="K302" i="2"/>
  <c r="J303" i="2" l="1"/>
  <c r="B305" i="2"/>
  <c r="K303" i="2"/>
  <c r="J304" i="2" l="1"/>
  <c r="B306" i="2"/>
  <c r="K304" i="2"/>
  <c r="J305" i="2" l="1"/>
  <c r="B307" i="2"/>
  <c r="K305" i="2"/>
  <c r="J306" i="2" l="1"/>
  <c r="B308" i="2"/>
  <c r="K306" i="2"/>
  <c r="J307" i="2" l="1"/>
  <c r="B309" i="2"/>
  <c r="K307" i="2"/>
  <c r="J308" i="2" l="1"/>
  <c r="B310" i="2"/>
  <c r="K308" i="2"/>
  <c r="J309" i="2" l="1"/>
  <c r="B311" i="2"/>
  <c r="K309" i="2"/>
  <c r="J310" i="2" l="1"/>
  <c r="B312" i="2"/>
  <c r="K310" i="2"/>
  <c r="B313" i="2" l="1"/>
  <c r="J311" i="2"/>
  <c r="K311" i="2"/>
  <c r="K312" i="2" l="1"/>
  <c r="J312" i="2"/>
  <c r="B314" i="2"/>
  <c r="B315" i="2" l="1"/>
  <c r="J313" i="2"/>
  <c r="K313" i="2"/>
  <c r="K314" i="2" l="1"/>
  <c r="B316" i="2"/>
  <c r="J314" i="2"/>
  <c r="K315" i="2" l="1"/>
  <c r="J315" i="2"/>
  <c r="B317" i="2"/>
  <c r="B318" i="2" l="1"/>
  <c r="J316" i="2"/>
  <c r="K316" i="2"/>
  <c r="K317" i="2" l="1"/>
  <c r="B319" i="2"/>
  <c r="J317" i="2"/>
  <c r="K318" i="2" l="1"/>
  <c r="B320" i="2"/>
  <c r="J318" i="2"/>
  <c r="K319" i="2" l="1"/>
  <c r="B321" i="2"/>
  <c r="J319" i="2"/>
  <c r="K320" i="2" l="1"/>
  <c r="B322" i="2"/>
  <c r="J320" i="2"/>
  <c r="K321" i="2" l="1"/>
  <c r="J321" i="2"/>
  <c r="B323" i="2"/>
  <c r="B324" i="2" l="1"/>
  <c r="J322" i="2"/>
  <c r="K322" i="2"/>
  <c r="K323" i="2" l="1"/>
  <c r="J323" i="2"/>
  <c r="B325" i="2"/>
  <c r="J324" i="2" l="1"/>
  <c r="B326" i="2"/>
  <c r="K324" i="2"/>
  <c r="B327" i="2" l="1"/>
  <c r="J325" i="2"/>
  <c r="K325" i="2"/>
  <c r="K326" i="2" l="1"/>
  <c r="J326" i="2"/>
  <c r="B328" i="2"/>
  <c r="B329" i="2" l="1"/>
  <c r="J327" i="2"/>
  <c r="K327" i="2"/>
  <c r="K328" i="2" l="1"/>
  <c r="J328" i="2"/>
  <c r="B330" i="2"/>
  <c r="J329" i="2" l="1"/>
  <c r="B331" i="2"/>
  <c r="K329" i="2"/>
  <c r="J330" i="2" l="1"/>
  <c r="B332" i="2"/>
  <c r="K330" i="2"/>
  <c r="J331" i="2" l="1"/>
  <c r="B333" i="2"/>
  <c r="K331" i="2"/>
  <c r="J332" i="2" l="1"/>
  <c r="B334" i="2"/>
  <c r="K332" i="2"/>
  <c r="J333" i="2" l="1"/>
  <c r="B335" i="2"/>
  <c r="K333" i="2"/>
  <c r="J334" i="2" l="1"/>
  <c r="B336" i="2"/>
  <c r="K334" i="2"/>
  <c r="J335" i="2" l="1"/>
  <c r="B337" i="2"/>
  <c r="K335" i="2"/>
  <c r="J336" i="2" l="1"/>
  <c r="B338" i="2"/>
  <c r="K336" i="2"/>
  <c r="J337" i="2" l="1"/>
  <c r="B339" i="2"/>
  <c r="K337" i="2"/>
  <c r="J338" i="2" l="1"/>
  <c r="B340" i="2"/>
  <c r="K338" i="2"/>
  <c r="J339" i="2" l="1"/>
  <c r="B341" i="2"/>
  <c r="K339" i="2"/>
  <c r="J340" i="2" l="1"/>
  <c r="B342" i="2"/>
  <c r="K340" i="2"/>
  <c r="J341" i="2" l="1"/>
  <c r="B343" i="2"/>
  <c r="K341" i="2"/>
  <c r="J342" i="2" l="1"/>
  <c r="B344" i="2"/>
  <c r="K342" i="2"/>
  <c r="J343" i="2" l="1"/>
  <c r="B345" i="2"/>
  <c r="K343" i="2"/>
  <c r="J344" i="2" l="1"/>
  <c r="B346" i="2"/>
  <c r="K344" i="2"/>
  <c r="J345" i="2" l="1"/>
  <c r="B347" i="2"/>
  <c r="K345" i="2"/>
  <c r="J346" i="2" l="1"/>
  <c r="B348" i="2"/>
  <c r="K346" i="2"/>
  <c r="J347" i="2" l="1"/>
  <c r="B349" i="2"/>
  <c r="K347" i="2"/>
  <c r="J348" i="2" l="1"/>
  <c r="B350" i="2"/>
  <c r="K348" i="2"/>
  <c r="J349" i="2" l="1"/>
  <c r="B351" i="2"/>
  <c r="K349" i="2"/>
  <c r="J350" i="2" l="1"/>
  <c r="B352" i="2"/>
  <c r="K350" i="2"/>
  <c r="J351" i="2" l="1"/>
  <c r="B353" i="2"/>
  <c r="K351" i="2"/>
  <c r="J352" i="2" l="1"/>
  <c r="B354" i="2"/>
  <c r="K352" i="2"/>
  <c r="J353" i="2" l="1"/>
  <c r="B355" i="2"/>
  <c r="K353" i="2"/>
  <c r="J354" i="2" l="1"/>
  <c r="B356" i="2"/>
  <c r="K354" i="2"/>
  <c r="J355" i="2" l="1"/>
  <c r="B357" i="2"/>
  <c r="K355" i="2"/>
  <c r="J356" i="2" l="1"/>
  <c r="B358" i="2"/>
  <c r="K356" i="2"/>
  <c r="J357" i="2" l="1"/>
  <c r="B359" i="2"/>
  <c r="K357" i="2"/>
  <c r="J358" i="2" l="1"/>
  <c r="B360" i="2"/>
  <c r="K358" i="2"/>
  <c r="J359" i="2" l="1"/>
  <c r="B361" i="2"/>
  <c r="K359" i="2"/>
  <c r="J360" i="2" l="1"/>
  <c r="B362" i="2"/>
  <c r="K360" i="2"/>
  <c r="J361" i="2" l="1"/>
  <c r="B363" i="2"/>
  <c r="K361" i="2"/>
  <c r="J362" i="2" l="1"/>
  <c r="B364" i="2"/>
  <c r="K362" i="2"/>
  <c r="J363" i="2" l="1"/>
  <c r="B365" i="2"/>
  <c r="K363" i="2"/>
  <c r="J364" i="2" l="1"/>
  <c r="B366" i="2"/>
  <c r="K364" i="2"/>
  <c r="J365" i="2" l="1"/>
  <c r="B367" i="2"/>
  <c r="K365" i="2"/>
  <c r="J366" i="2" l="1"/>
  <c r="B368" i="2"/>
  <c r="K366" i="2"/>
  <c r="J367" i="2" l="1"/>
  <c r="B369" i="2"/>
  <c r="K367" i="2"/>
  <c r="K368" i="2" l="1"/>
  <c r="J368" i="2"/>
  <c r="B370" i="2"/>
  <c r="K369" i="2" l="1"/>
  <c r="J369" i="2"/>
  <c r="B371" i="2"/>
  <c r="K370" i="2" l="1"/>
  <c r="J370" i="2"/>
  <c r="B372" i="2"/>
  <c r="K371" i="2" l="1"/>
  <c r="J371" i="2"/>
  <c r="B373" i="2"/>
  <c r="J372" i="2" l="1"/>
  <c r="B374" i="2"/>
  <c r="K372" i="2"/>
  <c r="J373" i="2" l="1"/>
  <c r="B375" i="2"/>
  <c r="K373" i="2"/>
  <c r="J374" i="2" l="1"/>
  <c r="B376" i="2"/>
  <c r="K374" i="2"/>
  <c r="J375" i="2" l="1"/>
  <c r="B377" i="2"/>
  <c r="K375" i="2"/>
  <c r="J376" i="2" l="1"/>
  <c r="B378" i="2"/>
  <c r="K376" i="2"/>
  <c r="K377" i="2" l="1"/>
  <c r="J377" i="2"/>
  <c r="B379" i="2"/>
  <c r="B380" i="2" l="1"/>
  <c r="J378" i="2"/>
  <c r="K378" i="2"/>
  <c r="K379" i="2" l="1"/>
  <c r="J379" i="2"/>
  <c r="B381" i="2"/>
  <c r="J380" i="2" l="1"/>
  <c r="B382" i="2"/>
  <c r="K380" i="2"/>
  <c r="J381" i="2" l="1"/>
  <c r="B383" i="2"/>
  <c r="K381" i="2"/>
  <c r="K382" i="2" l="1"/>
  <c r="J382" i="2"/>
  <c r="B384" i="2"/>
  <c r="J383" i="2" l="1"/>
  <c r="B385" i="2"/>
  <c r="K383" i="2"/>
  <c r="J384" i="2" l="1"/>
  <c r="B386" i="2"/>
  <c r="K384" i="2"/>
  <c r="J385" i="2" l="1"/>
  <c r="B387" i="2"/>
  <c r="K385" i="2"/>
  <c r="J386" i="2" l="1"/>
  <c r="B388" i="2"/>
  <c r="K386" i="2"/>
  <c r="J387" i="2" l="1"/>
  <c r="B389" i="2"/>
  <c r="K387" i="2"/>
  <c r="J388" i="2" l="1"/>
  <c r="B390" i="2"/>
  <c r="K388" i="2"/>
  <c r="J389" i="2" l="1"/>
  <c r="B391" i="2"/>
  <c r="K389" i="2"/>
  <c r="J390" i="2" l="1"/>
  <c r="B392" i="2"/>
  <c r="K390" i="2"/>
  <c r="J391" i="2" l="1"/>
  <c r="B393" i="2"/>
  <c r="K391" i="2"/>
  <c r="J392" i="2" l="1"/>
  <c r="B394" i="2"/>
  <c r="K392" i="2"/>
  <c r="J393" i="2" l="1"/>
  <c r="B395" i="2"/>
  <c r="K393" i="2"/>
  <c r="J394" i="2" l="1"/>
  <c r="B396" i="2"/>
  <c r="K394" i="2"/>
  <c r="J395" i="2" l="1"/>
  <c r="B397" i="2"/>
  <c r="K395" i="2"/>
  <c r="J396" i="2" l="1"/>
  <c r="B398" i="2"/>
  <c r="K396" i="2"/>
  <c r="J397" i="2" l="1"/>
  <c r="B399" i="2"/>
  <c r="K397" i="2"/>
  <c r="J398" i="2" l="1"/>
  <c r="B400" i="2"/>
  <c r="K398" i="2"/>
  <c r="J399" i="2" l="1"/>
  <c r="B401" i="2"/>
  <c r="K399" i="2"/>
  <c r="J400" i="2" l="1"/>
  <c r="B402" i="2"/>
  <c r="K400" i="2"/>
  <c r="J401" i="2" l="1"/>
  <c r="B403" i="2"/>
  <c r="K401" i="2"/>
  <c r="J402" i="2" l="1"/>
  <c r="B404" i="2"/>
  <c r="K402" i="2"/>
  <c r="J403" i="2" l="1"/>
  <c r="B405" i="2"/>
  <c r="K403" i="2"/>
  <c r="J404" i="2" l="1"/>
  <c r="B406" i="2"/>
  <c r="K404" i="2"/>
  <c r="J405" i="2" l="1"/>
  <c r="B407" i="2"/>
  <c r="K405" i="2"/>
  <c r="J406" i="2" l="1"/>
  <c r="B408" i="2"/>
  <c r="K406" i="2"/>
  <c r="J407" i="2" l="1"/>
  <c r="B409" i="2"/>
  <c r="K407" i="2"/>
  <c r="J408" i="2" l="1"/>
  <c r="B410" i="2"/>
  <c r="K408" i="2"/>
  <c r="J409" i="2" l="1"/>
  <c r="B411" i="2"/>
  <c r="K409" i="2"/>
  <c r="J410" i="2" l="1"/>
  <c r="B412" i="2"/>
  <c r="K410" i="2"/>
  <c r="J411" i="2" l="1"/>
  <c r="B413" i="2"/>
  <c r="K411" i="2"/>
  <c r="J412" i="2" l="1"/>
  <c r="B414" i="2"/>
  <c r="K412" i="2"/>
  <c r="J413" i="2" l="1"/>
  <c r="B415" i="2"/>
  <c r="K413" i="2"/>
  <c r="J414" i="2" l="1"/>
  <c r="B416" i="2"/>
  <c r="K414" i="2"/>
  <c r="J415" i="2" l="1"/>
  <c r="B417" i="2"/>
  <c r="K415" i="2"/>
  <c r="B418" i="2" l="1"/>
  <c r="J416" i="2"/>
  <c r="K416" i="2"/>
  <c r="K417" i="2" l="1"/>
  <c r="B419" i="2"/>
  <c r="J417" i="2"/>
  <c r="K418" i="2" l="1"/>
  <c r="J418" i="2"/>
  <c r="B420" i="2"/>
  <c r="J419" i="2" l="1"/>
  <c r="B421" i="2"/>
  <c r="K419" i="2"/>
  <c r="K420" i="2" l="1"/>
  <c r="J420" i="2"/>
  <c r="B422" i="2"/>
  <c r="J421" i="2" l="1"/>
  <c r="B423" i="2"/>
  <c r="K421" i="2"/>
  <c r="K422" i="2" l="1"/>
  <c r="J422" i="2"/>
  <c r="B424" i="2"/>
  <c r="K423" i="2" l="1"/>
  <c r="J423" i="2"/>
  <c r="B425" i="2"/>
  <c r="J424" i="2" l="1"/>
  <c r="B426" i="2"/>
  <c r="K424" i="2"/>
  <c r="K425" i="2" l="1"/>
  <c r="J425" i="2"/>
  <c r="B427" i="2"/>
  <c r="J426" i="2" l="1"/>
  <c r="B428" i="2"/>
  <c r="K426" i="2"/>
  <c r="J427" i="2" l="1"/>
  <c r="B429" i="2"/>
  <c r="K427" i="2"/>
  <c r="J428" i="2" l="1"/>
  <c r="B430" i="2"/>
  <c r="K428" i="2"/>
  <c r="J429" i="2" l="1"/>
  <c r="B431" i="2"/>
  <c r="K429" i="2"/>
  <c r="J430" i="2" l="1"/>
  <c r="B432" i="2"/>
  <c r="K430" i="2"/>
  <c r="J431" i="2" l="1"/>
  <c r="B433" i="2"/>
  <c r="K431" i="2"/>
  <c r="J432" i="2" l="1"/>
  <c r="B434" i="2"/>
  <c r="K432" i="2"/>
  <c r="J433" i="2" l="1"/>
  <c r="B435" i="2"/>
  <c r="K433" i="2"/>
  <c r="J434" i="2" l="1"/>
  <c r="B436" i="2"/>
  <c r="K434" i="2"/>
  <c r="J435" i="2" l="1"/>
  <c r="B437" i="2"/>
  <c r="K435" i="2"/>
  <c r="J436" i="2" l="1"/>
  <c r="B438" i="2"/>
  <c r="K436" i="2"/>
  <c r="J437" i="2" l="1"/>
  <c r="B439" i="2"/>
  <c r="K437" i="2"/>
  <c r="J438" i="2" l="1"/>
  <c r="B440" i="2"/>
  <c r="K438" i="2"/>
  <c r="J439" i="2" l="1"/>
  <c r="B441" i="2"/>
  <c r="K439" i="2"/>
  <c r="J440" i="2" l="1"/>
  <c r="B442" i="2"/>
  <c r="K440" i="2"/>
  <c r="J441" i="2" l="1"/>
  <c r="B443" i="2"/>
  <c r="K441" i="2"/>
  <c r="K442" i="2" l="1"/>
  <c r="J442" i="2"/>
  <c r="B444" i="2"/>
  <c r="B445" i="2" l="1"/>
  <c r="J443" i="2"/>
  <c r="K443" i="2"/>
  <c r="K444" i="2" l="1"/>
  <c r="J444" i="2"/>
  <c r="B446" i="2"/>
  <c r="J445" i="2" l="1"/>
  <c r="B447" i="2"/>
  <c r="K445" i="2"/>
  <c r="J446" i="2" l="1"/>
  <c r="B448" i="2"/>
  <c r="K446" i="2"/>
  <c r="J447" i="2" l="1"/>
  <c r="B449" i="2"/>
  <c r="K447" i="2"/>
  <c r="J448" i="2" l="1"/>
  <c r="B450" i="2"/>
  <c r="K448" i="2"/>
  <c r="J449" i="2" l="1"/>
  <c r="B451" i="2"/>
  <c r="K449" i="2"/>
  <c r="J450" i="2" l="1"/>
  <c r="B452" i="2"/>
  <c r="K450" i="2"/>
  <c r="J451" i="2" l="1"/>
  <c r="B453" i="2"/>
  <c r="K451" i="2"/>
  <c r="J452" i="2" l="1"/>
  <c r="B454" i="2"/>
  <c r="K452" i="2"/>
  <c r="J453" i="2" l="1"/>
  <c r="B455" i="2"/>
  <c r="K453" i="2"/>
  <c r="K454" i="2" l="1"/>
  <c r="J454" i="2"/>
  <c r="B456" i="2"/>
  <c r="J455" i="2" l="1"/>
  <c r="B457" i="2"/>
  <c r="K455" i="2"/>
  <c r="B458" i="2" l="1"/>
  <c r="J456" i="2"/>
  <c r="K456" i="2"/>
  <c r="K457" i="2" l="1"/>
  <c r="J457" i="2"/>
  <c r="B459" i="2"/>
  <c r="J458" i="2" l="1"/>
  <c r="B460" i="2"/>
  <c r="K458" i="2"/>
  <c r="J459" i="2" l="1"/>
  <c r="B461" i="2"/>
  <c r="K459" i="2"/>
  <c r="J460" i="2" l="1"/>
  <c r="B462" i="2"/>
  <c r="K460" i="2"/>
  <c r="J461" i="2" l="1"/>
  <c r="B463" i="2"/>
  <c r="K461" i="2"/>
  <c r="J462" i="2" l="1"/>
  <c r="B464" i="2"/>
  <c r="K462" i="2"/>
  <c r="J463" i="2" l="1"/>
  <c r="B465" i="2"/>
  <c r="K463" i="2"/>
  <c r="J464" i="2" l="1"/>
  <c r="B466" i="2"/>
  <c r="K464" i="2"/>
  <c r="J465" i="2" l="1"/>
  <c r="B467" i="2"/>
  <c r="K465" i="2"/>
  <c r="J466" i="2" l="1"/>
  <c r="B468" i="2"/>
  <c r="K466" i="2"/>
  <c r="J467" i="2" l="1"/>
  <c r="B469" i="2"/>
  <c r="K467" i="2"/>
  <c r="J468" i="2" l="1"/>
  <c r="B470" i="2"/>
  <c r="K468" i="2"/>
  <c r="J469" i="2" l="1"/>
  <c r="B471" i="2"/>
  <c r="K469" i="2"/>
  <c r="J470" i="2" l="1"/>
  <c r="B472" i="2"/>
  <c r="K470" i="2"/>
  <c r="J471" i="2" l="1"/>
  <c r="B473" i="2"/>
  <c r="K471" i="2"/>
  <c r="J472" i="2" l="1"/>
  <c r="B474" i="2"/>
  <c r="K472" i="2"/>
  <c r="J473" i="2" l="1"/>
  <c r="B475" i="2"/>
  <c r="K473" i="2"/>
  <c r="J474" i="2" l="1"/>
  <c r="B476" i="2"/>
  <c r="K474" i="2"/>
  <c r="J475" i="2" l="1"/>
  <c r="B477" i="2"/>
  <c r="K475" i="2"/>
  <c r="J476" i="2" l="1"/>
  <c r="B478" i="2"/>
  <c r="K476" i="2"/>
  <c r="J477" i="2" l="1"/>
  <c r="B479" i="2"/>
  <c r="K477" i="2"/>
  <c r="J478" i="2" l="1"/>
  <c r="B480" i="2"/>
  <c r="K478" i="2"/>
  <c r="J479" i="2" l="1"/>
  <c r="B481" i="2"/>
  <c r="K479" i="2"/>
  <c r="B482" i="2" l="1"/>
  <c r="J480" i="2"/>
  <c r="K480" i="2"/>
  <c r="K481" i="2" l="1"/>
  <c r="B483" i="2"/>
  <c r="J481" i="2"/>
  <c r="K482" i="2" l="1"/>
  <c r="B484" i="2"/>
  <c r="J482" i="2"/>
  <c r="K483" i="2" l="1"/>
  <c r="B485" i="2"/>
  <c r="J483" i="2"/>
  <c r="K484" i="2" l="1"/>
  <c r="B486" i="2"/>
  <c r="J484" i="2"/>
  <c r="K485" i="2" l="1"/>
  <c r="J485" i="2"/>
  <c r="B487" i="2"/>
  <c r="B488" i="2" l="1"/>
  <c r="J486" i="2"/>
  <c r="K486" i="2"/>
  <c r="K487" i="2" l="1"/>
  <c r="J487" i="2"/>
  <c r="B489" i="2"/>
  <c r="B490" i="2" l="1"/>
  <c r="J488" i="2"/>
  <c r="K488" i="2"/>
  <c r="K489" i="2" l="1"/>
  <c r="B491" i="2"/>
  <c r="J489" i="2"/>
  <c r="K490" i="2" l="1"/>
  <c r="B492" i="2"/>
  <c r="J490" i="2"/>
  <c r="K491" i="2" l="1"/>
  <c r="J491" i="2"/>
  <c r="B493" i="2"/>
  <c r="K492" i="2" l="1"/>
  <c r="J492" i="2"/>
  <c r="B494" i="2"/>
  <c r="J493" i="2" l="1"/>
  <c r="B495" i="2"/>
  <c r="K493" i="2"/>
  <c r="J494" i="2" l="1"/>
  <c r="B496" i="2"/>
  <c r="K494" i="2"/>
  <c r="J495" i="2" l="1"/>
  <c r="B497" i="2"/>
  <c r="K495" i="2"/>
  <c r="J496" i="2" l="1"/>
  <c r="B498" i="2"/>
  <c r="K496" i="2"/>
  <c r="J497" i="2" l="1"/>
  <c r="B499" i="2"/>
  <c r="K497" i="2"/>
  <c r="J498" i="2" l="1"/>
  <c r="B500" i="2"/>
  <c r="K498" i="2"/>
  <c r="J499" i="2" l="1"/>
  <c r="B501" i="2"/>
  <c r="K499" i="2"/>
  <c r="J500" i="2" l="1"/>
  <c r="B502" i="2"/>
  <c r="K500" i="2"/>
  <c r="J501" i="2" l="1"/>
  <c r="B503" i="2"/>
  <c r="K501" i="2"/>
  <c r="J502" i="2" l="1"/>
  <c r="B504" i="2"/>
  <c r="K502" i="2"/>
  <c r="J503" i="2" l="1"/>
  <c r="B505" i="2"/>
  <c r="K503" i="2"/>
  <c r="K504" i="2" l="1"/>
  <c r="J504" i="2"/>
  <c r="B506" i="2"/>
  <c r="J505" i="2" l="1"/>
  <c r="B507" i="2"/>
  <c r="K505" i="2"/>
  <c r="J506" i="2" l="1"/>
  <c r="B508" i="2"/>
  <c r="K506" i="2"/>
  <c r="J507" i="2" l="1"/>
  <c r="B509" i="2"/>
  <c r="K507" i="2"/>
  <c r="J508" i="2" l="1"/>
  <c r="B510" i="2"/>
  <c r="K508" i="2"/>
  <c r="J509" i="2" l="1"/>
  <c r="B511" i="2"/>
  <c r="K509" i="2"/>
  <c r="J510" i="2" l="1"/>
  <c r="B512" i="2"/>
  <c r="K510" i="2"/>
  <c r="J511" i="2" l="1"/>
  <c r="B513" i="2"/>
  <c r="K511" i="2"/>
  <c r="J512" i="2" l="1"/>
  <c r="B514" i="2"/>
  <c r="K512" i="2"/>
  <c r="J513" i="2" l="1"/>
  <c r="B515" i="2"/>
  <c r="K513" i="2"/>
  <c r="J514" i="2" l="1"/>
  <c r="B516" i="2"/>
  <c r="K514" i="2"/>
  <c r="K515" i="2" l="1"/>
  <c r="J515" i="2"/>
  <c r="B517" i="2"/>
  <c r="J516" i="2" l="1"/>
  <c r="B518" i="2"/>
  <c r="K516" i="2"/>
  <c r="J517" i="2" l="1"/>
  <c r="B519" i="2"/>
  <c r="K517" i="2"/>
  <c r="J518" i="2" l="1"/>
  <c r="B520" i="2"/>
  <c r="K518" i="2"/>
  <c r="J519" i="2" l="1"/>
  <c r="B521" i="2"/>
  <c r="K519" i="2"/>
  <c r="J520" i="2" l="1"/>
  <c r="B522" i="2"/>
  <c r="K520" i="2"/>
  <c r="J521" i="2" l="1"/>
  <c r="B523" i="2"/>
  <c r="K521" i="2"/>
  <c r="J522" i="2" l="1"/>
  <c r="B524" i="2"/>
  <c r="K522" i="2"/>
  <c r="J523" i="2" l="1"/>
  <c r="B525" i="2"/>
  <c r="K523" i="2"/>
  <c r="B526" i="2" l="1"/>
  <c r="J524" i="2"/>
  <c r="K524" i="2"/>
  <c r="K525" i="2" l="1"/>
  <c r="J525" i="2"/>
  <c r="B527" i="2"/>
  <c r="J526" i="2" l="1"/>
  <c r="B528" i="2"/>
  <c r="K526" i="2"/>
  <c r="J527" i="2" l="1"/>
  <c r="B529" i="2"/>
  <c r="K527" i="2"/>
  <c r="J528" i="2" l="1"/>
  <c r="B530" i="2"/>
  <c r="K528" i="2"/>
  <c r="J529" i="2" l="1"/>
  <c r="B531" i="2"/>
  <c r="K529" i="2"/>
  <c r="J530" i="2" l="1"/>
  <c r="B532" i="2"/>
  <c r="K530" i="2"/>
  <c r="J531" i="2" l="1"/>
  <c r="B533" i="2"/>
  <c r="K531" i="2"/>
  <c r="J532" i="2" l="1"/>
  <c r="B534" i="2"/>
  <c r="K532" i="2"/>
  <c r="J533" i="2" l="1"/>
  <c r="B535" i="2"/>
  <c r="K533" i="2"/>
  <c r="J534" i="2" l="1"/>
  <c r="B536" i="2"/>
  <c r="K534" i="2"/>
  <c r="J535" i="2" l="1"/>
  <c r="B537" i="2"/>
  <c r="K535" i="2"/>
  <c r="J536" i="2" l="1"/>
  <c r="B538" i="2"/>
  <c r="K536" i="2"/>
  <c r="J537" i="2" l="1"/>
  <c r="B539" i="2"/>
  <c r="K537" i="2"/>
  <c r="J538" i="2" l="1"/>
  <c r="B540" i="2"/>
  <c r="K538" i="2"/>
  <c r="K539" i="2" l="1"/>
  <c r="J539" i="2"/>
  <c r="B541" i="2"/>
  <c r="K540" i="2" l="1"/>
  <c r="J540" i="2"/>
  <c r="B542" i="2"/>
  <c r="K541" i="2" l="1"/>
  <c r="J541" i="2"/>
  <c r="B543" i="2"/>
  <c r="J542" i="2" l="1"/>
  <c r="B544" i="2"/>
  <c r="K542" i="2"/>
  <c r="J543" i="2" l="1"/>
  <c r="B545" i="2"/>
  <c r="K543" i="2"/>
  <c r="J544" i="2" l="1"/>
  <c r="B546" i="2"/>
  <c r="K544" i="2"/>
  <c r="J545" i="2" l="1"/>
  <c r="B547" i="2"/>
  <c r="K545" i="2"/>
  <c r="J546" i="2" l="1"/>
  <c r="B548" i="2"/>
  <c r="K546" i="2"/>
  <c r="J547" i="2" l="1"/>
  <c r="B549" i="2"/>
  <c r="K547" i="2"/>
  <c r="J548" i="2" l="1"/>
  <c r="B550" i="2"/>
  <c r="K548" i="2"/>
  <c r="J549" i="2" l="1"/>
  <c r="B551" i="2"/>
  <c r="K549" i="2"/>
  <c r="J550" i="2" l="1"/>
  <c r="B552" i="2"/>
  <c r="K550" i="2"/>
  <c r="J551" i="2" l="1"/>
  <c r="B553" i="2"/>
  <c r="K551" i="2"/>
  <c r="J552" i="2" l="1"/>
  <c r="B554" i="2"/>
  <c r="K552" i="2"/>
  <c r="K553" i="2" l="1"/>
  <c r="J553" i="2"/>
  <c r="B555" i="2"/>
  <c r="J554" i="2" l="1"/>
  <c r="B556" i="2"/>
  <c r="K554" i="2"/>
  <c r="J555" i="2" l="1"/>
  <c r="B557" i="2"/>
  <c r="K555" i="2"/>
  <c r="J556" i="2" l="1"/>
  <c r="B558" i="2"/>
  <c r="K556" i="2"/>
  <c r="J557" i="2" l="1"/>
  <c r="B559" i="2"/>
  <c r="K557" i="2"/>
  <c r="B560" i="2" l="1"/>
  <c r="J558" i="2"/>
  <c r="K558" i="2"/>
  <c r="K559" i="2" l="1"/>
  <c r="J559" i="2"/>
  <c r="B561" i="2"/>
  <c r="J560" i="2" l="1"/>
  <c r="B562" i="2"/>
  <c r="K560" i="2"/>
  <c r="J561" i="2" l="1"/>
  <c r="B563" i="2"/>
  <c r="K561" i="2"/>
  <c r="J562" i="2" l="1"/>
  <c r="B564" i="2"/>
  <c r="K562" i="2"/>
  <c r="J563" i="2" l="1"/>
  <c r="B565" i="2"/>
  <c r="K563" i="2"/>
  <c r="J564" i="2" l="1"/>
  <c r="B566" i="2"/>
  <c r="K564" i="2"/>
  <c r="J565" i="2" l="1"/>
  <c r="B567" i="2"/>
  <c r="K565" i="2"/>
  <c r="J566" i="2" l="1"/>
  <c r="B568" i="2"/>
  <c r="K566" i="2"/>
  <c r="J567" i="2" l="1"/>
  <c r="B569" i="2"/>
  <c r="K567" i="2"/>
  <c r="J568" i="2" l="1"/>
  <c r="B570" i="2"/>
  <c r="K568" i="2"/>
  <c r="B571" i="2" l="1"/>
  <c r="J569" i="2"/>
  <c r="K569" i="2"/>
  <c r="K570" i="2" l="1"/>
  <c r="J570" i="2"/>
  <c r="B572" i="2"/>
  <c r="J571" i="2" l="1"/>
  <c r="B573" i="2"/>
  <c r="K571" i="2"/>
  <c r="J572" i="2" l="1"/>
  <c r="B574" i="2"/>
  <c r="K572" i="2"/>
  <c r="J573" i="2" l="1"/>
  <c r="B575" i="2"/>
  <c r="K573" i="2"/>
  <c r="J574" i="2" l="1"/>
  <c r="B576" i="2"/>
  <c r="K574" i="2"/>
  <c r="J575" i="2" l="1"/>
  <c r="B577" i="2"/>
  <c r="K575" i="2"/>
  <c r="J576" i="2" l="1"/>
  <c r="B578" i="2"/>
  <c r="K576" i="2"/>
  <c r="J577" i="2" l="1"/>
  <c r="B579" i="2"/>
  <c r="K577" i="2"/>
  <c r="J578" i="2" l="1"/>
  <c r="B580" i="2"/>
  <c r="K578" i="2"/>
  <c r="J579" i="2" l="1"/>
  <c r="B581" i="2"/>
  <c r="K579" i="2"/>
  <c r="J580" i="2" l="1"/>
  <c r="B582" i="2"/>
  <c r="K580" i="2"/>
  <c r="J581" i="2" l="1"/>
  <c r="B583" i="2"/>
  <c r="K581" i="2"/>
  <c r="J582" i="2" l="1"/>
  <c r="B584" i="2"/>
  <c r="K582" i="2"/>
  <c r="J583" i="2" l="1"/>
  <c r="B585" i="2"/>
  <c r="K583" i="2"/>
  <c r="J584" i="2" l="1"/>
  <c r="B586" i="2"/>
  <c r="K584" i="2"/>
  <c r="J585" i="2" l="1"/>
  <c r="B587" i="2"/>
  <c r="K585" i="2"/>
  <c r="K586" i="2" l="1"/>
  <c r="J586" i="2"/>
  <c r="B588" i="2"/>
  <c r="J587" i="2" l="1"/>
  <c r="B589" i="2"/>
  <c r="K587" i="2"/>
  <c r="J588" i="2" l="1"/>
  <c r="B590" i="2"/>
  <c r="K588" i="2"/>
  <c r="J589" i="2" l="1"/>
  <c r="B591" i="2"/>
  <c r="K589" i="2"/>
  <c r="J590" i="2" l="1"/>
  <c r="B592" i="2"/>
  <c r="K590" i="2"/>
  <c r="J591" i="2" l="1"/>
  <c r="B593" i="2"/>
  <c r="K591" i="2"/>
  <c r="B594" i="2" l="1"/>
  <c r="J592" i="2"/>
  <c r="K592" i="2"/>
  <c r="K593" i="2" l="1"/>
  <c r="J593" i="2"/>
  <c r="B595" i="2"/>
  <c r="B596" i="2" l="1"/>
  <c r="J594" i="2"/>
  <c r="K594" i="2"/>
  <c r="K595" i="2" l="1"/>
  <c r="J595" i="2"/>
  <c r="B597" i="2"/>
  <c r="J596" i="2" l="1"/>
  <c r="B598" i="2"/>
  <c r="K596" i="2"/>
  <c r="J597" i="2" l="1"/>
  <c r="B599" i="2"/>
  <c r="K597" i="2"/>
  <c r="J598" i="2" l="1"/>
  <c r="B600" i="2"/>
  <c r="K598" i="2"/>
  <c r="J599" i="2" l="1"/>
  <c r="B601" i="2"/>
  <c r="K599" i="2"/>
  <c r="J600" i="2" l="1"/>
  <c r="B602" i="2"/>
  <c r="K600" i="2"/>
  <c r="J601" i="2" l="1"/>
  <c r="B603" i="2"/>
  <c r="K601" i="2"/>
  <c r="J602" i="2" l="1"/>
  <c r="B604" i="2"/>
  <c r="K602" i="2"/>
  <c r="J603" i="2" l="1"/>
  <c r="B605" i="2"/>
  <c r="K603" i="2"/>
  <c r="J604" i="2" l="1"/>
  <c r="B606" i="2"/>
  <c r="K604" i="2"/>
  <c r="J605" i="2" l="1"/>
  <c r="B607" i="2"/>
  <c r="K605" i="2"/>
  <c r="B608" i="2" l="1"/>
  <c r="J606" i="2"/>
  <c r="K606" i="2"/>
  <c r="K607" i="2" l="1"/>
  <c r="J607" i="2"/>
  <c r="B609" i="2"/>
  <c r="B610" i="2" l="1"/>
  <c r="J608" i="2"/>
  <c r="K608" i="2"/>
  <c r="K609" i="2" l="1"/>
  <c r="J609" i="2"/>
  <c r="B611" i="2"/>
  <c r="J610" i="2" l="1"/>
  <c r="B612" i="2"/>
  <c r="K610" i="2"/>
  <c r="J611" i="2" l="1"/>
  <c r="B613" i="2"/>
  <c r="K611" i="2"/>
  <c r="B614" i="2" l="1"/>
  <c r="J612" i="2"/>
  <c r="K612" i="2"/>
  <c r="K613" i="2" l="1"/>
  <c r="B615" i="2"/>
  <c r="J613" i="2"/>
  <c r="K614" i="2" l="1"/>
  <c r="J614" i="2"/>
  <c r="B616" i="2"/>
  <c r="B617" i="2" l="1"/>
  <c r="J615" i="2"/>
  <c r="K615" i="2"/>
  <c r="K616" i="2" l="1"/>
  <c r="J616" i="2"/>
  <c r="B618" i="2"/>
  <c r="J617" i="2" l="1"/>
  <c r="B619" i="2"/>
  <c r="K617" i="2"/>
  <c r="J618" i="2" l="1"/>
  <c r="B620" i="2"/>
  <c r="K618" i="2"/>
  <c r="K619" i="2" l="1"/>
  <c r="J619" i="2"/>
  <c r="B621" i="2"/>
  <c r="J620" i="2" l="1"/>
  <c r="B622" i="2"/>
  <c r="K620" i="2"/>
  <c r="J621" i="2" l="1"/>
  <c r="B623" i="2"/>
  <c r="K621" i="2"/>
  <c r="K622" i="2" l="1"/>
  <c r="J622" i="2"/>
  <c r="B624" i="2"/>
  <c r="J623" i="2" l="1"/>
  <c r="B625" i="2"/>
  <c r="K623" i="2"/>
  <c r="J624" i="2" l="1"/>
  <c r="B626" i="2"/>
  <c r="K624" i="2"/>
  <c r="J625" i="2" l="1"/>
  <c r="B627" i="2"/>
  <c r="K625" i="2"/>
  <c r="J626" i="2" l="1"/>
  <c r="B628" i="2"/>
  <c r="K626" i="2"/>
  <c r="J627" i="2" l="1"/>
  <c r="B629" i="2"/>
  <c r="K627" i="2"/>
  <c r="J628" i="2" l="1"/>
  <c r="B630" i="2"/>
  <c r="K628" i="2"/>
  <c r="J629" i="2" l="1"/>
  <c r="B631" i="2"/>
  <c r="K629" i="2"/>
  <c r="J630" i="2" l="1"/>
  <c r="B632" i="2"/>
  <c r="K630" i="2"/>
  <c r="J631" i="2" l="1"/>
  <c r="B633" i="2"/>
  <c r="K631" i="2"/>
  <c r="J632" i="2" l="1"/>
  <c r="B634" i="2"/>
  <c r="K632" i="2"/>
  <c r="J633" i="2" l="1"/>
  <c r="B635" i="2"/>
  <c r="K633" i="2"/>
  <c r="J634" i="2" l="1"/>
  <c r="B636" i="2"/>
  <c r="K634" i="2"/>
  <c r="J635" i="2" l="1"/>
  <c r="B637" i="2"/>
  <c r="K635" i="2"/>
  <c r="J636" i="2" l="1"/>
  <c r="B638" i="2"/>
  <c r="K636" i="2"/>
  <c r="J637" i="2" l="1"/>
  <c r="B639" i="2"/>
  <c r="K637" i="2"/>
  <c r="J638" i="2" l="1"/>
  <c r="B640" i="2"/>
  <c r="K638" i="2"/>
  <c r="J639" i="2" l="1"/>
  <c r="B641" i="2"/>
  <c r="K639" i="2"/>
  <c r="K640" i="2" l="1"/>
  <c r="J640" i="2"/>
  <c r="B642" i="2"/>
  <c r="J641" i="2" l="1"/>
  <c r="B643" i="2"/>
  <c r="K641" i="2"/>
  <c r="J642" i="2" l="1"/>
  <c r="B644" i="2"/>
  <c r="K642" i="2"/>
  <c r="J643" i="2" l="1"/>
  <c r="B645" i="2"/>
  <c r="K643" i="2"/>
  <c r="J644" i="2" l="1"/>
  <c r="B646" i="2"/>
  <c r="K644" i="2"/>
  <c r="J645" i="2" l="1"/>
  <c r="B647" i="2"/>
  <c r="K645" i="2"/>
  <c r="J646" i="2" l="1"/>
  <c r="B648" i="2"/>
  <c r="K646" i="2"/>
  <c r="J647" i="2" l="1"/>
  <c r="B649" i="2"/>
  <c r="K647" i="2"/>
  <c r="B650" i="2" l="1"/>
  <c r="J648" i="2"/>
  <c r="K648" i="2"/>
  <c r="K649" i="2" l="1"/>
  <c r="J649" i="2"/>
  <c r="B651" i="2"/>
  <c r="J650" i="2" l="1"/>
  <c r="B652" i="2"/>
  <c r="K650" i="2"/>
  <c r="J651" i="2" l="1"/>
  <c r="B653" i="2"/>
  <c r="K651" i="2"/>
  <c r="J652" i="2" l="1"/>
  <c r="B654" i="2"/>
  <c r="K652" i="2"/>
  <c r="J653" i="2" l="1"/>
  <c r="B655" i="2"/>
  <c r="K653" i="2"/>
  <c r="J654" i="2" l="1"/>
  <c r="B656" i="2"/>
  <c r="K654" i="2"/>
  <c r="J655" i="2" l="1"/>
  <c r="B657" i="2"/>
  <c r="K655" i="2"/>
  <c r="J656" i="2" l="1"/>
  <c r="B658" i="2"/>
  <c r="K656" i="2"/>
  <c r="J657" i="2" l="1"/>
  <c r="B659" i="2"/>
  <c r="K657" i="2"/>
  <c r="K658" i="2" l="1"/>
  <c r="J658" i="2"/>
  <c r="B660" i="2"/>
  <c r="J659" i="2" l="1"/>
  <c r="B661" i="2"/>
  <c r="K659" i="2"/>
  <c r="J660" i="2" l="1"/>
  <c r="B662" i="2"/>
  <c r="K660" i="2"/>
  <c r="J661" i="2" l="1"/>
  <c r="B663" i="2"/>
  <c r="K661" i="2"/>
  <c r="J662" i="2" l="1"/>
  <c r="B664" i="2"/>
  <c r="K662" i="2"/>
  <c r="J663" i="2" l="1"/>
  <c r="B665" i="2"/>
  <c r="K663" i="2"/>
  <c r="J664" i="2" l="1"/>
  <c r="B666" i="2"/>
  <c r="K664" i="2"/>
  <c r="J665" i="2" l="1"/>
  <c r="B667" i="2"/>
  <c r="K665" i="2"/>
  <c r="J666" i="2" l="1"/>
  <c r="B668" i="2"/>
  <c r="K666" i="2"/>
  <c r="J667" i="2" l="1"/>
  <c r="B669" i="2"/>
  <c r="K667" i="2"/>
  <c r="J668" i="2" l="1"/>
  <c r="B670" i="2"/>
  <c r="K668" i="2"/>
  <c r="J669" i="2" l="1"/>
  <c r="B671" i="2"/>
  <c r="K669" i="2"/>
  <c r="J670" i="2" l="1"/>
  <c r="B672" i="2"/>
  <c r="K670" i="2"/>
  <c r="J671" i="2" l="1"/>
  <c r="B673" i="2"/>
  <c r="K671" i="2"/>
  <c r="J672" i="2" l="1"/>
  <c r="B674" i="2"/>
  <c r="K672" i="2"/>
  <c r="J673" i="2" l="1"/>
  <c r="B675" i="2"/>
  <c r="K673" i="2"/>
  <c r="J674" i="2" l="1"/>
  <c r="B676" i="2"/>
  <c r="K674" i="2"/>
  <c r="J675" i="2" l="1"/>
  <c r="B677" i="2"/>
  <c r="K675" i="2"/>
  <c r="K676" i="2" l="1"/>
  <c r="J676" i="2"/>
  <c r="B678" i="2"/>
  <c r="J677" i="2" l="1"/>
  <c r="B679" i="2"/>
  <c r="K677" i="2"/>
  <c r="B680" i="2" l="1"/>
  <c r="J678" i="2"/>
  <c r="K678" i="2"/>
  <c r="K679" i="2" l="1"/>
  <c r="J679" i="2"/>
  <c r="B681" i="2"/>
  <c r="J680" i="2" l="1"/>
  <c r="B682" i="2"/>
  <c r="K680" i="2"/>
  <c r="J681" i="2" l="1"/>
  <c r="B683" i="2"/>
  <c r="K681" i="2"/>
  <c r="J682" i="2" l="1"/>
  <c r="B684" i="2"/>
  <c r="K682" i="2"/>
  <c r="K683" i="2" l="1"/>
  <c r="J683" i="2"/>
  <c r="B685" i="2"/>
  <c r="J684" i="2" l="1"/>
  <c r="B686" i="2"/>
  <c r="K684" i="2"/>
  <c r="J685" i="2" l="1"/>
  <c r="B687" i="2"/>
  <c r="K685" i="2"/>
  <c r="B688" i="2" l="1"/>
  <c r="J686" i="2"/>
  <c r="K686" i="2"/>
  <c r="K687" i="2" l="1"/>
  <c r="J687" i="2"/>
  <c r="B689" i="2"/>
  <c r="J688" i="2" l="1"/>
  <c r="B690" i="2"/>
  <c r="K688" i="2"/>
  <c r="B691" i="2" l="1"/>
  <c r="J689" i="2"/>
  <c r="K689" i="2"/>
  <c r="K690" i="2" l="1"/>
  <c r="J690" i="2"/>
  <c r="B692" i="2"/>
  <c r="J691" i="2" l="1"/>
  <c r="B693" i="2"/>
  <c r="K691" i="2"/>
  <c r="J692" i="2" l="1"/>
  <c r="B694" i="2"/>
  <c r="K692" i="2"/>
  <c r="J693" i="2" l="1"/>
  <c r="B695" i="2"/>
  <c r="K693" i="2"/>
  <c r="K694" i="2" l="1"/>
  <c r="J694" i="2"/>
  <c r="B696" i="2"/>
  <c r="J695" i="2" l="1"/>
  <c r="B697" i="2"/>
  <c r="K695" i="2"/>
  <c r="J696" i="2" l="1"/>
  <c r="B698" i="2"/>
  <c r="K696" i="2"/>
  <c r="J697" i="2" l="1"/>
  <c r="B699" i="2"/>
  <c r="K697" i="2"/>
  <c r="J698" i="2" l="1"/>
  <c r="B700" i="2"/>
  <c r="K698" i="2"/>
  <c r="J699" i="2" l="1"/>
  <c r="B701" i="2"/>
  <c r="K699" i="2"/>
  <c r="J700" i="2" l="1"/>
  <c r="B702" i="2"/>
  <c r="K700" i="2"/>
  <c r="J701" i="2" l="1"/>
  <c r="B703" i="2"/>
  <c r="K701" i="2"/>
  <c r="J702" i="2" l="1"/>
  <c r="B704" i="2"/>
  <c r="K702" i="2"/>
  <c r="J703" i="2" l="1"/>
  <c r="B705" i="2"/>
  <c r="K703" i="2"/>
  <c r="J704" i="2" l="1"/>
  <c r="B706" i="2"/>
  <c r="K704" i="2"/>
  <c r="J705" i="2" l="1"/>
  <c r="B707" i="2"/>
  <c r="K705" i="2"/>
  <c r="J706" i="2" l="1"/>
  <c r="B708" i="2"/>
  <c r="K706" i="2"/>
  <c r="K707" i="2" l="1"/>
  <c r="J707" i="2"/>
  <c r="B709" i="2"/>
  <c r="J708" i="2" l="1"/>
  <c r="B710" i="2"/>
  <c r="K708" i="2"/>
  <c r="J709" i="2" l="1"/>
  <c r="B711" i="2"/>
  <c r="K709" i="2"/>
  <c r="J710" i="2" l="1"/>
  <c r="B712" i="2"/>
  <c r="K710" i="2"/>
  <c r="J711" i="2" l="1"/>
  <c r="B713" i="2"/>
  <c r="K711" i="2"/>
  <c r="J712" i="2" l="1"/>
  <c r="B714" i="2"/>
  <c r="K712" i="2"/>
  <c r="J713" i="2" l="1"/>
  <c r="B715" i="2"/>
  <c r="K713" i="2"/>
  <c r="J714" i="2" l="1"/>
  <c r="B716" i="2"/>
  <c r="K714" i="2"/>
  <c r="J715" i="2" l="1"/>
  <c r="B717" i="2"/>
  <c r="K715" i="2"/>
  <c r="J716" i="2" l="1"/>
  <c r="B718" i="2"/>
  <c r="K716" i="2"/>
  <c r="J717" i="2" l="1"/>
  <c r="B719" i="2"/>
  <c r="K717" i="2"/>
  <c r="J718" i="2" l="1"/>
  <c r="B720" i="2"/>
  <c r="K718" i="2"/>
  <c r="J719" i="2" l="1"/>
  <c r="B721" i="2"/>
  <c r="K719" i="2"/>
  <c r="K720" i="2" l="1"/>
  <c r="J720" i="2"/>
  <c r="B722" i="2"/>
  <c r="J721" i="2" l="1"/>
  <c r="B723" i="2"/>
  <c r="K721" i="2"/>
  <c r="J722" i="2" l="1"/>
  <c r="B724" i="2"/>
  <c r="K722" i="2"/>
  <c r="J723" i="2" l="1"/>
  <c r="B725" i="2"/>
  <c r="K723" i="2"/>
  <c r="J724" i="2" l="1"/>
  <c r="B726" i="2"/>
  <c r="K724" i="2"/>
  <c r="J725" i="2" l="1"/>
  <c r="B727" i="2"/>
  <c r="K725" i="2"/>
  <c r="J726" i="2" l="1"/>
  <c r="B728" i="2"/>
  <c r="K726" i="2"/>
  <c r="J727" i="2" l="1"/>
  <c r="B729" i="2"/>
  <c r="K727" i="2"/>
  <c r="K728" i="2" l="1"/>
  <c r="J728" i="2"/>
  <c r="B730" i="2"/>
  <c r="K729" i="2" l="1"/>
  <c r="J729" i="2"/>
  <c r="B731" i="2"/>
  <c r="J730" i="2" l="1"/>
  <c r="B732" i="2"/>
  <c r="K730" i="2"/>
  <c r="J731" i="2" l="1"/>
  <c r="B733" i="2"/>
  <c r="K731" i="2"/>
  <c r="J732" i="2" l="1"/>
  <c r="B734" i="2"/>
  <c r="K732" i="2"/>
  <c r="J733" i="2" l="1"/>
  <c r="B735" i="2"/>
  <c r="K733" i="2"/>
  <c r="J734" i="2" l="1"/>
  <c r="B736" i="2"/>
  <c r="K734" i="2"/>
  <c r="J735" i="2" l="1"/>
  <c r="B737" i="2"/>
  <c r="K735" i="2"/>
  <c r="J736" i="2" l="1"/>
  <c r="B738" i="2"/>
  <c r="K736" i="2"/>
  <c r="J737" i="2" l="1"/>
  <c r="B739" i="2"/>
  <c r="K737" i="2"/>
  <c r="J738" i="2" l="1"/>
  <c r="B740" i="2"/>
  <c r="K738" i="2"/>
  <c r="J739" i="2" l="1"/>
  <c r="B741" i="2"/>
  <c r="K739" i="2"/>
  <c r="J740" i="2" l="1"/>
  <c r="B742" i="2"/>
  <c r="K740" i="2"/>
  <c r="J741" i="2" l="1"/>
  <c r="B743" i="2"/>
  <c r="K741" i="2"/>
  <c r="B744" i="2" l="1"/>
  <c r="J742" i="2"/>
  <c r="K742" i="2"/>
  <c r="K743" i="2" l="1"/>
  <c r="J743" i="2"/>
  <c r="B745" i="2"/>
  <c r="J744" i="2" l="1"/>
  <c r="B746" i="2"/>
  <c r="K744" i="2"/>
  <c r="B747" i="2" l="1"/>
  <c r="J745" i="2"/>
  <c r="K745" i="2"/>
  <c r="K746" i="2" l="1"/>
  <c r="J746" i="2"/>
  <c r="B748" i="2"/>
  <c r="J747" i="2" l="1"/>
  <c r="B749" i="2"/>
  <c r="K747" i="2"/>
  <c r="B750" i="2" l="1"/>
  <c r="J748" i="2"/>
  <c r="K748" i="2"/>
  <c r="K749" i="2" l="1"/>
  <c r="J749" i="2"/>
  <c r="B751" i="2"/>
  <c r="B752" i="2" l="1"/>
  <c r="J750" i="2"/>
  <c r="K750" i="2"/>
  <c r="K751" i="2" l="1"/>
  <c r="J751" i="2"/>
  <c r="B753" i="2"/>
  <c r="B754" i="2" l="1"/>
  <c r="J752" i="2"/>
  <c r="K752" i="2"/>
  <c r="K753" i="2" l="1"/>
  <c r="B755" i="2"/>
  <c r="J753" i="2"/>
  <c r="K754" i="2" l="1"/>
  <c r="B756" i="2"/>
  <c r="J754" i="2"/>
  <c r="J755" i="2" l="1"/>
  <c r="B757" i="2"/>
  <c r="K755" i="2"/>
  <c r="K756" i="2" l="1"/>
  <c r="J756" i="2"/>
  <c r="B758" i="2"/>
  <c r="J757" i="2" l="1"/>
  <c r="B759" i="2"/>
  <c r="K757" i="2"/>
  <c r="B760" i="2" l="1"/>
  <c r="J758" i="2"/>
  <c r="K758" i="2"/>
  <c r="K759" i="2" l="1"/>
  <c r="J759" i="2"/>
  <c r="B761" i="2"/>
  <c r="J760" i="2" l="1"/>
  <c r="B762" i="2"/>
  <c r="K760" i="2"/>
  <c r="J761" i="2" l="1"/>
  <c r="B763" i="2"/>
  <c r="K761" i="2"/>
  <c r="J762" i="2" l="1"/>
  <c r="B764" i="2"/>
  <c r="K762" i="2"/>
  <c r="J763" i="2" l="1"/>
  <c r="B765" i="2"/>
  <c r="K763" i="2"/>
  <c r="J764" i="2" l="1"/>
  <c r="B766" i="2"/>
  <c r="K764" i="2"/>
  <c r="K765" i="2" l="1"/>
  <c r="J765" i="2"/>
  <c r="B767" i="2"/>
  <c r="J766" i="2" l="1"/>
  <c r="B768" i="2"/>
  <c r="K766" i="2"/>
  <c r="J767" i="2" l="1"/>
  <c r="B769" i="2"/>
  <c r="K767" i="2"/>
  <c r="J768" i="2" l="1"/>
  <c r="B770" i="2"/>
  <c r="K768" i="2"/>
  <c r="J769" i="2" l="1"/>
  <c r="B771" i="2"/>
  <c r="K769" i="2"/>
  <c r="J770" i="2" l="1"/>
  <c r="B772" i="2"/>
  <c r="K770" i="2"/>
  <c r="J771" i="2" l="1"/>
  <c r="B773" i="2"/>
  <c r="K771" i="2"/>
  <c r="J772" i="2" l="1"/>
  <c r="B774" i="2"/>
  <c r="K772" i="2"/>
  <c r="J773" i="2" l="1"/>
  <c r="B775" i="2"/>
  <c r="K773" i="2"/>
  <c r="K774" i="2" l="1"/>
  <c r="J774" i="2"/>
  <c r="B776" i="2"/>
  <c r="J775" i="2" l="1"/>
  <c r="B777" i="2"/>
  <c r="K775" i="2"/>
  <c r="J776" i="2" l="1"/>
  <c r="B778" i="2"/>
  <c r="K776" i="2"/>
  <c r="J777" i="2" l="1"/>
  <c r="B779" i="2"/>
  <c r="K777" i="2"/>
  <c r="B780" i="2" l="1"/>
  <c r="J778" i="2"/>
  <c r="K778" i="2"/>
  <c r="K779" i="2" l="1"/>
  <c r="J779" i="2"/>
  <c r="B781" i="2"/>
  <c r="B782" i="2" l="1"/>
  <c r="J780" i="2"/>
  <c r="K780" i="2"/>
  <c r="K781" i="2" l="1"/>
  <c r="B783" i="2"/>
  <c r="J781" i="2"/>
  <c r="K782" i="2" l="1"/>
  <c r="B784" i="2"/>
  <c r="J782" i="2"/>
  <c r="K783" i="2" l="1"/>
  <c r="B785" i="2"/>
  <c r="J783" i="2"/>
  <c r="K784" i="2" l="1"/>
  <c r="B786" i="2"/>
  <c r="J784" i="2"/>
  <c r="K785" i="2" l="1"/>
  <c r="B787" i="2"/>
  <c r="J785" i="2"/>
  <c r="K786" i="2" l="1"/>
  <c r="B788" i="2"/>
  <c r="J786" i="2"/>
  <c r="K787" i="2" l="1"/>
  <c r="B789" i="2"/>
  <c r="J787" i="2"/>
  <c r="K788" i="2" l="1"/>
  <c r="B790" i="2"/>
  <c r="J788" i="2"/>
  <c r="K789" i="2" l="1"/>
  <c r="J789" i="2"/>
  <c r="B791" i="2"/>
  <c r="B792" i="2" l="1"/>
  <c r="J790" i="2"/>
  <c r="K790" i="2"/>
  <c r="J791" i="2" l="1"/>
  <c r="B793" i="2"/>
  <c r="K791" i="2"/>
  <c r="K792" i="2" l="1"/>
  <c r="J792" i="2"/>
  <c r="B794" i="2"/>
  <c r="J793" i="2" l="1"/>
  <c r="B795" i="2"/>
  <c r="K793" i="2"/>
  <c r="J794" i="2" l="1"/>
  <c r="B796" i="2"/>
  <c r="K794" i="2"/>
  <c r="J795" i="2" l="1"/>
  <c r="B797" i="2"/>
  <c r="K795" i="2"/>
  <c r="J796" i="2" l="1"/>
  <c r="B798" i="2"/>
  <c r="K796" i="2"/>
  <c r="J797" i="2" l="1"/>
  <c r="B799" i="2"/>
  <c r="K797" i="2"/>
  <c r="J798" i="2" l="1"/>
  <c r="B800" i="2"/>
  <c r="K798" i="2"/>
  <c r="J799" i="2" l="1"/>
  <c r="B801" i="2"/>
  <c r="K799" i="2"/>
  <c r="K800" i="2" l="1"/>
  <c r="J800" i="2"/>
  <c r="B802" i="2"/>
  <c r="K801" i="2" l="1"/>
  <c r="J801" i="2"/>
  <c r="B803" i="2"/>
  <c r="J802" i="2" l="1"/>
  <c r="B804" i="2"/>
  <c r="K802" i="2"/>
  <c r="J803" i="2" l="1"/>
  <c r="B805" i="2"/>
  <c r="K803" i="2"/>
  <c r="J804" i="2" l="1"/>
  <c r="B806" i="2"/>
  <c r="K804" i="2"/>
  <c r="K805" i="2" l="1"/>
  <c r="J805" i="2"/>
  <c r="B807" i="2"/>
  <c r="K806" i="2" l="1"/>
  <c r="J806" i="2"/>
  <c r="B808" i="2"/>
  <c r="K807" i="2" l="1"/>
  <c r="J807" i="2"/>
  <c r="B809" i="2"/>
  <c r="K808" i="2" l="1"/>
  <c r="J808" i="2"/>
  <c r="B810" i="2"/>
  <c r="K809" i="2" l="1"/>
  <c r="J809" i="2"/>
  <c r="B811" i="2"/>
  <c r="K810" i="2" l="1"/>
  <c r="J810" i="2"/>
  <c r="B812" i="2"/>
  <c r="K811" i="2" l="1"/>
  <c r="J811" i="2"/>
  <c r="B813" i="2"/>
  <c r="J812" i="2" l="1"/>
  <c r="B814" i="2"/>
  <c r="K812" i="2"/>
  <c r="J813" i="2" l="1"/>
  <c r="B815" i="2"/>
  <c r="K813" i="2"/>
  <c r="J814" i="2" l="1"/>
  <c r="B816" i="2"/>
  <c r="K814" i="2"/>
  <c r="K815" i="2" l="1"/>
  <c r="J815" i="2"/>
  <c r="B817" i="2"/>
  <c r="J816" i="2" l="1"/>
  <c r="B818" i="2"/>
  <c r="K816" i="2"/>
  <c r="J817" i="2" l="1"/>
  <c r="B819" i="2"/>
  <c r="K817" i="2"/>
  <c r="K818" i="2" l="1"/>
  <c r="J818" i="2"/>
  <c r="B820" i="2"/>
  <c r="K819" i="2" l="1"/>
  <c r="J819" i="2"/>
  <c r="B821" i="2"/>
  <c r="J820" i="2" l="1"/>
  <c r="B822" i="2"/>
  <c r="K820" i="2"/>
  <c r="K821" i="2" l="1"/>
  <c r="J821" i="2"/>
  <c r="B823" i="2"/>
  <c r="J822" i="2" l="1"/>
  <c r="B824" i="2"/>
  <c r="K822" i="2"/>
  <c r="J823" i="2" l="1"/>
  <c r="B825" i="2"/>
  <c r="K823" i="2"/>
  <c r="J824" i="2" l="1"/>
  <c r="B826" i="2"/>
  <c r="K824" i="2"/>
  <c r="J825" i="2" l="1"/>
  <c r="B827" i="2"/>
  <c r="K825" i="2"/>
  <c r="J826" i="2" l="1"/>
  <c r="B828" i="2"/>
  <c r="K826" i="2"/>
  <c r="J827" i="2" l="1"/>
  <c r="B829" i="2"/>
  <c r="K827" i="2"/>
  <c r="K828" i="2" l="1"/>
  <c r="J828" i="2"/>
  <c r="B830" i="2"/>
  <c r="K829" i="2" l="1"/>
  <c r="J829" i="2"/>
  <c r="B831" i="2"/>
  <c r="J830" i="2" l="1"/>
  <c r="B832" i="2"/>
  <c r="K830" i="2"/>
  <c r="J831" i="2" l="1"/>
  <c r="B833" i="2"/>
  <c r="K831" i="2"/>
  <c r="J832" i="2" l="1"/>
  <c r="B834" i="2"/>
  <c r="K832" i="2"/>
  <c r="J833" i="2" l="1"/>
  <c r="B835" i="2"/>
  <c r="K833" i="2"/>
  <c r="J834" i="2" l="1"/>
  <c r="B836" i="2"/>
  <c r="K834" i="2"/>
  <c r="J835" i="2" l="1"/>
  <c r="B837" i="2"/>
  <c r="K835" i="2"/>
  <c r="J836" i="2" l="1"/>
  <c r="B838" i="2"/>
  <c r="K836" i="2"/>
  <c r="K837" i="2" l="1"/>
  <c r="J837" i="2"/>
  <c r="B839" i="2"/>
  <c r="J838" i="2" l="1"/>
  <c r="B840" i="2"/>
  <c r="K838" i="2"/>
  <c r="J839" i="2" l="1"/>
  <c r="B841" i="2"/>
  <c r="K839" i="2"/>
  <c r="J840" i="2" l="1"/>
  <c r="B842" i="2"/>
  <c r="K840" i="2"/>
  <c r="J841" i="2" l="1"/>
  <c r="B843" i="2"/>
  <c r="K841" i="2"/>
  <c r="J842" i="2" l="1"/>
  <c r="B844" i="2"/>
  <c r="K842" i="2"/>
  <c r="J843" i="2" l="1"/>
  <c r="B845" i="2"/>
  <c r="K843" i="2"/>
  <c r="J844" i="2" l="1"/>
  <c r="B846" i="2"/>
  <c r="K844" i="2"/>
  <c r="K845" i="2" l="1"/>
  <c r="J845" i="2"/>
  <c r="B847" i="2"/>
  <c r="K846" i="2" l="1"/>
  <c r="J846" i="2"/>
  <c r="B848" i="2"/>
  <c r="J847" i="2" l="1"/>
  <c r="B849" i="2"/>
  <c r="K847" i="2"/>
  <c r="J848" i="2" l="1"/>
  <c r="B850" i="2"/>
  <c r="K848" i="2"/>
  <c r="J849" i="2" l="1"/>
  <c r="B851" i="2"/>
  <c r="K849" i="2"/>
  <c r="J850" i="2" l="1"/>
  <c r="B852" i="2"/>
  <c r="K850" i="2"/>
  <c r="J851" i="2" l="1"/>
  <c r="B853" i="2"/>
  <c r="K851" i="2"/>
  <c r="K852" i="2" l="1"/>
  <c r="J852" i="2"/>
  <c r="B854" i="2"/>
  <c r="J853" i="2" l="1"/>
  <c r="B855" i="2"/>
  <c r="K853" i="2"/>
  <c r="K854" i="2" l="1"/>
  <c r="J854" i="2"/>
  <c r="B856" i="2"/>
  <c r="J855" i="2" l="1"/>
  <c r="B857" i="2"/>
  <c r="K855" i="2"/>
  <c r="J856" i="2" l="1"/>
  <c r="B858" i="2"/>
  <c r="K856" i="2"/>
  <c r="J857" i="2" l="1"/>
  <c r="B859" i="2"/>
  <c r="K857" i="2"/>
  <c r="J858" i="2" l="1"/>
  <c r="B860" i="2"/>
  <c r="K858" i="2"/>
  <c r="J859" i="2" l="1"/>
  <c r="B861" i="2"/>
  <c r="K859" i="2"/>
  <c r="J860" i="2" l="1"/>
  <c r="B862" i="2"/>
  <c r="K860" i="2"/>
  <c r="J861" i="2" l="1"/>
  <c r="B863" i="2"/>
  <c r="K861" i="2"/>
  <c r="K862" i="2" l="1"/>
  <c r="J862" i="2"/>
  <c r="B864" i="2"/>
  <c r="B865" i="2" l="1"/>
  <c r="J863" i="2"/>
  <c r="K863" i="2"/>
  <c r="K864" i="2" l="1"/>
  <c r="J864" i="2"/>
  <c r="B866" i="2"/>
  <c r="J865" i="2" l="1"/>
  <c r="B867" i="2"/>
  <c r="K865" i="2"/>
  <c r="J866" i="2" l="1"/>
  <c r="B868" i="2"/>
  <c r="K866" i="2"/>
  <c r="J867" i="2" l="1"/>
  <c r="B869" i="2"/>
  <c r="K867" i="2"/>
  <c r="J868" i="2" l="1"/>
  <c r="B870" i="2"/>
  <c r="K868" i="2"/>
  <c r="J869" i="2" l="1"/>
  <c r="B871" i="2"/>
  <c r="K869" i="2"/>
  <c r="J870" i="2" l="1"/>
  <c r="B872" i="2"/>
  <c r="K870" i="2"/>
  <c r="J871" i="2" l="1"/>
  <c r="B873" i="2"/>
  <c r="K871" i="2"/>
  <c r="K872" i="2" l="1"/>
  <c r="J872" i="2"/>
  <c r="B874" i="2"/>
  <c r="K873" i="2" l="1"/>
  <c r="J873" i="2"/>
  <c r="B875" i="2"/>
  <c r="J874" i="2" l="1"/>
  <c r="B876" i="2"/>
  <c r="K874" i="2"/>
  <c r="J875" i="2" l="1"/>
  <c r="B877" i="2"/>
  <c r="K875" i="2"/>
  <c r="J876" i="2" l="1"/>
  <c r="B878" i="2"/>
  <c r="K876" i="2"/>
  <c r="J877" i="2" l="1"/>
  <c r="B879" i="2"/>
  <c r="K877" i="2"/>
  <c r="J878" i="2" l="1"/>
  <c r="B880" i="2"/>
  <c r="K878" i="2"/>
  <c r="J879" i="2" l="1"/>
  <c r="B881" i="2"/>
  <c r="K879" i="2"/>
  <c r="J880" i="2" l="1"/>
  <c r="B882" i="2"/>
  <c r="K880" i="2"/>
  <c r="J881" i="2" l="1"/>
  <c r="B883" i="2"/>
  <c r="K881" i="2"/>
  <c r="J882" i="2" l="1"/>
  <c r="B884" i="2"/>
  <c r="K882" i="2"/>
  <c r="J883" i="2" l="1"/>
  <c r="B885" i="2"/>
  <c r="K883" i="2"/>
  <c r="J884" i="2" l="1"/>
  <c r="B886" i="2"/>
  <c r="K884" i="2"/>
  <c r="J885" i="2" l="1"/>
  <c r="B887" i="2"/>
  <c r="K885" i="2"/>
  <c r="J886" i="2" l="1"/>
  <c r="B888" i="2"/>
  <c r="K886" i="2"/>
  <c r="J887" i="2" l="1"/>
  <c r="B889" i="2"/>
  <c r="K887" i="2"/>
  <c r="J888" i="2" l="1"/>
  <c r="B890" i="2"/>
  <c r="K888" i="2"/>
  <c r="B891" i="2" l="1"/>
  <c r="J889" i="2"/>
  <c r="K889" i="2"/>
  <c r="K890" i="2" l="1"/>
  <c r="B892" i="2"/>
  <c r="J890" i="2"/>
  <c r="K891" i="2" l="1"/>
  <c r="J891" i="2"/>
  <c r="B893" i="2"/>
  <c r="B894" i="2" l="1"/>
  <c r="J892" i="2"/>
  <c r="K892" i="2"/>
  <c r="K893" i="2" l="1"/>
  <c r="J893" i="2"/>
  <c r="B895" i="2"/>
  <c r="B896" i="2" l="1"/>
  <c r="J894" i="2"/>
  <c r="K894" i="2"/>
  <c r="K895" i="2" l="1"/>
  <c r="J895" i="2"/>
  <c r="B897" i="2"/>
  <c r="K896" i="2" l="1"/>
  <c r="J896" i="2"/>
  <c r="B898" i="2"/>
  <c r="J897" i="2" l="1"/>
  <c r="B899" i="2"/>
  <c r="K897" i="2"/>
  <c r="B900" i="2" l="1"/>
  <c r="J898" i="2"/>
  <c r="K898" i="2"/>
  <c r="K899" i="2" l="1"/>
  <c r="B901" i="2"/>
  <c r="J899" i="2"/>
  <c r="K900" i="2" l="1"/>
  <c r="J900" i="2"/>
  <c r="B902" i="2"/>
  <c r="K901" i="2" l="1"/>
  <c r="J901" i="2"/>
  <c r="B903" i="2"/>
  <c r="J902" i="2" l="1"/>
  <c r="K902" i="2"/>
  <c r="B904" i="2"/>
  <c r="K903" i="2" l="1"/>
  <c r="J903" i="2"/>
  <c r="B905" i="2"/>
  <c r="J904" i="2" l="1"/>
  <c r="B906" i="2"/>
  <c r="K904" i="2"/>
  <c r="J905" i="2" l="1"/>
  <c r="B907" i="2"/>
  <c r="K905" i="2"/>
  <c r="J906" i="2" l="1"/>
  <c r="B908" i="2"/>
  <c r="K906" i="2"/>
  <c r="J907" i="2" l="1"/>
  <c r="B909" i="2"/>
  <c r="K907" i="2"/>
  <c r="K908" i="2" l="1"/>
  <c r="J908" i="2"/>
  <c r="B910" i="2"/>
  <c r="J909" i="2" l="1"/>
  <c r="B911" i="2"/>
  <c r="K909" i="2"/>
  <c r="B912" i="2" l="1"/>
  <c r="J910" i="2"/>
  <c r="K910" i="2"/>
  <c r="K911" i="2" l="1"/>
  <c r="J911" i="2"/>
  <c r="B913" i="2"/>
  <c r="J912" i="2" l="1"/>
  <c r="B914" i="2"/>
  <c r="K912" i="2"/>
  <c r="B915" i="2" l="1"/>
  <c r="J913" i="2"/>
  <c r="K913" i="2"/>
  <c r="K914" i="2" l="1"/>
  <c r="J914" i="2"/>
  <c r="B916" i="2"/>
  <c r="J915" i="2" l="1"/>
  <c r="B917" i="2"/>
  <c r="K915" i="2"/>
  <c r="J916" i="2" l="1"/>
  <c r="B918" i="2"/>
  <c r="K916" i="2"/>
  <c r="J917" i="2" l="1"/>
  <c r="B919" i="2"/>
  <c r="K917" i="2"/>
  <c r="J918" i="2" l="1"/>
  <c r="B920" i="2"/>
  <c r="K918" i="2"/>
  <c r="K919" i="2" l="1"/>
  <c r="J919" i="2"/>
  <c r="B921" i="2"/>
  <c r="J920" i="2" l="1"/>
  <c r="K920" i="2"/>
  <c r="B922" i="2"/>
  <c r="J921" i="2" l="1"/>
  <c r="B923" i="2"/>
  <c r="K921" i="2"/>
  <c r="J922" i="2" l="1"/>
  <c r="B924" i="2"/>
  <c r="K922" i="2"/>
  <c r="J923" i="2" l="1"/>
  <c r="B925" i="2"/>
  <c r="K923" i="2"/>
  <c r="J924" i="2" l="1"/>
  <c r="B926" i="2"/>
  <c r="K924" i="2"/>
  <c r="J925" i="2" l="1"/>
  <c r="B927" i="2"/>
  <c r="K925" i="2"/>
  <c r="J926" i="2" l="1"/>
  <c r="B928" i="2"/>
  <c r="K926" i="2"/>
  <c r="J927" i="2" l="1"/>
  <c r="B929" i="2"/>
  <c r="K927" i="2"/>
  <c r="J928" i="2" l="1"/>
  <c r="B930" i="2"/>
  <c r="K928" i="2"/>
  <c r="J929" i="2" l="1"/>
  <c r="B931" i="2"/>
  <c r="K929" i="2"/>
  <c r="J930" i="2" l="1"/>
  <c r="B932" i="2"/>
  <c r="K930" i="2"/>
  <c r="J931" i="2" l="1"/>
  <c r="B933" i="2"/>
  <c r="K931" i="2"/>
  <c r="J932" i="2" l="1"/>
  <c r="B934" i="2"/>
  <c r="K932" i="2"/>
  <c r="J933" i="2" l="1"/>
  <c r="B935" i="2"/>
  <c r="K933" i="2"/>
  <c r="J934" i="2" l="1"/>
  <c r="B936" i="2"/>
  <c r="K934" i="2"/>
  <c r="J935" i="2" l="1"/>
  <c r="B937" i="2"/>
  <c r="K935" i="2"/>
  <c r="J936" i="2" l="1"/>
  <c r="B938" i="2"/>
  <c r="K936" i="2"/>
  <c r="J937" i="2" l="1"/>
  <c r="B939" i="2"/>
  <c r="K937" i="2"/>
  <c r="J938" i="2" l="1"/>
  <c r="B940" i="2"/>
  <c r="K938" i="2"/>
  <c r="J939" i="2" l="1"/>
  <c r="B941" i="2"/>
  <c r="K939" i="2"/>
  <c r="J940" i="2" l="1"/>
  <c r="B942" i="2"/>
  <c r="K940" i="2"/>
  <c r="J941" i="2" l="1"/>
  <c r="B943" i="2"/>
  <c r="K941" i="2"/>
  <c r="J942" i="2" l="1"/>
  <c r="B944" i="2"/>
  <c r="K942" i="2"/>
  <c r="J943" i="2" l="1"/>
  <c r="B945" i="2"/>
  <c r="K943" i="2"/>
  <c r="J944" i="2" l="1"/>
  <c r="B946" i="2"/>
  <c r="K944" i="2"/>
  <c r="J945" i="2" l="1"/>
  <c r="B947" i="2"/>
  <c r="K945" i="2"/>
  <c r="J946" i="2" l="1"/>
  <c r="B948" i="2"/>
  <c r="K946" i="2"/>
  <c r="J947" i="2" l="1"/>
  <c r="B949" i="2"/>
  <c r="K947" i="2"/>
  <c r="J948" i="2" l="1"/>
  <c r="B950" i="2"/>
  <c r="K948" i="2"/>
  <c r="J949" i="2" l="1"/>
  <c r="B951" i="2"/>
  <c r="K949" i="2"/>
  <c r="J950" i="2" l="1"/>
  <c r="B952" i="2"/>
  <c r="K950" i="2"/>
  <c r="J951" i="2" l="1"/>
  <c r="B953" i="2"/>
  <c r="K951" i="2"/>
  <c r="J952" i="2" l="1"/>
  <c r="B954" i="2"/>
  <c r="K952" i="2"/>
  <c r="J953" i="2" l="1"/>
  <c r="B955" i="2"/>
  <c r="K953" i="2"/>
  <c r="J954" i="2" l="1"/>
  <c r="B956" i="2"/>
  <c r="K954" i="2"/>
  <c r="J955" i="2" l="1"/>
  <c r="B957" i="2"/>
  <c r="K955" i="2"/>
  <c r="J956" i="2" l="1"/>
  <c r="B958" i="2"/>
  <c r="K956" i="2"/>
  <c r="J957" i="2" l="1"/>
  <c r="B959" i="2"/>
  <c r="K957" i="2"/>
  <c r="J958" i="2" l="1"/>
  <c r="B960" i="2"/>
  <c r="K958" i="2"/>
  <c r="J959" i="2" l="1"/>
  <c r="B961" i="2"/>
  <c r="K959" i="2"/>
  <c r="J960" i="2" l="1"/>
  <c r="B962" i="2"/>
  <c r="K960" i="2"/>
  <c r="J961" i="2" l="1"/>
  <c r="B963" i="2"/>
  <c r="K961" i="2"/>
  <c r="J962" i="2" l="1"/>
  <c r="B964" i="2"/>
  <c r="K962" i="2"/>
  <c r="K963" i="2" l="1"/>
  <c r="J963" i="2"/>
  <c r="B965" i="2"/>
  <c r="J964" i="2" l="1"/>
  <c r="B966" i="2"/>
  <c r="K964" i="2"/>
  <c r="J965" i="2" l="1"/>
  <c r="B967" i="2"/>
  <c r="K965" i="2"/>
  <c r="J966" i="2" l="1"/>
  <c r="B968" i="2"/>
  <c r="K966" i="2"/>
  <c r="J967" i="2" l="1"/>
  <c r="B969" i="2"/>
  <c r="K967" i="2"/>
  <c r="J968" i="2" l="1"/>
  <c r="B970" i="2"/>
  <c r="K968" i="2"/>
  <c r="J969" i="2" l="1"/>
  <c r="B971" i="2"/>
  <c r="K969" i="2"/>
  <c r="J970" i="2" l="1"/>
  <c r="B972" i="2"/>
  <c r="K970" i="2"/>
  <c r="J971" i="2" l="1"/>
  <c r="B973" i="2"/>
  <c r="K971" i="2"/>
  <c r="J972" i="2" l="1"/>
  <c r="B974" i="2"/>
  <c r="K972" i="2"/>
  <c r="J973" i="2" l="1"/>
  <c r="B975" i="2"/>
  <c r="K973" i="2"/>
  <c r="J974" i="2" l="1"/>
  <c r="B976" i="2"/>
  <c r="K974" i="2"/>
  <c r="J975" i="2" l="1"/>
  <c r="B977" i="2"/>
  <c r="K975" i="2"/>
  <c r="J976" i="2" l="1"/>
  <c r="B978" i="2"/>
  <c r="K976" i="2"/>
  <c r="J977" i="2" l="1"/>
  <c r="B979" i="2"/>
  <c r="K977" i="2"/>
  <c r="B980" i="2" l="1"/>
  <c r="J978" i="2"/>
  <c r="K978" i="2"/>
  <c r="K979" i="2" l="1"/>
  <c r="J979" i="2"/>
  <c r="B981" i="2"/>
  <c r="B982" i="2" l="1"/>
  <c r="J980" i="2"/>
  <c r="K980" i="2"/>
  <c r="K981" i="2" l="1"/>
  <c r="B983" i="2"/>
  <c r="J981" i="2"/>
  <c r="K982" i="2" l="1"/>
  <c r="B984" i="2"/>
  <c r="J982" i="2"/>
  <c r="K983" i="2" l="1"/>
  <c r="B985" i="2"/>
  <c r="J983" i="2"/>
  <c r="K984" i="2" l="1"/>
  <c r="B986" i="2"/>
  <c r="J984" i="2"/>
  <c r="K985" i="2" l="1"/>
  <c r="B987" i="2"/>
  <c r="J985" i="2"/>
  <c r="K986" i="2" l="1"/>
  <c r="B988" i="2"/>
  <c r="J986" i="2"/>
  <c r="K987" i="2" l="1"/>
  <c r="B989" i="2"/>
  <c r="J988" i="2" s="1"/>
  <c r="J987" i="2"/>
  <c r="K988" i="2" l="1"/>
  <c r="B990" i="2"/>
  <c r="K989" i="2" l="1"/>
  <c r="J989" i="2"/>
  <c r="B991" i="2"/>
  <c r="J990" i="2" l="1"/>
  <c r="B992" i="2"/>
  <c r="K990" i="2"/>
  <c r="J991" i="2" l="1"/>
  <c r="B993" i="2"/>
  <c r="K991" i="2"/>
  <c r="J992" i="2" l="1"/>
  <c r="B994" i="2"/>
  <c r="K992" i="2"/>
  <c r="J993" i="2" l="1"/>
  <c r="B995" i="2"/>
  <c r="K993" i="2"/>
  <c r="J994" i="2" l="1"/>
  <c r="B996" i="2"/>
  <c r="K994" i="2"/>
  <c r="J995" i="2" l="1"/>
  <c r="B997" i="2"/>
  <c r="K995" i="2"/>
  <c r="J996" i="2" l="1"/>
  <c r="B998" i="2"/>
  <c r="K996" i="2"/>
  <c r="J997" i="2" l="1"/>
  <c r="B999" i="2"/>
  <c r="K997" i="2"/>
  <c r="J998" i="2" l="1"/>
  <c r="B1000" i="2"/>
  <c r="K998" i="2"/>
  <c r="J999" i="2" l="1"/>
  <c r="B1001" i="2"/>
  <c r="K999" i="2"/>
  <c r="J1000" i="2" l="1"/>
  <c r="B1002" i="2"/>
  <c r="K1000" i="2"/>
  <c r="B1003" i="2" l="1"/>
  <c r="J1001" i="2"/>
  <c r="K1001" i="2"/>
  <c r="K1002" i="2" l="1"/>
  <c r="J1002" i="2"/>
  <c r="B1004" i="2"/>
  <c r="J1003" i="2" l="1"/>
  <c r="B1005" i="2"/>
  <c r="K1003" i="2"/>
  <c r="J1004" i="2" l="1"/>
  <c r="B1006" i="2"/>
  <c r="B1007" i="2" s="1"/>
  <c r="K1004" i="2"/>
  <c r="B1008" i="2" l="1"/>
  <c r="J1007" i="2" s="1"/>
  <c r="J1005" i="2"/>
  <c r="K1006" i="2"/>
  <c r="J1006" i="2"/>
  <c r="K1005" i="2"/>
  <c r="B1009" i="2" l="1"/>
  <c r="K1008" i="2" s="1"/>
  <c r="K1007" i="2"/>
  <c r="B1010" i="2" l="1"/>
  <c r="J1008" i="2"/>
  <c r="J1009" i="2" l="1"/>
  <c r="B1011" i="2"/>
  <c r="K1010" i="2" s="1"/>
  <c r="K1009" i="2"/>
  <c r="B1012" i="2" l="1"/>
  <c r="J1010" i="2"/>
  <c r="J1011" i="2" l="1"/>
  <c r="B1013" i="2"/>
  <c r="K1012" i="2" s="1"/>
  <c r="K1011" i="2"/>
  <c r="B1014" i="2" l="1"/>
  <c r="J1012" i="2"/>
  <c r="J1013" i="2" l="1"/>
  <c r="B1015" i="2"/>
  <c r="K1014" i="2" s="1"/>
  <c r="K1013" i="2"/>
  <c r="B1016" i="2" l="1"/>
  <c r="J1015" i="2" s="1"/>
  <c r="J1014" i="2"/>
  <c r="B1017" i="2" l="1"/>
  <c r="K1016" i="2" s="1"/>
  <c r="K1015" i="2"/>
  <c r="B1018" i="2" l="1"/>
  <c r="J1017" i="2" s="1"/>
  <c r="J1016" i="2"/>
  <c r="B1019" i="2" l="1"/>
  <c r="K1018" i="2" s="1"/>
  <c r="K1017" i="2"/>
  <c r="B1020" i="2" l="1"/>
  <c r="J1019" i="2" s="1"/>
  <c r="J1018" i="2"/>
  <c r="B1021" i="2" l="1"/>
  <c r="K1020" i="2" s="1"/>
  <c r="K1019" i="2"/>
  <c r="B1022" i="2" l="1"/>
  <c r="J1021" i="2" s="1"/>
  <c r="J1020" i="2"/>
  <c r="B1023" i="2" l="1"/>
  <c r="K1022" i="2" s="1"/>
  <c r="K1021" i="2"/>
  <c r="B1024" i="2" l="1"/>
  <c r="J1023" i="2" s="1"/>
  <c r="J1022" i="2"/>
  <c r="B1025" i="2" l="1"/>
  <c r="K1024" i="2" s="1"/>
  <c r="K1023" i="2"/>
  <c r="B1026" i="2" l="1"/>
  <c r="J1025" i="2" s="1"/>
  <c r="J1024" i="2"/>
  <c r="B1027" i="2" l="1"/>
  <c r="K1026" i="2" s="1"/>
  <c r="K1025" i="2"/>
  <c r="B1028" i="2" l="1"/>
  <c r="J1027" i="2" s="1"/>
  <c r="J1026" i="2"/>
  <c r="B1029" i="2" l="1"/>
  <c r="K1028" i="2" s="1"/>
  <c r="K1027" i="2"/>
  <c r="B1030" i="2" l="1"/>
  <c r="J1029" i="2" s="1"/>
  <c r="J1028" i="2"/>
  <c r="B1031" i="2" l="1"/>
  <c r="K1030" i="2" s="1"/>
  <c r="K1029" i="2"/>
  <c r="B1032" i="2" l="1"/>
  <c r="J1031" i="2" s="1"/>
  <c r="J1030" i="2"/>
  <c r="B1033" i="2" l="1"/>
  <c r="K1032" i="2" s="1"/>
  <c r="K1031" i="2"/>
  <c r="B1034" i="2" l="1"/>
  <c r="K1033" i="2" s="1"/>
  <c r="J1032" i="2"/>
  <c r="J1033" i="2" l="1"/>
  <c r="B1035" i="2"/>
  <c r="J1034" i="2" s="1"/>
  <c r="K1034" i="2" l="1"/>
  <c r="B1036" i="2"/>
  <c r="J1035" i="2" s="1"/>
  <c r="B1037" i="2" l="1"/>
  <c r="K1036" i="2" s="1"/>
  <c r="K1035" i="2"/>
  <c r="B1038" i="2" l="1"/>
  <c r="J1037" i="2" s="1"/>
  <c r="J1036" i="2"/>
  <c r="B1039" i="2" l="1"/>
  <c r="K1038" i="2" s="1"/>
  <c r="K1037" i="2"/>
  <c r="B1040" i="2" l="1"/>
  <c r="J1039" i="2" s="1"/>
  <c r="J1038" i="2"/>
  <c r="B1041" i="2" l="1"/>
  <c r="K1040" i="2" s="1"/>
  <c r="K1039" i="2"/>
  <c r="B1042" i="2" l="1"/>
  <c r="J1041" i="2" s="1"/>
  <c r="J1040" i="2"/>
  <c r="B1043" i="2" l="1"/>
  <c r="K1042" i="2" s="1"/>
  <c r="K1041" i="2"/>
  <c r="B1044" i="2" l="1"/>
  <c r="J1043" i="2" s="1"/>
  <c r="J1042" i="2"/>
  <c r="B1045" i="2" l="1"/>
  <c r="K1044" i="2" s="1"/>
  <c r="K1043" i="2"/>
  <c r="B1046" i="2" l="1"/>
  <c r="J1045" i="2" s="1"/>
  <c r="J1044" i="2"/>
  <c r="B1047" i="2" l="1"/>
  <c r="K1046" i="2" s="1"/>
  <c r="K1045" i="2"/>
  <c r="B1048" i="2" l="1"/>
  <c r="J1047" i="2" s="1"/>
  <c r="J1046" i="2"/>
  <c r="B1049" i="2" l="1"/>
  <c r="K1048" i="2" s="1"/>
  <c r="K1047" i="2"/>
  <c r="B1050" i="2" l="1"/>
  <c r="J1049" i="2" s="1"/>
  <c r="J1048" i="2"/>
  <c r="B1051" i="2" l="1"/>
  <c r="K1050" i="2" s="1"/>
  <c r="K1049" i="2"/>
  <c r="B1052" i="2" l="1"/>
  <c r="K1051" i="2" s="1"/>
  <c r="J1050" i="2"/>
  <c r="J1051" i="2" l="1"/>
  <c r="B1053" i="2"/>
  <c r="J1052" i="2" s="1"/>
  <c r="K1052" i="2" l="1"/>
  <c r="B1054" i="2"/>
  <c r="J1053" i="2" s="1"/>
  <c r="B1055" i="2" l="1"/>
  <c r="K1054" i="2" s="1"/>
  <c r="K1053" i="2"/>
  <c r="B1056" i="2" l="1"/>
  <c r="J1055" i="2" s="1"/>
  <c r="J1054" i="2"/>
  <c r="B1057" i="2" l="1"/>
  <c r="J1056" i="2" s="1"/>
  <c r="K1055" i="2"/>
  <c r="K1056" i="2" l="1"/>
  <c r="B1058" i="2"/>
  <c r="J1057" i="2" s="1"/>
  <c r="B1059" i="2" l="1"/>
  <c r="K1058" i="2" s="1"/>
  <c r="K1057" i="2"/>
  <c r="B1060" i="2" l="1"/>
  <c r="J1059" i="2" s="1"/>
  <c r="J1058" i="2"/>
  <c r="B1061" i="2" l="1"/>
  <c r="K1060" i="2" s="1"/>
  <c r="K1059" i="2"/>
  <c r="B1062" i="2" l="1"/>
  <c r="J1061" i="2" s="1"/>
  <c r="J1060" i="2"/>
  <c r="B1063" i="2" l="1"/>
  <c r="K1062" i="2" s="1"/>
  <c r="K1061" i="2"/>
  <c r="B1064" i="2" l="1"/>
  <c r="J1063" i="2" s="1"/>
  <c r="J1062" i="2"/>
  <c r="B1065" i="2" l="1"/>
  <c r="K1064" i="2" s="1"/>
  <c r="K1063" i="2"/>
  <c r="B1066" i="2" l="1"/>
  <c r="J1065" i="2" s="1"/>
  <c r="J1064" i="2"/>
  <c r="B1067" i="2" l="1"/>
  <c r="K1066" i="2" s="1"/>
  <c r="K1065" i="2"/>
  <c r="B1068" i="2" l="1"/>
  <c r="J1067" i="2" s="1"/>
  <c r="J1066" i="2"/>
  <c r="B1069" i="2" l="1"/>
  <c r="J1068" i="2" s="1"/>
  <c r="K1067" i="2"/>
  <c r="K1068" i="2" l="1"/>
  <c r="B1070" i="2"/>
  <c r="K1069" i="2" s="1"/>
  <c r="J1069" i="2" l="1"/>
  <c r="B1071" i="2"/>
  <c r="K1070" i="2" s="1"/>
  <c r="B1072" i="2" l="1"/>
  <c r="K1071" i="2" s="1"/>
  <c r="J1070" i="2"/>
  <c r="J1071" i="2" l="1"/>
  <c r="B1073" i="2"/>
  <c r="J1072" i="2" s="1"/>
  <c r="K1072" i="2" l="1"/>
  <c r="B1074" i="2"/>
  <c r="J1073" i="2" s="1"/>
  <c r="B1075" i="2" l="1"/>
  <c r="K1074" i="2" s="1"/>
  <c r="K1073" i="2"/>
  <c r="B1076" i="2" l="1"/>
  <c r="J1075" i="2" s="1"/>
  <c r="J1074" i="2"/>
  <c r="B1077" i="2" l="1"/>
  <c r="K1076" i="2" s="1"/>
  <c r="K1075" i="2"/>
  <c r="B1078" i="2" l="1"/>
  <c r="J1077" i="2" s="1"/>
  <c r="J1076" i="2"/>
  <c r="B1079" i="2" l="1"/>
  <c r="K1078" i="2" s="1"/>
  <c r="K1077" i="2"/>
  <c r="B1080" i="2" l="1"/>
  <c r="J1079" i="2" s="1"/>
  <c r="J1078" i="2"/>
  <c r="B1081" i="2" l="1"/>
  <c r="K1080" i="2" s="1"/>
  <c r="K1079" i="2"/>
  <c r="B1082" i="2" l="1"/>
  <c r="J1081" i="2" s="1"/>
  <c r="J1080" i="2"/>
  <c r="B1083" i="2" l="1"/>
  <c r="K1082" i="2" s="1"/>
  <c r="K1081" i="2"/>
  <c r="B1084" i="2" l="1"/>
  <c r="J1083" i="2" s="1"/>
  <c r="J1082" i="2"/>
  <c r="B1085" i="2" l="1"/>
  <c r="K1084" i="2" s="1"/>
  <c r="K1083" i="2"/>
  <c r="B1086" i="2" l="1"/>
  <c r="J1085" i="2" s="1"/>
  <c r="J1084" i="2"/>
  <c r="B1087" i="2" l="1"/>
  <c r="K1086" i="2" s="1"/>
  <c r="K1085" i="2"/>
  <c r="B1088" i="2" l="1"/>
  <c r="K1087" i="2" s="1"/>
  <c r="J1086" i="2"/>
  <c r="J1087" i="2" l="1"/>
  <c r="B1089" i="2"/>
  <c r="K1088" i="2" s="1"/>
  <c r="B1090" i="2" l="1"/>
  <c r="J1089" i="2" s="1"/>
  <c r="J1088" i="2"/>
  <c r="B1091" i="2" l="1"/>
  <c r="K1090" i="2" s="1"/>
  <c r="K1089" i="2"/>
  <c r="B1092" i="2" l="1"/>
  <c r="J1091" i="2" s="1"/>
  <c r="J1090" i="2"/>
  <c r="B1093" i="2" l="1"/>
  <c r="K1092" i="2" s="1"/>
  <c r="K1091" i="2"/>
  <c r="B1094" i="2" l="1"/>
  <c r="J1093" i="2" s="1"/>
  <c r="J1092" i="2"/>
  <c r="B1095" i="2" l="1"/>
  <c r="K1094" i="2" s="1"/>
  <c r="K1093" i="2"/>
  <c r="B1096" i="2" l="1"/>
  <c r="J1095" i="2" s="1"/>
  <c r="J1094" i="2"/>
  <c r="B1097" i="2" l="1"/>
  <c r="K1096" i="2" s="1"/>
  <c r="K1095" i="2"/>
  <c r="B1098" i="2" l="1"/>
  <c r="J1097" i="2" s="1"/>
  <c r="J1096" i="2"/>
  <c r="B1099" i="2" l="1"/>
  <c r="K1098" i="2" s="1"/>
  <c r="K1097" i="2"/>
  <c r="B1100" i="2" l="1"/>
  <c r="J1099" i="2" s="1"/>
  <c r="J1098" i="2"/>
  <c r="B1101" i="2" l="1"/>
  <c r="K1100" i="2" s="1"/>
  <c r="K1099" i="2"/>
  <c r="B1102" i="2" l="1"/>
  <c r="J1101" i="2" s="1"/>
  <c r="J1100" i="2"/>
  <c r="B1103" i="2" l="1"/>
  <c r="K1102" i="2" s="1"/>
  <c r="K1101" i="2"/>
  <c r="B1104" i="2" l="1"/>
  <c r="J1103" i="2" s="1"/>
  <c r="J1102" i="2"/>
  <c r="B1105" i="2" l="1"/>
  <c r="K1104" i="2" s="1"/>
  <c r="K1103" i="2"/>
  <c r="B1106" i="2" l="1"/>
  <c r="K1105" i="2" s="1"/>
  <c r="J1104" i="2"/>
  <c r="J1105" i="2" l="1"/>
  <c r="B1107" i="2"/>
  <c r="J1106" i="2" s="1"/>
  <c r="K1106" i="2" l="1"/>
  <c r="B1108" i="2"/>
  <c r="K1107" i="2" s="1"/>
  <c r="J1107" i="2" l="1"/>
  <c r="B1109" i="2"/>
  <c r="J1108" i="2" s="1"/>
  <c r="K1108" i="2" l="1"/>
  <c r="B1110" i="2"/>
  <c r="J1109" i="2" s="1"/>
  <c r="B1111" i="2" l="1"/>
  <c r="K1110" i="2" s="1"/>
  <c r="K1109" i="2"/>
  <c r="B1112" i="2" l="1"/>
  <c r="J1111" i="2" s="1"/>
  <c r="J1110" i="2"/>
  <c r="B1113" i="2" l="1"/>
  <c r="K1112" i="2" s="1"/>
  <c r="K1111" i="2"/>
  <c r="B1114" i="2" l="1"/>
  <c r="J1113" i="2" s="1"/>
  <c r="J1112" i="2"/>
  <c r="B1115" i="2" l="1"/>
  <c r="K1114" i="2" s="1"/>
  <c r="K1113" i="2"/>
  <c r="B1116" i="2" l="1"/>
  <c r="J1115" i="2" s="1"/>
  <c r="J1114" i="2"/>
  <c r="B1117" i="2" l="1"/>
  <c r="K1116" i="2" s="1"/>
  <c r="K1115" i="2"/>
  <c r="B1118" i="2" l="1"/>
  <c r="J1117" i="2" s="1"/>
  <c r="J1116" i="2"/>
  <c r="B1119" i="2" l="1"/>
  <c r="K1118" i="2" s="1"/>
  <c r="K1117" i="2"/>
  <c r="B1120" i="2" l="1"/>
  <c r="J1119" i="2" s="1"/>
  <c r="J1118" i="2"/>
  <c r="B1121" i="2" l="1"/>
  <c r="K1120" i="2" s="1"/>
  <c r="K1119" i="2"/>
  <c r="B1122" i="2" l="1"/>
  <c r="J1121" i="2" s="1"/>
  <c r="J1120" i="2"/>
  <c r="B1123" i="2" l="1"/>
  <c r="K1122" i="2" s="1"/>
  <c r="K1121" i="2"/>
  <c r="B1124" i="2" l="1"/>
  <c r="J1123" i="2" s="1"/>
  <c r="J1122" i="2"/>
  <c r="B1125" i="2" l="1"/>
  <c r="K1124" i="2" s="1"/>
  <c r="K1123" i="2"/>
  <c r="B1126" i="2" l="1"/>
  <c r="J1125" i="2" s="1"/>
  <c r="J1124" i="2"/>
  <c r="B1127" i="2" l="1"/>
  <c r="K1126" i="2" s="1"/>
  <c r="K1125" i="2"/>
  <c r="B1128" i="2" l="1"/>
  <c r="J1127" i="2" s="1"/>
  <c r="J1126" i="2"/>
  <c r="B1129" i="2" l="1"/>
  <c r="K1128" i="2" s="1"/>
  <c r="K1127" i="2"/>
  <c r="B1130" i="2" l="1"/>
  <c r="J1129" i="2" s="1"/>
  <c r="J1128" i="2"/>
  <c r="B1131" i="2" l="1"/>
  <c r="K1130" i="2" s="1"/>
  <c r="K1129" i="2"/>
  <c r="B1132" i="2" l="1"/>
  <c r="J1131" i="2" s="1"/>
  <c r="J1130" i="2"/>
  <c r="B1133" i="2" l="1"/>
  <c r="K1132" i="2" s="1"/>
  <c r="K1131" i="2"/>
  <c r="B1134" i="2" l="1"/>
  <c r="J1133" i="2" s="1"/>
  <c r="J1132" i="2"/>
  <c r="B1135" i="2" l="1"/>
  <c r="K1134" i="2" s="1"/>
  <c r="K1133" i="2"/>
  <c r="B1136" i="2" l="1"/>
  <c r="J1135" i="2" s="1"/>
  <c r="J1134" i="2"/>
  <c r="B1137" i="2" l="1"/>
  <c r="K1136" i="2" s="1"/>
  <c r="K1135" i="2"/>
  <c r="B1138" i="2" l="1"/>
  <c r="J1137" i="2" s="1"/>
  <c r="J1136" i="2"/>
  <c r="B1139" i="2" l="1"/>
  <c r="K1138" i="2" s="1"/>
  <c r="K1137" i="2"/>
  <c r="B1140" i="2" l="1"/>
  <c r="J1139" i="2" s="1"/>
  <c r="J1138" i="2"/>
  <c r="B1141" i="2" l="1"/>
  <c r="K1140" i="2" s="1"/>
  <c r="K1139" i="2"/>
  <c r="B1142" i="2" l="1"/>
  <c r="J1141" i="2" s="1"/>
  <c r="J1140" i="2"/>
  <c r="B1143" i="2" l="1"/>
  <c r="K1142" i="2" s="1"/>
  <c r="K1141" i="2"/>
  <c r="B1144" i="2" l="1"/>
  <c r="J1143" i="2" s="1"/>
  <c r="J1142" i="2"/>
  <c r="B1145" i="2" l="1"/>
  <c r="K1144" i="2" s="1"/>
  <c r="K1143" i="2"/>
  <c r="B1146" i="2" l="1"/>
  <c r="J1145" i="2" s="1"/>
  <c r="J1144" i="2"/>
  <c r="B1147" i="2" l="1"/>
  <c r="K1146" i="2" s="1"/>
  <c r="K1145" i="2"/>
  <c r="B1148" i="2" l="1"/>
  <c r="J1147" i="2" s="1"/>
  <c r="J1146" i="2"/>
  <c r="B1149" i="2" l="1"/>
  <c r="K1148" i="2" s="1"/>
  <c r="K1147" i="2"/>
  <c r="B1150" i="2" l="1"/>
  <c r="J1149" i="2" s="1"/>
  <c r="J1148" i="2"/>
  <c r="B1151" i="2" l="1"/>
  <c r="K1150" i="2" s="1"/>
  <c r="K1149" i="2"/>
  <c r="B1152" i="2" l="1"/>
  <c r="J1151" i="2" s="1"/>
  <c r="J1150" i="2"/>
  <c r="B1153" i="2" l="1"/>
  <c r="K1152" i="2" s="1"/>
  <c r="K1151" i="2"/>
  <c r="B1154" i="2" l="1"/>
  <c r="J1153" i="2" s="1"/>
  <c r="J1152" i="2"/>
  <c r="B1155" i="2" l="1"/>
  <c r="K1154" i="2" s="1"/>
  <c r="K1153" i="2"/>
  <c r="B1156" i="2" l="1"/>
  <c r="J1155" i="2" s="1"/>
  <c r="J1154" i="2"/>
  <c r="B1157" i="2" l="1"/>
  <c r="K1156" i="2" s="1"/>
  <c r="K1155" i="2"/>
  <c r="B1158" i="2" l="1"/>
  <c r="J1157" i="2" s="1"/>
  <c r="J1156" i="2"/>
  <c r="B1159" i="2" l="1"/>
  <c r="K1158" i="2" s="1"/>
  <c r="K1157" i="2"/>
  <c r="B1160" i="2" l="1"/>
  <c r="K1159" i="2" s="1"/>
  <c r="J1158" i="2"/>
  <c r="J1159" i="2" l="1"/>
  <c r="B1161" i="2"/>
  <c r="J1160" i="2" s="1"/>
  <c r="K1160" i="2" l="1"/>
  <c r="B1162" i="2"/>
  <c r="J1161" i="2" s="1"/>
  <c r="B1163" i="2" l="1"/>
  <c r="K1162" i="2" s="1"/>
  <c r="K1161" i="2"/>
  <c r="B1164" i="2" l="1"/>
  <c r="J1163" i="2" s="1"/>
  <c r="J1162" i="2"/>
  <c r="B1165" i="2" l="1"/>
  <c r="K1164" i="2" s="1"/>
  <c r="K1163" i="2"/>
  <c r="B1166" i="2" l="1"/>
  <c r="J1165" i="2" s="1"/>
  <c r="J1164" i="2"/>
  <c r="B1167" i="2" l="1"/>
  <c r="K1166" i="2" s="1"/>
  <c r="K1165" i="2"/>
  <c r="B1168" i="2" l="1"/>
  <c r="J1167" i="2" s="1"/>
  <c r="J1166" i="2"/>
  <c r="B1169" i="2" l="1"/>
  <c r="K1168" i="2" s="1"/>
  <c r="K1167" i="2"/>
  <c r="B1170" i="2" l="1"/>
  <c r="J1169" i="2" s="1"/>
  <c r="J1168" i="2"/>
  <c r="B1171" i="2" l="1"/>
  <c r="K1170" i="2" s="1"/>
  <c r="K1169" i="2"/>
  <c r="B1172" i="2" l="1"/>
  <c r="J1171" i="2" s="1"/>
  <c r="J1170" i="2"/>
  <c r="B1173" i="2" l="1"/>
  <c r="K1172" i="2" s="1"/>
  <c r="K1171" i="2"/>
  <c r="B1174" i="2" l="1"/>
  <c r="J1173" i="2" s="1"/>
  <c r="J1172" i="2"/>
  <c r="B1175" i="2" l="1"/>
  <c r="K1174" i="2" s="1"/>
  <c r="K1173" i="2"/>
  <c r="B1176" i="2" l="1"/>
  <c r="J1175" i="2" s="1"/>
  <c r="J1174" i="2"/>
  <c r="B1177" i="2" l="1"/>
  <c r="K1176" i="2" s="1"/>
  <c r="K1175" i="2"/>
  <c r="B1178" i="2" l="1"/>
  <c r="K1177" i="2" s="1"/>
  <c r="J1176" i="2"/>
  <c r="J1177" i="2" l="1"/>
  <c r="B1179" i="2"/>
  <c r="K1178" i="2" s="1"/>
  <c r="B1180" i="2" l="1"/>
  <c r="J1179" i="2" s="1"/>
  <c r="J1178" i="2"/>
  <c r="B1181" i="2" l="1"/>
  <c r="K1180" i="2" s="1"/>
  <c r="K1179" i="2"/>
  <c r="B1182" i="2" l="1"/>
  <c r="J1181" i="2" s="1"/>
  <c r="J1180" i="2"/>
  <c r="B1183" i="2" l="1"/>
  <c r="K1182" i="2" s="1"/>
  <c r="K1181" i="2"/>
  <c r="B1184" i="2" l="1"/>
  <c r="J1183" i="2" s="1"/>
  <c r="J1182" i="2"/>
  <c r="B1185" i="2" l="1"/>
  <c r="K1184" i="2" s="1"/>
  <c r="K1183" i="2"/>
  <c r="B1186" i="2" l="1"/>
  <c r="J1185" i="2" s="1"/>
  <c r="J1184" i="2"/>
  <c r="B1187" i="2" l="1"/>
  <c r="K1186" i="2" s="1"/>
  <c r="K1185" i="2"/>
  <c r="B1188" i="2" l="1"/>
  <c r="K1187" i="2" s="1"/>
  <c r="J1186" i="2"/>
  <c r="J1187" i="2" l="1"/>
  <c r="B1189" i="2"/>
  <c r="K1188" i="2" s="1"/>
  <c r="B1190" i="2" l="1"/>
  <c r="J1189" i="2" s="1"/>
  <c r="J1188" i="2"/>
  <c r="B1191" i="2" l="1"/>
  <c r="K1190" i="2" s="1"/>
  <c r="K1189" i="2"/>
  <c r="B1192" i="2" l="1"/>
  <c r="J1191" i="2" s="1"/>
  <c r="J1190" i="2"/>
  <c r="B1193" i="2" l="1"/>
  <c r="K1192" i="2" s="1"/>
  <c r="K1191" i="2"/>
  <c r="B1194" i="2" l="1"/>
  <c r="J1193" i="2" s="1"/>
  <c r="J1192" i="2"/>
  <c r="B1195" i="2" l="1"/>
  <c r="K1194" i="2" s="1"/>
  <c r="K1193" i="2"/>
  <c r="B1196" i="2" l="1"/>
  <c r="J1195" i="2" s="1"/>
  <c r="J1194" i="2"/>
  <c r="B1197" i="2" l="1"/>
  <c r="K1196" i="2" s="1"/>
  <c r="K1195" i="2"/>
  <c r="B1198" i="2" l="1"/>
  <c r="J1197" i="2" s="1"/>
  <c r="J1196" i="2"/>
  <c r="B1199" i="2" l="1"/>
  <c r="K1198" i="2" s="1"/>
  <c r="K1197" i="2"/>
  <c r="B1200" i="2" l="1"/>
  <c r="J1199" i="2" s="1"/>
  <c r="J1198" i="2"/>
  <c r="B1201" i="2" l="1"/>
  <c r="K1200" i="2" s="1"/>
  <c r="K1199" i="2"/>
  <c r="B1202" i="2" l="1"/>
  <c r="J1201" i="2" s="1"/>
  <c r="J1200" i="2"/>
  <c r="B1203" i="2" l="1"/>
  <c r="K1202" i="2" s="1"/>
  <c r="K1201" i="2"/>
  <c r="B1204" i="2" l="1"/>
  <c r="J1203" i="2" s="1"/>
  <c r="J1202" i="2"/>
  <c r="B1205" i="2" l="1"/>
  <c r="K1204" i="2" s="1"/>
  <c r="K1203" i="2"/>
  <c r="B1206" i="2" l="1"/>
  <c r="J1205" i="2" s="1"/>
  <c r="J1204" i="2"/>
  <c r="B1207" i="2" l="1"/>
  <c r="K1206" i="2" s="1"/>
  <c r="K1205" i="2"/>
  <c r="B1208" i="2" l="1"/>
  <c r="J1207" i="2" s="1"/>
  <c r="J1206" i="2"/>
  <c r="B1209" i="2" l="1"/>
  <c r="K1207" i="2"/>
  <c r="B1210" i="2" l="1"/>
  <c r="J1209" i="2" s="1"/>
  <c r="K1208" i="2"/>
  <c r="J1208" i="2"/>
  <c r="B1211" i="2" l="1"/>
  <c r="K1210" i="2" s="1"/>
  <c r="K1209" i="2"/>
  <c r="B1212" i="2" l="1"/>
  <c r="J1211" i="2" s="1"/>
  <c r="J1210" i="2"/>
  <c r="B1213" i="2" l="1"/>
  <c r="K1212" i="2" s="1"/>
  <c r="K1211" i="2"/>
  <c r="B1214" i="2" l="1"/>
  <c r="K1213" i="2" s="1"/>
  <c r="J1212" i="2"/>
  <c r="J1213" i="2" l="1"/>
  <c r="B1215" i="2"/>
  <c r="K1214" i="2" s="1"/>
  <c r="B1216" i="2" l="1"/>
  <c r="J1215" i="2" s="1"/>
  <c r="J1214" i="2"/>
  <c r="B1217" i="2" l="1"/>
  <c r="K1216" i="2" s="1"/>
  <c r="K1215" i="2"/>
  <c r="B1218" i="2" l="1"/>
  <c r="J1217" i="2" s="1"/>
  <c r="J1216" i="2"/>
  <c r="B1219" i="2" l="1"/>
  <c r="K1218" i="2" s="1"/>
  <c r="K1217" i="2"/>
  <c r="B1220" i="2" l="1"/>
  <c r="J1219" i="2" s="1"/>
  <c r="J1218" i="2"/>
  <c r="B1221" i="2" l="1"/>
  <c r="K1220" i="2" s="1"/>
  <c r="K1219" i="2"/>
  <c r="B1222" i="2" l="1"/>
  <c r="K1221" i="2" s="1"/>
  <c r="J1220" i="2"/>
  <c r="J1221" i="2" l="1"/>
  <c r="B1223" i="2"/>
  <c r="K1222" i="2" s="1"/>
  <c r="B1224" i="2" l="1"/>
  <c r="J1223" i="2" s="1"/>
  <c r="J1222" i="2"/>
  <c r="B1225" i="2" l="1"/>
  <c r="K1224" i="2" s="1"/>
  <c r="K1223" i="2"/>
  <c r="B1226" i="2" l="1"/>
  <c r="J1225" i="2" s="1"/>
  <c r="J1224" i="2"/>
  <c r="B1227" i="2" l="1"/>
  <c r="K1226" i="2" s="1"/>
  <c r="K1225" i="2"/>
  <c r="B1228" i="2" l="1"/>
  <c r="J1227" i="2" s="1"/>
  <c r="J1226" i="2"/>
  <c r="B1229" i="2" l="1"/>
  <c r="K1228" i="2" s="1"/>
  <c r="K1227" i="2"/>
  <c r="B1230" i="2" l="1"/>
  <c r="J1229" i="2" s="1"/>
  <c r="J1228" i="2"/>
  <c r="B1231" i="2" l="1"/>
  <c r="K1230" i="2" s="1"/>
  <c r="K1229" i="2"/>
  <c r="B1232" i="2" l="1"/>
  <c r="K1231" i="2" s="1"/>
  <c r="J1230" i="2"/>
  <c r="J1231" i="2" l="1"/>
  <c r="B1233" i="2"/>
  <c r="K1232" i="2" s="1"/>
  <c r="B1234" i="2" l="1"/>
  <c r="J1233" i="2" s="1"/>
  <c r="J1232" i="2"/>
  <c r="B1235" i="2" l="1"/>
  <c r="K1234" i="2" s="1"/>
  <c r="K1233" i="2"/>
  <c r="B1236" i="2" l="1"/>
  <c r="J1235" i="2" s="1"/>
  <c r="J1234" i="2"/>
  <c r="B1237" i="2" l="1"/>
  <c r="K1236" i="2" s="1"/>
  <c r="K1235" i="2"/>
  <c r="B1238" i="2" l="1"/>
  <c r="J1237" i="2" s="1"/>
  <c r="J1236" i="2"/>
  <c r="B1239" i="2" l="1"/>
  <c r="K1238" i="2" s="1"/>
  <c r="K1237" i="2"/>
  <c r="B1240" i="2" l="1"/>
  <c r="J1239" i="2" s="1"/>
  <c r="J1238" i="2"/>
  <c r="B1241" i="2" l="1"/>
  <c r="K1240" i="2" s="1"/>
  <c r="K1239" i="2"/>
  <c r="B1242" i="2" l="1"/>
  <c r="J1241" i="2" s="1"/>
  <c r="J1240" i="2"/>
  <c r="B1243" i="2" l="1"/>
  <c r="K1242" i="2" s="1"/>
  <c r="K1241" i="2"/>
  <c r="B1244" i="2" l="1"/>
  <c r="J1243" i="2" s="1"/>
  <c r="J1242" i="2"/>
  <c r="B1245" i="2" l="1"/>
  <c r="K1244" i="2" s="1"/>
  <c r="K1243" i="2"/>
  <c r="B1246" i="2" l="1"/>
  <c r="J1245" i="2" s="1"/>
  <c r="J1244" i="2"/>
  <c r="B1247" i="2" l="1"/>
  <c r="K1246" i="2" s="1"/>
  <c r="K1245" i="2"/>
  <c r="B1248" i="2" l="1"/>
  <c r="J1247" i="2" s="1"/>
  <c r="J1246" i="2"/>
  <c r="B1249" i="2" l="1"/>
  <c r="K1248" i="2" s="1"/>
  <c r="K1247" i="2"/>
  <c r="B1250" i="2" l="1"/>
  <c r="K1249" i="2" s="1"/>
  <c r="J1248" i="2"/>
  <c r="J1249" i="2" l="1"/>
  <c r="B1251" i="2"/>
  <c r="K1250" i="2" s="1"/>
  <c r="B1252" i="2" l="1"/>
  <c r="J1251" i="2" s="1"/>
  <c r="J1250" i="2"/>
  <c r="B1253" i="2" l="1"/>
  <c r="K1252" i="2" s="1"/>
  <c r="K1251" i="2"/>
  <c r="B1254" i="2" l="1"/>
  <c r="J1253" i="2" s="1"/>
  <c r="J1252" i="2"/>
  <c r="B1255" i="2" l="1"/>
  <c r="K1254" i="2" s="1"/>
  <c r="K1253" i="2"/>
  <c r="B1256" i="2" l="1"/>
  <c r="K1255" i="2" s="1"/>
  <c r="J1254" i="2"/>
  <c r="J1255" i="2" l="1"/>
  <c r="B1257" i="2"/>
  <c r="K1256" i="2" s="1"/>
  <c r="B1258" i="2" l="1"/>
  <c r="J1257" i="2" s="1"/>
  <c r="J1256" i="2"/>
  <c r="B1259" i="2" l="1"/>
  <c r="K1258" i="2" s="1"/>
  <c r="K1257" i="2"/>
  <c r="B1260" i="2" l="1"/>
  <c r="J1259" i="2" s="1"/>
  <c r="J1258" i="2"/>
  <c r="B1261" i="2" l="1"/>
  <c r="K1260" i="2" s="1"/>
  <c r="K1259" i="2"/>
  <c r="B1262" i="2" l="1"/>
  <c r="J1261" i="2" s="1"/>
  <c r="J1260" i="2"/>
  <c r="B1263" i="2" l="1"/>
  <c r="K1262" i="2" s="1"/>
  <c r="K1261" i="2"/>
  <c r="B1264" i="2" l="1"/>
  <c r="K1263" i="2" s="1"/>
  <c r="J1262" i="2"/>
  <c r="J1263" i="2" l="1"/>
  <c r="B1265" i="2"/>
  <c r="K1264" i="2" s="1"/>
  <c r="B1266" i="2" l="1"/>
  <c r="J1265" i="2" s="1"/>
  <c r="J1264" i="2"/>
  <c r="B1267" i="2" l="1"/>
  <c r="K1266" i="2" s="1"/>
  <c r="K1265" i="2"/>
  <c r="B1268" i="2" l="1"/>
  <c r="J1267" i="2" s="1"/>
  <c r="J1266" i="2"/>
  <c r="B1269" i="2" l="1"/>
  <c r="K1268" i="2" s="1"/>
  <c r="K1267" i="2"/>
  <c r="B1270" i="2" l="1"/>
  <c r="J1269" i="2" s="1"/>
  <c r="J1268" i="2"/>
  <c r="B1271" i="2" l="1"/>
  <c r="K1270" i="2" s="1"/>
  <c r="K1269" i="2"/>
  <c r="B1272" i="2" l="1"/>
  <c r="J1271" i="2" s="1"/>
  <c r="J1270" i="2"/>
  <c r="B1273" i="2" l="1"/>
  <c r="K1272" i="2" s="1"/>
  <c r="K1271" i="2"/>
  <c r="B1274" i="2" l="1"/>
  <c r="J1273" i="2" s="1"/>
  <c r="J1272" i="2"/>
  <c r="B1275" i="2" l="1"/>
  <c r="J1274" i="2" s="1"/>
  <c r="K1273" i="2"/>
  <c r="K1274" i="2" l="1"/>
  <c r="B1276" i="2"/>
  <c r="J1275" i="2" s="1"/>
  <c r="B1277" i="2" l="1"/>
  <c r="K1276" i="2" s="1"/>
  <c r="K1275" i="2"/>
  <c r="B1278" i="2" l="1"/>
  <c r="J1277" i="2" s="1"/>
  <c r="J1276" i="2"/>
  <c r="B1279" i="2" l="1"/>
  <c r="K1278" i="2" s="1"/>
  <c r="K1277" i="2"/>
  <c r="B1280" i="2" l="1"/>
  <c r="J1279" i="2" s="1"/>
  <c r="J1278" i="2"/>
  <c r="B1281" i="2" l="1"/>
  <c r="K1280" i="2" s="1"/>
  <c r="K1279" i="2"/>
  <c r="B1282" i="2" l="1"/>
  <c r="J1281" i="2" s="1"/>
  <c r="J1280" i="2"/>
  <c r="B1283" i="2" l="1"/>
  <c r="K1282" i="2" s="1"/>
  <c r="K1281" i="2"/>
  <c r="B1284" i="2" l="1"/>
  <c r="J1283" i="2" s="1"/>
  <c r="J1282" i="2"/>
  <c r="B1285" i="2" l="1"/>
  <c r="K1284" i="2" s="1"/>
  <c r="K1283" i="2"/>
  <c r="B1286" i="2" l="1"/>
  <c r="J1285" i="2" s="1"/>
  <c r="J1284" i="2"/>
  <c r="B1287" i="2" l="1"/>
  <c r="K1286" i="2" s="1"/>
  <c r="K1285" i="2"/>
  <c r="B1288" i="2" l="1"/>
  <c r="J1287" i="2" s="1"/>
  <c r="J1286" i="2"/>
  <c r="B1289" i="2" l="1"/>
  <c r="K1288" i="2" s="1"/>
  <c r="K1287" i="2"/>
  <c r="B1290" i="2" l="1"/>
  <c r="J1289" i="2" s="1"/>
  <c r="J1288" i="2"/>
  <c r="B1291" i="2" l="1"/>
  <c r="K1290" i="2" s="1"/>
  <c r="K1289" i="2"/>
  <c r="B1292" i="2" l="1"/>
  <c r="J1291" i="2" s="1"/>
  <c r="J1290" i="2"/>
  <c r="B1293" i="2" l="1"/>
  <c r="K1292" i="2" s="1"/>
  <c r="K1291" i="2"/>
  <c r="B1294" i="2" l="1"/>
  <c r="J1293" i="2" s="1"/>
  <c r="J1292" i="2"/>
  <c r="B1295" i="2" l="1"/>
  <c r="K1294" i="2" s="1"/>
  <c r="K1293" i="2"/>
  <c r="B1296" i="2" l="1"/>
  <c r="J1295" i="2" s="1"/>
  <c r="J1294" i="2"/>
  <c r="B1297" i="2" l="1"/>
  <c r="K1296" i="2" s="1"/>
  <c r="K1295" i="2"/>
  <c r="B1298" i="2" l="1"/>
  <c r="J1297" i="2" s="1"/>
  <c r="J1296" i="2"/>
  <c r="B1299" i="2" l="1"/>
  <c r="K1298" i="2" s="1"/>
  <c r="K1297" i="2"/>
  <c r="B1300" i="2" l="1"/>
  <c r="J1299" i="2" s="1"/>
  <c r="J1298" i="2"/>
  <c r="B1301" i="2" l="1"/>
  <c r="K1300" i="2" s="1"/>
  <c r="K1299" i="2"/>
  <c r="B1302" i="2" l="1"/>
  <c r="J1301" i="2" s="1"/>
  <c r="J1300" i="2"/>
  <c r="B1303" i="2" l="1"/>
  <c r="K1302" i="2" s="1"/>
  <c r="K1301" i="2"/>
  <c r="B1304" i="2" l="1"/>
  <c r="J1303" i="2" s="1"/>
  <c r="J1302" i="2"/>
  <c r="B1305" i="2" l="1"/>
  <c r="K1304" i="2" s="1"/>
  <c r="K1303" i="2"/>
  <c r="B1306" i="2" l="1"/>
  <c r="J1305" i="2" s="1"/>
  <c r="J1304" i="2"/>
  <c r="B1307" i="2" l="1"/>
  <c r="K1306" i="2" s="1"/>
  <c r="K1305" i="2"/>
  <c r="B1308" i="2" l="1"/>
  <c r="J1307" i="2" s="1"/>
  <c r="J1306" i="2"/>
  <c r="B1309" i="2" l="1"/>
  <c r="K1308" i="2" s="1"/>
  <c r="K1307" i="2"/>
  <c r="B1310" i="2" l="1"/>
  <c r="J1309" i="2" s="1"/>
  <c r="J1308" i="2"/>
  <c r="B1311" i="2" l="1"/>
  <c r="K1310" i="2" s="1"/>
  <c r="K1309" i="2"/>
  <c r="B1312" i="2" l="1"/>
  <c r="J1311" i="2" s="1"/>
  <c r="J1310" i="2"/>
  <c r="B1313" i="2" l="1"/>
  <c r="K1312" i="2" s="1"/>
  <c r="K1311" i="2"/>
  <c r="B1314" i="2" l="1"/>
  <c r="J1313" i="2" s="1"/>
  <c r="J1312" i="2"/>
  <c r="B1315" i="2" l="1"/>
  <c r="K1314" i="2" s="1"/>
  <c r="K1313" i="2"/>
  <c r="B1316" i="2" l="1"/>
  <c r="J1315" i="2" s="1"/>
  <c r="J1314" i="2"/>
  <c r="B1317" i="2" l="1"/>
  <c r="K1316" i="2" s="1"/>
  <c r="K1315" i="2"/>
  <c r="B1318" i="2" l="1"/>
  <c r="J1317" i="2" s="1"/>
  <c r="J1316" i="2"/>
  <c r="B1319" i="2" l="1"/>
  <c r="K1318" i="2" s="1"/>
  <c r="K1317" i="2"/>
  <c r="B1320" i="2" l="1"/>
  <c r="J1319" i="2" s="1"/>
  <c r="J1318" i="2"/>
  <c r="B1321" i="2" l="1"/>
  <c r="K1320" i="2" s="1"/>
  <c r="K1319" i="2"/>
  <c r="B1322" i="2" l="1"/>
  <c r="K1321" i="2" s="1"/>
  <c r="J1320" i="2"/>
  <c r="J1321" i="2" l="1"/>
  <c r="B1323" i="2"/>
  <c r="J1322" i="2" s="1"/>
  <c r="K1322" i="2" l="1"/>
  <c r="B1324" i="2"/>
  <c r="J1323" i="2" s="1"/>
  <c r="B1325" i="2" l="1"/>
  <c r="J1324" i="2" s="1"/>
  <c r="K1323" i="2"/>
  <c r="K1324" i="2" l="1"/>
  <c r="B1326" i="2"/>
  <c r="J1325" i="2" s="1"/>
  <c r="B1327" i="2" l="1"/>
  <c r="K1326" i="2" s="1"/>
  <c r="K1325" i="2"/>
  <c r="B1328" i="2" l="1"/>
  <c r="J1327" i="2" s="1"/>
  <c r="J1326" i="2"/>
  <c r="B1329" i="2" l="1"/>
  <c r="K1328" i="2" s="1"/>
  <c r="K1327" i="2"/>
  <c r="B1330" i="2" l="1"/>
  <c r="J1329" i="2" s="1"/>
  <c r="J1328" i="2"/>
  <c r="B1331" i="2" l="1"/>
  <c r="K1330" i="2" s="1"/>
  <c r="K1329" i="2"/>
  <c r="B1332" i="2" l="1"/>
  <c r="J1331" i="2" s="1"/>
  <c r="J1330" i="2"/>
  <c r="B1333" i="2" l="1"/>
  <c r="K1332" i="2" s="1"/>
  <c r="K1331" i="2"/>
  <c r="B1334" i="2" l="1"/>
  <c r="J1333" i="2" s="1"/>
  <c r="J1332" i="2"/>
  <c r="B1335" i="2" l="1"/>
  <c r="K1334" i="2" s="1"/>
  <c r="K1333" i="2"/>
  <c r="B1336" i="2" l="1"/>
  <c r="J1335" i="2" s="1"/>
  <c r="J1334" i="2"/>
  <c r="B1337" i="2" l="1"/>
  <c r="K1336" i="2" s="1"/>
  <c r="K1335" i="2"/>
  <c r="B1338" i="2" l="1"/>
  <c r="J1337" i="2" s="1"/>
  <c r="J1336" i="2"/>
  <c r="B1339" i="2" l="1"/>
  <c r="K1338" i="2" s="1"/>
  <c r="K1337" i="2"/>
  <c r="B1340" i="2" l="1"/>
  <c r="J1339" i="2" s="1"/>
  <c r="J1338" i="2"/>
  <c r="B1341" i="2" l="1"/>
  <c r="K1340" i="2" s="1"/>
  <c r="K1339" i="2"/>
  <c r="B1342" i="2" l="1"/>
  <c r="J1341" i="2" s="1"/>
  <c r="J1340" i="2"/>
  <c r="B1343" i="2" l="1"/>
  <c r="K1342" i="2" s="1"/>
  <c r="K1341" i="2"/>
  <c r="B1344" i="2" l="1"/>
  <c r="J1343" i="2" s="1"/>
  <c r="J1342" i="2"/>
  <c r="B1345" i="2" l="1"/>
  <c r="K1344" i="2" s="1"/>
  <c r="K1343" i="2"/>
  <c r="B1346" i="2" l="1"/>
  <c r="J1345" i="2" s="1"/>
  <c r="J1344" i="2"/>
  <c r="B1347" i="2" l="1"/>
  <c r="K1346" i="2" s="1"/>
  <c r="K1345" i="2"/>
  <c r="B1348" i="2" l="1"/>
  <c r="J1347" i="2" s="1"/>
  <c r="J1346" i="2"/>
  <c r="B1349" i="2" l="1"/>
  <c r="K1348" i="2" s="1"/>
  <c r="K1347" i="2"/>
  <c r="B1350" i="2" l="1"/>
  <c r="K1349" i="2" s="1"/>
  <c r="J1348" i="2"/>
  <c r="J1349" i="2" l="1"/>
  <c r="B1351" i="2"/>
  <c r="K1350" i="2" s="1"/>
  <c r="B1352" i="2" l="1"/>
  <c r="J1351" i="2" s="1"/>
  <c r="J1350" i="2"/>
  <c r="B1353" i="2" l="1"/>
  <c r="K1352" i="2" s="1"/>
  <c r="K1351" i="2"/>
  <c r="B1354" i="2" l="1"/>
  <c r="J1353" i="2" s="1"/>
  <c r="J1352" i="2"/>
  <c r="B1355" i="2" l="1"/>
  <c r="K1354" i="2" s="1"/>
  <c r="K1353" i="2"/>
  <c r="B1356" i="2" l="1"/>
  <c r="J1355" i="2" s="1"/>
  <c r="J1354" i="2"/>
  <c r="B1357" i="2" l="1"/>
  <c r="K1356" i="2" s="1"/>
  <c r="K1355" i="2"/>
  <c r="B1358" i="2" l="1"/>
  <c r="J1357" i="2" s="1"/>
  <c r="J1356" i="2"/>
  <c r="B1359" i="2" l="1"/>
  <c r="K1358" i="2" s="1"/>
  <c r="K1357" i="2"/>
  <c r="B1360" i="2" l="1"/>
  <c r="J1359" i="2" s="1"/>
  <c r="J1358" i="2"/>
  <c r="B1361" i="2" l="1"/>
  <c r="K1360" i="2" s="1"/>
  <c r="K1359" i="2"/>
  <c r="B1362" i="2" l="1"/>
  <c r="J1361" i="2" s="1"/>
  <c r="J1360" i="2"/>
  <c r="B1363" i="2" l="1"/>
  <c r="K1362" i="2" s="1"/>
  <c r="K1361" i="2"/>
  <c r="B1364" i="2" l="1"/>
  <c r="J1363" i="2" s="1"/>
  <c r="J1362" i="2"/>
  <c r="B1365" i="2" l="1"/>
  <c r="K1364" i="2" s="1"/>
  <c r="K1363" i="2"/>
  <c r="B1366" i="2" l="1"/>
  <c r="J1365" i="2" s="1"/>
  <c r="J1364" i="2"/>
  <c r="B1367" i="2" l="1"/>
  <c r="K1366" i="2" s="1"/>
  <c r="K1365" i="2"/>
  <c r="B1368" i="2" l="1"/>
  <c r="J1367" i="2" s="1"/>
  <c r="J1366" i="2"/>
  <c r="B1369" i="2" l="1"/>
  <c r="K1368" i="2" s="1"/>
  <c r="K1367" i="2"/>
  <c r="B1370" i="2" l="1"/>
  <c r="K1369" i="2" s="1"/>
  <c r="J1368" i="2"/>
  <c r="J1369" i="2" l="1"/>
  <c r="B1371" i="2"/>
  <c r="K1370" i="2" s="1"/>
  <c r="B1372" i="2" l="1"/>
  <c r="J1371" i="2" s="1"/>
  <c r="J1370" i="2"/>
  <c r="B1373" i="2" l="1"/>
  <c r="K1372" i="2" s="1"/>
  <c r="K1371" i="2"/>
  <c r="B1374" i="2" l="1"/>
  <c r="J1373" i="2" s="1"/>
  <c r="J1372" i="2"/>
  <c r="B1375" i="2" l="1"/>
  <c r="K1374" i="2" s="1"/>
  <c r="K1373" i="2"/>
  <c r="B1376" i="2" l="1"/>
  <c r="K1375" i="2" s="1"/>
  <c r="J1374" i="2"/>
  <c r="J1375" i="2" l="1"/>
  <c r="B1377" i="2"/>
  <c r="K1376" i="2" s="1"/>
  <c r="B1378" i="2" l="1"/>
  <c r="J1377" i="2" s="1"/>
  <c r="J1376" i="2"/>
  <c r="B1379" i="2" l="1"/>
  <c r="K1378" i="2" s="1"/>
  <c r="K1377" i="2"/>
  <c r="B1380" i="2" l="1"/>
  <c r="J1379" i="2" s="1"/>
  <c r="J1378" i="2"/>
  <c r="B1381" i="2" l="1"/>
  <c r="K1380" i="2" s="1"/>
  <c r="K1379" i="2"/>
  <c r="B1382" i="2" l="1"/>
  <c r="J1381" i="2" s="1"/>
  <c r="J1380" i="2"/>
  <c r="B1383" i="2" l="1"/>
  <c r="K1382" i="2" s="1"/>
  <c r="K1381" i="2"/>
  <c r="B1384" i="2" l="1"/>
  <c r="J1383" i="2" s="1"/>
  <c r="J1382" i="2"/>
  <c r="B1385" i="2" l="1"/>
  <c r="K1384" i="2" s="1"/>
  <c r="K1383" i="2"/>
  <c r="B1386" i="2" l="1"/>
  <c r="J1385" i="2" s="1"/>
  <c r="J1384" i="2"/>
  <c r="B1387" i="2" l="1"/>
  <c r="K1386" i="2" s="1"/>
  <c r="K1385" i="2"/>
  <c r="B1388" i="2" l="1"/>
  <c r="J1387" i="2" s="1"/>
  <c r="J1386" i="2"/>
  <c r="B1389" i="2" l="1"/>
  <c r="K1388" i="2" s="1"/>
  <c r="K1387" i="2"/>
  <c r="B1390" i="2" l="1"/>
  <c r="J1389" i="2" s="1"/>
  <c r="J1388" i="2"/>
  <c r="B1391" i="2" l="1"/>
  <c r="K1390" i="2" s="1"/>
  <c r="K1389" i="2"/>
  <c r="B1392" i="2" l="1"/>
  <c r="J1391" i="2" s="1"/>
  <c r="J1390" i="2"/>
  <c r="B1393" i="2" l="1"/>
  <c r="K1392" i="2" s="1"/>
  <c r="K1391" i="2"/>
  <c r="B1394" i="2" l="1"/>
  <c r="K1393" i="2" s="1"/>
  <c r="J1392" i="2"/>
  <c r="J1393" i="2" l="1"/>
  <c r="B1395" i="2"/>
  <c r="K1394" i="2" s="1"/>
  <c r="B1396" i="2" l="1"/>
  <c r="J1395" i="2" s="1"/>
  <c r="J1394" i="2"/>
  <c r="B1397" i="2" l="1"/>
  <c r="K1396" i="2" s="1"/>
  <c r="K1395" i="2"/>
  <c r="B1398" i="2" l="1"/>
  <c r="J1397" i="2" s="1"/>
  <c r="J1396" i="2"/>
  <c r="B1399" i="2" l="1"/>
  <c r="K1398" i="2" s="1"/>
  <c r="K1397" i="2"/>
  <c r="B1400" i="2" l="1"/>
  <c r="J1399" i="2" s="1"/>
  <c r="J1398" i="2"/>
  <c r="B1401" i="2" l="1"/>
  <c r="K1400" i="2" s="1"/>
  <c r="K1399" i="2"/>
  <c r="B1402" i="2" l="1"/>
  <c r="J1401" i="2" s="1"/>
  <c r="J1400" i="2"/>
  <c r="B1403" i="2" l="1"/>
  <c r="K1402" i="2" s="1"/>
  <c r="K1401" i="2"/>
  <c r="B1404" i="2" l="1"/>
  <c r="J1403" i="2" s="1"/>
  <c r="J1402" i="2"/>
  <c r="B1405" i="2" l="1"/>
  <c r="K1404" i="2" s="1"/>
  <c r="K1403" i="2"/>
  <c r="B1406" i="2" l="1"/>
  <c r="J1405" i="2" s="1"/>
  <c r="J1404" i="2"/>
  <c r="B1407" i="2" l="1"/>
  <c r="K1406" i="2" s="1"/>
  <c r="K1405" i="2"/>
  <c r="B1408" i="2" l="1"/>
  <c r="J1407" i="2" s="1"/>
  <c r="J1406" i="2"/>
  <c r="B1409" i="2" l="1"/>
  <c r="K1408" i="2" s="1"/>
  <c r="K1407" i="2"/>
  <c r="B1410" i="2" l="1"/>
  <c r="J1409" i="2" s="1"/>
  <c r="J1408" i="2"/>
  <c r="B1411" i="2" l="1"/>
  <c r="K1410" i="2" s="1"/>
  <c r="K1409" i="2"/>
  <c r="B1412" i="2" l="1"/>
  <c r="J1411" i="2" s="1"/>
  <c r="J1410" i="2"/>
  <c r="B1413" i="2" l="1"/>
  <c r="K1412" i="2" s="1"/>
  <c r="K1411" i="2"/>
  <c r="B1414" i="2" l="1"/>
  <c r="J1413" i="2" s="1"/>
  <c r="J1412" i="2"/>
  <c r="B1415" i="2" l="1"/>
  <c r="K1414" i="2" s="1"/>
  <c r="K1413" i="2"/>
  <c r="B1416" i="2" l="1"/>
  <c r="J1415" i="2" s="1"/>
  <c r="J1414" i="2"/>
  <c r="B1417" i="2" l="1"/>
  <c r="K1416" i="2" s="1"/>
  <c r="K1415" i="2"/>
  <c r="B1418" i="2" l="1"/>
  <c r="J1417" i="2" s="1"/>
  <c r="J1416" i="2"/>
  <c r="B1419" i="2" l="1"/>
  <c r="K1418" i="2" s="1"/>
  <c r="K1417" i="2"/>
  <c r="B1420" i="2" l="1"/>
  <c r="J1419" i="2" s="1"/>
  <c r="J1418" i="2"/>
  <c r="B1421" i="2" l="1"/>
  <c r="K1420" i="2" s="1"/>
  <c r="K1419" i="2"/>
  <c r="B1422" i="2" l="1"/>
  <c r="J1421" i="2" s="1"/>
  <c r="J1420" i="2"/>
  <c r="B1423" i="2" l="1"/>
  <c r="K1422" i="2" s="1"/>
  <c r="K1421" i="2"/>
  <c r="B1424" i="2" l="1"/>
  <c r="J1423" i="2" s="1"/>
  <c r="J1422" i="2"/>
  <c r="B1425" i="2" l="1"/>
  <c r="K1424" i="2" s="1"/>
  <c r="K1423" i="2"/>
  <c r="B1426" i="2" l="1"/>
  <c r="J1425" i="2" s="1"/>
  <c r="J1424" i="2"/>
  <c r="B1427" i="2" l="1"/>
  <c r="K1426" i="2" s="1"/>
  <c r="K1425" i="2"/>
  <c r="B1428" i="2" l="1"/>
  <c r="J1427" i="2" s="1"/>
  <c r="J1426" i="2"/>
  <c r="B1429" i="2" l="1"/>
  <c r="K1428" i="2" s="1"/>
  <c r="K1427" i="2"/>
  <c r="B1430" i="2" l="1"/>
  <c r="K1429" i="2" s="1"/>
  <c r="J1428" i="2"/>
  <c r="J1429" i="2" l="1"/>
  <c r="B1431" i="2"/>
  <c r="J1430" i="2" s="1"/>
  <c r="K1430" i="2" l="1"/>
  <c r="B1432" i="2"/>
  <c r="J1431" i="2" s="1"/>
  <c r="B1433" i="2" l="1"/>
  <c r="K1432" i="2" s="1"/>
  <c r="K1431" i="2"/>
  <c r="B1434" i="2" l="1"/>
  <c r="J1433" i="2" s="1"/>
  <c r="J1432" i="2"/>
  <c r="B1435" i="2" l="1"/>
  <c r="K1434" i="2" s="1"/>
  <c r="K1433" i="2"/>
  <c r="B1436" i="2" l="1"/>
  <c r="J1435" i="2" s="1"/>
  <c r="J1434" i="2"/>
  <c r="B1437" i="2" l="1"/>
  <c r="K1436" i="2" s="1"/>
  <c r="K1435" i="2"/>
  <c r="B1438" i="2" l="1"/>
  <c r="J1437" i="2" s="1"/>
  <c r="J1436" i="2"/>
  <c r="B1439" i="2" l="1"/>
  <c r="K1438" i="2" s="1"/>
  <c r="K1437" i="2"/>
  <c r="B1440" i="2" l="1"/>
  <c r="J1439" i="2" s="1"/>
  <c r="J1438" i="2"/>
  <c r="B1441" i="2" l="1"/>
  <c r="K1440" i="2" s="1"/>
  <c r="K1439" i="2"/>
  <c r="B1442" i="2" l="1"/>
  <c r="J1441" i="2" s="1"/>
  <c r="J1440" i="2"/>
  <c r="B1443" i="2" l="1"/>
  <c r="K1442" i="2" s="1"/>
  <c r="K1441" i="2"/>
  <c r="B1444" i="2" l="1"/>
  <c r="J1443" i="2" s="1"/>
  <c r="J1442" i="2"/>
  <c r="B1445" i="2" l="1"/>
  <c r="K1444" i="2" s="1"/>
  <c r="K1443" i="2"/>
  <c r="B1446" i="2" l="1"/>
  <c r="J1445" i="2" s="1"/>
  <c r="J1444" i="2"/>
  <c r="B1447" i="2" l="1"/>
  <c r="K1446" i="2" s="1"/>
  <c r="K1445" i="2"/>
  <c r="B1448" i="2" l="1"/>
  <c r="K1447" i="2" s="1"/>
  <c r="J1446" i="2"/>
  <c r="J1447" i="2" l="1"/>
  <c r="B1449" i="2"/>
  <c r="J1448" i="2" s="1"/>
  <c r="K1448" i="2" l="1"/>
  <c r="B1450" i="2"/>
  <c r="K1449" i="2" s="1"/>
  <c r="J1449" i="2" l="1"/>
  <c r="B1451" i="2"/>
  <c r="J1450" i="2" s="1"/>
  <c r="K1450" i="2" l="1"/>
  <c r="B1452" i="2"/>
  <c r="J1451" i="2" s="1"/>
  <c r="B1453" i="2" l="1"/>
  <c r="K1452" i="2" s="1"/>
  <c r="K1451" i="2"/>
  <c r="B1454" i="2" l="1"/>
  <c r="J1453" i="2" s="1"/>
  <c r="J1452" i="2"/>
  <c r="B1455" i="2" l="1"/>
  <c r="K1454" i="2" s="1"/>
  <c r="K1453" i="2"/>
  <c r="B1456" i="2" l="1"/>
  <c r="J1455" i="2" s="1"/>
  <c r="J1454" i="2"/>
  <c r="B1457" i="2" l="1"/>
  <c r="K1456" i="2" s="1"/>
  <c r="K1455" i="2"/>
  <c r="B1458" i="2" l="1"/>
  <c r="J1457" i="2" s="1"/>
  <c r="J1456" i="2"/>
  <c r="B1459" i="2" l="1"/>
  <c r="K1458" i="2" s="1"/>
  <c r="K1457" i="2"/>
  <c r="B1460" i="2" l="1"/>
  <c r="J1459" i="2" s="1"/>
  <c r="J1458" i="2"/>
  <c r="B1461" i="2" l="1"/>
  <c r="K1460" i="2" s="1"/>
  <c r="K1459" i="2"/>
  <c r="B1462" i="2" l="1"/>
  <c r="J1461" i="2" s="1"/>
  <c r="J1460" i="2"/>
  <c r="B1463" i="2" l="1"/>
  <c r="K1462" i="2" s="1"/>
  <c r="K1461" i="2"/>
  <c r="B1464" i="2" l="1"/>
  <c r="J1463" i="2" s="1"/>
  <c r="J1462" i="2"/>
  <c r="B1465" i="2" l="1"/>
  <c r="K1464" i="2" s="1"/>
  <c r="K1463" i="2"/>
  <c r="B1466" i="2" l="1"/>
  <c r="J1465" i="2" s="1"/>
  <c r="J1464" i="2"/>
  <c r="B1467" i="2" l="1"/>
  <c r="K1465" i="2"/>
  <c r="B1468" i="2" l="1"/>
  <c r="J1467" i="2" s="1"/>
  <c r="K1466" i="2"/>
  <c r="J1466" i="2"/>
  <c r="B1469" i="2" l="1"/>
  <c r="K1468" i="2" s="1"/>
  <c r="K1467" i="2"/>
  <c r="B1470" i="2" l="1"/>
  <c r="J1469" i="2" s="1"/>
  <c r="J1468" i="2"/>
  <c r="B1471" i="2" l="1"/>
  <c r="K1470" i="2" s="1"/>
  <c r="K1469" i="2"/>
  <c r="B1472" i="2" l="1"/>
  <c r="J1471" i="2" s="1"/>
  <c r="J1470" i="2"/>
  <c r="B1473" i="2" l="1"/>
  <c r="K1472" i="2" s="1"/>
  <c r="K1471" i="2"/>
  <c r="B1474" i="2" l="1"/>
  <c r="J1473" i="2" s="1"/>
  <c r="J1472" i="2"/>
  <c r="B1475" i="2" l="1"/>
  <c r="K1474" i="2" s="1"/>
  <c r="K1473" i="2"/>
  <c r="B1476" i="2" l="1"/>
  <c r="J1475" i="2" s="1"/>
  <c r="J1474" i="2"/>
  <c r="B1477" i="2" l="1"/>
  <c r="K1476" i="2" s="1"/>
  <c r="K1475" i="2"/>
  <c r="B1478" i="2" l="1"/>
  <c r="J1477" i="2" s="1"/>
  <c r="J1476" i="2"/>
  <c r="B1479" i="2" l="1"/>
  <c r="K1478" i="2" s="1"/>
  <c r="K1477" i="2"/>
  <c r="B1480" i="2" l="1"/>
  <c r="J1479" i="2" s="1"/>
  <c r="J1478" i="2"/>
  <c r="B1481" i="2" l="1"/>
  <c r="K1480" i="2" s="1"/>
  <c r="K1479" i="2"/>
  <c r="B1482" i="2" l="1"/>
  <c r="J1481" i="2" s="1"/>
  <c r="J1480" i="2"/>
  <c r="B1483" i="2" l="1"/>
  <c r="K1482" i="2" s="1"/>
  <c r="K1481" i="2"/>
  <c r="B1484" i="2" l="1"/>
  <c r="K1483" i="2" s="1"/>
  <c r="J1482" i="2"/>
  <c r="J1483" i="2" l="1"/>
  <c r="B1485" i="2"/>
  <c r="J1484" i="2" s="1"/>
  <c r="K1484" i="2" l="1"/>
  <c r="B1486" i="2"/>
  <c r="K1485" i="2" s="1"/>
  <c r="J1485" i="2" l="1"/>
  <c r="B1487" i="2"/>
  <c r="J1486" i="2" s="1"/>
  <c r="K1486" i="2" l="1"/>
  <c r="B1488" i="2"/>
  <c r="J1487" i="2" s="1"/>
  <c r="B1489" i="2" l="1"/>
  <c r="K1488" i="2" s="1"/>
  <c r="K1487" i="2"/>
  <c r="B1490" i="2" l="1"/>
  <c r="J1489" i="2" s="1"/>
  <c r="J1488" i="2"/>
  <c r="B1491" i="2" l="1"/>
  <c r="K1490" i="2" s="1"/>
  <c r="K1489" i="2"/>
  <c r="B1492" i="2" l="1"/>
  <c r="J1491" i="2" s="1"/>
  <c r="J1490" i="2"/>
  <c r="B1493" i="2" l="1"/>
  <c r="K1492" i="2" s="1"/>
  <c r="K1491" i="2"/>
  <c r="B1494" i="2" l="1"/>
  <c r="J1493" i="2" s="1"/>
  <c r="J1492" i="2"/>
  <c r="B1495" i="2" l="1"/>
  <c r="K1494" i="2" s="1"/>
  <c r="K1493" i="2"/>
  <c r="B1496" i="2" l="1"/>
  <c r="J1495" i="2" s="1"/>
  <c r="J1494" i="2"/>
  <c r="B1497" i="2" l="1"/>
  <c r="K1496" i="2" s="1"/>
  <c r="K1495" i="2"/>
  <c r="B1498" i="2" l="1"/>
  <c r="J1497" i="2" s="1"/>
  <c r="J1496" i="2"/>
  <c r="B1499" i="2" l="1"/>
  <c r="K1498" i="2" s="1"/>
  <c r="K1497" i="2"/>
  <c r="B1500" i="2" l="1"/>
  <c r="J1499" i="2" s="1"/>
  <c r="J1498" i="2"/>
  <c r="B1501" i="2" l="1"/>
  <c r="K1500" i="2" s="1"/>
  <c r="K1499" i="2"/>
  <c r="B1502" i="2" l="1"/>
  <c r="J1501" i="2" s="1"/>
  <c r="J1500" i="2"/>
  <c r="B1503" i="2" l="1"/>
  <c r="K1502" i="2" s="1"/>
  <c r="K1501" i="2"/>
  <c r="B1504" i="2" l="1"/>
  <c r="J1503" i="2" s="1"/>
  <c r="J1502" i="2"/>
  <c r="B1505" i="2" l="1"/>
  <c r="K1504" i="2" s="1"/>
  <c r="K1503" i="2"/>
  <c r="B1506" i="2" l="1"/>
  <c r="J1505" i="2" s="1"/>
  <c r="J1504" i="2"/>
  <c r="B1507" i="2" l="1"/>
  <c r="K1506" i="2" s="1"/>
  <c r="K1505" i="2"/>
  <c r="B1508" i="2" l="1"/>
  <c r="J1507" i="2" s="1"/>
  <c r="J1506" i="2"/>
  <c r="B1509" i="2" l="1"/>
  <c r="K1508" i="2" s="1"/>
  <c r="K1507" i="2"/>
  <c r="B1510" i="2" l="1"/>
  <c r="J1509" i="2" s="1"/>
  <c r="J1508" i="2"/>
  <c r="B1511" i="2" l="1"/>
  <c r="K1510" i="2" s="1"/>
  <c r="K1509" i="2"/>
  <c r="B1512" i="2" l="1"/>
  <c r="J1511" i="2" s="1"/>
  <c r="J1510" i="2"/>
  <c r="B1513" i="2" l="1"/>
  <c r="K1512" i="2" s="1"/>
  <c r="K1511" i="2"/>
  <c r="B1514" i="2" l="1"/>
  <c r="J1513" i="2" s="1"/>
  <c r="J1512" i="2"/>
  <c r="B1515" i="2" l="1"/>
  <c r="K1514" i="2" s="1"/>
  <c r="K1513" i="2"/>
  <c r="B1516" i="2" l="1"/>
  <c r="J1515" i="2" s="1"/>
  <c r="J1514" i="2"/>
  <c r="B1517" i="2" l="1"/>
  <c r="K1516" i="2" s="1"/>
  <c r="K1515" i="2"/>
  <c r="B1518" i="2" l="1"/>
  <c r="J1517" i="2" s="1"/>
  <c r="J1516" i="2"/>
  <c r="B1519" i="2" l="1"/>
  <c r="K1518" i="2" s="1"/>
  <c r="K1517" i="2"/>
  <c r="B1520" i="2" l="1"/>
  <c r="J1519" i="2" s="1"/>
  <c r="J1518" i="2"/>
  <c r="B1521" i="2" l="1"/>
  <c r="K1520" i="2" s="1"/>
  <c r="K1519" i="2"/>
  <c r="B1522" i="2" l="1"/>
  <c r="J1521" i="2" s="1"/>
  <c r="J1520" i="2"/>
  <c r="B1523" i="2" l="1"/>
  <c r="K1522" i="2" s="1"/>
  <c r="K1521" i="2"/>
  <c r="B1524" i="2" l="1"/>
  <c r="J1523" i="2" s="1"/>
  <c r="J1522" i="2"/>
  <c r="B1525" i="2" l="1"/>
  <c r="K1524" i="2" s="1"/>
  <c r="K1523" i="2"/>
  <c r="B1526" i="2" l="1"/>
  <c r="J1525" i="2" s="1"/>
  <c r="J1524" i="2"/>
  <c r="B1527" i="2" l="1"/>
  <c r="K1526" i="2" s="1"/>
  <c r="K1525" i="2"/>
  <c r="B1528" i="2" l="1"/>
  <c r="J1527" i="2" s="1"/>
  <c r="J1526" i="2"/>
  <c r="B1529" i="2" l="1"/>
  <c r="K1528" i="2" s="1"/>
  <c r="K1527" i="2"/>
  <c r="B1530" i="2" l="1"/>
  <c r="K1529" i="2" s="1"/>
  <c r="J1528" i="2"/>
  <c r="J1529" i="2" l="1"/>
  <c r="B1531" i="2"/>
  <c r="K1530" i="2" s="1"/>
  <c r="B1532" i="2" l="1"/>
  <c r="J1531" i="2" s="1"/>
  <c r="J1530" i="2"/>
  <c r="B1533" i="2" l="1"/>
  <c r="J1532" i="2" s="1"/>
  <c r="K1531" i="2"/>
  <c r="K1532" i="2" l="1"/>
  <c r="B1534" i="2"/>
  <c r="J1533" i="2" s="1"/>
  <c r="B1535" i="2" l="1"/>
  <c r="K1534" i="2" s="1"/>
  <c r="K1533" i="2"/>
  <c r="B1536" i="2" l="1"/>
  <c r="J1535" i="2" s="1"/>
  <c r="J1534" i="2"/>
  <c r="B1537" i="2" l="1"/>
  <c r="K1536" i="2" s="1"/>
  <c r="K1535" i="2"/>
  <c r="B1538" i="2" l="1"/>
  <c r="K1537" i="2" s="1"/>
  <c r="J1536" i="2"/>
  <c r="J1537" i="2" l="1"/>
  <c r="B1539" i="2"/>
  <c r="J1538" i="2" s="1"/>
  <c r="K1538" i="2" l="1"/>
  <c r="B1540" i="2"/>
  <c r="J1539" i="2" s="1"/>
  <c r="B1541" i="2" l="1"/>
  <c r="K1540" i="2" s="1"/>
  <c r="K1539" i="2"/>
  <c r="B1542" i="2" l="1"/>
  <c r="J1541" i="2" s="1"/>
  <c r="J1540" i="2"/>
  <c r="B1543" i="2" l="1"/>
  <c r="K1542" i="2" s="1"/>
  <c r="K1541" i="2"/>
  <c r="B1544" i="2" l="1"/>
  <c r="J1543" i="2" s="1"/>
  <c r="J1542" i="2"/>
  <c r="B1545" i="2" l="1"/>
  <c r="K1544" i="2" s="1"/>
  <c r="K1543" i="2"/>
  <c r="B1546" i="2" l="1"/>
  <c r="J1545" i="2" s="1"/>
  <c r="J1544" i="2"/>
  <c r="B1547" i="2" l="1"/>
  <c r="K1546" i="2" s="1"/>
  <c r="K1545" i="2"/>
  <c r="B1548" i="2" l="1"/>
  <c r="J1547" i="2" s="1"/>
  <c r="J1546" i="2"/>
  <c r="B1549" i="2" l="1"/>
  <c r="K1548" i="2" s="1"/>
  <c r="K1547" i="2"/>
  <c r="B1550" i="2" l="1"/>
  <c r="J1549" i="2" s="1"/>
  <c r="J1548" i="2"/>
  <c r="B1551" i="2" l="1"/>
  <c r="K1550" i="2" s="1"/>
  <c r="K1549" i="2"/>
  <c r="B1552" i="2" l="1"/>
  <c r="J1551" i="2" s="1"/>
  <c r="J1550" i="2"/>
  <c r="B1553" i="2" l="1"/>
  <c r="K1552" i="2" s="1"/>
  <c r="K1551" i="2"/>
  <c r="B1554" i="2" l="1"/>
  <c r="J1553" i="2" s="1"/>
  <c r="J1552" i="2"/>
  <c r="B1555" i="2" l="1"/>
  <c r="K1554" i="2" s="1"/>
  <c r="K1553" i="2"/>
  <c r="B1556" i="2" l="1"/>
  <c r="J1555" i="2" s="1"/>
  <c r="J1554" i="2"/>
  <c r="B1557" i="2" l="1"/>
  <c r="K1555" i="2"/>
  <c r="B1558" i="2" l="1"/>
  <c r="J1557" i="2" s="1"/>
  <c r="K1556" i="2"/>
  <c r="J1556" i="2"/>
  <c r="B1559" i="2" l="1"/>
  <c r="K1558" i="2" s="1"/>
  <c r="K1557" i="2"/>
  <c r="B1560" i="2" l="1"/>
  <c r="J1559" i="2" s="1"/>
  <c r="J1558" i="2"/>
  <c r="B1561" i="2" l="1"/>
  <c r="K1560" i="2" s="1"/>
  <c r="K1559" i="2"/>
  <c r="B1562" i="2" l="1"/>
  <c r="J1561" i="2" s="1"/>
  <c r="J1560" i="2"/>
  <c r="B1563" i="2" l="1"/>
  <c r="K1562" i="2" s="1"/>
  <c r="K1561" i="2"/>
  <c r="B1564" i="2" l="1"/>
  <c r="J1563" i="2" s="1"/>
  <c r="J1562" i="2"/>
  <c r="B1565" i="2" l="1"/>
  <c r="K1564" i="2" s="1"/>
  <c r="K1563" i="2"/>
  <c r="B1566" i="2" l="1"/>
  <c r="J1565" i="2" s="1"/>
  <c r="J1564" i="2"/>
  <c r="B1567" i="2" l="1"/>
  <c r="K1566" i="2" s="1"/>
  <c r="K1565" i="2"/>
  <c r="B1568" i="2" l="1"/>
  <c r="J1567" i="2" s="1"/>
  <c r="J1566" i="2"/>
  <c r="B1569" i="2" l="1"/>
  <c r="K1568" i="2" s="1"/>
  <c r="K1567" i="2"/>
  <c r="B1570" i="2" l="1"/>
  <c r="J1569" i="2" s="1"/>
  <c r="J1568" i="2"/>
  <c r="B1571" i="2" l="1"/>
  <c r="K1570" i="2" s="1"/>
  <c r="K1569" i="2"/>
  <c r="B1572" i="2" l="1"/>
  <c r="J1571" i="2" s="1"/>
  <c r="J1570" i="2"/>
  <c r="B1573" i="2" l="1"/>
  <c r="J1572" i="2" s="1"/>
  <c r="K1571" i="2"/>
  <c r="K1572" i="2" l="1"/>
  <c r="B1574" i="2"/>
  <c r="J1573" i="2" s="1"/>
  <c r="B1575" i="2" l="1"/>
  <c r="K1573" i="2"/>
  <c r="B1576" i="2" l="1"/>
  <c r="J1575" i="2" s="1"/>
  <c r="K1574" i="2"/>
  <c r="J1574" i="2"/>
  <c r="B1577" i="2" l="1"/>
  <c r="K1576" i="2" s="1"/>
  <c r="K1575" i="2"/>
  <c r="B1578" i="2" l="1"/>
  <c r="J1577" i="2" s="1"/>
  <c r="J1576" i="2"/>
  <c r="B1579" i="2" l="1"/>
  <c r="K1578" i="2" s="1"/>
  <c r="K1577" i="2"/>
  <c r="B1580" i="2" l="1"/>
  <c r="J1579" i="2" s="1"/>
  <c r="J1578" i="2"/>
  <c r="B1581" i="2" l="1"/>
  <c r="K1580" i="2" s="1"/>
  <c r="K1579" i="2"/>
  <c r="B1582" i="2" l="1"/>
  <c r="J1581" i="2" s="1"/>
  <c r="J1580" i="2"/>
  <c r="B1583" i="2" l="1"/>
  <c r="K1582" i="2" s="1"/>
  <c r="K1581" i="2"/>
  <c r="B1584" i="2" l="1"/>
  <c r="J1583" i="2" s="1"/>
  <c r="J1582" i="2"/>
  <c r="B1585" i="2" l="1"/>
  <c r="K1584" i="2" s="1"/>
  <c r="K1583" i="2"/>
  <c r="B1586" i="2" l="1"/>
  <c r="J1585" i="2" s="1"/>
  <c r="J1584" i="2"/>
  <c r="B1587" i="2" l="1"/>
  <c r="K1586" i="2" s="1"/>
  <c r="K1585" i="2"/>
  <c r="B1588" i="2" l="1"/>
  <c r="J1587" i="2" s="1"/>
  <c r="J1586" i="2"/>
  <c r="B1589" i="2" l="1"/>
  <c r="K1588" i="2" s="1"/>
  <c r="K1587" i="2"/>
  <c r="B1590" i="2" l="1"/>
  <c r="J1589" i="2" s="1"/>
  <c r="J1588" i="2"/>
  <c r="B1591" i="2" l="1"/>
  <c r="K1590" i="2" s="1"/>
  <c r="K1589" i="2"/>
  <c r="B1592" i="2" l="1"/>
  <c r="J1591" i="2" s="1"/>
  <c r="J1590" i="2"/>
  <c r="B1593" i="2" l="1"/>
  <c r="K1592" i="2" s="1"/>
  <c r="K1591" i="2"/>
  <c r="B1594" i="2" l="1"/>
  <c r="J1593" i="2" s="1"/>
  <c r="J1592" i="2"/>
  <c r="B1595" i="2" l="1"/>
  <c r="K1594" i="2" s="1"/>
  <c r="K1593" i="2"/>
  <c r="B1596" i="2" l="1"/>
  <c r="J1595" i="2" s="1"/>
  <c r="J1594" i="2"/>
  <c r="B1597" i="2" l="1"/>
  <c r="K1596" i="2" s="1"/>
  <c r="K1595" i="2"/>
  <c r="B1598" i="2" l="1"/>
  <c r="J1597" i="2" s="1"/>
  <c r="J1596" i="2"/>
  <c r="B1599" i="2" l="1"/>
  <c r="K1598" i="2" s="1"/>
  <c r="K1597" i="2"/>
  <c r="B1600" i="2" l="1"/>
  <c r="J1599" i="2" s="1"/>
  <c r="J1598" i="2"/>
  <c r="B1601" i="2" l="1"/>
  <c r="J1600" i="2" s="1"/>
  <c r="K1599" i="2"/>
  <c r="K1600" i="2" l="1"/>
  <c r="B1602" i="2"/>
  <c r="J1601" i="2" s="1"/>
  <c r="B1603" i="2" l="1"/>
  <c r="K1602" i="2" s="1"/>
  <c r="K1601" i="2"/>
  <c r="B1604" i="2" l="1"/>
  <c r="J1603" i="2" s="1"/>
  <c r="J1602" i="2"/>
  <c r="B1605" i="2" l="1"/>
  <c r="K1604" i="2" s="1"/>
  <c r="K1603" i="2"/>
  <c r="B1606" i="2" l="1"/>
  <c r="J1605" i="2" s="1"/>
  <c r="J1604" i="2"/>
  <c r="B1607" i="2" l="1"/>
  <c r="K1606" i="2" s="1"/>
  <c r="K1605" i="2"/>
  <c r="B1608" i="2" l="1"/>
  <c r="J1607" i="2" s="1"/>
  <c r="J1606" i="2"/>
  <c r="B1609" i="2" l="1"/>
  <c r="K1608" i="2" s="1"/>
  <c r="K1607" i="2"/>
  <c r="B1610" i="2" l="1"/>
  <c r="J1609" i="2" s="1"/>
  <c r="J1608" i="2"/>
  <c r="B1611" i="2" l="1"/>
  <c r="J1610" i="2" s="1"/>
  <c r="K1609" i="2"/>
  <c r="K1610" i="2" l="1"/>
  <c r="B1612" i="2"/>
  <c r="K1611" i="2" s="1"/>
  <c r="J1611" i="2" l="1"/>
  <c r="B1613" i="2"/>
  <c r="J1612" i="2" s="1"/>
  <c r="K1612" i="2" l="1"/>
  <c r="B1614" i="2"/>
  <c r="K1613" i="2" s="1"/>
  <c r="J1613" i="2" l="1"/>
  <c r="B1615" i="2"/>
  <c r="J1614" i="2" s="1"/>
  <c r="K1614" i="2" l="1"/>
  <c r="B1616" i="2"/>
  <c r="J1615" i="2" s="1"/>
  <c r="B1617" i="2" l="1"/>
  <c r="K1616" i="2" s="1"/>
  <c r="K1615" i="2"/>
  <c r="B1618" i="2" l="1"/>
  <c r="J1617" i="2" s="1"/>
  <c r="J1616" i="2"/>
  <c r="B1619" i="2" l="1"/>
  <c r="K1618" i="2" s="1"/>
  <c r="K1617" i="2"/>
  <c r="B1620" i="2" l="1"/>
  <c r="J1619" i="2" s="1"/>
  <c r="J1618" i="2"/>
  <c r="B1621" i="2" l="1"/>
  <c r="K1620" i="2" s="1"/>
  <c r="K1619" i="2"/>
  <c r="B1622" i="2" l="1"/>
  <c r="J1621" i="2" s="1"/>
  <c r="J1620" i="2"/>
  <c r="B1623" i="2" l="1"/>
  <c r="K1622" i="2" s="1"/>
  <c r="K1621" i="2"/>
  <c r="B1624" i="2" l="1"/>
  <c r="J1623" i="2" s="1"/>
  <c r="J1622" i="2"/>
  <c r="B1625" i="2" l="1"/>
  <c r="K1624" i="2" s="1"/>
  <c r="K1623" i="2"/>
  <c r="B1626" i="2" l="1"/>
  <c r="J1625" i="2" s="1"/>
  <c r="J1624" i="2"/>
  <c r="B1627" i="2" l="1"/>
  <c r="K1626" i="2" s="1"/>
  <c r="K1625" i="2"/>
  <c r="B1628" i="2" l="1"/>
  <c r="K1627" i="2" s="1"/>
  <c r="J1626" i="2"/>
  <c r="J1627" i="2" l="1"/>
  <c r="B1629" i="2"/>
  <c r="J1628" i="2" s="1"/>
  <c r="K1628" i="2" l="1"/>
  <c r="B1630" i="2"/>
  <c r="J1629" i="2" s="1"/>
  <c r="B1631" i="2" l="1"/>
  <c r="K1630" i="2" s="1"/>
  <c r="K1629" i="2"/>
  <c r="B1632" i="2" l="1"/>
  <c r="J1631" i="2" s="1"/>
  <c r="J1630" i="2"/>
  <c r="B1633" i="2" l="1"/>
  <c r="K1632" i="2" s="1"/>
  <c r="K1631" i="2"/>
  <c r="B1634" i="2" l="1"/>
  <c r="J1633" i="2" s="1"/>
  <c r="J1632" i="2"/>
  <c r="B1635" i="2" l="1"/>
  <c r="K1634" i="2" s="1"/>
  <c r="K1633" i="2"/>
  <c r="B1636" i="2" l="1"/>
  <c r="J1635" i="2" s="1"/>
  <c r="J1634" i="2"/>
  <c r="B1637" i="2" l="1"/>
  <c r="K1636" i="2" s="1"/>
  <c r="K1635" i="2"/>
  <c r="B1638" i="2" l="1"/>
  <c r="J1637" i="2" s="1"/>
  <c r="J1636" i="2"/>
  <c r="B1639" i="2" l="1"/>
  <c r="K1638" i="2" s="1"/>
  <c r="K1637" i="2"/>
  <c r="B1640" i="2" l="1"/>
  <c r="J1639" i="2" s="1"/>
  <c r="J1638" i="2"/>
  <c r="B1641" i="2" l="1"/>
  <c r="K1640" i="2" s="1"/>
  <c r="K1639" i="2"/>
  <c r="B1642" i="2" l="1"/>
  <c r="K1641" i="2" s="1"/>
  <c r="J1640" i="2"/>
  <c r="J1641" i="2" l="1"/>
  <c r="B1643" i="2"/>
  <c r="K1642" i="2" s="1"/>
  <c r="B1644" i="2" l="1"/>
  <c r="J1643" i="2" s="1"/>
  <c r="J1642" i="2"/>
  <c r="B1645" i="2" l="1"/>
  <c r="K1644" i="2" s="1"/>
  <c r="K1643" i="2"/>
  <c r="B1646" i="2" l="1"/>
  <c r="J1645" i="2" s="1"/>
  <c r="J1644" i="2"/>
  <c r="B1647" i="2" l="1"/>
  <c r="K1646" i="2" s="1"/>
  <c r="K1645" i="2"/>
  <c r="B1648" i="2" l="1"/>
  <c r="J1647" i="2" s="1"/>
  <c r="J1646" i="2"/>
  <c r="B1649" i="2" l="1"/>
  <c r="K1648" i="2" s="1"/>
  <c r="K1647" i="2"/>
  <c r="B1650" i="2" l="1"/>
  <c r="J1649" i="2" s="1"/>
  <c r="J1648" i="2"/>
  <c r="B1651" i="2" l="1"/>
  <c r="K1650" i="2" s="1"/>
  <c r="K1649" i="2"/>
  <c r="B1652" i="2" l="1"/>
  <c r="J1651" i="2" s="1"/>
  <c r="J1650" i="2"/>
  <c r="B1653" i="2" l="1"/>
  <c r="K1652" i="2" s="1"/>
  <c r="K1651" i="2"/>
  <c r="B1654" i="2" l="1"/>
  <c r="J1653" i="2" s="1"/>
  <c r="J1652" i="2"/>
  <c r="B1655" i="2" l="1"/>
  <c r="K1654" i="2" s="1"/>
  <c r="K1653" i="2"/>
  <c r="B1656" i="2" l="1"/>
  <c r="J1655" i="2" s="1"/>
  <c r="J1654" i="2"/>
  <c r="B1657" i="2" l="1"/>
  <c r="K1656" i="2" s="1"/>
  <c r="K1655" i="2"/>
  <c r="B1658" i="2" l="1"/>
  <c r="J1657" i="2" s="1"/>
  <c r="J1656" i="2"/>
  <c r="B1659" i="2" l="1"/>
  <c r="K1658" i="2" s="1"/>
  <c r="K1657" i="2"/>
  <c r="B1660" i="2" l="1"/>
  <c r="J1659" i="2" s="1"/>
  <c r="J1658" i="2"/>
  <c r="B1661" i="2" l="1"/>
  <c r="K1660" i="2" s="1"/>
  <c r="K1659" i="2"/>
  <c r="B1662" i="2" l="1"/>
  <c r="J1661" i="2" s="1"/>
  <c r="J1660" i="2"/>
  <c r="B1663" i="2" l="1"/>
  <c r="K1662" i="2" s="1"/>
  <c r="K1661" i="2"/>
  <c r="B1664" i="2" l="1"/>
  <c r="K1663" i="2" s="1"/>
  <c r="J1662" i="2"/>
  <c r="J1663" i="2" l="1"/>
  <c r="B1665" i="2"/>
  <c r="K1664" i="2" s="1"/>
  <c r="B1666" i="2" l="1"/>
  <c r="K1665" i="2" s="1"/>
  <c r="J1664" i="2"/>
  <c r="J1665" i="2" l="1"/>
  <c r="B1667" i="2"/>
  <c r="K1666" i="2" s="1"/>
  <c r="B1668" i="2" l="1"/>
  <c r="J1667" i="2" s="1"/>
  <c r="J1666" i="2"/>
  <c r="B1669" i="2" l="1"/>
  <c r="K1668" i="2" s="1"/>
  <c r="K1667" i="2"/>
  <c r="B1670" i="2" l="1"/>
  <c r="J1669" i="2" s="1"/>
  <c r="J1668" i="2"/>
  <c r="B1671" i="2" l="1"/>
  <c r="K1670" i="2" s="1"/>
  <c r="K1669" i="2"/>
  <c r="B1672" i="2" l="1"/>
  <c r="J1671" i="2" s="1"/>
  <c r="J1670" i="2"/>
  <c r="B1673" i="2" l="1"/>
  <c r="K1672" i="2" s="1"/>
  <c r="K1671" i="2"/>
  <c r="B1674" i="2" l="1"/>
  <c r="J1673" i="2" s="1"/>
  <c r="J1672" i="2"/>
  <c r="B1675" i="2" l="1"/>
  <c r="K1674" i="2" s="1"/>
  <c r="K1673" i="2"/>
  <c r="B1676" i="2" l="1"/>
  <c r="J1675" i="2" s="1"/>
  <c r="J1674" i="2"/>
  <c r="B1677" i="2" l="1"/>
  <c r="K1676" i="2" s="1"/>
  <c r="K1675" i="2"/>
  <c r="B1678" i="2" l="1"/>
  <c r="J1677" i="2" s="1"/>
  <c r="J1676" i="2"/>
  <c r="B1679" i="2" l="1"/>
  <c r="J1678" i="2" s="1"/>
  <c r="K1677" i="2"/>
  <c r="K1678" i="2" l="1"/>
  <c r="B1680" i="2"/>
  <c r="J1679" i="2" s="1"/>
  <c r="B1681" i="2" l="1"/>
  <c r="K1680" i="2" s="1"/>
  <c r="K1679" i="2"/>
  <c r="B1682" i="2" l="1"/>
  <c r="J1681" i="2" s="1"/>
  <c r="J1680" i="2"/>
  <c r="B1683" i="2" l="1"/>
  <c r="K1682" i="2" s="1"/>
  <c r="K1681" i="2"/>
  <c r="B1684" i="2" l="1"/>
  <c r="J1683" i="2" s="1"/>
  <c r="J1682" i="2"/>
  <c r="B1685" i="2" l="1"/>
  <c r="K1684" i="2" s="1"/>
  <c r="K1683" i="2"/>
  <c r="B1686" i="2" l="1"/>
  <c r="K1685" i="2" s="1"/>
  <c r="J1684" i="2"/>
  <c r="J1685" i="2" l="1"/>
  <c r="B1687" i="2"/>
  <c r="K1686" i="2" s="1"/>
  <c r="B1688" i="2" l="1"/>
  <c r="J1687" i="2" s="1"/>
  <c r="J1686" i="2"/>
  <c r="B1689" i="2" l="1"/>
  <c r="K1688" i="2" s="1"/>
  <c r="K1687" i="2"/>
  <c r="B1690" i="2" l="1"/>
  <c r="J1689" i="2" s="1"/>
  <c r="J1688" i="2"/>
  <c r="B1691" i="2" l="1"/>
  <c r="K1690" i="2" s="1"/>
  <c r="K1689" i="2"/>
  <c r="B1692" i="2" l="1"/>
  <c r="J1691" i="2" s="1"/>
  <c r="J1690" i="2"/>
  <c r="B1693" i="2" l="1"/>
  <c r="K1692" i="2" s="1"/>
  <c r="K1691" i="2"/>
  <c r="B1694" i="2" l="1"/>
  <c r="J1693" i="2" s="1"/>
  <c r="J1692" i="2"/>
  <c r="B1695" i="2" l="1"/>
  <c r="K1694" i="2" s="1"/>
  <c r="K1693" i="2"/>
  <c r="B1696" i="2" l="1"/>
  <c r="J1695" i="2" s="1"/>
  <c r="J1694" i="2"/>
  <c r="B1697" i="2" l="1"/>
  <c r="K1696" i="2" s="1"/>
  <c r="K1695" i="2"/>
  <c r="B1698" i="2" l="1"/>
  <c r="J1697" i="2" s="1"/>
  <c r="J1696" i="2"/>
  <c r="B1699" i="2" l="1"/>
  <c r="K1698" i="2" s="1"/>
  <c r="K1697" i="2"/>
  <c r="B1700" i="2" l="1"/>
  <c r="J1699" i="2" s="1"/>
  <c r="J1698" i="2"/>
  <c r="B1701" i="2" l="1"/>
  <c r="K1700" i="2" s="1"/>
  <c r="K1699" i="2"/>
  <c r="B1702" i="2" l="1"/>
  <c r="J1701" i="2" s="1"/>
  <c r="J1700" i="2"/>
  <c r="B1703" i="2" l="1"/>
  <c r="K1702" i="2" s="1"/>
  <c r="K1701" i="2"/>
  <c r="B1704" i="2" l="1"/>
  <c r="J1703" i="2" s="1"/>
  <c r="J1702" i="2"/>
  <c r="B1705" i="2" l="1"/>
  <c r="K1704" i="2" s="1"/>
  <c r="K1703" i="2"/>
  <c r="B1706" i="2" l="1"/>
  <c r="J1705" i="2" s="1"/>
  <c r="J1704" i="2"/>
  <c r="B1707" i="2" l="1"/>
  <c r="K1706" i="2" s="1"/>
  <c r="K1705" i="2"/>
  <c r="B1708" i="2" l="1"/>
  <c r="J1707" i="2" s="1"/>
  <c r="J1706" i="2"/>
  <c r="B1709" i="2" l="1"/>
  <c r="K1708" i="2" s="1"/>
  <c r="K1707" i="2"/>
  <c r="B1710" i="2" l="1"/>
  <c r="J1709" i="2" s="1"/>
  <c r="J1708" i="2"/>
  <c r="B1711" i="2" l="1"/>
  <c r="K1710" i="2" s="1"/>
  <c r="K1709" i="2"/>
  <c r="B1712" i="2" l="1"/>
  <c r="J1711" i="2" s="1"/>
  <c r="J1710" i="2"/>
  <c r="B1713" i="2" l="1"/>
  <c r="K1712" i="2" s="1"/>
  <c r="K1711" i="2"/>
  <c r="B1714" i="2" l="1"/>
  <c r="J1713" i="2" s="1"/>
  <c r="J1712" i="2"/>
  <c r="B1715" i="2" l="1"/>
  <c r="K1714" i="2" s="1"/>
  <c r="K1713" i="2"/>
  <c r="B1716" i="2" l="1"/>
  <c r="J1715" i="2" s="1"/>
  <c r="J1714" i="2"/>
  <c r="B1717" i="2" l="1"/>
  <c r="K1716" i="2" s="1"/>
  <c r="K1715" i="2"/>
  <c r="B1718" i="2" l="1"/>
  <c r="J1717" i="2" s="1"/>
  <c r="J1716" i="2"/>
  <c r="B1719" i="2" l="1"/>
  <c r="K1718" i="2" s="1"/>
  <c r="K1717" i="2"/>
  <c r="B1720" i="2" l="1"/>
  <c r="J1719" i="2" s="1"/>
  <c r="J1718" i="2"/>
  <c r="B1721" i="2" l="1"/>
  <c r="K1720" i="2" s="1"/>
  <c r="K1719" i="2"/>
  <c r="B1722" i="2" l="1"/>
  <c r="J1721" i="2" s="1"/>
  <c r="J1720" i="2"/>
  <c r="B1723" i="2" l="1"/>
  <c r="K1722" i="2" s="1"/>
  <c r="K1721" i="2"/>
  <c r="B1724" i="2" l="1"/>
  <c r="J1723" i="2" s="1"/>
  <c r="J1722" i="2"/>
  <c r="B1725" i="2" l="1"/>
  <c r="K1724" i="2" s="1"/>
  <c r="K1723" i="2"/>
  <c r="B1726" i="2" l="1"/>
  <c r="J1725" i="2" s="1"/>
  <c r="J1724" i="2"/>
  <c r="B1727" i="2" l="1"/>
  <c r="K1726" i="2" s="1"/>
  <c r="K1725" i="2"/>
  <c r="B1728" i="2" l="1"/>
  <c r="J1727" i="2" s="1"/>
  <c r="J1726" i="2"/>
  <c r="B1729" i="2" l="1"/>
  <c r="K1728" i="2" s="1"/>
  <c r="K1727" i="2"/>
  <c r="B1730" i="2" l="1"/>
  <c r="J1729" i="2" s="1"/>
  <c r="J1728" i="2"/>
  <c r="B1731" i="2" l="1"/>
  <c r="K1730" i="2" s="1"/>
  <c r="K1729" i="2"/>
  <c r="B1732" i="2" l="1"/>
  <c r="J1731" i="2" s="1"/>
  <c r="J1730" i="2"/>
  <c r="B1733" i="2" l="1"/>
  <c r="K1732" i="2" s="1"/>
  <c r="K1731" i="2"/>
  <c r="B1734" i="2" l="1"/>
  <c r="J1733" i="2" s="1"/>
  <c r="J1732" i="2"/>
  <c r="B1735" i="2" l="1"/>
  <c r="K1734" i="2" s="1"/>
  <c r="K1733" i="2"/>
  <c r="B1736" i="2" l="1"/>
  <c r="J1735" i="2" s="1"/>
  <c r="J1734" i="2"/>
  <c r="B1737" i="2" l="1"/>
  <c r="K1736" i="2" s="1"/>
  <c r="K1735" i="2"/>
  <c r="B1738" i="2" l="1"/>
  <c r="J1737" i="2" s="1"/>
  <c r="J1736" i="2"/>
  <c r="B1739" i="2" l="1"/>
  <c r="K1738" i="2" s="1"/>
  <c r="K1737" i="2"/>
  <c r="B1740" i="2" l="1"/>
  <c r="J1739" i="2" s="1"/>
  <c r="J1738" i="2"/>
  <c r="B1741" i="2" l="1"/>
  <c r="K1740" i="2" s="1"/>
  <c r="K1739" i="2"/>
  <c r="B1742" i="2" l="1"/>
  <c r="J1741" i="2" s="1"/>
  <c r="J1740" i="2"/>
  <c r="B1743" i="2" l="1"/>
  <c r="K1742" i="2" s="1"/>
  <c r="K1741" i="2"/>
  <c r="B1744" i="2" l="1"/>
  <c r="J1743" i="2" s="1"/>
  <c r="J1742" i="2"/>
  <c r="B1745" i="2" l="1"/>
  <c r="K1744" i="2" s="1"/>
  <c r="K1743" i="2"/>
  <c r="B1746" i="2" l="1"/>
  <c r="J1745" i="2" s="1"/>
  <c r="J1744" i="2"/>
  <c r="B1747" i="2" l="1"/>
  <c r="K1746" i="2" s="1"/>
  <c r="K1745" i="2"/>
  <c r="B1748" i="2" l="1"/>
  <c r="K1747" i="2" s="1"/>
  <c r="J1746" i="2"/>
  <c r="J1747" i="2" l="1"/>
  <c r="B1749" i="2"/>
  <c r="K1748" i="2" s="1"/>
  <c r="B1750" i="2" l="1"/>
  <c r="J1749" i="2" s="1"/>
  <c r="J1748" i="2"/>
  <c r="B1751" i="2" l="1"/>
  <c r="K1750" i="2" s="1"/>
  <c r="K1749" i="2"/>
  <c r="B1752" i="2" l="1"/>
  <c r="J1751" i="2" s="1"/>
  <c r="J1750" i="2"/>
  <c r="B1753" i="2" l="1"/>
  <c r="K1752" i="2" s="1"/>
  <c r="K1751" i="2"/>
  <c r="B1754" i="2" l="1"/>
  <c r="K1753" i="2" s="1"/>
  <c r="J1752" i="2"/>
  <c r="J1753" i="2" l="1"/>
  <c r="B1755" i="2"/>
  <c r="J1754" i="2" s="1"/>
  <c r="K1754" i="2" l="1"/>
  <c r="B1756" i="2"/>
  <c r="K1755" i="2" s="1"/>
  <c r="J1755" i="2" l="1"/>
  <c r="B1757" i="2"/>
  <c r="K1756" i="2" s="1"/>
  <c r="B1758" i="2" l="1"/>
  <c r="J1757" i="2" s="1"/>
  <c r="J1756" i="2"/>
  <c r="B1759" i="2" l="1"/>
  <c r="K1758" i="2" s="1"/>
  <c r="K1757" i="2"/>
  <c r="B1760" i="2" l="1"/>
  <c r="J1759" i="2" s="1"/>
  <c r="J1758" i="2"/>
  <c r="B1761" i="2" l="1"/>
  <c r="K1760" i="2" s="1"/>
  <c r="K1759" i="2"/>
  <c r="B1762" i="2" l="1"/>
  <c r="J1761" i="2" s="1"/>
  <c r="J1760" i="2"/>
  <c r="B1763" i="2" l="1"/>
  <c r="K1762" i="2" s="1"/>
  <c r="K1761" i="2"/>
  <c r="B1764" i="2" l="1"/>
  <c r="J1763" i="2" s="1"/>
  <c r="J1762" i="2"/>
  <c r="B1765" i="2" l="1"/>
  <c r="K1764" i="2" s="1"/>
  <c r="K1763" i="2"/>
  <c r="B1766" i="2" l="1"/>
  <c r="J1765" i="2" s="1"/>
  <c r="J1764" i="2"/>
  <c r="B1767" i="2" l="1"/>
  <c r="K1766" i="2" s="1"/>
  <c r="K1765" i="2"/>
  <c r="B1768" i="2" l="1"/>
  <c r="J1767" i="2" s="1"/>
  <c r="J1766" i="2"/>
  <c r="B1769" i="2" l="1"/>
  <c r="K1768" i="2" s="1"/>
  <c r="K1767" i="2"/>
  <c r="B1770" i="2" l="1"/>
  <c r="J1769" i="2" s="1"/>
  <c r="J1768" i="2"/>
  <c r="B1771" i="2" l="1"/>
  <c r="K1770" i="2" s="1"/>
  <c r="K1769" i="2"/>
  <c r="B1772" i="2" l="1"/>
  <c r="J1771" i="2" s="1"/>
  <c r="J1770" i="2"/>
  <c r="B1773" i="2" l="1"/>
  <c r="K1772" i="2" s="1"/>
  <c r="K1771" i="2"/>
  <c r="B1774" i="2" l="1"/>
  <c r="J1773" i="2" s="1"/>
  <c r="J1772" i="2"/>
  <c r="B1775" i="2" l="1"/>
  <c r="K1774" i="2" s="1"/>
  <c r="K1773" i="2"/>
  <c r="B1776" i="2" l="1"/>
  <c r="J1775" i="2" s="1"/>
  <c r="J1774" i="2"/>
  <c r="B1777" i="2" l="1"/>
  <c r="K1776" i="2" s="1"/>
  <c r="K1775" i="2"/>
  <c r="B1778" i="2" l="1"/>
  <c r="J1777" i="2" s="1"/>
  <c r="J1776" i="2"/>
  <c r="B1779" i="2" l="1"/>
  <c r="K1778" i="2" s="1"/>
  <c r="K1777" i="2"/>
  <c r="B1780" i="2" l="1"/>
  <c r="J1779" i="2" s="1"/>
  <c r="J1778" i="2"/>
  <c r="B1781" i="2" l="1"/>
  <c r="K1780" i="2" s="1"/>
  <c r="K1779" i="2"/>
  <c r="B1782" i="2" l="1"/>
  <c r="J1781" i="2" s="1"/>
  <c r="J1780" i="2"/>
  <c r="B1783" i="2" l="1"/>
  <c r="K1782" i="2" s="1"/>
  <c r="K1781" i="2"/>
  <c r="B1784" i="2" l="1"/>
  <c r="J1783" i="2" s="1"/>
  <c r="J1782" i="2"/>
  <c r="B1785" i="2" l="1"/>
  <c r="K1784" i="2" s="1"/>
  <c r="K1783" i="2"/>
  <c r="B1786" i="2" l="1"/>
  <c r="J1785" i="2" s="1"/>
  <c r="J1784" i="2"/>
  <c r="B1787" i="2" l="1"/>
  <c r="K1786" i="2" s="1"/>
  <c r="K1785" i="2"/>
  <c r="B1788" i="2" l="1"/>
  <c r="J1787" i="2" s="1"/>
  <c r="J1786" i="2"/>
  <c r="B1789" i="2" l="1"/>
  <c r="K1788" i="2" s="1"/>
  <c r="K1787" i="2"/>
  <c r="B1790" i="2" l="1"/>
  <c r="K1789" i="2" s="1"/>
  <c r="J1788" i="2"/>
  <c r="J1789" i="2" l="1"/>
  <c r="B1791" i="2"/>
  <c r="J1790" i="2" s="1"/>
  <c r="K1790" i="2" l="1"/>
  <c r="B1792" i="2"/>
  <c r="K1791" i="2" s="1"/>
  <c r="J1791" i="2" l="1"/>
  <c r="B1793" i="2"/>
  <c r="K1792" i="2" s="1"/>
  <c r="B1794" i="2" l="1"/>
  <c r="J1793" i="2" s="1"/>
  <c r="J1792" i="2"/>
  <c r="B1795" i="2" l="1"/>
  <c r="K1793" i="2"/>
  <c r="B1796" i="2" l="1"/>
  <c r="J1795" i="2" s="1"/>
  <c r="K1794" i="2"/>
  <c r="J1794" i="2"/>
  <c r="B1797" i="2" l="1"/>
  <c r="K1796" i="2" s="1"/>
  <c r="K1795" i="2"/>
  <c r="B1798" i="2" l="1"/>
  <c r="J1797" i="2" s="1"/>
  <c r="J1796" i="2"/>
  <c r="B1799" i="2" l="1"/>
  <c r="K1798" i="2" s="1"/>
  <c r="K1797" i="2"/>
  <c r="B1800" i="2" l="1"/>
  <c r="J1799" i="2" s="1"/>
  <c r="J1798" i="2"/>
  <c r="B1801" i="2" l="1"/>
  <c r="K1800" i="2" s="1"/>
  <c r="K1799" i="2"/>
  <c r="B1802" i="2" l="1"/>
  <c r="J1801" i="2" s="1"/>
  <c r="J1800" i="2"/>
  <c r="B1803" i="2" l="1"/>
  <c r="K1802" i="2" s="1"/>
  <c r="K1801" i="2"/>
  <c r="B1804" i="2" l="1"/>
  <c r="J1803" i="2" s="1"/>
  <c r="J1802" i="2"/>
  <c r="B1805" i="2" l="1"/>
  <c r="K1804" i="2" s="1"/>
  <c r="K1803" i="2"/>
  <c r="B1806" i="2" l="1"/>
  <c r="J1805" i="2" s="1"/>
  <c r="J1804" i="2"/>
  <c r="B1807" i="2" l="1"/>
  <c r="K1806" i="2" s="1"/>
  <c r="K1805" i="2"/>
  <c r="B1808" i="2" l="1"/>
  <c r="J1807" i="2" s="1"/>
  <c r="J1806" i="2"/>
  <c r="B1809" i="2" l="1"/>
  <c r="K1808" i="2" s="1"/>
  <c r="K1807" i="2"/>
  <c r="B1810" i="2" l="1"/>
  <c r="J1809" i="2" s="1"/>
  <c r="J1808" i="2"/>
  <c r="B1811" i="2" l="1"/>
  <c r="K1810" i="2" s="1"/>
  <c r="K1809" i="2"/>
  <c r="B1812" i="2" l="1"/>
  <c r="J1811" i="2" s="1"/>
  <c r="J1810" i="2"/>
  <c r="B1813" i="2" l="1"/>
  <c r="K1812" i="2" s="1"/>
  <c r="K1811" i="2"/>
  <c r="B1814" i="2" l="1"/>
  <c r="J1813" i="2" s="1"/>
  <c r="J1812" i="2"/>
  <c r="B1815" i="2" l="1"/>
  <c r="K1814" i="2" s="1"/>
  <c r="K1813" i="2"/>
  <c r="B1816" i="2" l="1"/>
  <c r="J1815" i="2" s="1"/>
  <c r="J1814" i="2"/>
  <c r="B1817" i="2" l="1"/>
  <c r="K1816" i="2" s="1"/>
  <c r="K1815" i="2"/>
  <c r="B1818" i="2" l="1"/>
  <c r="J1817" i="2" s="1"/>
  <c r="J1816" i="2"/>
  <c r="B1819" i="2" l="1"/>
  <c r="K1818" i="2" s="1"/>
  <c r="K1817" i="2"/>
  <c r="B1820" i="2" l="1"/>
  <c r="J1819" i="2" s="1"/>
  <c r="J1818" i="2"/>
  <c r="B1821" i="2" l="1"/>
  <c r="K1820" i="2" s="1"/>
  <c r="K1819" i="2"/>
  <c r="B1822" i="2" l="1"/>
  <c r="J1821" i="2" s="1"/>
  <c r="J1820" i="2"/>
  <c r="B1823" i="2" l="1"/>
  <c r="K1822" i="2" s="1"/>
  <c r="K1821" i="2"/>
  <c r="B1824" i="2" l="1"/>
  <c r="J1823" i="2" s="1"/>
  <c r="J1822" i="2"/>
  <c r="B1825" i="2" l="1"/>
  <c r="K1824" i="2" s="1"/>
  <c r="K1823" i="2"/>
  <c r="B1826" i="2" l="1"/>
  <c r="J1825" i="2" s="1"/>
  <c r="J1824" i="2"/>
  <c r="B1827" i="2" l="1"/>
  <c r="K1826" i="2" s="1"/>
  <c r="K1825" i="2"/>
  <c r="B1828" i="2" l="1"/>
  <c r="J1827" i="2" s="1"/>
  <c r="J1826" i="2"/>
  <c r="B1829" i="2" l="1"/>
  <c r="K1828" i="2" s="1"/>
  <c r="K1827" i="2"/>
  <c r="B1830" i="2" l="1"/>
  <c r="J1829" i="2" s="1"/>
  <c r="J1828" i="2"/>
  <c r="B1831" i="2" l="1"/>
  <c r="K1830" i="2" s="1"/>
  <c r="K1829" i="2"/>
  <c r="B1832" i="2" l="1"/>
  <c r="K1831" i="2" s="1"/>
  <c r="J1830" i="2"/>
  <c r="J1831" i="2" l="1"/>
  <c r="B1833" i="2"/>
  <c r="K1832" i="2" s="1"/>
  <c r="B1834" i="2" l="1"/>
  <c r="J1833" i="2" s="1"/>
  <c r="J1832" i="2"/>
  <c r="B1835" i="2" l="1"/>
  <c r="K1834" i="2" s="1"/>
  <c r="K1833" i="2"/>
  <c r="B1836" i="2" l="1"/>
  <c r="K1835" i="2" s="1"/>
  <c r="J1834" i="2"/>
  <c r="J1835" i="2" l="1"/>
  <c r="B1837" i="2"/>
  <c r="K1836" i="2" s="1"/>
  <c r="B1838" i="2" l="1"/>
  <c r="J1837" i="2" s="1"/>
  <c r="J1836" i="2"/>
  <c r="B1839" i="2" l="1"/>
  <c r="K1838" i="2" s="1"/>
  <c r="K1837" i="2"/>
  <c r="B1840" i="2" l="1"/>
  <c r="J1839" i="2" s="1"/>
  <c r="J1838" i="2"/>
  <c r="B1841" i="2" l="1"/>
  <c r="K1840" i="2" s="1"/>
  <c r="K1839" i="2"/>
  <c r="B1842" i="2" l="1"/>
  <c r="J1841" i="2" s="1"/>
  <c r="J1840" i="2"/>
  <c r="B1843" i="2" l="1"/>
  <c r="K1842" i="2" s="1"/>
  <c r="K1841" i="2"/>
  <c r="B1844" i="2" l="1"/>
  <c r="J1843" i="2" s="1"/>
  <c r="J1842" i="2"/>
  <c r="B1845" i="2" l="1"/>
  <c r="K1844" i="2" s="1"/>
  <c r="K1843" i="2"/>
  <c r="B1846" i="2" l="1"/>
  <c r="J1845" i="2" s="1"/>
  <c r="J1844" i="2"/>
  <c r="B1847" i="2" l="1"/>
  <c r="K1846" i="2" s="1"/>
  <c r="K1845" i="2"/>
  <c r="B1848" i="2" l="1"/>
  <c r="J1847" i="2" s="1"/>
  <c r="J1846" i="2"/>
  <c r="B1849" i="2" l="1"/>
  <c r="K1848" i="2" s="1"/>
  <c r="K1847" i="2"/>
  <c r="B1850" i="2" l="1"/>
  <c r="J1849" i="2" s="1"/>
  <c r="J1848" i="2"/>
  <c r="B1851" i="2" l="1"/>
  <c r="K1850" i="2" s="1"/>
  <c r="K1849" i="2"/>
  <c r="B1852" i="2" l="1"/>
  <c r="J1851" i="2" s="1"/>
  <c r="J1850" i="2"/>
  <c r="B1853" i="2" l="1"/>
  <c r="K1852" i="2" s="1"/>
  <c r="K1851" i="2"/>
  <c r="B1854" i="2" l="1"/>
  <c r="J1853" i="2" s="1"/>
  <c r="J1852" i="2"/>
  <c r="B1855" i="2" l="1"/>
  <c r="K1854" i="2" s="1"/>
  <c r="K1853" i="2"/>
  <c r="B1856" i="2" l="1"/>
  <c r="J1855" i="2" s="1"/>
  <c r="J1854" i="2"/>
  <c r="B1857" i="2" l="1"/>
  <c r="K1856" i="2" s="1"/>
  <c r="K1855" i="2"/>
  <c r="B1858" i="2" l="1"/>
  <c r="J1857" i="2" s="1"/>
  <c r="J1856" i="2"/>
  <c r="B1859" i="2" l="1"/>
  <c r="K1858" i="2" s="1"/>
  <c r="K1857" i="2"/>
  <c r="B1860" i="2" l="1"/>
  <c r="J1859" i="2" s="1"/>
  <c r="J1858" i="2"/>
  <c r="B1861" i="2" l="1"/>
  <c r="K1860" i="2" s="1"/>
  <c r="K1859" i="2"/>
  <c r="B1862" i="2" l="1"/>
  <c r="K1861" i="2" s="1"/>
  <c r="J1860" i="2"/>
  <c r="J1861" i="2" l="1"/>
  <c r="B1863" i="2"/>
  <c r="K1862" i="2" s="1"/>
  <c r="B1864" i="2" l="1"/>
  <c r="J1863" i="2" s="1"/>
  <c r="J1862" i="2"/>
  <c r="B1865" i="2" l="1"/>
  <c r="K1864" i="2" s="1"/>
  <c r="K1863" i="2"/>
  <c r="B1866" i="2" l="1"/>
  <c r="J1865" i="2" s="1"/>
  <c r="J1864" i="2"/>
  <c r="B1867" i="2" l="1"/>
  <c r="K1866" i="2" s="1"/>
  <c r="K1865" i="2"/>
  <c r="B1868" i="2" l="1"/>
  <c r="J1867" i="2" s="1"/>
  <c r="J1866" i="2"/>
  <c r="B1869" i="2" l="1"/>
  <c r="K1868" i="2" s="1"/>
  <c r="K1867" i="2"/>
  <c r="B1870" i="2" l="1"/>
  <c r="J1869" i="2" s="1"/>
  <c r="J1868" i="2"/>
  <c r="B1871" i="2" l="1"/>
  <c r="K1870" i="2" s="1"/>
  <c r="K1869" i="2"/>
  <c r="B1872" i="2" l="1"/>
  <c r="J1871" i="2" s="1"/>
  <c r="J1870" i="2"/>
  <c r="B1873" i="2" l="1"/>
  <c r="K1872" i="2" s="1"/>
  <c r="K1871" i="2"/>
  <c r="B1874" i="2" l="1"/>
  <c r="J1873" i="2" s="1"/>
  <c r="J1872" i="2"/>
  <c r="B1875" i="2" l="1"/>
  <c r="K1874" i="2" s="1"/>
  <c r="K1873" i="2"/>
  <c r="B1876" i="2" l="1"/>
  <c r="J1875" i="2" s="1"/>
  <c r="J1874" i="2"/>
  <c r="B1877" i="2" l="1"/>
  <c r="K1876" i="2" s="1"/>
  <c r="K1875" i="2"/>
  <c r="B1878" i="2" l="1"/>
  <c r="J1877" i="2" s="1"/>
  <c r="J1876" i="2"/>
  <c r="B1879" i="2" l="1"/>
  <c r="K1878" i="2" s="1"/>
  <c r="K1877" i="2"/>
  <c r="B1880" i="2" l="1"/>
  <c r="K1879" i="2" s="1"/>
  <c r="J1878" i="2"/>
  <c r="J1879" i="2" l="1"/>
  <c r="B1881" i="2"/>
  <c r="B1882" i="2" l="1"/>
  <c r="J1881" i="2" s="1"/>
  <c r="K1880" i="2"/>
  <c r="J1880" i="2"/>
  <c r="B1883" i="2" l="1"/>
  <c r="K1882" i="2" s="1"/>
  <c r="K1881" i="2"/>
  <c r="B1884" i="2" l="1"/>
  <c r="J1883" i="2" s="1"/>
  <c r="J1882" i="2"/>
  <c r="B1885" i="2" l="1"/>
  <c r="K1884" i="2" s="1"/>
  <c r="K1883" i="2"/>
  <c r="B1886" i="2" l="1"/>
  <c r="J1885" i="2" s="1"/>
  <c r="J1884" i="2"/>
  <c r="B1887" i="2" l="1"/>
  <c r="K1886" i="2" s="1"/>
  <c r="K1885" i="2"/>
  <c r="B1888" i="2" l="1"/>
  <c r="J1887" i="2" s="1"/>
  <c r="J1886" i="2"/>
  <c r="B1889" i="2" l="1"/>
  <c r="K1888" i="2" s="1"/>
  <c r="K1887" i="2"/>
  <c r="B1890" i="2" l="1"/>
  <c r="J1889" i="2" s="1"/>
  <c r="J1888" i="2"/>
  <c r="B1891" i="2" l="1"/>
  <c r="K1890" i="2" s="1"/>
  <c r="K1889" i="2"/>
  <c r="B1892" i="2" l="1"/>
  <c r="J1891" i="2" s="1"/>
  <c r="J1890" i="2"/>
  <c r="B1893" i="2" l="1"/>
  <c r="K1892" i="2" s="1"/>
  <c r="K1891" i="2"/>
  <c r="B1894" i="2" l="1"/>
  <c r="J1893" i="2" s="1"/>
  <c r="J1892" i="2"/>
  <c r="B1895" i="2" l="1"/>
  <c r="K1894" i="2" s="1"/>
  <c r="K1893" i="2"/>
  <c r="B1896" i="2" l="1"/>
  <c r="J1895" i="2" s="1"/>
  <c r="J1894" i="2"/>
  <c r="B1897" i="2" l="1"/>
  <c r="K1896" i="2" s="1"/>
  <c r="K1895" i="2"/>
  <c r="B1898" i="2" l="1"/>
  <c r="K1897" i="2" s="1"/>
  <c r="J1896" i="2"/>
  <c r="J1897" i="2" l="1"/>
  <c r="B1899" i="2"/>
  <c r="B1900" i="2" l="1"/>
  <c r="J1899" i="2" s="1"/>
  <c r="K1898" i="2"/>
  <c r="J1898" i="2"/>
  <c r="B1901" i="2" l="1"/>
  <c r="K1900" i="2" s="1"/>
  <c r="K1899" i="2"/>
  <c r="B1902" i="2" l="1"/>
  <c r="J1901" i="2" s="1"/>
  <c r="J1900" i="2"/>
  <c r="B1903" i="2" l="1"/>
  <c r="K1902" i="2" s="1"/>
  <c r="K1901" i="2"/>
  <c r="B1904" i="2" l="1"/>
  <c r="J1903" i="2" s="1"/>
  <c r="J1902" i="2"/>
  <c r="B1905" i="2" l="1"/>
  <c r="K1904" i="2" s="1"/>
  <c r="K1903" i="2"/>
  <c r="B1906" i="2" l="1"/>
  <c r="J1905" i="2" s="1"/>
  <c r="J1904" i="2"/>
  <c r="B1907" i="2" l="1"/>
  <c r="K1906" i="2" s="1"/>
  <c r="K1905" i="2"/>
  <c r="B1908" i="2" l="1"/>
  <c r="J1907" i="2" s="1"/>
  <c r="J1906" i="2"/>
  <c r="B1909" i="2" l="1"/>
  <c r="K1908" i="2" s="1"/>
  <c r="K1907" i="2"/>
  <c r="B1910" i="2" l="1"/>
  <c r="J1909" i="2" s="1"/>
  <c r="J1908" i="2"/>
  <c r="B1911" i="2" l="1"/>
  <c r="K1910" i="2" s="1"/>
  <c r="K1909" i="2"/>
  <c r="B1912" i="2" l="1"/>
  <c r="J1911" i="2" s="1"/>
  <c r="J1910" i="2"/>
  <c r="B1913" i="2" l="1"/>
  <c r="K1912" i="2" s="1"/>
  <c r="K1911" i="2"/>
  <c r="B1914" i="2" l="1"/>
  <c r="J1913" i="2" s="1"/>
  <c r="J1912" i="2"/>
  <c r="B1915" i="2" l="1"/>
  <c r="K1914" i="2" s="1"/>
  <c r="K1913" i="2"/>
  <c r="B1916" i="2" l="1"/>
  <c r="J1915" i="2" s="1"/>
  <c r="J1914" i="2"/>
  <c r="B1917" i="2" l="1"/>
  <c r="K1916" i="2" s="1"/>
  <c r="K1915" i="2"/>
  <c r="B1918" i="2" l="1"/>
  <c r="J1917" i="2" s="1"/>
  <c r="J1916" i="2"/>
  <c r="B1919" i="2" l="1"/>
  <c r="K1918" i="2" s="1"/>
  <c r="K1917" i="2"/>
  <c r="B1920" i="2" l="1"/>
  <c r="J1919" i="2" s="1"/>
  <c r="J1918" i="2"/>
  <c r="B1921" i="2" l="1"/>
  <c r="K1920" i="2" s="1"/>
  <c r="K1919" i="2"/>
  <c r="B1922" i="2" l="1"/>
  <c r="J1921" i="2" s="1"/>
  <c r="J1920" i="2"/>
  <c r="B1923" i="2" l="1"/>
  <c r="K1922" i="2" s="1"/>
  <c r="K1921" i="2"/>
  <c r="B1924" i="2" l="1"/>
  <c r="J1923" i="2" s="1"/>
  <c r="J1922" i="2"/>
  <c r="B1925" i="2" l="1"/>
  <c r="K1924" i="2" s="1"/>
  <c r="K1923" i="2"/>
  <c r="B1926" i="2" l="1"/>
  <c r="J1925" i="2" s="1"/>
  <c r="J1924" i="2"/>
  <c r="B1927" i="2" l="1"/>
  <c r="K1926" i="2" s="1"/>
  <c r="K1925" i="2"/>
  <c r="B1928" i="2" l="1"/>
  <c r="J1927" i="2" s="1"/>
  <c r="J1926" i="2"/>
  <c r="B1929" i="2" l="1"/>
  <c r="K1928" i="2" s="1"/>
  <c r="K1927" i="2"/>
  <c r="B1930" i="2" l="1"/>
  <c r="J1929" i="2" s="1"/>
  <c r="J1928" i="2"/>
  <c r="B1931" i="2" l="1"/>
  <c r="K1930" i="2" s="1"/>
  <c r="K1929" i="2"/>
  <c r="B1932" i="2" l="1"/>
  <c r="J1931" i="2" s="1"/>
  <c r="J1930" i="2"/>
  <c r="B1933" i="2" l="1"/>
  <c r="K1932" i="2" s="1"/>
  <c r="K1931" i="2"/>
  <c r="B1934" i="2" l="1"/>
  <c r="J1933" i="2" s="1"/>
  <c r="J1932" i="2"/>
  <c r="B1935" i="2" l="1"/>
  <c r="K1934" i="2" s="1"/>
  <c r="K1933" i="2"/>
  <c r="B1936" i="2" l="1"/>
  <c r="J1935" i="2" s="1"/>
  <c r="J1934" i="2"/>
  <c r="B1937" i="2" l="1"/>
  <c r="K1936" i="2" s="1"/>
  <c r="K1935" i="2"/>
  <c r="B1938" i="2" l="1"/>
  <c r="J1937" i="2" s="1"/>
  <c r="J1936" i="2"/>
  <c r="B1939" i="2" l="1"/>
  <c r="K1938" i="2" s="1"/>
  <c r="K1937" i="2"/>
  <c r="B1940" i="2" l="1"/>
  <c r="J1939" i="2" s="1"/>
  <c r="J1938" i="2"/>
  <c r="B1941" i="2" l="1"/>
  <c r="K1940" i="2" s="1"/>
  <c r="K1939" i="2"/>
  <c r="B1942" i="2" l="1"/>
  <c r="J1941" i="2" s="1"/>
  <c r="J1940" i="2"/>
  <c r="B1943" i="2" l="1"/>
  <c r="K1942" i="2" s="1"/>
  <c r="K1941" i="2"/>
  <c r="B1944" i="2" l="1"/>
  <c r="K1943" i="2" s="1"/>
  <c r="J1942" i="2"/>
  <c r="J1943" i="2" l="1"/>
  <c r="B1945" i="2"/>
  <c r="K1944" i="2" s="1"/>
  <c r="B1946" i="2" l="1"/>
  <c r="J1945" i="2" s="1"/>
  <c r="J1944" i="2"/>
  <c r="B1947" i="2" l="1"/>
  <c r="K1946" i="2" s="1"/>
  <c r="K1945" i="2"/>
  <c r="B1948" i="2" l="1"/>
  <c r="J1947" i="2" s="1"/>
  <c r="J1946" i="2"/>
  <c r="B1949" i="2" l="1"/>
  <c r="K1948" i="2" s="1"/>
  <c r="K1947" i="2"/>
  <c r="B1950" i="2" l="1"/>
  <c r="J1949" i="2" s="1"/>
  <c r="J1948" i="2"/>
  <c r="B1951" i="2" l="1"/>
  <c r="K1950" i="2" s="1"/>
  <c r="K1949" i="2"/>
  <c r="B1952" i="2" l="1"/>
  <c r="J1951" i="2" s="1"/>
  <c r="J1950" i="2"/>
  <c r="B1953" i="2" l="1"/>
  <c r="K1952" i="2" s="1"/>
  <c r="K1951" i="2"/>
  <c r="B1954" i="2" l="1"/>
  <c r="J1953" i="2" s="1"/>
  <c r="J1952" i="2"/>
  <c r="B1955" i="2" l="1"/>
  <c r="K1954" i="2" s="1"/>
  <c r="K1953" i="2"/>
  <c r="B1956" i="2" l="1"/>
  <c r="J1955" i="2" s="1"/>
  <c r="J1954" i="2"/>
  <c r="B1957" i="2" l="1"/>
  <c r="K1956" i="2" s="1"/>
  <c r="K1955" i="2"/>
  <c r="B1958" i="2" l="1"/>
  <c r="J1957" i="2" s="1"/>
  <c r="J1956" i="2"/>
  <c r="B1959" i="2" l="1"/>
  <c r="K1958" i="2" s="1"/>
  <c r="K1957" i="2"/>
  <c r="B1960" i="2" l="1"/>
  <c r="J1959" i="2" s="1"/>
  <c r="J1958" i="2"/>
  <c r="B1961" i="2" l="1"/>
  <c r="K1960" i="2" s="1"/>
  <c r="K1959" i="2"/>
  <c r="B1962" i="2" l="1"/>
  <c r="J1961" i="2" s="1"/>
  <c r="J1960" i="2"/>
  <c r="B1963" i="2" l="1"/>
  <c r="J1962" i="2" s="1"/>
  <c r="K1961" i="2"/>
  <c r="K1962" i="2" l="1"/>
  <c r="B1964" i="2"/>
  <c r="J1963" i="2" s="1"/>
  <c r="B1965" i="2" l="1"/>
  <c r="K1964" i="2" s="1"/>
  <c r="K1963" i="2"/>
  <c r="B1966" i="2" l="1"/>
  <c r="J1965" i="2" s="1"/>
  <c r="J1964" i="2"/>
  <c r="B1967" i="2" l="1"/>
  <c r="K1966" i="2" s="1"/>
  <c r="K1965" i="2"/>
  <c r="B1968" i="2" l="1"/>
  <c r="J1967" i="2" s="1"/>
  <c r="J1966" i="2"/>
  <c r="B1969" i="2" l="1"/>
  <c r="K1968" i="2" s="1"/>
  <c r="K1967" i="2"/>
  <c r="B1970" i="2" l="1"/>
  <c r="J1969" i="2" s="1"/>
  <c r="J1968" i="2"/>
  <c r="B1971" i="2" l="1"/>
  <c r="K1970" i="2" s="1"/>
  <c r="K1969" i="2"/>
  <c r="B1972" i="2" l="1"/>
  <c r="J1971" i="2" s="1"/>
  <c r="J1970" i="2"/>
  <c r="B1973" i="2" l="1"/>
  <c r="K1972" i="2" s="1"/>
  <c r="K1971" i="2"/>
  <c r="B1974" i="2" l="1"/>
  <c r="K1973" i="2" s="1"/>
  <c r="J1972" i="2"/>
  <c r="J1973" i="2" l="1"/>
  <c r="B1975" i="2"/>
  <c r="K1974" i="2" s="1"/>
  <c r="B1976" i="2" l="1"/>
  <c r="J1975" i="2" s="1"/>
  <c r="J1974" i="2"/>
  <c r="B1977" i="2" l="1"/>
  <c r="K1976" i="2" s="1"/>
  <c r="K1975" i="2"/>
  <c r="B1978" i="2" l="1"/>
  <c r="J1977" i="2" s="1"/>
  <c r="J1976" i="2"/>
  <c r="B1979" i="2" l="1"/>
  <c r="K1978" i="2" s="1"/>
  <c r="K1977" i="2"/>
  <c r="B1980" i="2" l="1"/>
  <c r="J1979" i="2" s="1"/>
  <c r="J1978" i="2"/>
  <c r="B1981" i="2" l="1"/>
  <c r="K1980" i="2" s="1"/>
  <c r="K1979" i="2"/>
  <c r="B1982" i="2" l="1"/>
  <c r="J1981" i="2" s="1"/>
  <c r="J1980" i="2"/>
  <c r="B1983" i="2" l="1"/>
  <c r="K1982" i="2" s="1"/>
  <c r="K1981" i="2"/>
  <c r="B1984" i="2" l="1"/>
  <c r="J1983" i="2" s="1"/>
  <c r="J1982" i="2"/>
  <c r="B1985" i="2" l="1"/>
  <c r="K1984" i="2" s="1"/>
  <c r="K1983" i="2"/>
  <c r="B1986" i="2" l="1"/>
  <c r="J1985" i="2" s="1"/>
  <c r="J1984" i="2"/>
  <c r="B1987" i="2" l="1"/>
  <c r="K1986" i="2" s="1"/>
  <c r="K1985" i="2"/>
  <c r="B1988" i="2" l="1"/>
  <c r="K1987" i="2" s="1"/>
  <c r="J1986" i="2"/>
  <c r="J1987" i="2" l="1"/>
  <c r="B1989" i="2"/>
  <c r="J1988" i="2" s="1"/>
  <c r="K1988" i="2" l="1"/>
  <c r="B1990" i="2"/>
  <c r="J1989" i="2" s="1"/>
  <c r="B1991" i="2" l="1"/>
  <c r="K1990" i="2" s="1"/>
  <c r="K1989" i="2"/>
  <c r="B1992" i="2" l="1"/>
  <c r="J1991" i="2" s="1"/>
  <c r="J1990" i="2"/>
  <c r="B1993" i="2" l="1"/>
  <c r="K1992" i="2" s="1"/>
  <c r="K1991" i="2"/>
  <c r="B1994" i="2" l="1"/>
  <c r="J1993" i="2" s="1"/>
  <c r="J1992" i="2"/>
  <c r="B1995" i="2" l="1"/>
  <c r="K1994" i="2" s="1"/>
  <c r="K1993" i="2"/>
  <c r="B1996" i="2" l="1"/>
  <c r="J1995" i="2" s="1"/>
  <c r="J1994" i="2"/>
  <c r="B1997" i="2" l="1"/>
  <c r="K1996" i="2" s="1"/>
  <c r="K1995" i="2"/>
  <c r="B1998" i="2" l="1"/>
  <c r="J1997" i="2" s="1"/>
  <c r="J1996" i="2"/>
  <c r="B1999" i="2" l="1"/>
  <c r="J1998" i="2" s="1"/>
  <c r="K1997" i="2"/>
  <c r="K1998" i="2" l="1"/>
  <c r="B2000" i="2"/>
  <c r="J1999" i="2" s="1"/>
  <c r="B2001" i="2" l="1"/>
  <c r="K2000" i="2" s="1"/>
  <c r="K1999" i="2"/>
  <c r="B2002" i="2" l="1"/>
  <c r="J2001" i="2" s="1"/>
  <c r="J2000" i="2"/>
  <c r="B2003" i="2" l="1"/>
  <c r="K2002" i="2" s="1"/>
  <c r="K2001" i="2"/>
  <c r="B2004" i="2" l="1"/>
  <c r="J2003" i="2" s="1"/>
  <c r="J2002" i="2"/>
  <c r="B2005" i="2" l="1"/>
  <c r="K2004" i="2" s="1"/>
  <c r="K2003" i="2"/>
  <c r="B2006" i="2" l="1"/>
  <c r="K2005" i="2" s="1"/>
  <c r="J2004" i="2"/>
  <c r="J2005" i="2" l="1"/>
  <c r="B2007" i="2"/>
  <c r="J2006" i="2" s="1"/>
  <c r="K2006" i="2" l="1"/>
  <c r="B2008" i="2"/>
  <c r="J2007" i="2" s="1"/>
  <c r="B2009" i="2" l="1"/>
  <c r="K2008" i="2" s="1"/>
  <c r="K2007" i="2"/>
  <c r="B2010" i="2" l="1"/>
  <c r="J2009" i="2" s="1"/>
  <c r="J2008" i="2"/>
  <c r="B2011" i="2" l="1"/>
  <c r="K2010" i="2" s="1"/>
  <c r="K2009" i="2"/>
  <c r="B2012" i="2" l="1"/>
  <c r="J2011" i="2" s="1"/>
  <c r="J2010" i="2"/>
  <c r="B2013" i="2" l="1"/>
  <c r="K2012" i="2" s="1"/>
  <c r="K2011" i="2"/>
  <c r="B2014" i="2" l="1"/>
  <c r="J2013" i="2" s="1"/>
  <c r="J2012" i="2"/>
  <c r="B2015" i="2" l="1"/>
  <c r="K2014" i="2" s="1"/>
  <c r="K2013" i="2"/>
  <c r="B2016" i="2" l="1"/>
  <c r="J2015" i="2" s="1"/>
  <c r="J2014" i="2"/>
  <c r="B2017" i="2" l="1"/>
  <c r="K2016" i="2" s="1"/>
  <c r="K2015" i="2"/>
  <c r="B2018" i="2" l="1"/>
  <c r="J2017" i="2" s="1"/>
  <c r="J2016" i="2"/>
  <c r="B2019" i="2" l="1"/>
  <c r="K2018" i="2" s="1"/>
  <c r="K2017" i="2"/>
  <c r="B2020" i="2" l="1"/>
  <c r="J2019" i="2" s="1"/>
  <c r="J2018" i="2"/>
  <c r="B2021" i="2" l="1"/>
  <c r="K2020" i="2" s="1"/>
  <c r="K2019" i="2"/>
  <c r="B2022" i="2" l="1"/>
  <c r="K2021" i="2" s="1"/>
  <c r="J2020" i="2"/>
  <c r="J2021" i="2" l="1"/>
  <c r="B2023" i="2"/>
  <c r="K2022" i="2" s="1"/>
  <c r="B2024" i="2" l="1"/>
  <c r="J2023" i="2" s="1"/>
  <c r="J2022" i="2"/>
  <c r="B2025" i="2" l="1"/>
  <c r="K2024" i="2" s="1"/>
  <c r="K2023" i="2"/>
  <c r="B2026" i="2" l="1"/>
  <c r="J2025" i="2" s="1"/>
  <c r="J2024" i="2"/>
  <c r="B2027" i="2" l="1"/>
  <c r="K2026" i="2" s="1"/>
  <c r="K2025" i="2"/>
  <c r="B2028" i="2" l="1"/>
  <c r="J2027" i="2" s="1"/>
  <c r="J2026" i="2"/>
  <c r="B2029" i="2" l="1"/>
  <c r="K2028" i="2" s="1"/>
  <c r="K2027" i="2"/>
  <c r="B2030" i="2" l="1"/>
  <c r="J2029" i="2" s="1"/>
  <c r="J2028" i="2"/>
  <c r="B2031" i="2" l="1"/>
  <c r="K2030" i="2" s="1"/>
  <c r="K2029" i="2"/>
  <c r="B2032" i="2" l="1"/>
  <c r="J2031" i="2" s="1"/>
  <c r="J2030" i="2"/>
  <c r="B2033" i="2" l="1"/>
  <c r="K2032" i="2" s="1"/>
  <c r="K2031" i="2"/>
  <c r="B2034" i="2" l="1"/>
  <c r="J2033" i="2" s="1"/>
  <c r="J2032" i="2"/>
  <c r="B2035" i="2" l="1"/>
  <c r="K2034" i="2" s="1"/>
  <c r="K2033" i="2"/>
  <c r="B2036" i="2" l="1"/>
  <c r="J2035" i="2" s="1"/>
  <c r="J2034" i="2"/>
  <c r="B2037" i="2" l="1"/>
  <c r="K2036" i="2" s="1"/>
  <c r="K2035" i="2"/>
  <c r="B2038" i="2" l="1"/>
  <c r="J2037" i="2" s="1"/>
  <c r="J2036" i="2"/>
  <c r="B2039" i="2" l="1"/>
  <c r="K2038" i="2" s="1"/>
  <c r="K2037" i="2"/>
  <c r="B2040" i="2" l="1"/>
  <c r="J2039" i="2" s="1"/>
  <c r="J2038" i="2"/>
  <c r="B2041" i="2" l="1"/>
  <c r="K2040" i="2" s="1"/>
  <c r="K2039" i="2"/>
  <c r="B2042" i="2" l="1"/>
  <c r="K2041" i="2" s="1"/>
  <c r="J2040" i="2"/>
  <c r="J2041" i="2" l="1"/>
  <c r="B2043" i="2"/>
  <c r="B2044" i="2" l="1"/>
  <c r="J2043" i="2" s="1"/>
  <c r="K2042" i="2"/>
  <c r="J2042" i="2"/>
  <c r="B2045" i="2" l="1"/>
  <c r="K2044" i="2" s="1"/>
  <c r="K2043" i="2"/>
  <c r="B2046" i="2" l="1"/>
  <c r="J2045" i="2" s="1"/>
  <c r="J2044" i="2"/>
  <c r="B2047" i="2" l="1"/>
  <c r="K2046" i="2" s="1"/>
  <c r="K2045" i="2"/>
  <c r="B2048" i="2" l="1"/>
  <c r="J2047" i="2" s="1"/>
  <c r="J2046" i="2"/>
  <c r="B2049" i="2" l="1"/>
  <c r="K2048" i="2" s="1"/>
  <c r="K2047" i="2"/>
  <c r="B2050" i="2" l="1"/>
  <c r="J2049" i="2" s="1"/>
  <c r="J2048" i="2"/>
  <c r="B2051" i="2" l="1"/>
  <c r="K2050" i="2" s="1"/>
  <c r="K2049" i="2"/>
  <c r="B2052" i="2" l="1"/>
  <c r="J2051" i="2" s="1"/>
  <c r="J2050" i="2"/>
  <c r="B2053" i="2" l="1"/>
  <c r="K2052" i="2" s="1"/>
  <c r="K2051" i="2"/>
  <c r="B2054" i="2" l="1"/>
  <c r="J2053" i="2" s="1"/>
  <c r="J2052" i="2"/>
  <c r="B2055" i="2" l="1"/>
  <c r="K2054" i="2" s="1"/>
  <c r="K2053" i="2"/>
  <c r="B2056" i="2" l="1"/>
  <c r="J2055" i="2" s="1"/>
  <c r="J2054" i="2"/>
  <c r="B2057" i="2" l="1"/>
  <c r="K2056" i="2" s="1"/>
  <c r="K2055" i="2"/>
  <c r="B2058" i="2" l="1"/>
  <c r="J2057" i="2" s="1"/>
  <c r="J2056" i="2"/>
  <c r="B2059" i="2" l="1"/>
  <c r="K2058" i="2" s="1"/>
  <c r="K2057" i="2"/>
  <c r="B2060" i="2" l="1"/>
  <c r="K2059" i="2" s="1"/>
  <c r="J2058" i="2"/>
  <c r="J2059" i="2" l="1"/>
  <c r="B2061" i="2"/>
  <c r="B2062" i="2" l="1"/>
  <c r="J2061" i="2" s="1"/>
  <c r="K2060" i="2"/>
  <c r="J2060" i="2"/>
  <c r="B2063" i="2" l="1"/>
  <c r="K2062" i="2" s="1"/>
  <c r="K2061" i="2"/>
  <c r="B2064" i="2" l="1"/>
  <c r="J2063" i="2" s="1"/>
  <c r="J2062" i="2"/>
  <c r="B2065" i="2" l="1"/>
  <c r="K2064" i="2" s="1"/>
  <c r="K2063" i="2"/>
  <c r="B2066" i="2" l="1"/>
  <c r="J2065" i="2" s="1"/>
  <c r="J2064" i="2"/>
  <c r="B2067" i="2" l="1"/>
  <c r="K2066" i="2" s="1"/>
  <c r="K2065" i="2"/>
  <c r="B2068" i="2" l="1"/>
  <c r="J2067" i="2" s="1"/>
  <c r="J2066" i="2"/>
  <c r="B2069" i="2" l="1"/>
  <c r="K2068" i="2" s="1"/>
  <c r="K2067" i="2"/>
  <c r="B2070" i="2" l="1"/>
  <c r="J2069" i="2" s="1"/>
  <c r="J2068" i="2"/>
  <c r="B2071" i="2" l="1"/>
  <c r="K2070" i="2" s="1"/>
  <c r="K2069" i="2"/>
  <c r="B2072" i="2" l="1"/>
  <c r="J2071" i="2" s="1"/>
  <c r="J2070" i="2"/>
  <c r="B2073" i="2" l="1"/>
  <c r="K2072" i="2" s="1"/>
  <c r="K2071" i="2"/>
  <c r="B2074" i="2" l="1"/>
  <c r="J2073" i="2" s="1"/>
  <c r="J2072" i="2"/>
  <c r="B2075" i="2" l="1"/>
  <c r="K2074" i="2" s="1"/>
  <c r="K2073" i="2"/>
  <c r="B2076" i="2" l="1"/>
  <c r="J2075" i="2" s="1"/>
  <c r="J2074" i="2"/>
  <c r="B2077" i="2" l="1"/>
  <c r="K2076" i="2" s="1"/>
  <c r="K2075" i="2"/>
  <c r="B2078" i="2" l="1"/>
  <c r="K2077" i="2" s="1"/>
  <c r="J2076" i="2"/>
  <c r="J2077" i="2" l="1"/>
  <c r="B2079" i="2"/>
  <c r="J2078" i="2" s="1"/>
  <c r="K2078" i="2" l="1"/>
  <c r="B2080" i="2"/>
  <c r="J2079" i="2" s="1"/>
  <c r="B2081" i="2" l="1"/>
  <c r="K2080" i="2" s="1"/>
  <c r="K2079" i="2"/>
  <c r="B2082" i="2" l="1"/>
  <c r="J2081" i="2" s="1"/>
  <c r="J2080" i="2"/>
  <c r="B2083" i="2" l="1"/>
  <c r="K2082" i="2" s="1"/>
  <c r="K2081" i="2"/>
  <c r="B2084" i="2" l="1"/>
  <c r="J2083" i="2" s="1"/>
  <c r="J2082" i="2"/>
  <c r="B2085" i="2" l="1"/>
  <c r="K2084" i="2" s="1"/>
  <c r="K2083" i="2"/>
  <c r="B2086" i="2" l="1"/>
  <c r="J2085" i="2" s="1"/>
  <c r="J2084" i="2"/>
  <c r="B2087" i="2" l="1"/>
  <c r="K2086" i="2" s="1"/>
  <c r="K2085" i="2"/>
  <c r="B2088" i="2" l="1"/>
  <c r="J2087" i="2" s="1"/>
  <c r="J2086" i="2"/>
  <c r="B2089" i="2" l="1"/>
  <c r="K2088" i="2" s="1"/>
  <c r="K2087" i="2"/>
  <c r="B2090" i="2" l="1"/>
  <c r="J2089" i="2" s="1"/>
  <c r="J2088" i="2"/>
  <c r="B2091" i="2" l="1"/>
  <c r="K2090" i="2" s="1"/>
  <c r="K2089" i="2"/>
  <c r="B2092" i="2" l="1"/>
  <c r="J2091" i="2" s="1"/>
  <c r="J2090" i="2"/>
  <c r="B2093" i="2" l="1"/>
  <c r="K2092" i="2" s="1"/>
  <c r="K2091" i="2"/>
  <c r="B2094" i="2" l="1"/>
  <c r="J2093" i="2" s="1"/>
  <c r="J2092" i="2"/>
  <c r="B2095" i="2" l="1"/>
  <c r="K2094" i="2" s="1"/>
  <c r="K2093" i="2"/>
  <c r="B2096" i="2" l="1"/>
  <c r="J2095" i="2" s="1"/>
  <c r="J2094" i="2"/>
  <c r="B2097" i="2" l="1"/>
  <c r="K2096" i="2" s="1"/>
  <c r="K2095" i="2"/>
  <c r="B2098" i="2" l="1"/>
  <c r="J2097" i="2" s="1"/>
  <c r="J2096" i="2"/>
  <c r="B2099" i="2" l="1"/>
  <c r="K2098" i="2" s="1"/>
  <c r="K2097" i="2"/>
  <c r="B2100" i="2" l="1"/>
  <c r="J2099" i="2" s="1"/>
  <c r="J2098" i="2"/>
  <c r="B2101" i="2" l="1"/>
  <c r="J2100" i="2" s="1"/>
  <c r="K2099" i="2"/>
  <c r="K2100" i="2" l="1"/>
  <c r="B2102" i="2"/>
  <c r="J2101" i="2" s="1"/>
  <c r="B2103" i="2" l="1"/>
  <c r="K2102" i="2" s="1"/>
  <c r="K2101" i="2"/>
  <c r="B2104" i="2" l="1"/>
  <c r="J2103" i="2" s="1"/>
  <c r="J2102" i="2"/>
  <c r="B2105" i="2" l="1"/>
  <c r="K2104" i="2" s="1"/>
  <c r="K2103" i="2"/>
  <c r="B2106" i="2" l="1"/>
  <c r="J2105" i="2" s="1"/>
  <c r="J2104" i="2"/>
  <c r="B2107" i="2" l="1"/>
  <c r="K2106" i="2" s="1"/>
  <c r="K2105" i="2"/>
  <c r="B2108" i="2" l="1"/>
  <c r="J2107" i="2" s="1"/>
  <c r="J2106" i="2"/>
  <c r="B2109" i="2" l="1"/>
  <c r="K2108" i="2" s="1"/>
  <c r="K2107" i="2"/>
  <c r="B2110" i="2" l="1"/>
  <c r="J2109" i="2" s="1"/>
  <c r="J2108" i="2"/>
  <c r="B2111" i="2" l="1"/>
  <c r="K2110" i="2" s="1"/>
  <c r="K2109" i="2"/>
  <c r="B2112" i="2" l="1"/>
  <c r="J2111" i="2" s="1"/>
  <c r="J2110" i="2"/>
  <c r="B2113" i="2" l="1"/>
  <c r="K2112" i="2" s="1"/>
  <c r="K2111" i="2"/>
  <c r="B2114" i="2" l="1"/>
  <c r="K2113" i="2" s="1"/>
  <c r="J2112" i="2"/>
  <c r="J2113" i="2" l="1"/>
  <c r="B2115" i="2"/>
  <c r="J2114" i="2" s="1"/>
  <c r="K2114" i="2" l="1"/>
  <c r="B2116" i="2"/>
  <c r="K2115" i="2" s="1"/>
  <c r="J2115" i="2" l="1"/>
  <c r="B2117" i="2"/>
  <c r="J2116" i="2" s="1"/>
  <c r="K2116" i="2" l="1"/>
  <c r="B2118" i="2"/>
  <c r="J2117" i="2" s="1"/>
  <c r="B2119" i="2" l="1"/>
  <c r="K2118" i="2" s="1"/>
  <c r="K2117" i="2"/>
  <c r="B2120" i="2" l="1"/>
  <c r="J2119" i="2" s="1"/>
  <c r="J2118" i="2"/>
  <c r="B2121" i="2" l="1"/>
  <c r="K2120" i="2" s="1"/>
  <c r="K2119" i="2"/>
  <c r="B2122" i="2" l="1"/>
  <c r="J2121" i="2" s="1"/>
  <c r="J2120" i="2"/>
  <c r="B2123" i="2" l="1"/>
  <c r="K2122" i="2" s="1"/>
  <c r="K2121" i="2"/>
  <c r="B2124" i="2" l="1"/>
  <c r="J2123" i="2" s="1"/>
  <c r="J2122" i="2"/>
  <c r="B2125" i="2" l="1"/>
  <c r="K2124" i="2" s="1"/>
  <c r="K2123" i="2"/>
  <c r="B2126" i="2" l="1"/>
  <c r="J2125" i="2" s="1"/>
  <c r="J2124" i="2"/>
  <c r="B2127" i="2" l="1"/>
  <c r="K2126" i="2" s="1"/>
  <c r="K2125" i="2"/>
  <c r="B2128" i="2" l="1"/>
  <c r="J2127" i="2" s="1"/>
  <c r="J2126" i="2"/>
  <c r="B2129" i="2" l="1"/>
  <c r="K2128" i="2" s="1"/>
  <c r="K2127" i="2"/>
  <c r="B2130" i="2" l="1"/>
  <c r="J2129" i="2" s="1"/>
  <c r="J2128" i="2"/>
  <c r="B2131" i="2" l="1"/>
  <c r="K2130" i="2" s="1"/>
  <c r="K2129" i="2"/>
  <c r="B2132" i="2" l="1"/>
  <c r="K2131" i="2" s="1"/>
  <c r="J2130" i="2"/>
  <c r="J2131" i="2" l="1"/>
  <c r="B2133" i="2"/>
  <c r="J2132" i="2" s="1"/>
  <c r="K2132" i="2" l="1"/>
  <c r="B2134" i="2"/>
  <c r="K2133" i="2" s="1"/>
  <c r="J2133" i="2" l="1"/>
  <c r="B2135" i="2"/>
  <c r="K2134" i="2" s="1"/>
  <c r="B2136" i="2" l="1"/>
  <c r="J2135" i="2" s="1"/>
  <c r="J2134" i="2"/>
  <c r="B2137" i="2" l="1"/>
  <c r="K2136" i="2" s="1"/>
  <c r="K2135" i="2"/>
  <c r="B2138" i="2" l="1"/>
  <c r="J2137" i="2" s="1"/>
  <c r="J2136" i="2"/>
  <c r="B2139" i="2" l="1"/>
  <c r="K2138" i="2" s="1"/>
  <c r="K2137" i="2"/>
  <c r="B2140" i="2" l="1"/>
  <c r="J2139" i="2" s="1"/>
  <c r="J2138" i="2"/>
  <c r="B2141" i="2" l="1"/>
  <c r="K2140" i="2" s="1"/>
  <c r="K2139" i="2"/>
  <c r="B2142" i="2" l="1"/>
  <c r="J2141" i="2" s="1"/>
  <c r="J2140" i="2"/>
  <c r="B2143" i="2" l="1"/>
  <c r="K2142" i="2" s="1"/>
  <c r="K2141" i="2"/>
  <c r="B2144" i="2" l="1"/>
  <c r="J2143" i="2" s="1"/>
  <c r="J2142" i="2"/>
  <c r="B2145" i="2" l="1"/>
  <c r="K2144" i="2" s="1"/>
  <c r="K2143" i="2"/>
  <c r="B2146" i="2" l="1"/>
  <c r="J2145" i="2" s="1"/>
  <c r="J2144" i="2"/>
  <c r="B2147" i="2" l="1"/>
  <c r="K2146" i="2" s="1"/>
  <c r="K2145" i="2"/>
  <c r="B2148" i="2" l="1"/>
  <c r="J2147" i="2" s="1"/>
  <c r="J2146" i="2"/>
  <c r="B2149" i="2" l="1"/>
  <c r="K2148" i="2" s="1"/>
  <c r="K2147" i="2"/>
  <c r="B2150" i="2" l="1"/>
  <c r="K2149" i="2" s="1"/>
  <c r="J2148" i="2"/>
  <c r="J2149" i="2" l="1"/>
  <c r="B2151" i="2"/>
  <c r="B2152" i="2" l="1"/>
  <c r="J2151" i="2" s="1"/>
  <c r="K2150" i="2"/>
  <c r="J2150" i="2"/>
  <c r="B2153" i="2" l="1"/>
  <c r="K2152" i="2" s="1"/>
  <c r="K2151" i="2"/>
  <c r="B2154" i="2" l="1"/>
  <c r="J2153" i="2" s="1"/>
  <c r="J2152" i="2"/>
  <c r="B2155" i="2" l="1"/>
  <c r="K2154" i="2" s="1"/>
  <c r="K2153" i="2"/>
  <c r="B2156" i="2" l="1"/>
  <c r="J2155" i="2" s="1"/>
  <c r="J2154" i="2"/>
  <c r="B2157" i="2" l="1"/>
  <c r="K2156" i="2" s="1"/>
  <c r="K2155" i="2"/>
  <c r="B2158" i="2" l="1"/>
  <c r="J2157" i="2" s="1"/>
  <c r="J2156" i="2"/>
  <c r="B2159" i="2" l="1"/>
  <c r="K2158" i="2" s="1"/>
  <c r="K2157" i="2"/>
  <c r="B2160" i="2" l="1"/>
  <c r="J2159" i="2" s="1"/>
  <c r="J2158" i="2"/>
  <c r="B2161" i="2" l="1"/>
  <c r="K2160" i="2" s="1"/>
  <c r="K2159" i="2"/>
  <c r="B2162" i="2" l="1"/>
  <c r="J2161" i="2" s="1"/>
  <c r="J2160" i="2"/>
  <c r="B2163" i="2" l="1"/>
  <c r="K2162" i="2" s="1"/>
  <c r="K2161" i="2"/>
  <c r="B2164" i="2" l="1"/>
  <c r="J2163" i="2" s="1"/>
  <c r="J2162" i="2"/>
  <c r="B2165" i="2" l="1"/>
  <c r="K2164" i="2" s="1"/>
  <c r="K2163" i="2"/>
  <c r="B2166" i="2" l="1"/>
  <c r="J2165" i="2" s="1"/>
  <c r="J2164" i="2"/>
  <c r="B2167" i="2" l="1"/>
  <c r="K2166" i="2" s="1"/>
  <c r="K2165" i="2"/>
  <c r="B2168" i="2" l="1"/>
  <c r="J2167" i="2" s="1"/>
  <c r="J2166" i="2"/>
  <c r="B2169" i="2" l="1"/>
  <c r="K2168" i="2" s="1"/>
  <c r="K2167" i="2"/>
  <c r="B2170" i="2" l="1"/>
  <c r="J2169" i="2" s="1"/>
  <c r="J2168" i="2"/>
  <c r="B2171" i="2" l="1"/>
  <c r="K2170" i="2" s="1"/>
  <c r="K2169" i="2"/>
  <c r="B2172" i="2" l="1"/>
  <c r="J2171" i="2" s="1"/>
  <c r="J2170" i="2"/>
  <c r="B2173" i="2" l="1"/>
  <c r="K2172" i="2" s="1"/>
  <c r="K2171" i="2"/>
  <c r="B2174" i="2" l="1"/>
  <c r="J2173" i="2" s="1"/>
  <c r="J2172" i="2"/>
  <c r="B2175" i="2" l="1"/>
  <c r="K2174" i="2" s="1"/>
  <c r="K2173" i="2"/>
  <c r="B2176" i="2" l="1"/>
  <c r="J2175" i="2" s="1"/>
  <c r="J2174" i="2"/>
  <c r="B2177" i="2" l="1"/>
  <c r="K2176" i="2" s="1"/>
  <c r="K2175" i="2"/>
  <c r="B2178" i="2" l="1"/>
  <c r="J2177" i="2" s="1"/>
  <c r="J2176" i="2"/>
  <c r="B2179" i="2" l="1"/>
  <c r="K2178" i="2" s="1"/>
  <c r="K2177" i="2"/>
  <c r="B2180" i="2" l="1"/>
  <c r="J2179" i="2" s="1"/>
  <c r="J2178" i="2"/>
  <c r="B2181" i="2" l="1"/>
  <c r="K2180" i="2" s="1"/>
  <c r="K2179" i="2"/>
  <c r="B2182" i="2" l="1"/>
  <c r="J2181" i="2" s="1"/>
  <c r="J2180" i="2"/>
  <c r="B2183" i="2" l="1"/>
  <c r="K2182" i="2" s="1"/>
  <c r="K2181" i="2"/>
  <c r="B2184" i="2" l="1"/>
  <c r="J2183" i="2" s="1"/>
  <c r="J2182" i="2"/>
  <c r="B2185" i="2" l="1"/>
  <c r="K2184" i="2" s="1"/>
  <c r="K2183" i="2"/>
  <c r="B2186" i="2" l="1"/>
  <c r="K2185" i="2" s="1"/>
  <c r="J2184" i="2"/>
  <c r="J2185" i="2" l="1"/>
  <c r="B2187" i="2"/>
  <c r="J2186" i="2" s="1"/>
  <c r="K2186" i="2" l="1"/>
  <c r="B2188" i="2"/>
  <c r="J2187" i="2" s="1"/>
  <c r="B2189" i="2" l="1"/>
  <c r="K2187" i="2"/>
  <c r="B2190" i="2" l="1"/>
  <c r="J2189" i="2" s="1"/>
  <c r="K2188" i="2"/>
  <c r="J2188" i="2"/>
  <c r="B2191" i="2" l="1"/>
  <c r="K2189" i="2"/>
  <c r="B2192" i="2" l="1"/>
  <c r="J2191" i="2" s="1"/>
  <c r="K2190" i="2"/>
  <c r="J2190" i="2"/>
  <c r="B2193" i="2" l="1"/>
  <c r="K2192" i="2" s="1"/>
  <c r="K2191" i="2"/>
  <c r="B2194" i="2" l="1"/>
  <c r="J2193" i="2" s="1"/>
  <c r="J2192" i="2"/>
  <c r="B2195" i="2" l="1"/>
  <c r="K2194" i="2" s="1"/>
  <c r="K2193" i="2"/>
  <c r="B2196" i="2" l="1"/>
  <c r="J2195" i="2" s="1"/>
  <c r="J2194" i="2"/>
  <c r="B2197" i="2" l="1"/>
  <c r="K2196" i="2" s="1"/>
  <c r="K2195" i="2"/>
  <c r="B2198" i="2" l="1"/>
  <c r="J2197" i="2" s="1"/>
  <c r="J2196" i="2"/>
  <c r="B2199" i="2" l="1"/>
  <c r="K2198" i="2" s="1"/>
  <c r="K2197" i="2"/>
  <c r="B2200" i="2" l="1"/>
  <c r="J2199" i="2" s="1"/>
  <c r="J2198" i="2"/>
  <c r="B2201" i="2" l="1"/>
  <c r="K2200" i="2" s="1"/>
  <c r="K2199" i="2"/>
  <c r="B2202" i="2" l="1"/>
  <c r="K2201" i="2" s="1"/>
  <c r="J2200" i="2"/>
  <c r="J2201" i="2" l="1"/>
  <c r="B2203" i="2"/>
  <c r="J2202" i="2" s="1"/>
  <c r="K2202" i="2" l="1"/>
  <c r="B2204" i="2"/>
  <c r="J2203" i="2" s="1"/>
  <c r="B2205" i="2" l="1"/>
  <c r="K2204" i="2" s="1"/>
  <c r="K2203" i="2"/>
  <c r="B2206" i="2" l="1"/>
  <c r="J2205" i="2" s="1"/>
  <c r="J2204" i="2"/>
  <c r="B2207" i="2" l="1"/>
  <c r="K2206" i="2" s="1"/>
  <c r="K2205" i="2"/>
  <c r="B2208" i="2" l="1"/>
  <c r="J2207" i="2" s="1"/>
  <c r="J2206" i="2"/>
  <c r="B2209" i="2" l="1"/>
  <c r="K2208" i="2" s="1"/>
  <c r="K2207" i="2"/>
  <c r="B2210" i="2" l="1"/>
  <c r="J2209" i="2" s="1"/>
  <c r="J2208" i="2"/>
  <c r="B2211" i="2" l="1"/>
  <c r="K2210" i="2" s="1"/>
  <c r="K2209" i="2"/>
  <c r="B2212" i="2" l="1"/>
  <c r="J2211" i="2" s="1"/>
  <c r="J2210" i="2"/>
  <c r="B2213" i="2" l="1"/>
  <c r="J2212" i="2" s="1"/>
  <c r="K2211" i="2"/>
  <c r="K2212" i="2" l="1"/>
  <c r="B2214" i="2"/>
  <c r="J2213" i="2" s="1"/>
  <c r="B2215" i="2" l="1"/>
  <c r="K2214" i="2" s="1"/>
  <c r="K2213" i="2"/>
  <c r="B2216" i="2" l="1"/>
  <c r="J2215" i="2" s="1"/>
  <c r="J2214" i="2"/>
  <c r="B2217" i="2" l="1"/>
  <c r="K2216" i="2" s="1"/>
  <c r="K2215" i="2"/>
  <c r="B2218" i="2" l="1"/>
  <c r="J2217" i="2" s="1"/>
  <c r="J2216" i="2"/>
  <c r="B2219" i="2" l="1"/>
  <c r="K2218" i="2" s="1"/>
  <c r="K2217" i="2"/>
  <c r="B2220" i="2" l="1"/>
  <c r="J2219" i="2" s="1"/>
  <c r="J2218" i="2"/>
  <c r="B2221" i="2" l="1"/>
  <c r="K2220" i="2" s="1"/>
  <c r="K2219" i="2"/>
  <c r="B2222" i="2" l="1"/>
  <c r="K2221" i="2" s="1"/>
  <c r="J2220" i="2"/>
  <c r="J2221" i="2" l="1"/>
  <c r="B2223" i="2"/>
  <c r="K2222" i="2" s="1"/>
  <c r="B2224" i="2" l="1"/>
  <c r="J2223" i="2" s="1"/>
  <c r="J2222" i="2"/>
  <c r="B2225" i="2" l="1"/>
  <c r="K2224" i="2" s="1"/>
  <c r="K2223" i="2"/>
  <c r="B2226" i="2" l="1"/>
  <c r="J2225" i="2" s="1"/>
  <c r="J2224" i="2"/>
  <c r="B2227" i="2" l="1"/>
  <c r="K2226" i="2" s="1"/>
  <c r="K2225" i="2"/>
  <c r="B2228" i="2" l="1"/>
  <c r="J2227" i="2" s="1"/>
  <c r="J2226" i="2"/>
  <c r="B2229" i="2" l="1"/>
  <c r="K2228" i="2" s="1"/>
  <c r="K2227" i="2"/>
  <c r="B2230" i="2" l="1"/>
  <c r="J2229" i="2" s="1"/>
  <c r="J2228" i="2"/>
  <c r="B2231" i="2" l="1"/>
  <c r="K2230" i="2" s="1"/>
  <c r="K2229" i="2"/>
  <c r="B2232" i="2" l="1"/>
  <c r="J2231" i="2" s="1"/>
  <c r="J2230" i="2"/>
  <c r="B2233" i="2" l="1"/>
  <c r="K2232" i="2" s="1"/>
  <c r="K2231" i="2"/>
  <c r="B2234" i="2" l="1"/>
  <c r="J2233" i="2" s="1"/>
  <c r="J2232" i="2"/>
  <c r="B2235" i="2" l="1"/>
  <c r="K2234" i="2" s="1"/>
  <c r="K2233" i="2"/>
  <c r="B2236" i="2" l="1"/>
  <c r="K2235" i="2" s="1"/>
  <c r="J2234" i="2"/>
  <c r="J2235" i="2" l="1"/>
  <c r="B2237" i="2"/>
  <c r="K2236" i="2" s="1"/>
  <c r="B2238" i="2" l="1"/>
  <c r="J2237" i="2" s="1"/>
  <c r="J2236" i="2"/>
  <c r="B2239" i="2" l="1"/>
  <c r="K2238" i="2" s="1"/>
  <c r="K2237" i="2"/>
  <c r="B2240" i="2" l="1"/>
  <c r="J2239" i="2" s="1"/>
  <c r="J2238" i="2"/>
  <c r="B2241" i="2" l="1"/>
  <c r="K2240" i="2" s="1"/>
  <c r="K2239" i="2"/>
  <c r="B2242" i="2" l="1"/>
  <c r="J2241" i="2" s="1"/>
  <c r="J2240" i="2"/>
  <c r="B2243" i="2" l="1"/>
  <c r="K2242" i="2" s="1"/>
  <c r="K2241" i="2"/>
  <c r="B2244" i="2" l="1"/>
  <c r="J2243" i="2" s="1"/>
  <c r="J2242" i="2"/>
  <c r="B2245" i="2" l="1"/>
  <c r="K2244" i="2" s="1"/>
  <c r="K2243" i="2"/>
  <c r="B2246" i="2" l="1"/>
  <c r="J2245" i="2" s="1"/>
  <c r="J2244" i="2"/>
  <c r="B2247" i="2" l="1"/>
  <c r="K2246" i="2" s="1"/>
  <c r="K2245" i="2"/>
  <c r="B2248" i="2" l="1"/>
  <c r="J2247" i="2" s="1"/>
  <c r="J2246" i="2"/>
  <c r="B2249" i="2" l="1"/>
  <c r="K2248" i="2" s="1"/>
  <c r="K2247" i="2"/>
  <c r="B2250" i="2" l="1"/>
  <c r="J2249" i="2" s="1"/>
  <c r="J2248" i="2"/>
  <c r="B2251" i="2" l="1"/>
  <c r="K2250" i="2" s="1"/>
  <c r="K2249" i="2"/>
  <c r="B2252" i="2" l="1"/>
  <c r="J2251" i="2" s="1"/>
  <c r="J2250" i="2"/>
  <c r="B2253" i="2" l="1"/>
  <c r="K2252" i="2" s="1"/>
  <c r="K2251" i="2"/>
  <c r="B2254" i="2" l="1"/>
  <c r="J2253" i="2" s="1"/>
  <c r="J2252" i="2"/>
  <c r="B2255" i="2" l="1"/>
  <c r="K2254" i="2" s="1"/>
  <c r="K2253" i="2"/>
  <c r="B2256" i="2" l="1"/>
  <c r="J2255" i="2" s="1"/>
  <c r="J2254" i="2"/>
  <c r="B2257" i="2" l="1"/>
  <c r="K2256" i="2" s="1"/>
  <c r="K2255" i="2"/>
  <c r="B2258" i="2" l="1"/>
  <c r="K2257" i="2" s="1"/>
  <c r="J2256" i="2"/>
  <c r="J2257" i="2" l="1"/>
  <c r="B2259" i="2"/>
  <c r="K2258" i="2" s="1"/>
  <c r="B2260" i="2" l="1"/>
  <c r="J2259" i="2" s="1"/>
  <c r="J2258" i="2"/>
  <c r="B2261" i="2" l="1"/>
  <c r="K2260" i="2" s="1"/>
  <c r="K2259" i="2"/>
  <c r="B2262" i="2" l="1"/>
  <c r="J2261" i="2" s="1"/>
  <c r="J2260" i="2"/>
  <c r="B2263" i="2" l="1"/>
  <c r="K2262" i="2" s="1"/>
  <c r="K2261" i="2"/>
  <c r="B2264" i="2" l="1"/>
  <c r="J2263" i="2" s="1"/>
  <c r="J2262" i="2"/>
  <c r="B2265" i="2" l="1"/>
  <c r="K2264" i="2" s="1"/>
  <c r="K2263" i="2"/>
  <c r="B2266" i="2" l="1"/>
  <c r="J2265" i="2" s="1"/>
  <c r="J2264" i="2"/>
  <c r="B2267" i="2" l="1"/>
  <c r="K2266" i="2" s="1"/>
  <c r="K2265" i="2"/>
  <c r="B2268" i="2" l="1"/>
  <c r="J2267" i="2" s="1"/>
  <c r="J2266" i="2"/>
  <c r="B2269" i="2" l="1"/>
  <c r="K2268" i="2" s="1"/>
  <c r="K2267" i="2"/>
  <c r="B2270" i="2" l="1"/>
  <c r="J2269" i="2" s="1"/>
  <c r="J2268" i="2"/>
  <c r="B2271" i="2" l="1"/>
  <c r="K2270" i="2" s="1"/>
  <c r="K2269" i="2"/>
  <c r="B2272" i="2" l="1"/>
  <c r="J2271" i="2" s="1"/>
  <c r="J2270" i="2"/>
  <c r="B2273" i="2" l="1"/>
  <c r="K2272" i="2" s="1"/>
  <c r="K2271" i="2"/>
  <c r="B2274" i="2" l="1"/>
  <c r="J2273" i="2" s="1"/>
  <c r="J2272" i="2"/>
  <c r="B2275" i="2" l="1"/>
  <c r="K2274" i="2" s="1"/>
  <c r="K2273" i="2"/>
  <c r="B2276" i="2" l="1"/>
  <c r="K2275" i="2" s="1"/>
  <c r="J2274" i="2"/>
  <c r="J2275" i="2" l="1"/>
  <c r="B2277" i="2"/>
  <c r="K2276" i="2" s="1"/>
  <c r="B2278" i="2" l="1"/>
  <c r="J2277" i="2" s="1"/>
  <c r="J2276" i="2"/>
  <c r="B2279" i="2" l="1"/>
  <c r="K2278" i="2" s="1"/>
  <c r="K2277" i="2"/>
  <c r="B2280" i="2" l="1"/>
  <c r="J2279" i="2" s="1"/>
  <c r="J2278" i="2"/>
  <c r="B2281" i="2" l="1"/>
  <c r="K2280" i="2" s="1"/>
  <c r="K2279" i="2"/>
  <c r="B2282" i="2" l="1"/>
  <c r="J2281" i="2" s="1"/>
  <c r="J2280" i="2"/>
  <c r="B2283" i="2" l="1"/>
  <c r="K2282" i="2" s="1"/>
  <c r="K2281" i="2"/>
  <c r="B2284" i="2" l="1"/>
  <c r="J2283" i="2" s="1"/>
  <c r="J2282" i="2"/>
  <c r="B2285" i="2" l="1"/>
  <c r="K2284" i="2" s="1"/>
  <c r="K2283" i="2"/>
  <c r="B2286" i="2" l="1"/>
  <c r="J2285" i="2" s="1"/>
  <c r="J2284" i="2"/>
  <c r="B2287" i="2" l="1"/>
  <c r="K2286" i="2" s="1"/>
  <c r="K2285" i="2"/>
  <c r="B2288" i="2" l="1"/>
  <c r="J2287" i="2" s="1"/>
  <c r="J2286" i="2"/>
  <c r="B2289" i="2" l="1"/>
  <c r="K2288" i="2" s="1"/>
  <c r="K2287" i="2"/>
  <c r="B2290" i="2" l="1"/>
  <c r="J2289" i="2" s="1"/>
  <c r="J2288" i="2"/>
  <c r="B2291" i="2" l="1"/>
  <c r="K2290" i="2" s="1"/>
  <c r="K2289" i="2"/>
  <c r="B2292" i="2" l="1"/>
  <c r="J2291" i="2" s="1"/>
  <c r="J2290" i="2"/>
  <c r="B2293" i="2" l="1"/>
  <c r="K2292" i="2" s="1"/>
  <c r="K2291" i="2"/>
  <c r="B2294" i="2" l="1"/>
  <c r="J2293" i="2" s="1"/>
  <c r="J2292" i="2"/>
  <c r="B2295" i="2" l="1"/>
  <c r="K2294" i="2" s="1"/>
  <c r="K2293" i="2"/>
  <c r="B2296" i="2" l="1"/>
  <c r="J2295" i="2" s="1"/>
  <c r="J2294" i="2"/>
  <c r="B2297" i="2" l="1"/>
  <c r="K2296" i="2" s="1"/>
  <c r="K2295" i="2"/>
  <c r="B2298" i="2" l="1"/>
  <c r="J2297" i="2" s="1"/>
  <c r="J2296" i="2"/>
  <c r="B2299" i="2" l="1"/>
  <c r="K2298" i="2" s="1"/>
  <c r="K2297" i="2"/>
  <c r="B2300" i="2" l="1"/>
  <c r="J2299" i="2" s="1"/>
  <c r="J2298" i="2"/>
  <c r="B2301" i="2" l="1"/>
  <c r="K2300" i="2" s="1"/>
  <c r="K2299" i="2"/>
  <c r="B2302" i="2" l="1"/>
  <c r="J2301" i="2" s="1"/>
  <c r="J2300" i="2"/>
  <c r="B2303" i="2" l="1"/>
  <c r="K2302" i="2" s="1"/>
  <c r="K2301" i="2"/>
  <c r="B2304" i="2" l="1"/>
  <c r="J2303" i="2" s="1"/>
  <c r="J2302" i="2"/>
  <c r="B2305" i="2" l="1"/>
  <c r="K2304" i="2" s="1"/>
  <c r="K2303" i="2"/>
  <c r="B2306" i="2" l="1"/>
  <c r="J2305" i="2" s="1"/>
  <c r="J2304" i="2"/>
  <c r="B2307" i="2" l="1"/>
  <c r="K2306" i="2" s="1"/>
  <c r="K2305" i="2"/>
  <c r="B2308" i="2" l="1"/>
  <c r="J2307" i="2" s="1"/>
  <c r="J2306" i="2"/>
  <c r="B2309" i="2" l="1"/>
  <c r="K2308" i="2" s="1"/>
  <c r="K2307" i="2"/>
  <c r="B2310" i="2" l="1"/>
  <c r="J2309" i="2" s="1"/>
  <c r="J2308" i="2"/>
  <c r="B2311" i="2" l="1"/>
  <c r="K2310" i="2" s="1"/>
  <c r="K2309" i="2"/>
  <c r="B2312" i="2" l="1"/>
  <c r="K2311" i="2" s="1"/>
  <c r="J2310" i="2"/>
  <c r="J2311" i="2" l="1"/>
  <c r="B2313" i="2"/>
  <c r="J2312" i="2" s="1"/>
  <c r="K2312" i="2" l="1"/>
  <c r="B2314" i="2"/>
  <c r="J2313" i="2" s="1"/>
  <c r="B2315" i="2" l="1"/>
  <c r="K2314" i="2" s="1"/>
  <c r="K2313" i="2"/>
  <c r="B2316" i="2" l="1"/>
  <c r="J2315" i="2" s="1"/>
  <c r="J2314" i="2"/>
  <c r="B2317" i="2" l="1"/>
  <c r="K2316" i="2" s="1"/>
  <c r="K2315" i="2"/>
  <c r="B2318" i="2" l="1"/>
  <c r="J2317" i="2" s="1"/>
  <c r="J2316" i="2"/>
  <c r="B2319" i="2" l="1"/>
  <c r="K2318" i="2" s="1"/>
  <c r="K2317" i="2"/>
  <c r="B2320" i="2" l="1"/>
  <c r="J2319" i="2" s="1"/>
  <c r="J2318" i="2"/>
  <c r="B2321" i="2" l="1"/>
  <c r="K2320" i="2" s="1"/>
  <c r="K2319" i="2"/>
  <c r="B2322" i="2" l="1"/>
  <c r="J2321" i="2" s="1"/>
  <c r="J2320" i="2"/>
  <c r="B2323" i="2" l="1"/>
  <c r="K2322" i="2" s="1"/>
  <c r="K2321" i="2"/>
  <c r="B2324" i="2" l="1"/>
  <c r="J2323" i="2" s="1"/>
  <c r="J2322" i="2"/>
  <c r="B2325" i="2" l="1"/>
  <c r="K2324" i="2" s="1"/>
  <c r="K2323" i="2"/>
  <c r="B2326" i="2" l="1"/>
  <c r="J2325" i="2" s="1"/>
  <c r="J2324" i="2"/>
  <c r="B2327" i="2" l="1"/>
  <c r="K2326" i="2" s="1"/>
  <c r="K2325" i="2"/>
  <c r="B2328" i="2" l="1"/>
  <c r="J2327" i="2" s="1"/>
  <c r="J2326" i="2"/>
  <c r="B2329" i="2" l="1"/>
  <c r="K2328" i="2" s="1"/>
  <c r="K2327" i="2"/>
  <c r="B2330" i="2" l="1"/>
  <c r="J2329" i="2" s="1"/>
  <c r="J2328" i="2"/>
  <c r="B2331" i="2" l="1"/>
  <c r="K2330" i="2" s="1"/>
  <c r="K2329" i="2"/>
  <c r="B2332" i="2" l="1"/>
  <c r="J2331" i="2" s="1"/>
  <c r="J2330" i="2"/>
  <c r="B2333" i="2" l="1"/>
  <c r="K2332" i="2" s="1"/>
  <c r="K2331" i="2"/>
  <c r="B2334" i="2" l="1"/>
  <c r="J2333" i="2" s="1"/>
  <c r="J2332" i="2"/>
  <c r="B2335" i="2" l="1"/>
  <c r="K2334" i="2" s="1"/>
  <c r="K2333" i="2"/>
  <c r="B2336" i="2" l="1"/>
  <c r="J2335" i="2" s="1"/>
  <c r="J2334" i="2"/>
  <c r="B2337" i="2" l="1"/>
  <c r="K2336" i="2" s="1"/>
  <c r="K2335" i="2"/>
  <c r="B2338" i="2" l="1"/>
  <c r="J2337" i="2" s="1"/>
  <c r="J2336" i="2"/>
  <c r="B2339" i="2" l="1"/>
  <c r="K2338" i="2" s="1"/>
  <c r="K2337" i="2"/>
  <c r="B2340" i="2" l="1"/>
  <c r="J2339" i="2" s="1"/>
  <c r="J2338" i="2"/>
  <c r="B2341" i="2" l="1"/>
  <c r="K2340" i="2" s="1"/>
  <c r="K2339" i="2"/>
  <c r="B2342" i="2" l="1"/>
  <c r="J2341" i="2" s="1"/>
  <c r="J2340" i="2"/>
  <c r="B2343" i="2" l="1"/>
  <c r="K2342" i="2" s="1"/>
  <c r="K2341" i="2"/>
  <c r="B2344" i="2" l="1"/>
  <c r="J2343" i="2" s="1"/>
  <c r="J2342" i="2"/>
  <c r="B2345" i="2" l="1"/>
  <c r="K2344" i="2" s="1"/>
  <c r="K2343" i="2"/>
  <c r="B2346" i="2" l="1"/>
  <c r="J2345" i="2" s="1"/>
  <c r="J2344" i="2"/>
  <c r="B2347" i="2" l="1"/>
  <c r="K2346" i="2" s="1"/>
  <c r="K2345" i="2"/>
  <c r="B2348" i="2" l="1"/>
  <c r="K2347" i="2" s="1"/>
  <c r="J2346" i="2"/>
  <c r="J2347" i="2" l="1"/>
  <c r="B2349" i="2"/>
  <c r="K2348" i="2" s="1"/>
  <c r="B2350" i="2" l="1"/>
  <c r="J2349" i="2" s="1"/>
  <c r="J2348" i="2"/>
  <c r="B2351" i="2" l="1"/>
  <c r="K2350" i="2" s="1"/>
  <c r="K2349" i="2"/>
  <c r="B2352" i="2" l="1"/>
  <c r="J2351" i="2" s="1"/>
  <c r="J2350" i="2"/>
  <c r="B2353" i="2" l="1"/>
  <c r="K2352" i="2" s="1"/>
  <c r="K2351" i="2"/>
  <c r="B2354" i="2" l="1"/>
  <c r="J2353" i="2" s="1"/>
  <c r="J2352" i="2"/>
  <c r="B2355" i="2" l="1"/>
  <c r="K2354" i="2" s="1"/>
  <c r="K2353" i="2"/>
  <c r="B2356" i="2" l="1"/>
  <c r="J2355" i="2" s="1"/>
  <c r="J2354" i="2"/>
  <c r="B2357" i="2" l="1"/>
  <c r="K2356" i="2" s="1"/>
  <c r="K2355" i="2"/>
  <c r="B2358" i="2" l="1"/>
  <c r="J2357" i="2" s="1"/>
  <c r="J2356" i="2"/>
  <c r="B2359" i="2" l="1"/>
  <c r="K2358" i="2" s="1"/>
  <c r="K2357" i="2"/>
  <c r="B2360" i="2" l="1"/>
  <c r="K2359" i="2" s="1"/>
  <c r="J2358" i="2"/>
  <c r="J2359" i="2" l="1"/>
  <c r="B2361" i="2"/>
  <c r="K2360" i="2" s="1"/>
  <c r="B2362" i="2" l="1"/>
  <c r="J2361" i="2" s="1"/>
  <c r="J2360" i="2"/>
  <c r="B2363" i="2" l="1"/>
  <c r="K2362" i="2" s="1"/>
  <c r="K2361" i="2"/>
  <c r="B2364" i="2" l="1"/>
  <c r="J2363" i="2" s="1"/>
  <c r="J2362" i="2"/>
  <c r="B2365" i="2" l="1"/>
  <c r="K2364" i="2" s="1"/>
  <c r="K2363" i="2"/>
  <c r="B2366" i="2" l="1"/>
  <c r="K2365" i="2" s="1"/>
  <c r="J2364" i="2"/>
  <c r="J2365" i="2" l="1"/>
  <c r="B2367" i="2"/>
  <c r="K2366" i="2" s="1"/>
  <c r="B2368" i="2" l="1"/>
  <c r="J2367" i="2" s="1"/>
  <c r="J2366" i="2"/>
  <c r="B2369" i="2" l="1"/>
  <c r="K2368" i="2" s="1"/>
  <c r="K2367" i="2"/>
  <c r="B2370" i="2" l="1"/>
  <c r="J2369" i="2" s="1"/>
  <c r="J2368" i="2"/>
  <c r="B2371" i="2" l="1"/>
  <c r="K2370" i="2" s="1"/>
  <c r="K2369" i="2"/>
  <c r="B2372" i="2" l="1"/>
  <c r="J2371" i="2" s="1"/>
  <c r="J2370" i="2"/>
  <c r="B2373" i="2" l="1"/>
  <c r="K2372" i="2" s="1"/>
  <c r="K2371" i="2"/>
  <c r="B2374" i="2" l="1"/>
  <c r="J2373" i="2" s="1"/>
  <c r="J2372" i="2"/>
  <c r="B2375" i="2" l="1"/>
  <c r="K2374" i="2" s="1"/>
  <c r="K2373" i="2"/>
  <c r="B2376" i="2" l="1"/>
  <c r="J2375" i="2" s="1"/>
  <c r="J2374" i="2"/>
  <c r="B2377" i="2" l="1"/>
  <c r="K2376" i="2" s="1"/>
  <c r="K2375" i="2"/>
  <c r="B2378" i="2" l="1"/>
  <c r="J2377" i="2" s="1"/>
  <c r="J2376" i="2"/>
  <c r="B2379" i="2" l="1"/>
  <c r="J2378" i="2" s="1"/>
  <c r="K2377" i="2"/>
  <c r="K2378" i="2" l="1"/>
  <c r="B2380" i="2"/>
  <c r="J2379" i="2" s="1"/>
  <c r="B2381" i="2" l="1"/>
  <c r="K2380" i="2" s="1"/>
  <c r="K2379" i="2"/>
  <c r="B2382" i="2" l="1"/>
  <c r="J2381" i="2" s="1"/>
  <c r="J2380" i="2"/>
  <c r="B2383" i="2" l="1"/>
  <c r="K2382" i="2" s="1"/>
  <c r="K2381" i="2"/>
  <c r="B2384" i="2" l="1"/>
  <c r="K2383" i="2" s="1"/>
  <c r="J2382" i="2"/>
  <c r="J2383" i="2" l="1"/>
  <c r="B2385" i="2"/>
  <c r="K2384" i="2" s="1"/>
  <c r="B2386" i="2" l="1"/>
  <c r="J2385" i="2" s="1"/>
  <c r="J2384" i="2"/>
  <c r="B2387" i="2" l="1"/>
  <c r="K2386" i="2" s="1"/>
  <c r="K2385" i="2"/>
  <c r="B2388" i="2" l="1"/>
  <c r="J2387" i="2" s="1"/>
  <c r="J2386" i="2"/>
  <c r="B2389" i="2" l="1"/>
  <c r="K2388" i="2" s="1"/>
  <c r="K2387" i="2"/>
  <c r="B2390" i="2" l="1"/>
  <c r="J2389" i="2" s="1"/>
  <c r="J2388" i="2"/>
  <c r="B2391" i="2" l="1"/>
  <c r="K2390" i="2" s="1"/>
  <c r="K2389" i="2"/>
  <c r="B2392" i="2" l="1"/>
  <c r="J2391" i="2" s="1"/>
  <c r="J2390" i="2"/>
  <c r="B2393" i="2" l="1"/>
  <c r="K2392" i="2" s="1"/>
  <c r="K2391" i="2"/>
  <c r="B2394" i="2" l="1"/>
  <c r="J2393" i="2" s="1"/>
  <c r="J2392" i="2"/>
  <c r="B2395" i="2" l="1"/>
  <c r="K2394" i="2" s="1"/>
  <c r="K2393" i="2"/>
  <c r="B2396" i="2" l="1"/>
  <c r="J2395" i="2" s="1"/>
  <c r="J2394" i="2"/>
  <c r="B2397" i="2" l="1"/>
  <c r="K2396" i="2" s="1"/>
  <c r="K2395" i="2"/>
  <c r="B2398" i="2" l="1"/>
  <c r="J2397" i="2" s="1"/>
  <c r="J2396" i="2"/>
  <c r="B2399" i="2" l="1"/>
  <c r="K2398" i="2" s="1"/>
  <c r="K2397" i="2"/>
  <c r="B2400" i="2" l="1"/>
  <c r="J2399" i="2" s="1"/>
  <c r="J2398" i="2"/>
  <c r="B2401" i="2" l="1"/>
  <c r="K2400" i="2" s="1"/>
  <c r="K2399" i="2"/>
  <c r="B2402" i="2" l="1"/>
  <c r="J2401" i="2" s="1"/>
  <c r="J2400" i="2"/>
  <c r="B2403" i="2" l="1"/>
  <c r="K2402" i="2" s="1"/>
  <c r="K2401" i="2"/>
  <c r="B2404" i="2" l="1"/>
  <c r="J2403" i="2" s="1"/>
  <c r="J2402" i="2"/>
  <c r="B2405" i="2" l="1"/>
  <c r="K2404" i="2" s="1"/>
  <c r="K2403" i="2"/>
  <c r="B2406" i="2" l="1"/>
  <c r="J2405" i="2" s="1"/>
  <c r="J2404" i="2"/>
  <c r="B2407" i="2" l="1"/>
  <c r="K2406" i="2" s="1"/>
  <c r="K2405" i="2"/>
  <c r="B2408" i="2" l="1"/>
  <c r="J2407" i="2" s="1"/>
  <c r="J2406" i="2"/>
  <c r="B2409" i="2" l="1"/>
  <c r="K2408" i="2" s="1"/>
  <c r="K2407" i="2"/>
  <c r="B2410" i="2" l="1"/>
  <c r="J2409" i="2" s="1"/>
  <c r="J2408" i="2"/>
  <c r="B2411" i="2" l="1"/>
  <c r="K2410" i="2" s="1"/>
  <c r="K2409" i="2"/>
  <c r="B2412" i="2" l="1"/>
  <c r="J2411" i="2" s="1"/>
  <c r="J2410" i="2"/>
  <c r="B2413" i="2" l="1"/>
  <c r="K2412" i="2" s="1"/>
  <c r="K2411" i="2"/>
  <c r="B2414" i="2" l="1"/>
  <c r="J2413" i="2" s="1"/>
  <c r="J2412" i="2"/>
  <c r="B2415" i="2" l="1"/>
  <c r="K2414" i="2" s="1"/>
  <c r="K2413" i="2"/>
  <c r="B2416" i="2" l="1"/>
  <c r="J2415" i="2" s="1"/>
  <c r="J2414" i="2"/>
  <c r="B2417" i="2" l="1"/>
  <c r="K2416" i="2" s="1"/>
  <c r="K2415" i="2"/>
  <c r="B2418" i="2" l="1"/>
  <c r="J2417" i="2" s="1"/>
  <c r="J2416" i="2"/>
  <c r="B2419" i="2" l="1"/>
  <c r="K2418" i="2" s="1"/>
  <c r="K2417" i="2"/>
  <c r="B2420" i="2" l="1"/>
  <c r="K2419" i="2" s="1"/>
  <c r="J2418" i="2"/>
  <c r="J2419" i="2" l="1"/>
  <c r="B2421" i="2"/>
  <c r="K2420" i="2" s="1"/>
  <c r="B2422" i="2" l="1"/>
  <c r="J2421" i="2" s="1"/>
  <c r="J2420" i="2"/>
  <c r="B2423" i="2" l="1"/>
  <c r="J2422" i="2" s="1"/>
  <c r="K2421" i="2"/>
  <c r="K2422" i="2" l="1"/>
  <c r="B2424" i="2"/>
  <c r="J2423" i="2" s="1"/>
  <c r="B2425" i="2" l="1"/>
  <c r="K2424" i="2" s="1"/>
  <c r="K2423" i="2"/>
  <c r="B2426" i="2" l="1"/>
  <c r="J2425" i="2" s="1"/>
  <c r="J2424" i="2"/>
  <c r="B2427" i="2" l="1"/>
  <c r="K2426" i="2" s="1"/>
  <c r="K2425" i="2"/>
  <c r="B2428" i="2" l="1"/>
  <c r="J2427" i="2" s="1"/>
  <c r="J2426" i="2"/>
  <c r="B2429" i="2" l="1"/>
  <c r="K2428" i="2" s="1"/>
  <c r="K2427" i="2"/>
  <c r="B2430" i="2" l="1"/>
  <c r="J2429" i="2" s="1"/>
  <c r="J2428" i="2"/>
  <c r="B2431" i="2" l="1"/>
  <c r="K2430" i="2" s="1"/>
  <c r="K2429" i="2"/>
  <c r="B2432" i="2" l="1"/>
  <c r="J2431" i="2" s="1"/>
  <c r="J2430" i="2"/>
  <c r="B2433" i="2" l="1"/>
  <c r="K2432" i="2" s="1"/>
  <c r="K2431" i="2"/>
  <c r="B2434" i="2" l="1"/>
  <c r="J2433" i="2" s="1"/>
  <c r="J2432" i="2"/>
  <c r="B2435" i="2" l="1"/>
  <c r="K2434" i="2" s="1"/>
  <c r="K2433" i="2"/>
  <c r="B2436" i="2" l="1"/>
  <c r="J2435" i="2" s="1"/>
  <c r="J2434" i="2"/>
  <c r="B2437" i="2" l="1"/>
  <c r="K2436" i="2" s="1"/>
  <c r="K2435" i="2"/>
  <c r="B2438" i="2" l="1"/>
  <c r="J2437" i="2" s="1"/>
  <c r="J2436" i="2"/>
  <c r="B2439" i="2" l="1"/>
  <c r="K2438" i="2" s="1"/>
  <c r="K2437" i="2"/>
  <c r="B2440" i="2" l="1"/>
  <c r="J2439" i="2" s="1"/>
  <c r="J2438" i="2"/>
  <c r="B2441" i="2" l="1"/>
  <c r="K2440" i="2" s="1"/>
  <c r="K2439" i="2"/>
  <c r="B2442" i="2" l="1"/>
  <c r="J2441" i="2" s="1"/>
  <c r="J2440" i="2"/>
  <c r="B2443" i="2" l="1"/>
  <c r="K2442" i="2" s="1"/>
  <c r="K2441" i="2"/>
  <c r="B2444" i="2" l="1"/>
  <c r="J2443" i="2" s="1"/>
  <c r="J2442" i="2"/>
  <c r="B2445" i="2" l="1"/>
  <c r="K2444" i="2" s="1"/>
  <c r="K2443" i="2"/>
  <c r="B2446" i="2" l="1"/>
  <c r="J2445" i="2" s="1"/>
  <c r="J2444" i="2"/>
  <c r="B2447" i="2" l="1"/>
  <c r="K2446" i="2" s="1"/>
  <c r="K2445" i="2"/>
  <c r="B2448" i="2" l="1"/>
  <c r="J2447" i="2" s="1"/>
  <c r="J2446" i="2"/>
  <c r="B2449" i="2" l="1"/>
  <c r="K2448" i="2" s="1"/>
  <c r="K2447" i="2"/>
  <c r="B2450" i="2" l="1"/>
  <c r="J2449" i="2" s="1"/>
  <c r="J2448" i="2"/>
  <c r="B2451" i="2" l="1"/>
  <c r="K2450" i="2" s="1"/>
  <c r="K2449" i="2"/>
  <c r="B2452" i="2" l="1"/>
  <c r="J2451" i="2" s="1"/>
  <c r="J2450" i="2"/>
  <c r="B2453" i="2" l="1"/>
  <c r="K2452" i="2" s="1"/>
  <c r="K2451" i="2"/>
  <c r="B2454" i="2" l="1"/>
  <c r="J2453" i="2" s="1"/>
  <c r="J2452" i="2"/>
  <c r="B2455" i="2" l="1"/>
  <c r="K2454" i="2" s="1"/>
  <c r="K2453" i="2"/>
  <c r="B2456" i="2" l="1"/>
  <c r="K2455" i="2" s="1"/>
  <c r="J2454" i="2"/>
  <c r="J2455" i="2" l="1"/>
  <c r="B2457" i="2"/>
  <c r="K2456" i="2" s="1"/>
  <c r="B2458" i="2" l="1"/>
  <c r="J2457" i="2" s="1"/>
  <c r="J2456" i="2"/>
  <c r="B2459" i="2" l="1"/>
  <c r="K2458" i="2" s="1"/>
  <c r="K2457" i="2"/>
  <c r="B2460" i="2" l="1"/>
  <c r="J2459" i="2" s="1"/>
  <c r="J2458" i="2"/>
  <c r="B2461" i="2" l="1"/>
  <c r="K2460" i="2" s="1"/>
  <c r="K2459" i="2"/>
  <c r="B2462" i="2" l="1"/>
  <c r="J2461" i="2" s="1"/>
  <c r="J2460" i="2"/>
  <c r="B2463" i="2" l="1"/>
  <c r="K2462" i="2" s="1"/>
  <c r="K2461" i="2"/>
  <c r="B2464" i="2" l="1"/>
  <c r="J2463" i="2" s="1"/>
  <c r="J2462" i="2"/>
  <c r="B2465" i="2" l="1"/>
  <c r="K2463" i="2"/>
  <c r="B2466" i="2" l="1"/>
  <c r="J2465" i="2" s="1"/>
  <c r="K2464" i="2"/>
  <c r="J2464" i="2"/>
  <c r="B2467" i="2" l="1"/>
  <c r="K2466" i="2" s="1"/>
  <c r="K2465" i="2"/>
  <c r="B2468" i="2" l="1"/>
  <c r="J2467" i="2" s="1"/>
  <c r="J2466" i="2"/>
  <c r="B2469" i="2" l="1"/>
  <c r="K2468" i="2" s="1"/>
  <c r="K2467" i="2"/>
  <c r="B2470" i="2" l="1"/>
  <c r="J2469" i="2" s="1"/>
  <c r="J2468" i="2"/>
  <c r="B2471" i="2" l="1"/>
  <c r="K2470" i="2" s="1"/>
  <c r="K2469" i="2"/>
  <c r="B2472" i="2" l="1"/>
  <c r="J2471" i="2" s="1"/>
  <c r="J2470" i="2"/>
  <c r="B2473" i="2" l="1"/>
  <c r="K2472" i="2" s="1"/>
  <c r="K2471" i="2"/>
  <c r="B2474" i="2" l="1"/>
  <c r="J2473" i="2" s="1"/>
  <c r="J2472" i="2"/>
  <c r="B2475" i="2" l="1"/>
  <c r="K2474" i="2" s="1"/>
  <c r="K2473" i="2"/>
  <c r="B2476" i="2" l="1"/>
  <c r="J2475" i="2" s="1"/>
  <c r="J2474" i="2"/>
  <c r="B2477" i="2" l="1"/>
  <c r="K2476" i="2" s="1"/>
  <c r="K2475" i="2"/>
  <c r="B2478" i="2" l="1"/>
  <c r="J2477" i="2" s="1"/>
  <c r="J2476" i="2"/>
  <c r="B2479" i="2" l="1"/>
  <c r="K2478" i="2" s="1"/>
  <c r="K2477" i="2"/>
  <c r="B2480" i="2" l="1"/>
  <c r="J2479" i="2" s="1"/>
  <c r="J2478" i="2"/>
  <c r="B2481" i="2" l="1"/>
  <c r="K2480" i="2" s="1"/>
  <c r="K2479" i="2"/>
  <c r="B2482" i="2" l="1"/>
  <c r="J2481" i="2" s="1"/>
  <c r="J2480" i="2"/>
  <c r="B2483" i="2" l="1"/>
  <c r="K2482" i="2" s="1"/>
  <c r="K2481" i="2"/>
  <c r="B2484" i="2" l="1"/>
  <c r="J2483" i="2" s="1"/>
  <c r="J2482" i="2"/>
  <c r="B2485" i="2" l="1"/>
  <c r="K2484" i="2" s="1"/>
  <c r="K2483" i="2"/>
  <c r="B2486" i="2" l="1"/>
  <c r="K2485" i="2" s="1"/>
  <c r="J2484" i="2"/>
  <c r="J2485" i="2" l="1"/>
  <c r="B2487" i="2"/>
  <c r="K2486" i="2" s="1"/>
  <c r="B2488" i="2" l="1"/>
  <c r="J2487" i="2" s="1"/>
  <c r="J2486" i="2"/>
  <c r="B2489" i="2" l="1"/>
  <c r="K2488" i="2" s="1"/>
  <c r="K2487" i="2"/>
  <c r="B2490" i="2" l="1"/>
  <c r="J2489" i="2" s="1"/>
  <c r="J2488" i="2"/>
  <c r="B2491" i="2" l="1"/>
  <c r="J2490" i="2" s="1"/>
  <c r="K2489" i="2"/>
  <c r="K2490" i="2" l="1"/>
  <c r="B2492" i="2"/>
  <c r="K2491" i="2" s="1"/>
  <c r="J2491" i="2" l="1"/>
  <c r="B2493" i="2"/>
  <c r="K2492" i="2" s="1"/>
  <c r="B2494" i="2" l="1"/>
  <c r="J2493" i="2" s="1"/>
  <c r="J2492" i="2"/>
  <c r="B2495" i="2" l="1"/>
  <c r="K2494" i="2" s="1"/>
  <c r="K2493" i="2"/>
  <c r="B2496" i="2" l="1"/>
  <c r="J2495" i="2" s="1"/>
  <c r="J2494" i="2"/>
  <c r="B2497" i="2" l="1"/>
  <c r="K2496" i="2" s="1"/>
  <c r="K2495" i="2"/>
  <c r="B2498" i="2" l="1"/>
  <c r="J2497" i="2" s="1"/>
  <c r="J2496" i="2"/>
  <c r="B2499" i="2" l="1"/>
  <c r="K2498" i="2" s="1"/>
  <c r="K2497" i="2"/>
  <c r="B2500" i="2" l="1"/>
  <c r="J2499" i="2" s="1"/>
  <c r="J2498" i="2"/>
  <c r="B2501" i="2" l="1"/>
  <c r="K2500" i="2" s="1"/>
  <c r="K2499" i="2"/>
  <c r="B2502" i="2" l="1"/>
  <c r="J2501" i="2" s="1"/>
  <c r="J2500" i="2"/>
  <c r="B2503" i="2" l="1"/>
  <c r="K2502" i="2" s="1"/>
  <c r="K2501" i="2"/>
  <c r="B2504" i="2" l="1"/>
  <c r="J2503" i="2" s="1"/>
  <c r="J2502" i="2"/>
  <c r="B2505" i="2" l="1"/>
  <c r="K2504" i="2" s="1"/>
  <c r="K2503" i="2"/>
  <c r="B2506" i="2" l="1"/>
  <c r="J2505" i="2" s="1"/>
  <c r="J2504" i="2"/>
  <c r="B2507" i="2" l="1"/>
  <c r="K2506" i="2" s="1"/>
  <c r="K2505" i="2"/>
  <c r="B2508" i="2" l="1"/>
  <c r="J2507" i="2" s="1"/>
  <c r="J2506" i="2"/>
  <c r="B2509" i="2" l="1"/>
  <c r="K2508" i="2" s="1"/>
  <c r="K2507" i="2"/>
  <c r="B2510" i="2" l="1"/>
  <c r="J2509" i="2" s="1"/>
  <c r="J2508" i="2"/>
  <c r="B2511" i="2" l="1"/>
  <c r="K2510" i="2" s="1"/>
  <c r="K2509" i="2"/>
  <c r="B2512" i="2" l="1"/>
  <c r="J2511" i="2" s="1"/>
  <c r="J2510" i="2"/>
  <c r="B2513" i="2" l="1"/>
  <c r="K2512" i="2" s="1"/>
  <c r="K2511" i="2"/>
  <c r="B2514" i="2" l="1"/>
  <c r="J2513" i="2" s="1"/>
  <c r="J2512" i="2"/>
  <c r="B2515" i="2" l="1"/>
  <c r="K2514" i="2" s="1"/>
  <c r="K2513" i="2"/>
  <c r="B2516" i="2" l="1"/>
  <c r="J2515" i="2" s="1"/>
  <c r="J2514" i="2"/>
  <c r="B2517" i="2" l="1"/>
  <c r="K2516" i="2" s="1"/>
  <c r="K2515" i="2"/>
  <c r="B2518" i="2" l="1"/>
  <c r="J2517" i="2" s="1"/>
  <c r="J2516" i="2"/>
  <c r="B2519" i="2" l="1"/>
  <c r="K2518" i="2" s="1"/>
  <c r="K2517" i="2"/>
  <c r="B2520" i="2" l="1"/>
  <c r="J2519" i="2" s="1"/>
  <c r="J2518" i="2"/>
  <c r="B2521" i="2" l="1"/>
  <c r="K2520" i="2" s="1"/>
  <c r="K2519" i="2"/>
  <c r="B2522" i="2" l="1"/>
  <c r="J2521" i="2" s="1"/>
  <c r="J2520" i="2"/>
  <c r="B2523" i="2" l="1"/>
  <c r="K2522" i="2" s="1"/>
  <c r="K2521" i="2"/>
  <c r="B2524" i="2" l="1"/>
  <c r="J2523" i="2" s="1"/>
  <c r="J2522" i="2"/>
  <c r="B2525" i="2" l="1"/>
  <c r="K2524" i="2" s="1"/>
  <c r="K2523" i="2"/>
  <c r="B2526" i="2" l="1"/>
  <c r="K2525" i="2" s="1"/>
  <c r="J2524" i="2"/>
  <c r="J2525" i="2" l="1"/>
  <c r="B2527" i="2"/>
  <c r="K2526" i="2" s="1"/>
  <c r="B2528" i="2" l="1"/>
  <c r="J2527" i="2" s="1"/>
  <c r="J2526" i="2"/>
  <c r="B2529" i="2" l="1"/>
  <c r="K2528" i="2" s="1"/>
  <c r="K2527" i="2"/>
  <c r="B2530" i="2" l="1"/>
  <c r="J2529" i="2" s="1"/>
  <c r="J2528" i="2"/>
  <c r="B2531" i="2" l="1"/>
  <c r="K2530" i="2" s="1"/>
  <c r="K2529" i="2"/>
  <c r="B2532" i="2" l="1"/>
  <c r="J2531" i="2" s="1"/>
  <c r="J2530" i="2"/>
  <c r="B2533" i="2" l="1"/>
  <c r="K2532" i="2" s="1"/>
  <c r="K2531" i="2"/>
  <c r="B2534" i="2" l="1"/>
  <c r="J2533" i="2" s="1"/>
  <c r="J2532" i="2"/>
  <c r="B2535" i="2" l="1"/>
  <c r="K2534" i="2" s="1"/>
  <c r="K2533" i="2"/>
  <c r="B2536" i="2" l="1"/>
  <c r="J2535" i="2" s="1"/>
  <c r="J2534" i="2"/>
  <c r="B2537" i="2" l="1"/>
  <c r="K2536" i="2" s="1"/>
  <c r="K2535" i="2"/>
  <c r="B2538" i="2" l="1"/>
  <c r="J2537" i="2" s="1"/>
  <c r="J2536" i="2"/>
  <c r="B2539" i="2" l="1"/>
  <c r="K2538" i="2" s="1"/>
  <c r="K2537" i="2"/>
  <c r="B2540" i="2" l="1"/>
  <c r="J2539" i="2" s="1"/>
  <c r="J2538" i="2"/>
  <c r="B2541" i="2" l="1"/>
  <c r="K2540" i="2" s="1"/>
  <c r="K2539" i="2"/>
  <c r="B2542" i="2" l="1"/>
  <c r="K2541" i="2" s="1"/>
  <c r="J2540" i="2"/>
  <c r="J2541" i="2" l="1"/>
  <c r="B2543" i="2"/>
  <c r="K2542" i="2" s="1"/>
  <c r="B2544" i="2" l="1"/>
  <c r="J2543" i="2" s="1"/>
  <c r="J2542" i="2"/>
  <c r="B2545" i="2" l="1"/>
  <c r="K2544" i="2" s="1"/>
  <c r="K2543" i="2"/>
  <c r="B2546" i="2" l="1"/>
  <c r="J2545" i="2" s="1"/>
  <c r="J2544" i="2"/>
  <c r="B2547" i="2" l="1"/>
  <c r="K2546" i="2" s="1"/>
  <c r="K2545" i="2"/>
  <c r="B2548" i="2" l="1"/>
  <c r="J2547" i="2" s="1"/>
  <c r="J2546" i="2"/>
  <c r="B2549" i="2" l="1"/>
  <c r="K2548" i="2" s="1"/>
  <c r="K2547" i="2"/>
  <c r="B2550" i="2" l="1"/>
  <c r="J2549" i="2" s="1"/>
  <c r="J2548" i="2"/>
  <c r="B2551" i="2" l="1"/>
  <c r="K2550" i="2" s="1"/>
  <c r="K2549" i="2"/>
  <c r="B2552" i="2" l="1"/>
  <c r="J2551" i="2" s="1"/>
  <c r="J2550" i="2"/>
  <c r="B2553" i="2" l="1"/>
  <c r="J2552" i="2" s="1"/>
  <c r="K2551" i="2"/>
  <c r="K2552" i="2" l="1"/>
  <c r="B2554" i="2"/>
  <c r="J2553" i="2" s="1"/>
  <c r="B2555" i="2" l="1"/>
  <c r="K2554" i="2" s="1"/>
  <c r="K2553" i="2"/>
  <c r="B2556" i="2" l="1"/>
  <c r="J2555" i="2" s="1"/>
  <c r="J2554" i="2"/>
  <c r="B2557" i="2" l="1"/>
  <c r="K2556" i="2" s="1"/>
  <c r="K2555" i="2"/>
  <c r="B2558" i="2" l="1"/>
  <c r="K2557" i="2" s="1"/>
  <c r="J2556" i="2"/>
  <c r="J2557" i="2" l="1"/>
  <c r="B2559" i="2"/>
  <c r="K2558" i="2" s="1"/>
  <c r="B2560" i="2" l="1"/>
  <c r="J2559" i="2" s="1"/>
  <c r="J2558" i="2"/>
  <c r="B2561" i="2" l="1"/>
  <c r="K2560" i="2" s="1"/>
  <c r="K2559" i="2"/>
  <c r="B2562" i="2" l="1"/>
  <c r="J2561" i="2" s="1"/>
  <c r="J2560" i="2"/>
  <c r="B2563" i="2" l="1"/>
  <c r="K2562" i="2" s="1"/>
  <c r="K2561" i="2"/>
  <c r="B2564" i="2" l="1"/>
  <c r="K2563" i="2" s="1"/>
  <c r="J2562" i="2"/>
  <c r="J2563" i="2" l="1"/>
  <c r="B2565" i="2"/>
  <c r="K2564" i="2" s="1"/>
  <c r="B2566" i="2" l="1"/>
  <c r="J2565" i="2" s="1"/>
  <c r="J2564" i="2"/>
  <c r="B2567" i="2" l="1"/>
  <c r="K2566" i="2" s="1"/>
  <c r="K2565" i="2"/>
  <c r="B2568" i="2" l="1"/>
  <c r="J2567" i="2" s="1"/>
  <c r="J2566" i="2"/>
  <c r="B2569" i="2" l="1"/>
  <c r="K2568" i="2" s="1"/>
  <c r="K2567" i="2"/>
  <c r="B2570" i="2" l="1"/>
  <c r="J2569" i="2" s="1"/>
  <c r="J2568" i="2"/>
  <c r="B2571" i="2" l="1"/>
  <c r="K2570" i="2" s="1"/>
  <c r="K2569" i="2"/>
  <c r="B2572" i="2" l="1"/>
  <c r="K2571" i="2" s="1"/>
  <c r="J2570" i="2"/>
  <c r="J2571" i="2" l="1"/>
  <c r="B2573" i="2"/>
  <c r="K2572" i="2" s="1"/>
  <c r="B2574" i="2" l="1"/>
  <c r="J2572" i="2"/>
  <c r="B2575" i="2" l="1"/>
  <c r="K2574" i="2" s="1"/>
  <c r="J2573" i="2"/>
  <c r="K2573" i="2"/>
  <c r="B2576" i="2" l="1"/>
  <c r="J2575" i="2" s="1"/>
  <c r="J2574" i="2"/>
  <c r="B2577" i="2" l="1"/>
  <c r="K2576" i="2" s="1"/>
  <c r="K2575" i="2"/>
  <c r="B2578" i="2" l="1"/>
  <c r="J2577" i="2" s="1"/>
  <c r="J2576" i="2"/>
  <c r="B2579" i="2" l="1"/>
  <c r="K2578" i="2" s="1"/>
  <c r="K2577" i="2"/>
  <c r="B2580" i="2" l="1"/>
  <c r="J2579" i="2" s="1"/>
  <c r="J2578" i="2"/>
  <c r="B2581" i="2" l="1"/>
  <c r="K2580" i="2" s="1"/>
  <c r="K2579" i="2"/>
  <c r="B2582" i="2" l="1"/>
  <c r="J2581" i="2" s="1"/>
  <c r="J2580" i="2"/>
  <c r="B2583" i="2" l="1"/>
  <c r="K2582" i="2" s="1"/>
  <c r="K2581" i="2"/>
  <c r="B2584" i="2" l="1"/>
  <c r="J2583" i="2" s="1"/>
  <c r="J2582" i="2"/>
  <c r="B2585" i="2" l="1"/>
  <c r="K2584" i="2" s="1"/>
  <c r="K2583" i="2"/>
  <c r="B2586" i="2" l="1"/>
  <c r="J2585" i="2" s="1"/>
  <c r="J2584" i="2"/>
  <c r="B2587" i="2" l="1"/>
  <c r="K2586" i="2" s="1"/>
  <c r="K2585" i="2"/>
  <c r="B2588" i="2" l="1"/>
  <c r="J2587" i="2" s="1"/>
  <c r="J2586" i="2"/>
  <c r="B2589" i="2" l="1"/>
  <c r="K2588" i="2" s="1"/>
  <c r="K2587" i="2"/>
  <c r="B2590" i="2" l="1"/>
  <c r="J2589" i="2" s="1"/>
  <c r="J2588" i="2"/>
  <c r="B2591" i="2" l="1"/>
  <c r="K2590" i="2" s="1"/>
  <c r="K2589" i="2"/>
  <c r="B2592" i="2" l="1"/>
  <c r="J2591" i="2" s="1"/>
  <c r="J2590" i="2"/>
  <c r="B2593" i="2" l="1"/>
  <c r="K2592" i="2" s="1"/>
  <c r="K2591" i="2"/>
  <c r="B2594" i="2" l="1"/>
  <c r="J2593" i="2" s="1"/>
  <c r="J2592" i="2"/>
  <c r="B2595" i="2" l="1"/>
  <c r="K2594" i="2" s="1"/>
  <c r="K2593" i="2"/>
  <c r="B2596" i="2" l="1"/>
  <c r="J2595" i="2" s="1"/>
  <c r="J2594" i="2"/>
  <c r="B2597" i="2" l="1"/>
  <c r="J2596" i="2" s="1"/>
  <c r="K2595" i="2"/>
  <c r="K2596" i="2" l="1"/>
  <c r="B2598" i="2"/>
  <c r="J2597" i="2" s="1"/>
  <c r="B2599" i="2" l="1"/>
  <c r="K2598" i="2" s="1"/>
  <c r="K2597" i="2"/>
  <c r="B2600" i="2" l="1"/>
  <c r="J2599" i="2" s="1"/>
  <c r="J2598" i="2"/>
  <c r="B2601" i="2" l="1"/>
  <c r="K2600" i="2" s="1"/>
  <c r="K2599" i="2"/>
  <c r="B2602" i="2" l="1"/>
  <c r="J2601" i="2" s="1"/>
  <c r="J2600" i="2"/>
  <c r="B2603" i="2" l="1"/>
  <c r="K2602" i="2" s="1"/>
  <c r="K2601" i="2"/>
  <c r="B2604" i="2" l="1"/>
  <c r="J2603" i="2" s="1"/>
  <c r="J2602" i="2"/>
  <c r="B2605" i="2" l="1"/>
  <c r="K2604" i="2" s="1"/>
  <c r="K2603" i="2"/>
  <c r="B2606" i="2" l="1"/>
  <c r="J2605" i="2" s="1"/>
  <c r="J2604" i="2"/>
  <c r="B2607" i="2" l="1"/>
  <c r="K2606" i="2" s="1"/>
  <c r="K2605" i="2"/>
  <c r="B2608" i="2" l="1"/>
  <c r="J2607" i="2" s="1"/>
  <c r="J2606" i="2"/>
  <c r="B2609" i="2" l="1"/>
  <c r="K2608" i="2" s="1"/>
  <c r="K2607" i="2"/>
  <c r="B2610" i="2" l="1"/>
  <c r="J2609" i="2" s="1"/>
  <c r="J2608" i="2"/>
  <c r="B2611" i="2" l="1"/>
  <c r="K2610" i="2" s="1"/>
  <c r="K2609" i="2"/>
  <c r="B2612" i="2" l="1"/>
  <c r="J2611" i="2" s="1"/>
  <c r="J2610" i="2"/>
  <c r="B2613" i="2" l="1"/>
  <c r="K2612" i="2" s="1"/>
  <c r="K2611" i="2"/>
  <c r="B2614" i="2" l="1"/>
  <c r="J2613" i="2" s="1"/>
  <c r="J2612" i="2"/>
  <c r="B2615" i="2" l="1"/>
  <c r="K2614" i="2" s="1"/>
  <c r="K2613" i="2"/>
  <c r="B2616" i="2" l="1"/>
  <c r="J2615" i="2" s="1"/>
  <c r="J2614" i="2"/>
  <c r="B2617" i="2" l="1"/>
  <c r="K2616" i="2" s="1"/>
  <c r="K2615" i="2"/>
  <c r="B2618" i="2" l="1"/>
  <c r="J2617" i="2" s="1"/>
  <c r="J2616" i="2"/>
  <c r="B2619" i="2" l="1"/>
  <c r="K2618" i="2" s="1"/>
  <c r="K2617" i="2"/>
  <c r="B2620" i="2" l="1"/>
  <c r="J2619" i="2" s="1"/>
  <c r="J2618" i="2"/>
  <c r="B2621" i="2" l="1"/>
  <c r="K2620" i="2" s="1"/>
  <c r="K2619" i="2"/>
  <c r="B2622" i="2" l="1"/>
  <c r="J2621" i="2" s="1"/>
  <c r="J2620" i="2"/>
  <c r="B2623" i="2" l="1"/>
  <c r="K2622" i="2" s="1"/>
  <c r="K2621" i="2"/>
  <c r="B2624" i="2" l="1"/>
  <c r="J2623" i="2" s="1"/>
  <c r="J2622" i="2"/>
  <c r="B2625" i="2" l="1"/>
  <c r="K2624" i="2" s="1"/>
  <c r="K2623" i="2"/>
  <c r="B2626" i="2" l="1"/>
  <c r="J2625" i="2" s="1"/>
  <c r="J2624" i="2"/>
  <c r="B2627" i="2" l="1"/>
  <c r="K2626" i="2" s="1"/>
  <c r="K2625" i="2"/>
  <c r="B2628" i="2" l="1"/>
  <c r="J2627" i="2" s="1"/>
  <c r="J2626" i="2"/>
  <c r="B2629" i="2" l="1"/>
  <c r="K2628" i="2" s="1"/>
  <c r="K2627" i="2"/>
  <c r="B2630" i="2" l="1"/>
  <c r="K2629" i="2" s="1"/>
  <c r="J2628" i="2"/>
  <c r="J2629" i="2" l="1"/>
  <c r="B2631" i="2"/>
  <c r="K2630" i="2" s="1"/>
  <c r="B2632" i="2" l="1"/>
  <c r="J2631" i="2" s="1"/>
  <c r="J2630" i="2"/>
  <c r="B2633" i="2" l="1"/>
  <c r="K2632" i="2" s="1"/>
  <c r="K2631" i="2"/>
  <c r="B2634" i="2" l="1"/>
  <c r="J2633" i="2" s="1"/>
  <c r="J2632" i="2"/>
  <c r="B2635" i="2" l="1"/>
  <c r="K2634" i="2" s="1"/>
  <c r="K2633" i="2"/>
  <c r="B2636" i="2" l="1"/>
  <c r="J2635" i="2" s="1"/>
  <c r="J2634" i="2"/>
  <c r="B2637" i="2" l="1"/>
  <c r="K2636" i="2" s="1"/>
  <c r="K2635" i="2"/>
  <c r="B2638" i="2" l="1"/>
  <c r="J2637" i="2" s="1"/>
  <c r="J2636" i="2"/>
  <c r="B2639" i="2" l="1"/>
  <c r="K2638" i="2" s="1"/>
  <c r="K2637" i="2"/>
  <c r="B2640" i="2" l="1"/>
  <c r="K2639" i="2" s="1"/>
  <c r="J2638" i="2"/>
  <c r="J2639" i="2" l="1"/>
  <c r="B2641" i="2"/>
  <c r="K2640" i="2" s="1"/>
  <c r="B2642" i="2" l="1"/>
  <c r="J2641" i="2" s="1"/>
  <c r="J2640" i="2"/>
  <c r="B2643" i="2" l="1"/>
  <c r="K2642" i="2" s="1"/>
  <c r="K2641" i="2"/>
  <c r="B2644" i="2" l="1"/>
  <c r="J2643" i="2" s="1"/>
  <c r="J2642" i="2"/>
  <c r="B2645" i="2" l="1"/>
  <c r="K2644" i="2" s="1"/>
  <c r="K2643" i="2"/>
  <c r="B2646" i="2" l="1"/>
  <c r="J2645" i="2" s="1"/>
  <c r="J2644" i="2"/>
  <c r="B2647" i="2" l="1"/>
  <c r="K2646" i="2" s="1"/>
  <c r="K2645" i="2"/>
  <c r="B2648" i="2" l="1"/>
  <c r="J2647" i="2" s="1"/>
  <c r="J2646" i="2"/>
  <c r="B2649" i="2" l="1"/>
  <c r="J2648" i="2" s="1"/>
  <c r="K2647" i="2"/>
  <c r="K2648" i="2" l="1"/>
  <c r="B2650" i="2"/>
  <c r="J2649" i="2" s="1"/>
  <c r="B2651" i="2" l="1"/>
  <c r="K2650" i="2" s="1"/>
  <c r="K2649" i="2"/>
  <c r="B2652" i="2" l="1"/>
  <c r="J2651" i="2" s="1"/>
  <c r="J2650" i="2"/>
  <c r="B2653" i="2" l="1"/>
  <c r="K2652" i="2" s="1"/>
  <c r="K2651" i="2"/>
  <c r="B2654" i="2" l="1"/>
  <c r="J2653" i="2" s="1"/>
  <c r="J2652" i="2"/>
  <c r="B2655" i="2" l="1"/>
  <c r="K2654" i="2" s="1"/>
  <c r="K2653" i="2"/>
  <c r="B2656" i="2" l="1"/>
  <c r="J2655" i="2" s="1"/>
  <c r="J2654" i="2"/>
  <c r="B2657" i="2" l="1"/>
  <c r="K2656" i="2" s="1"/>
  <c r="K2655" i="2"/>
  <c r="B2658" i="2" l="1"/>
  <c r="J2657" i="2" s="1"/>
  <c r="J2656" i="2"/>
  <c r="B2659" i="2" l="1"/>
  <c r="K2658" i="2" s="1"/>
  <c r="K2657" i="2"/>
  <c r="B2660" i="2" l="1"/>
  <c r="J2659" i="2" s="1"/>
  <c r="J2658" i="2"/>
  <c r="B2661" i="2" l="1"/>
  <c r="K2660" i="2" s="1"/>
  <c r="K2659" i="2"/>
  <c r="B2662" i="2" l="1"/>
  <c r="J2661" i="2" s="1"/>
  <c r="J2660" i="2"/>
  <c r="B2663" i="2" l="1"/>
  <c r="K2662" i="2" s="1"/>
  <c r="K2661" i="2"/>
  <c r="B2664" i="2" l="1"/>
  <c r="J2663" i="2" s="1"/>
  <c r="J2662" i="2"/>
  <c r="B2665" i="2" l="1"/>
  <c r="K2664" i="2" s="1"/>
  <c r="K2663" i="2"/>
  <c r="B2666" i="2" l="1"/>
  <c r="J2665" i="2" s="1"/>
  <c r="J2664" i="2"/>
  <c r="B2667" i="2" l="1"/>
  <c r="K2666" i="2" s="1"/>
  <c r="K2665" i="2"/>
  <c r="B2668" i="2" l="1"/>
  <c r="J2667" i="2" s="1"/>
  <c r="J2666" i="2"/>
  <c r="B2669" i="2" l="1"/>
  <c r="K2668" i="2" s="1"/>
  <c r="K2667" i="2"/>
  <c r="B2670" i="2" l="1"/>
  <c r="J2669" i="2" s="1"/>
  <c r="J2668" i="2"/>
  <c r="B2671" i="2" l="1"/>
  <c r="K2670" i="2" s="1"/>
  <c r="K2669" i="2"/>
  <c r="B2672" i="2" l="1"/>
  <c r="J2671" i="2" s="1"/>
  <c r="J2670" i="2"/>
  <c r="B2673" i="2" l="1"/>
  <c r="K2672" i="2" s="1"/>
  <c r="K2671" i="2"/>
  <c r="B2674" i="2" l="1"/>
  <c r="J2673" i="2" s="1"/>
  <c r="J2672" i="2"/>
  <c r="B2675" i="2" l="1"/>
  <c r="J2674" i="2" s="1"/>
  <c r="K2673" i="2"/>
  <c r="K2674" i="2" l="1"/>
  <c r="B2676" i="2"/>
  <c r="J2675" i="2" s="1"/>
  <c r="B2677" i="2" l="1"/>
  <c r="K2676" i="2" s="1"/>
  <c r="K2675" i="2"/>
  <c r="B2678" i="2" l="1"/>
  <c r="J2677" i="2" s="1"/>
  <c r="J2676" i="2"/>
  <c r="B2679" i="2" l="1"/>
  <c r="K2678" i="2" s="1"/>
  <c r="K2677" i="2"/>
  <c r="B2680" i="2" l="1"/>
  <c r="J2679" i="2" s="1"/>
  <c r="J2678" i="2"/>
  <c r="B2681" i="2" l="1"/>
  <c r="K2680" i="2" s="1"/>
  <c r="K2679" i="2"/>
  <c r="B2682" i="2" l="1"/>
  <c r="J2681" i="2" s="1"/>
  <c r="J2680" i="2"/>
  <c r="B2683" i="2" l="1"/>
  <c r="J2682" i="2" s="1"/>
  <c r="K2681" i="2"/>
  <c r="K2682" i="2" l="1"/>
  <c r="B2684" i="2"/>
  <c r="J2683" i="2" s="1"/>
  <c r="B2685" i="2" l="1"/>
  <c r="K2684" i="2" s="1"/>
  <c r="K2683" i="2"/>
  <c r="B2686" i="2" l="1"/>
  <c r="J2685" i="2" s="1"/>
  <c r="J2684" i="2"/>
  <c r="B2687" i="2" l="1"/>
  <c r="K2686" i="2" s="1"/>
  <c r="K2685" i="2"/>
  <c r="B2688" i="2" l="1"/>
  <c r="J2687" i="2" s="1"/>
  <c r="J2686" i="2"/>
  <c r="B2689" i="2" l="1"/>
  <c r="K2688" i="2" s="1"/>
  <c r="K2687" i="2"/>
  <c r="B2690" i="2" l="1"/>
  <c r="J2689" i="2" s="1"/>
  <c r="J2688" i="2"/>
  <c r="B2691" i="2" l="1"/>
  <c r="K2690" i="2" s="1"/>
  <c r="K2689" i="2"/>
  <c r="B2692" i="2" l="1"/>
  <c r="J2691" i="2" s="1"/>
  <c r="J2690" i="2"/>
  <c r="B2693" i="2" l="1"/>
  <c r="K2692" i="2" s="1"/>
  <c r="K2691" i="2"/>
  <c r="B2694" i="2" l="1"/>
  <c r="J2693" i="2" s="1"/>
  <c r="J2692" i="2"/>
  <c r="B2695" i="2" l="1"/>
  <c r="K2694" i="2" s="1"/>
  <c r="K2693" i="2"/>
  <c r="B2696" i="2" l="1"/>
  <c r="J2695" i="2" s="1"/>
  <c r="J2694" i="2"/>
  <c r="B2697" i="2" l="1"/>
  <c r="K2696" i="2" s="1"/>
  <c r="K2695" i="2"/>
  <c r="B2698" i="2" l="1"/>
  <c r="J2697" i="2" s="1"/>
  <c r="J2696" i="2"/>
  <c r="B2699" i="2" l="1"/>
  <c r="K2698" i="2" s="1"/>
  <c r="K2697" i="2"/>
  <c r="B2700" i="2" l="1"/>
  <c r="J2699" i="2" s="1"/>
  <c r="J2698" i="2"/>
  <c r="B2701" i="2" l="1"/>
  <c r="K2700" i="2" s="1"/>
  <c r="K2699" i="2"/>
  <c r="B2702" i="2" l="1"/>
  <c r="J2701" i="2" s="1"/>
  <c r="J2700" i="2"/>
  <c r="B2703" i="2" l="1"/>
  <c r="K2702" i="2" s="1"/>
  <c r="K2701" i="2"/>
  <c r="B2704" i="2" l="1"/>
  <c r="J2703" i="2" s="1"/>
  <c r="J2702" i="2"/>
  <c r="B2705" i="2" l="1"/>
  <c r="K2704" i="2" s="1"/>
  <c r="K2703" i="2"/>
  <c r="B2706" i="2" l="1"/>
  <c r="J2705" i="2" s="1"/>
  <c r="J2704" i="2"/>
  <c r="B2707" i="2" l="1"/>
  <c r="K2706" i="2" s="1"/>
  <c r="K2705" i="2"/>
  <c r="B2708" i="2" l="1"/>
  <c r="K2707" i="2" s="1"/>
  <c r="J2706" i="2"/>
  <c r="J2707" i="2" l="1"/>
  <c r="B2709" i="2"/>
  <c r="K2708" i="2" s="1"/>
  <c r="B2710" i="2" l="1"/>
  <c r="J2709" i="2" s="1"/>
  <c r="J2708" i="2"/>
  <c r="B2711" i="2" l="1"/>
  <c r="K2710" i="2" s="1"/>
  <c r="K2709" i="2"/>
  <c r="B2712" i="2" l="1"/>
  <c r="K2711" i="2" s="1"/>
  <c r="J2710" i="2"/>
  <c r="J2711" i="2" l="1"/>
  <c r="B2713" i="2"/>
  <c r="K2712" i="2" s="1"/>
  <c r="B2714" i="2" l="1"/>
  <c r="J2713" i="2" s="1"/>
  <c r="J2712" i="2"/>
  <c r="B2715" i="2" l="1"/>
  <c r="K2714" i="2" s="1"/>
  <c r="K2713" i="2"/>
  <c r="B2716" i="2" l="1"/>
  <c r="J2715" i="2" s="1"/>
  <c r="J2714" i="2"/>
  <c r="B2717" i="2" l="1"/>
  <c r="K2716" i="2" s="1"/>
  <c r="K2715" i="2"/>
  <c r="B2718" i="2" l="1"/>
  <c r="J2717" i="2" s="1"/>
  <c r="J2716" i="2"/>
  <c r="B2719" i="2" l="1"/>
  <c r="K2718" i="2" s="1"/>
  <c r="K2717" i="2"/>
  <c r="B2720" i="2" l="1"/>
  <c r="J2719" i="2" s="1"/>
  <c r="J2718" i="2"/>
  <c r="B2721" i="2" l="1"/>
  <c r="K2720" i="2" s="1"/>
  <c r="K2719" i="2"/>
  <c r="B2722" i="2" l="1"/>
  <c r="J2721" i="2" s="1"/>
  <c r="J2720" i="2"/>
  <c r="B2723" i="2" l="1"/>
  <c r="K2722" i="2" s="1"/>
  <c r="K2721" i="2"/>
  <c r="B2724" i="2" l="1"/>
  <c r="J2723" i="2" s="1"/>
  <c r="J2722" i="2"/>
  <c r="B2725" i="2" l="1"/>
  <c r="K2724" i="2" s="1"/>
  <c r="K2723" i="2"/>
  <c r="B2726" i="2" l="1"/>
  <c r="K2725" i="2" s="1"/>
  <c r="J2724" i="2"/>
  <c r="J2725" i="2" l="1"/>
  <c r="B2727" i="2"/>
  <c r="K2726" i="2" s="1"/>
  <c r="B2728" i="2" l="1"/>
  <c r="J2727" i="2" s="1"/>
  <c r="J2726" i="2"/>
  <c r="B2729" i="2" l="1"/>
  <c r="K2728" i="2" s="1"/>
  <c r="K2727" i="2"/>
  <c r="B2730" i="2" l="1"/>
  <c r="J2729" i="2" s="1"/>
  <c r="J2728" i="2"/>
  <c r="B2731" i="2" l="1"/>
  <c r="K2730" i="2" s="1"/>
  <c r="K2729" i="2"/>
  <c r="B2732" i="2" l="1"/>
  <c r="J2731" i="2" s="1"/>
  <c r="J2730" i="2"/>
  <c r="B2733" i="2" l="1"/>
  <c r="K2732" i="2" s="1"/>
  <c r="K2731" i="2"/>
  <c r="B2734" i="2" l="1"/>
  <c r="J2733" i="2" s="1"/>
  <c r="J2732" i="2"/>
  <c r="B2735" i="2" l="1"/>
  <c r="K2734" i="2" s="1"/>
  <c r="K2733" i="2"/>
  <c r="B2736" i="2" l="1"/>
  <c r="J2735" i="2" s="1"/>
  <c r="J2734" i="2"/>
  <c r="B2737" i="2" l="1"/>
  <c r="K2736" i="2" s="1"/>
  <c r="K2735" i="2"/>
  <c r="B2738" i="2" l="1"/>
  <c r="J2737" i="2" s="1"/>
  <c r="J2736" i="2"/>
  <c r="B2739" i="2" l="1"/>
  <c r="K2738" i="2" s="1"/>
  <c r="K2737" i="2"/>
  <c r="B2740" i="2" l="1"/>
  <c r="J2739" i="2" s="1"/>
  <c r="J2738" i="2"/>
  <c r="B2741" i="2" l="1"/>
  <c r="K2740" i="2" s="1"/>
  <c r="K2739" i="2"/>
  <c r="B2742" i="2" l="1"/>
  <c r="J2741" i="2" s="1"/>
  <c r="J2740" i="2"/>
  <c r="B2743" i="2" l="1"/>
  <c r="K2742" i="2" s="1"/>
  <c r="K2741" i="2"/>
  <c r="B2744" i="2" l="1"/>
  <c r="K2743" i="2" s="1"/>
  <c r="J2742" i="2"/>
  <c r="J2743" i="2" l="1"/>
  <c r="B2745" i="2"/>
  <c r="K2744" i="2" s="1"/>
  <c r="B2746" i="2" l="1"/>
  <c r="J2745" i="2" s="1"/>
  <c r="J2744" i="2"/>
  <c r="B2747" i="2" l="1"/>
  <c r="K2746" i="2" s="1"/>
  <c r="K2745" i="2"/>
  <c r="B2748" i="2" l="1"/>
  <c r="J2747" i="2" s="1"/>
  <c r="J2746" i="2"/>
  <c r="B2749" i="2" l="1"/>
  <c r="K2748" i="2" s="1"/>
  <c r="K2747" i="2"/>
  <c r="B2750" i="2" l="1"/>
  <c r="J2749" i="2" s="1"/>
  <c r="J2748" i="2"/>
  <c r="B2751" i="2" l="1"/>
  <c r="K2750" i="2" s="1"/>
  <c r="K2749" i="2"/>
  <c r="B2752" i="2" l="1"/>
  <c r="J2751" i="2" s="1"/>
  <c r="J2750" i="2"/>
  <c r="B2753" i="2" l="1"/>
  <c r="K2752" i="2" s="1"/>
  <c r="K2751" i="2"/>
  <c r="B2754" i="2" l="1"/>
  <c r="J2753" i="2" s="1"/>
  <c r="J2752" i="2"/>
  <c r="B2755" i="2" l="1"/>
  <c r="K2754" i="2" s="1"/>
  <c r="K2753" i="2"/>
  <c r="B2756" i="2" l="1"/>
  <c r="J2755" i="2" s="1"/>
  <c r="J2754" i="2"/>
  <c r="B2757" i="2" l="1"/>
  <c r="K2756" i="2" s="1"/>
  <c r="K2755" i="2"/>
  <c r="B2758" i="2" l="1"/>
  <c r="J2757" i="2" s="1"/>
  <c r="J2756" i="2"/>
  <c r="B2759" i="2" l="1"/>
  <c r="K2758" i="2" s="1"/>
  <c r="K2757" i="2"/>
  <c r="B2760" i="2" l="1"/>
  <c r="J2759" i="2" s="1"/>
  <c r="J2758" i="2"/>
  <c r="B2761" i="2" l="1"/>
  <c r="K2760" i="2" s="1"/>
  <c r="K2759" i="2"/>
  <c r="B2762" i="2" l="1"/>
  <c r="J2761" i="2" s="1"/>
  <c r="J2760" i="2"/>
  <c r="B2763" i="2" l="1"/>
  <c r="K2762" i="2" s="1"/>
  <c r="K2761" i="2"/>
  <c r="B2764" i="2" l="1"/>
  <c r="J2763" i="2" s="1"/>
  <c r="J2762" i="2"/>
  <c r="B2765" i="2" l="1"/>
  <c r="K2764" i="2" s="1"/>
  <c r="K2763" i="2"/>
  <c r="B2766" i="2" l="1"/>
  <c r="J2765" i="2" s="1"/>
  <c r="J2764" i="2"/>
  <c r="B2767" i="2" l="1"/>
  <c r="K2766" i="2" s="1"/>
  <c r="K2765" i="2"/>
  <c r="B2768" i="2" l="1"/>
  <c r="J2767" i="2" s="1"/>
  <c r="J2766" i="2"/>
  <c r="B2769" i="2" l="1"/>
  <c r="K2768" i="2" s="1"/>
  <c r="K2767" i="2"/>
  <c r="B2770" i="2" l="1"/>
  <c r="J2769" i="2" s="1"/>
  <c r="J2768" i="2"/>
  <c r="B2771" i="2" l="1"/>
  <c r="K2770" i="2" s="1"/>
  <c r="K2769" i="2"/>
  <c r="B2772" i="2" l="1"/>
  <c r="J2771" i="2" s="1"/>
  <c r="J2770" i="2"/>
  <c r="B2773" i="2" l="1"/>
  <c r="K2772" i="2" s="1"/>
  <c r="K2771" i="2"/>
  <c r="B2774" i="2" l="1"/>
  <c r="J2773" i="2" s="1"/>
  <c r="J2772" i="2"/>
  <c r="B2775" i="2" l="1"/>
  <c r="K2774" i="2" s="1"/>
  <c r="K2773" i="2"/>
  <c r="B2776" i="2" l="1"/>
  <c r="J2775" i="2" s="1"/>
  <c r="J2774" i="2"/>
  <c r="B2777" i="2" l="1"/>
  <c r="K2776" i="2" s="1"/>
  <c r="K2775" i="2"/>
  <c r="B2778" i="2" l="1"/>
  <c r="J2777" i="2" s="1"/>
  <c r="J2776" i="2"/>
  <c r="B2779" i="2" l="1"/>
  <c r="K2778" i="2" s="1"/>
  <c r="K2777" i="2"/>
  <c r="B2780" i="2" l="1"/>
  <c r="J2779" i="2" s="1"/>
  <c r="J2778" i="2"/>
  <c r="B2781" i="2" l="1"/>
  <c r="K2780" i="2" s="1"/>
  <c r="K2779" i="2"/>
  <c r="B2782" i="2" l="1"/>
  <c r="J2781" i="2" s="1"/>
  <c r="J2780" i="2"/>
  <c r="B2783" i="2" l="1"/>
  <c r="K2782" i="2" s="1"/>
  <c r="K2781" i="2"/>
  <c r="B2784" i="2" l="1"/>
  <c r="J2783" i="2" s="1"/>
  <c r="J2782" i="2"/>
  <c r="B2785" i="2" l="1"/>
  <c r="K2784" i="2" s="1"/>
  <c r="K2783" i="2"/>
  <c r="B2786" i="2" l="1"/>
  <c r="J2785" i="2" s="1"/>
  <c r="J2784" i="2"/>
  <c r="B2787" i="2" l="1"/>
  <c r="K2786" i="2" s="1"/>
  <c r="K2785" i="2"/>
  <c r="B2788" i="2" l="1"/>
  <c r="J2787" i="2" s="1"/>
  <c r="J2786" i="2"/>
  <c r="B2789" i="2" l="1"/>
  <c r="K2788" i="2" s="1"/>
  <c r="K2787" i="2"/>
  <c r="B2790" i="2" l="1"/>
  <c r="J2789" i="2" s="1"/>
  <c r="J2788" i="2"/>
  <c r="B2791" i="2" l="1"/>
  <c r="K2790" i="2" s="1"/>
  <c r="K2789" i="2"/>
  <c r="B2792" i="2" l="1"/>
  <c r="J2791" i="2" s="1"/>
  <c r="J2790" i="2"/>
  <c r="B2793" i="2" l="1"/>
  <c r="K2792" i="2" s="1"/>
  <c r="K2791" i="2"/>
  <c r="B2794" i="2" l="1"/>
  <c r="J2793" i="2" s="1"/>
  <c r="J2792" i="2"/>
  <c r="B2795" i="2" l="1"/>
  <c r="K2794" i="2" s="1"/>
  <c r="K2793" i="2"/>
  <c r="B2796" i="2" l="1"/>
  <c r="J2795" i="2" s="1"/>
  <c r="J2794" i="2"/>
  <c r="B2797" i="2" l="1"/>
  <c r="J2796" i="2" s="1"/>
  <c r="K2795" i="2"/>
  <c r="K2796" i="2" l="1"/>
  <c r="B2798" i="2"/>
  <c r="J2797" i="2" s="1"/>
  <c r="B2799" i="2" l="1"/>
  <c r="K2798" i="2" s="1"/>
  <c r="K2797" i="2"/>
  <c r="B2800" i="2" l="1"/>
  <c r="J2799" i="2" s="1"/>
  <c r="J2798" i="2"/>
  <c r="B2801" i="2" l="1"/>
  <c r="K2800" i="2" s="1"/>
  <c r="K2799" i="2"/>
  <c r="B2802" i="2" l="1"/>
  <c r="J2801" i="2" s="1"/>
  <c r="J2800" i="2"/>
  <c r="B2803" i="2" l="1"/>
  <c r="K2802" i="2" s="1"/>
  <c r="K2801" i="2"/>
  <c r="B2804" i="2" l="1"/>
  <c r="J2803" i="2" s="1"/>
  <c r="J2802" i="2"/>
  <c r="B2805" i="2" l="1"/>
  <c r="K2804" i="2" s="1"/>
  <c r="K2803" i="2"/>
  <c r="B2806" i="2" l="1"/>
  <c r="J2805" i="2" s="1"/>
  <c r="J2804" i="2"/>
  <c r="B2807" i="2" l="1"/>
  <c r="K2806" i="2" s="1"/>
  <c r="K2805" i="2"/>
  <c r="B2808" i="2" l="1"/>
  <c r="J2807" i="2" s="1"/>
  <c r="J2806" i="2"/>
  <c r="B2809" i="2" l="1"/>
  <c r="K2808" i="2" s="1"/>
  <c r="K2807" i="2"/>
  <c r="B2810" i="2" l="1"/>
  <c r="J2809" i="2" s="1"/>
  <c r="J2808" i="2"/>
  <c r="B2811" i="2" l="1"/>
  <c r="K2810" i="2" s="1"/>
  <c r="K2809" i="2"/>
  <c r="B2812" i="2" l="1"/>
  <c r="J2811" i="2" s="1"/>
  <c r="J2810" i="2"/>
  <c r="B2813" i="2" l="1"/>
  <c r="K2812" i="2" s="1"/>
  <c r="K2811" i="2"/>
  <c r="B2814" i="2" l="1"/>
  <c r="J2813" i="2" s="1"/>
  <c r="J2812" i="2"/>
  <c r="B2815" i="2" l="1"/>
  <c r="K2814" i="2" s="1"/>
  <c r="K2813" i="2"/>
  <c r="B2816" i="2" l="1"/>
  <c r="J2815" i="2" s="1"/>
  <c r="J2814" i="2"/>
  <c r="B2817" i="2" l="1"/>
  <c r="K2816" i="2" s="1"/>
  <c r="K2815" i="2"/>
  <c r="B2818" i="2" l="1"/>
  <c r="J2817" i="2" s="1"/>
  <c r="J2816" i="2"/>
  <c r="B2819" i="2" l="1"/>
  <c r="K2818" i="2" s="1"/>
  <c r="K2817" i="2"/>
  <c r="B2820" i="2" l="1"/>
  <c r="J2819" i="2" s="1"/>
  <c r="J2818" i="2"/>
  <c r="B2821" i="2" l="1"/>
  <c r="K2820" i="2" s="1"/>
  <c r="K2819" i="2"/>
  <c r="B2822" i="2" l="1"/>
  <c r="J2821" i="2" s="1"/>
  <c r="J2820" i="2"/>
  <c r="B2823" i="2" l="1"/>
  <c r="K2822" i="2" s="1"/>
  <c r="K2821" i="2"/>
  <c r="B2824" i="2" l="1"/>
  <c r="J2823" i="2" s="1"/>
  <c r="J2822" i="2"/>
  <c r="B2825" i="2" l="1"/>
  <c r="K2824" i="2" s="1"/>
  <c r="K2823" i="2"/>
  <c r="B2826" i="2" l="1"/>
  <c r="J2825" i="2" s="1"/>
  <c r="J2824" i="2"/>
  <c r="B2827" i="2" l="1"/>
  <c r="K2826" i="2" s="1"/>
  <c r="K2825" i="2"/>
  <c r="B2828" i="2" l="1"/>
  <c r="J2827" i="2" s="1"/>
  <c r="J2826" i="2"/>
  <c r="B2829" i="2" l="1"/>
  <c r="K2828" i="2" s="1"/>
  <c r="K2827" i="2"/>
  <c r="B2830" i="2" l="1"/>
  <c r="J2829" i="2" s="1"/>
  <c r="J2828" i="2"/>
  <c r="B2831" i="2" l="1"/>
  <c r="K2830" i="2" s="1"/>
  <c r="K2829" i="2"/>
  <c r="B2832" i="2" l="1"/>
  <c r="J2831" i="2" s="1"/>
  <c r="J2830" i="2"/>
  <c r="B2833" i="2" l="1"/>
  <c r="K2832" i="2" s="1"/>
  <c r="K2831" i="2"/>
  <c r="B2834" i="2" l="1"/>
  <c r="K2833" i="2" s="1"/>
  <c r="J2832" i="2"/>
  <c r="J2833" i="2" l="1"/>
  <c r="B2835" i="2"/>
  <c r="K2834" i="2" s="1"/>
  <c r="B2836" i="2" l="1"/>
  <c r="J2835" i="2" s="1"/>
  <c r="J2834" i="2"/>
  <c r="B2837" i="2" l="1"/>
  <c r="K2836" i="2" s="1"/>
  <c r="K2835" i="2"/>
  <c r="B2838" i="2" l="1"/>
  <c r="J2837" i="2" s="1"/>
  <c r="J2836" i="2"/>
  <c r="B2839" i="2" l="1"/>
  <c r="K2838" i="2" s="1"/>
  <c r="K2837" i="2"/>
  <c r="B2840" i="2" l="1"/>
  <c r="J2839" i="2" s="1"/>
  <c r="J2838" i="2"/>
  <c r="B2841" i="2" l="1"/>
  <c r="K2840" i="2" s="1"/>
  <c r="K2839" i="2"/>
  <c r="B2842" i="2" l="1"/>
  <c r="J2841" i="2" s="1"/>
  <c r="J2840" i="2"/>
  <c r="B2843" i="2" l="1"/>
  <c r="K2842" i="2" s="1"/>
  <c r="K2841" i="2"/>
  <c r="B2844" i="2" l="1"/>
  <c r="J2843" i="2" s="1"/>
  <c r="J2842" i="2"/>
  <c r="B2845" i="2" l="1"/>
  <c r="K2844" i="2" s="1"/>
  <c r="K2843" i="2"/>
  <c r="B2846" i="2" l="1"/>
  <c r="J2845" i="2" s="1"/>
  <c r="J2844" i="2"/>
  <c r="B2847" i="2" l="1"/>
  <c r="K2846" i="2" s="1"/>
  <c r="K2845" i="2"/>
  <c r="B2848" i="2" l="1"/>
  <c r="J2847" i="2" s="1"/>
  <c r="J2846" i="2"/>
  <c r="B2849" i="2" l="1"/>
  <c r="K2848" i="2" s="1"/>
  <c r="K2847" i="2"/>
  <c r="B2850" i="2" l="1"/>
  <c r="J2849" i="2" s="1"/>
  <c r="J2848" i="2"/>
  <c r="B2851" i="2" l="1"/>
  <c r="K2850" i="2" s="1"/>
  <c r="K2849" i="2"/>
  <c r="B2852" i="2" l="1"/>
  <c r="J2851" i="2" s="1"/>
  <c r="J2850" i="2"/>
  <c r="B2853" i="2" l="1"/>
  <c r="K2852" i="2" s="1"/>
  <c r="K2851" i="2"/>
  <c r="B2854" i="2" l="1"/>
  <c r="J2853" i="2" s="1"/>
  <c r="J2852" i="2"/>
  <c r="B2855" i="2" l="1"/>
  <c r="K2854" i="2" s="1"/>
  <c r="K2853" i="2"/>
  <c r="B2856" i="2" l="1"/>
  <c r="J2855" i="2" s="1"/>
  <c r="J2854" i="2"/>
  <c r="B2857" i="2" l="1"/>
  <c r="K2856" i="2" s="1"/>
  <c r="K2855" i="2"/>
  <c r="B2858" i="2" l="1"/>
  <c r="K2857" i="2" s="1"/>
  <c r="J2856" i="2"/>
  <c r="J2857" i="2" l="1"/>
  <c r="B2859" i="2"/>
  <c r="K2858" i="2" s="1"/>
  <c r="B2860" i="2" l="1"/>
  <c r="J2859" i="2" s="1"/>
  <c r="J2858" i="2"/>
  <c r="B2861" i="2" l="1"/>
  <c r="K2860" i="2" s="1"/>
  <c r="K2859" i="2"/>
  <c r="B2862" i="2" l="1"/>
  <c r="J2861" i="2" s="1"/>
  <c r="J2860" i="2"/>
  <c r="B2863" i="2" l="1"/>
  <c r="K2862" i="2" s="1"/>
  <c r="K2861" i="2"/>
  <c r="B2864" i="2" l="1"/>
  <c r="J2863" i="2" s="1"/>
  <c r="J2862" i="2"/>
  <c r="B2865" i="2" l="1"/>
  <c r="K2864" i="2" s="1"/>
  <c r="K2863" i="2"/>
  <c r="B2866" i="2" l="1"/>
  <c r="J2865" i="2" s="1"/>
  <c r="J2864" i="2"/>
  <c r="B2867" i="2" l="1"/>
  <c r="K2866" i="2" s="1"/>
  <c r="K2865" i="2"/>
  <c r="B2868" i="2" l="1"/>
  <c r="J2867" i="2" s="1"/>
  <c r="J2866" i="2"/>
  <c r="B2869" i="2" l="1"/>
  <c r="K2868" i="2" s="1"/>
  <c r="K2867" i="2"/>
  <c r="B2870" i="2" l="1"/>
  <c r="K2869" i="2" s="1"/>
  <c r="J2868" i="2"/>
  <c r="J2869" i="2" l="1"/>
  <c r="B2871" i="2"/>
  <c r="K2870" i="2" s="1"/>
  <c r="B2872" i="2" l="1"/>
  <c r="J2871" i="2" s="1"/>
  <c r="J2870" i="2"/>
  <c r="B2873" i="2" l="1"/>
  <c r="K2872" i="2" s="1"/>
  <c r="K2871" i="2"/>
  <c r="B2874" i="2" l="1"/>
  <c r="J2873" i="2" s="1"/>
  <c r="J2872" i="2"/>
  <c r="B2875" i="2" l="1"/>
  <c r="K2874" i="2" s="1"/>
  <c r="K2873" i="2"/>
  <c r="B2876" i="2" l="1"/>
  <c r="J2875" i="2" s="1"/>
  <c r="J2874" i="2"/>
  <c r="B2877" i="2" l="1"/>
  <c r="K2876" i="2" s="1"/>
  <c r="K2875" i="2"/>
  <c r="B2878" i="2" l="1"/>
  <c r="J2877" i="2" s="1"/>
  <c r="J2876" i="2"/>
  <c r="B2879" i="2" l="1"/>
  <c r="K2878" i="2" s="1"/>
  <c r="K2877" i="2"/>
  <c r="B2880" i="2" l="1"/>
  <c r="J2879" i="2" s="1"/>
  <c r="J2878" i="2"/>
  <c r="B2881" i="2" l="1"/>
  <c r="K2880" i="2" s="1"/>
  <c r="K2879" i="2"/>
  <c r="B2882" i="2" l="1"/>
  <c r="J2881" i="2" s="1"/>
  <c r="J2880" i="2"/>
  <c r="B2883" i="2" l="1"/>
  <c r="K2882" i="2" s="1"/>
  <c r="K2881" i="2"/>
  <c r="B2884" i="2" l="1"/>
  <c r="J2883" i="2" s="1"/>
  <c r="J2882" i="2"/>
  <c r="B2885" i="2" l="1"/>
  <c r="K2884" i="2" s="1"/>
  <c r="K2883" i="2"/>
  <c r="B2886" i="2" l="1"/>
  <c r="J2885" i="2" s="1"/>
  <c r="J2884" i="2"/>
  <c r="B2887" i="2" l="1"/>
  <c r="K2886" i="2" s="1"/>
  <c r="K2885" i="2"/>
  <c r="B2888" i="2" l="1"/>
  <c r="K2887" i="2" s="1"/>
  <c r="J2886" i="2"/>
  <c r="J2887" i="2" l="1"/>
  <c r="B2889" i="2"/>
  <c r="K2888" i="2" s="1"/>
  <c r="B2890" i="2" l="1"/>
  <c r="J2889" i="2" s="1"/>
  <c r="J2888" i="2"/>
  <c r="B2891" i="2" l="1"/>
  <c r="K2890" i="2" s="1"/>
  <c r="K2889" i="2"/>
  <c r="B2892" i="2" l="1"/>
  <c r="J2891" i="2" s="1"/>
  <c r="J2890" i="2"/>
  <c r="B2893" i="2" l="1"/>
  <c r="K2892" i="2" s="1"/>
  <c r="K2891" i="2"/>
  <c r="B2894" i="2" l="1"/>
  <c r="J2893" i="2" s="1"/>
  <c r="J2892" i="2"/>
  <c r="B2895" i="2" l="1"/>
  <c r="K2894" i="2" s="1"/>
  <c r="K2893" i="2"/>
  <c r="B2896" i="2" l="1"/>
  <c r="J2895" i="2" s="1"/>
  <c r="J2894" i="2"/>
  <c r="B2897" i="2" l="1"/>
  <c r="K2896" i="2" s="1"/>
  <c r="K2895" i="2"/>
  <c r="B2898" i="2" l="1"/>
  <c r="J2897" i="2" s="1"/>
  <c r="J2896" i="2"/>
  <c r="B2899" i="2" l="1"/>
  <c r="K2898" i="2" s="1"/>
  <c r="K2897" i="2"/>
  <c r="B2900" i="2" l="1"/>
  <c r="K2899" i="2" s="1"/>
  <c r="J2898" i="2"/>
  <c r="J2899" i="2" l="1"/>
  <c r="B2901" i="2"/>
  <c r="K2900" i="2" s="1"/>
  <c r="B2902" i="2" l="1"/>
  <c r="J2901" i="2" s="1"/>
  <c r="J2900" i="2"/>
  <c r="B2903" i="2" l="1"/>
  <c r="K2902" i="2" s="1"/>
  <c r="K2901" i="2"/>
  <c r="B2904" i="2" l="1"/>
  <c r="J2903" i="2" s="1"/>
  <c r="J2902" i="2"/>
  <c r="B2905" i="2" l="1"/>
  <c r="K2904" i="2" s="1"/>
  <c r="K2903" i="2"/>
  <c r="B2906" i="2" l="1"/>
  <c r="K2905" i="2" s="1"/>
  <c r="J2904" i="2"/>
  <c r="J2905" i="2" l="1"/>
  <c r="B2907" i="2"/>
  <c r="K2906" i="2" s="1"/>
  <c r="B2908" i="2" l="1"/>
  <c r="J2907" i="2" s="1"/>
  <c r="J2906" i="2"/>
  <c r="B2909" i="2" l="1"/>
  <c r="K2908" i="2" s="1"/>
  <c r="K2907" i="2"/>
  <c r="B2910" i="2" l="1"/>
  <c r="J2909" i="2" s="1"/>
  <c r="J2908" i="2"/>
  <c r="B2911" i="2" l="1"/>
  <c r="K2910" i="2" s="1"/>
  <c r="K2909" i="2"/>
  <c r="B2912" i="2" l="1"/>
  <c r="J2911" i="2" s="1"/>
  <c r="J2910" i="2"/>
  <c r="B2913" i="2" l="1"/>
  <c r="K2912" i="2" s="1"/>
  <c r="K2911" i="2"/>
  <c r="B2914" i="2" l="1"/>
  <c r="J2913" i="2" s="1"/>
  <c r="J2912" i="2"/>
  <c r="B2915" i="2" l="1"/>
  <c r="K2914" i="2" s="1"/>
  <c r="K2913" i="2"/>
  <c r="B2916" i="2" l="1"/>
  <c r="J2915" i="2" s="1"/>
  <c r="J2914" i="2"/>
  <c r="B2917" i="2" l="1"/>
  <c r="K2916" i="2" s="1"/>
  <c r="K2915" i="2"/>
  <c r="B2918" i="2" l="1"/>
  <c r="J2917" i="2" s="1"/>
  <c r="J2916" i="2"/>
  <c r="B2919" i="2" l="1"/>
  <c r="K2918" i="2" s="1"/>
  <c r="K2917" i="2"/>
  <c r="B2920" i="2" l="1"/>
  <c r="J2919" i="2" s="1"/>
  <c r="J2918" i="2"/>
  <c r="B2921" i="2" l="1"/>
  <c r="K2920" i="2" s="1"/>
  <c r="K2919" i="2"/>
  <c r="B2922" i="2" l="1"/>
  <c r="J2921" i="2" s="1"/>
  <c r="J2920" i="2"/>
  <c r="B2923" i="2" l="1"/>
  <c r="K2922" i="2" s="1"/>
  <c r="K2921" i="2"/>
  <c r="B2924" i="2" l="1"/>
  <c r="K2923" i="2" s="1"/>
  <c r="J2922" i="2"/>
  <c r="J2923" i="2" l="1"/>
  <c r="B2925" i="2"/>
  <c r="K2924" i="2" s="1"/>
  <c r="B2926" i="2" l="1"/>
  <c r="J2925" i="2" s="1"/>
  <c r="J2924" i="2"/>
  <c r="B2927" i="2" l="1"/>
  <c r="K2926" i="2" s="1"/>
  <c r="K2925" i="2"/>
  <c r="B2928" i="2" l="1"/>
  <c r="J2927" i="2" s="1"/>
  <c r="J2926" i="2"/>
  <c r="B2929" i="2" l="1"/>
  <c r="K2928" i="2" s="1"/>
  <c r="K2927" i="2"/>
  <c r="B2930" i="2" l="1"/>
  <c r="J2929" i="2" s="1"/>
  <c r="J2928" i="2"/>
  <c r="B2931" i="2" l="1"/>
  <c r="K2930" i="2" s="1"/>
  <c r="K2929" i="2"/>
  <c r="B2932" i="2" l="1"/>
  <c r="J2931" i="2" s="1"/>
  <c r="J2930" i="2"/>
  <c r="B2933" i="2" l="1"/>
  <c r="K2932" i="2" s="1"/>
  <c r="K2931" i="2"/>
  <c r="B2934" i="2" l="1"/>
  <c r="J2933" i="2" s="1"/>
  <c r="J2932" i="2"/>
  <c r="B2935" i="2" l="1"/>
  <c r="K2934" i="2" s="1"/>
  <c r="K2933" i="2"/>
  <c r="B2936" i="2" l="1"/>
  <c r="J2935" i="2" s="1"/>
  <c r="J2934" i="2"/>
  <c r="B2937" i="2" l="1"/>
  <c r="K2936" i="2" s="1"/>
  <c r="K2935" i="2"/>
  <c r="B2938" i="2" l="1"/>
  <c r="J2937" i="2" s="1"/>
  <c r="J2936" i="2"/>
  <c r="B2939" i="2" l="1"/>
  <c r="K2938" i="2" s="1"/>
  <c r="K2937" i="2"/>
  <c r="B2940" i="2" l="1"/>
  <c r="J2939" i="2" s="1"/>
  <c r="J2938" i="2"/>
  <c r="B2941" i="2" l="1"/>
  <c r="K2940" i="2" s="1"/>
  <c r="K2939" i="2"/>
  <c r="B2942" i="2" l="1"/>
  <c r="J2941" i="2" s="1"/>
  <c r="J2940" i="2"/>
  <c r="B2943" i="2" l="1"/>
  <c r="K2942" i="2" s="1"/>
  <c r="K2941" i="2"/>
  <c r="B2944" i="2" l="1"/>
  <c r="J2943" i="2" s="1"/>
  <c r="J2942" i="2"/>
  <c r="B2945" i="2" l="1"/>
  <c r="K2944" i="2" s="1"/>
  <c r="K2943" i="2"/>
  <c r="B2946" i="2" l="1"/>
  <c r="J2945" i="2" s="1"/>
  <c r="J2944" i="2"/>
  <c r="B2947" i="2" l="1"/>
  <c r="K2946" i="2" s="1"/>
  <c r="K2945" i="2"/>
  <c r="B2948" i="2" l="1"/>
  <c r="J2947" i="2" s="1"/>
  <c r="J2946" i="2"/>
  <c r="B2949" i="2" l="1"/>
  <c r="K2948" i="2" s="1"/>
  <c r="K2947" i="2"/>
  <c r="B2950" i="2" l="1"/>
  <c r="J2949" i="2" s="1"/>
  <c r="J2948" i="2"/>
  <c r="B2951" i="2" l="1"/>
  <c r="K2950" i="2" s="1"/>
  <c r="K2949" i="2"/>
  <c r="B2952" i="2" l="1"/>
  <c r="J2951" i="2" s="1"/>
  <c r="J2950" i="2"/>
  <c r="B2953" i="2" l="1"/>
  <c r="K2952" i="2" s="1"/>
  <c r="K2951" i="2"/>
  <c r="B2954" i="2" l="1"/>
  <c r="J2953" i="2" s="1"/>
  <c r="J2952" i="2"/>
  <c r="B2955" i="2" l="1"/>
  <c r="K2954" i="2" s="1"/>
  <c r="K2953" i="2"/>
  <c r="B2956" i="2" l="1"/>
  <c r="J2955" i="2" s="1"/>
  <c r="J2954" i="2"/>
  <c r="B2957" i="2" l="1"/>
  <c r="K2956" i="2" s="1"/>
  <c r="K2955" i="2"/>
  <c r="B2958" i="2" l="1"/>
  <c r="J2957" i="2" s="1"/>
  <c r="J2956" i="2"/>
  <c r="B2959" i="2" l="1"/>
  <c r="K2958" i="2" s="1"/>
  <c r="K2957" i="2"/>
  <c r="B2960" i="2" l="1"/>
  <c r="K2959" i="2" s="1"/>
  <c r="J2958" i="2"/>
  <c r="J2959" i="2" l="1"/>
  <c r="B2961" i="2"/>
  <c r="K2960" i="2" s="1"/>
  <c r="B2962" i="2" l="1"/>
  <c r="J2961" i="2" s="1"/>
  <c r="J2960" i="2"/>
  <c r="B2963" i="2" l="1"/>
  <c r="K2962" i="2" s="1"/>
  <c r="K2961" i="2"/>
  <c r="B2964" i="2" l="1"/>
  <c r="J2963" i="2" s="1"/>
  <c r="J2962" i="2"/>
  <c r="B2965" i="2" l="1"/>
  <c r="K2964" i="2" s="1"/>
  <c r="K2963" i="2"/>
  <c r="B2966" i="2" l="1"/>
  <c r="J2964" i="2"/>
  <c r="B2967" i="2" l="1"/>
  <c r="K2966" i="2" s="1"/>
  <c r="J2965" i="2"/>
  <c r="K2965" i="2"/>
  <c r="B2968" i="2" l="1"/>
  <c r="J2967" i="2" s="1"/>
  <c r="J2966" i="2"/>
  <c r="B2969" i="2" l="1"/>
  <c r="K2968" i="2" s="1"/>
  <c r="K2967" i="2"/>
  <c r="B2970" i="2" l="1"/>
  <c r="J2969" i="2" s="1"/>
  <c r="J2968" i="2"/>
  <c r="B2971" i="2" l="1"/>
  <c r="K2970" i="2" s="1"/>
  <c r="K2969" i="2"/>
  <c r="B2972" i="2" l="1"/>
  <c r="J2971" i="2" s="1"/>
  <c r="J2970" i="2"/>
  <c r="B2973" i="2" l="1"/>
  <c r="K2972" i="2" s="1"/>
  <c r="K2971" i="2"/>
  <c r="B2974" i="2" l="1"/>
  <c r="J2973" i="2" s="1"/>
  <c r="J2972" i="2"/>
  <c r="B2975" i="2" l="1"/>
  <c r="K2974" i="2" s="1"/>
  <c r="K2973" i="2"/>
  <c r="B2976" i="2" l="1"/>
  <c r="J2975" i="2" s="1"/>
  <c r="J2974" i="2"/>
  <c r="B2977" i="2" l="1"/>
  <c r="K2976" i="2" s="1"/>
  <c r="K2975" i="2"/>
  <c r="B2978" i="2" l="1"/>
  <c r="K2977" i="2" s="1"/>
  <c r="J2976" i="2"/>
  <c r="J2977" i="2" l="1"/>
  <c r="B2979" i="2"/>
  <c r="K2978" i="2" s="1"/>
  <c r="B2980" i="2" l="1"/>
  <c r="J2979" i="2" s="1"/>
  <c r="J2978" i="2"/>
  <c r="B2981" i="2" l="1"/>
  <c r="K2980" i="2" s="1"/>
  <c r="K2979" i="2"/>
  <c r="B2982" i="2" l="1"/>
  <c r="J2981" i="2" s="1"/>
  <c r="J2980" i="2"/>
  <c r="B2983" i="2" l="1"/>
  <c r="K2982" i="2" s="1"/>
  <c r="K2981" i="2"/>
  <c r="B2984" i="2" l="1"/>
  <c r="J2983" i="2" s="1"/>
  <c r="J2982" i="2"/>
  <c r="B2985" i="2" l="1"/>
  <c r="K2984" i="2" s="1"/>
  <c r="K2983" i="2"/>
  <c r="B2986" i="2" l="1"/>
  <c r="J2985" i="2" s="1"/>
  <c r="J2984" i="2"/>
  <c r="B2987" i="2" l="1"/>
  <c r="K2986" i="2" s="1"/>
  <c r="K2985" i="2"/>
  <c r="B2988" i="2" l="1"/>
  <c r="J2987" i="2" s="1"/>
  <c r="J2986" i="2"/>
  <c r="B2989" i="2" l="1"/>
  <c r="K2988" i="2" s="1"/>
  <c r="K2987" i="2"/>
  <c r="B2990" i="2" l="1"/>
  <c r="J2989" i="2" s="1"/>
  <c r="J2988" i="2"/>
  <c r="B2991" i="2" l="1"/>
  <c r="K2989" i="2"/>
  <c r="B2992" i="2" l="1"/>
  <c r="J2991" i="2" s="1"/>
  <c r="K2990" i="2"/>
  <c r="J2990" i="2"/>
  <c r="B2993" i="2" l="1"/>
  <c r="K2992" i="2" s="1"/>
  <c r="K2991" i="2"/>
  <c r="B2994" i="2" l="1"/>
  <c r="J2993" i="2" s="1"/>
  <c r="J2992" i="2"/>
  <c r="B2995" i="2" l="1"/>
  <c r="K2994" i="2" s="1"/>
  <c r="K2993" i="2"/>
  <c r="B2996" i="2" l="1"/>
  <c r="J2995" i="2" s="1"/>
  <c r="J2994" i="2"/>
  <c r="B2997" i="2" l="1"/>
  <c r="K2996" i="2" s="1"/>
  <c r="K2995" i="2"/>
  <c r="B2998" i="2" l="1"/>
  <c r="J2997" i="2" s="1"/>
  <c r="J2996" i="2"/>
  <c r="B2999" i="2" l="1"/>
  <c r="K2998" i="2" s="1"/>
  <c r="K2997" i="2"/>
  <c r="B3000" i="2" l="1"/>
  <c r="J2999" i="2" s="1"/>
  <c r="J2998" i="2"/>
  <c r="B3001" i="2" l="1"/>
  <c r="K3000" i="2" s="1"/>
  <c r="K2999" i="2"/>
  <c r="B3002" i="2" l="1"/>
  <c r="J3001" i="2" s="1"/>
  <c r="J3000" i="2"/>
  <c r="B3003" i="2" l="1"/>
  <c r="K3002" i="2" s="1"/>
  <c r="K3001" i="2"/>
  <c r="B3004" i="2" l="1"/>
  <c r="J3003" i="2" s="1"/>
  <c r="J3002" i="2"/>
  <c r="B3005" i="2" l="1"/>
  <c r="K3004" i="2" s="1"/>
  <c r="K3003" i="2"/>
  <c r="B3006" i="2" l="1"/>
  <c r="J3005" i="2" s="1"/>
  <c r="J3004" i="2"/>
  <c r="B3007" i="2" l="1"/>
  <c r="K3006" i="2" s="1"/>
  <c r="K3005" i="2"/>
  <c r="B3008" i="2" l="1"/>
  <c r="J3007" i="2" s="1"/>
  <c r="J3006" i="2"/>
  <c r="B3009" i="2" l="1"/>
  <c r="K3008" i="2" s="1"/>
  <c r="K3007" i="2"/>
  <c r="B3010" i="2" l="1"/>
  <c r="J3009" i="2" s="1"/>
  <c r="J3008" i="2"/>
  <c r="B3011" i="2" l="1"/>
  <c r="K3010" i="2" s="1"/>
  <c r="K3009" i="2"/>
  <c r="B3012" i="2" l="1"/>
  <c r="J3011" i="2" s="1"/>
  <c r="J3010" i="2"/>
  <c r="B3013" i="2" l="1"/>
  <c r="K3012" i="2" s="1"/>
  <c r="K3011" i="2"/>
  <c r="B3014" i="2" l="1"/>
  <c r="K3013" i="2" s="1"/>
  <c r="J3012" i="2"/>
  <c r="J3013" i="2" l="1"/>
  <c r="B3015" i="2"/>
  <c r="K3014" i="2" s="1"/>
  <c r="B3016" i="2" l="1"/>
  <c r="J3015" i="2" s="1"/>
  <c r="J3014" i="2"/>
  <c r="B3017" i="2" l="1"/>
  <c r="K3016" i="2" s="1"/>
  <c r="K3015" i="2"/>
  <c r="B3018" i="2" l="1"/>
  <c r="J3017" i="2" s="1"/>
  <c r="J3016" i="2"/>
  <c r="B3019" i="2" l="1"/>
  <c r="K3018" i="2" s="1"/>
  <c r="K3017" i="2"/>
  <c r="B3020" i="2" l="1"/>
  <c r="J3019" i="2" s="1"/>
  <c r="J3018" i="2"/>
  <c r="B3021" i="2" l="1"/>
  <c r="K3020" i="2" s="1"/>
  <c r="K3019" i="2"/>
  <c r="B3022" i="2" l="1"/>
  <c r="J3021" i="2" s="1"/>
  <c r="J3020" i="2"/>
  <c r="B3023" i="2" l="1"/>
  <c r="K3022" i="2" s="1"/>
  <c r="K3021" i="2"/>
  <c r="B3024" i="2" l="1"/>
  <c r="J3023" i="2" s="1"/>
  <c r="J3022" i="2"/>
  <c r="B3025" i="2" l="1"/>
  <c r="K3024" i="2" s="1"/>
  <c r="K3023" i="2"/>
  <c r="B3026" i="2" l="1"/>
  <c r="J3025" i="2" s="1"/>
  <c r="J3024" i="2"/>
  <c r="B3027" i="2" l="1"/>
  <c r="K3026" i="2" s="1"/>
  <c r="K3025" i="2"/>
  <c r="B3028" i="2" l="1"/>
  <c r="J3027" i="2" s="1"/>
  <c r="J3026" i="2"/>
  <c r="B3029" i="2" l="1"/>
  <c r="K3028" i="2" s="1"/>
  <c r="K3027" i="2"/>
  <c r="B3030" i="2" l="1"/>
  <c r="J3029" i="2" s="1"/>
  <c r="J3028" i="2"/>
  <c r="B3031" i="2" l="1"/>
  <c r="K3030" i="2" s="1"/>
  <c r="K3029" i="2"/>
  <c r="B3032" i="2" l="1"/>
  <c r="J3031" i="2" s="1"/>
  <c r="J3030" i="2"/>
  <c r="B3033" i="2" l="1"/>
  <c r="K3032" i="2" s="1"/>
  <c r="K3031" i="2"/>
  <c r="B3034" i="2" l="1"/>
  <c r="J3033" i="2" s="1"/>
  <c r="J3032" i="2"/>
  <c r="B3035" i="2" l="1"/>
  <c r="J3034" i="2" s="1"/>
  <c r="K3033" i="2"/>
  <c r="K3034" i="2" l="1"/>
  <c r="B3036" i="2"/>
  <c r="J3035" i="2" s="1"/>
  <c r="B3037" i="2" l="1"/>
  <c r="K3036" i="2" s="1"/>
  <c r="K3035" i="2"/>
  <c r="B3038" i="2" l="1"/>
  <c r="J3037" i="2" s="1"/>
  <c r="J3036" i="2"/>
  <c r="B3039" i="2" l="1"/>
  <c r="K3038" i="2" s="1"/>
  <c r="K3037" i="2"/>
  <c r="B3040" i="2" l="1"/>
  <c r="J3039" i="2" s="1"/>
  <c r="J3038" i="2"/>
  <c r="B3041" i="2" l="1"/>
  <c r="K3040" i="2" s="1"/>
  <c r="K3039" i="2"/>
  <c r="B3042" i="2" l="1"/>
  <c r="J3041" i="2" s="1"/>
  <c r="J3040" i="2"/>
  <c r="B3043" i="2" l="1"/>
  <c r="K3042" i="2" s="1"/>
  <c r="K3041" i="2"/>
  <c r="B3044" i="2" l="1"/>
  <c r="K3043" i="2" s="1"/>
  <c r="J3042" i="2"/>
  <c r="J3043" i="2" l="1"/>
  <c r="B3045" i="2"/>
  <c r="K3044" i="2" s="1"/>
  <c r="B3046" i="2" l="1"/>
  <c r="J3045" i="2" s="1"/>
  <c r="J3044" i="2"/>
  <c r="B3047" i="2" l="1"/>
  <c r="K3046" i="2" s="1"/>
  <c r="K3045" i="2"/>
  <c r="B3048" i="2" l="1"/>
  <c r="J3047" i="2" s="1"/>
  <c r="J3046" i="2"/>
  <c r="B3049" i="2" l="1"/>
  <c r="K3048" i="2" s="1"/>
  <c r="K3047" i="2"/>
  <c r="B3050" i="2" l="1"/>
  <c r="J3049" i="2" s="1"/>
  <c r="J3048" i="2"/>
  <c r="B3051" i="2" l="1"/>
  <c r="K3050" i="2" s="1"/>
  <c r="K3049" i="2"/>
  <c r="B3052" i="2" l="1"/>
  <c r="J3051" i="2" s="1"/>
  <c r="J3050" i="2"/>
  <c r="B3053" i="2" l="1"/>
  <c r="K3052" i="2" s="1"/>
  <c r="K3051" i="2"/>
  <c r="B3054" i="2" l="1"/>
  <c r="J3053" i="2" s="1"/>
  <c r="J3052" i="2"/>
  <c r="B3055" i="2" l="1"/>
  <c r="J3054" i="2" s="1"/>
  <c r="K3053" i="2"/>
  <c r="K3054" i="2" l="1"/>
  <c r="B3056" i="2"/>
  <c r="J3055" i="2" s="1"/>
  <c r="B3057" i="2" l="1"/>
  <c r="K3056" i="2" s="1"/>
  <c r="K3055" i="2"/>
  <c r="B3058" i="2" l="1"/>
  <c r="J3057" i="2" s="1"/>
  <c r="J3056" i="2"/>
  <c r="B3059" i="2" l="1"/>
  <c r="K3058" i="2" s="1"/>
  <c r="K3057" i="2"/>
  <c r="B3060" i="2" l="1"/>
  <c r="J3059" i="2" s="1"/>
  <c r="J3058" i="2"/>
  <c r="B3061" i="2" l="1"/>
  <c r="K3060" i="2" s="1"/>
  <c r="K3059" i="2"/>
  <c r="B3062" i="2" l="1"/>
  <c r="J3061" i="2" s="1"/>
  <c r="J3060" i="2"/>
  <c r="B3063" i="2" l="1"/>
  <c r="K3062" i="2" s="1"/>
  <c r="K3061" i="2"/>
  <c r="B3064" i="2" l="1"/>
  <c r="J3063" i="2" s="1"/>
  <c r="J3062" i="2"/>
  <c r="B3065" i="2" l="1"/>
  <c r="K3064" i="2" s="1"/>
  <c r="K3063" i="2"/>
  <c r="B3066" i="2" l="1"/>
  <c r="J3065" i="2" s="1"/>
  <c r="J3064" i="2"/>
  <c r="B3067" i="2" l="1"/>
  <c r="K3066" i="2" s="1"/>
  <c r="K3065" i="2"/>
  <c r="B3068" i="2" l="1"/>
  <c r="J3067" i="2" s="1"/>
  <c r="J3066" i="2"/>
  <c r="B3069" i="2" l="1"/>
  <c r="K3068" i="2" s="1"/>
  <c r="K3067" i="2"/>
  <c r="B3070" i="2" l="1"/>
  <c r="J3069" i="2" s="1"/>
  <c r="J3068" i="2"/>
  <c r="B3071" i="2" l="1"/>
  <c r="K3070" i="2" s="1"/>
  <c r="K3069" i="2"/>
  <c r="B3072" i="2" l="1"/>
  <c r="J3071" i="2" s="1"/>
  <c r="J3070" i="2"/>
  <c r="B3073" i="2" l="1"/>
  <c r="K3072" i="2" s="1"/>
  <c r="K3071" i="2"/>
  <c r="B3074" i="2" l="1"/>
  <c r="J3073" i="2" s="1"/>
  <c r="J3072" i="2"/>
  <c r="B3075" i="2" l="1"/>
  <c r="K3074" i="2" s="1"/>
  <c r="K3073" i="2"/>
  <c r="B3076" i="2" l="1"/>
  <c r="J3075" i="2" s="1"/>
  <c r="J3074" i="2"/>
  <c r="B3077" i="2" l="1"/>
  <c r="K3076" i="2" s="1"/>
  <c r="K3075" i="2"/>
  <c r="B3078" i="2" l="1"/>
  <c r="J3077" i="2" s="1"/>
  <c r="J3076" i="2"/>
  <c r="B3079" i="2" l="1"/>
  <c r="K3078" i="2" s="1"/>
  <c r="K3077" i="2"/>
  <c r="B3080" i="2" l="1"/>
  <c r="J3079" i="2" s="1"/>
  <c r="J3078" i="2"/>
  <c r="B3081" i="2" l="1"/>
  <c r="K3080" i="2" s="1"/>
  <c r="K3079" i="2"/>
  <c r="B3082" i="2" l="1"/>
  <c r="J3081" i="2" s="1"/>
  <c r="J3080" i="2"/>
  <c r="B3083" i="2" l="1"/>
  <c r="K3082" i="2" s="1"/>
  <c r="K3081" i="2"/>
  <c r="B3084" i="2" l="1"/>
  <c r="J3083" i="2" s="1"/>
  <c r="J3082" i="2"/>
  <c r="B3085" i="2" l="1"/>
  <c r="K3084" i="2" s="1"/>
  <c r="K3083" i="2"/>
  <c r="B3086" i="2" l="1"/>
  <c r="K3085" i="2" s="1"/>
  <c r="J3084" i="2"/>
  <c r="J3085" i="2" l="1"/>
  <c r="B3087" i="2"/>
  <c r="K3086" i="2" s="1"/>
  <c r="B3088" i="2" l="1"/>
  <c r="J3087" i="2" s="1"/>
  <c r="J3086" i="2"/>
  <c r="B3089" i="2" l="1"/>
  <c r="K3088" i="2" s="1"/>
  <c r="K3087" i="2"/>
  <c r="B3090" i="2" l="1"/>
  <c r="J3089" i="2" s="1"/>
  <c r="J3088" i="2"/>
  <c r="B3091" i="2" l="1"/>
  <c r="K3090" i="2" s="1"/>
  <c r="K3089" i="2"/>
  <c r="B3092" i="2" l="1"/>
  <c r="J3091" i="2" s="1"/>
  <c r="J3090" i="2"/>
  <c r="B3093" i="2" l="1"/>
  <c r="K3092" i="2" s="1"/>
  <c r="K3091" i="2"/>
  <c r="B3094" i="2" l="1"/>
  <c r="J3093" i="2" s="1"/>
  <c r="J3092" i="2"/>
  <c r="B3095" i="2" l="1"/>
  <c r="K3094" i="2" s="1"/>
  <c r="K3093" i="2"/>
  <c r="B3096" i="2" l="1"/>
  <c r="J3095" i="2" s="1"/>
  <c r="J3094" i="2"/>
  <c r="B3097" i="2" l="1"/>
  <c r="K3096" i="2" s="1"/>
  <c r="K3095" i="2"/>
  <c r="B3098" i="2" l="1"/>
  <c r="J3097" i="2" s="1"/>
  <c r="J3096" i="2"/>
  <c r="B3099" i="2" l="1"/>
  <c r="K3098" i="2" s="1"/>
  <c r="K3097" i="2"/>
  <c r="B3100" i="2" l="1"/>
  <c r="J3099" i="2" s="1"/>
  <c r="J3098" i="2"/>
  <c r="B3101" i="2" l="1"/>
  <c r="K3100" i="2" s="1"/>
  <c r="K3099" i="2"/>
  <c r="B3102" i="2" l="1"/>
  <c r="J3101" i="2" s="1"/>
  <c r="J3100" i="2"/>
  <c r="B3103" i="2" l="1"/>
  <c r="K3102" i="2" s="1"/>
  <c r="K3101" i="2"/>
  <c r="B3104" i="2" l="1"/>
  <c r="K3103" i="2" s="1"/>
  <c r="J3102" i="2"/>
  <c r="J3103" i="2" l="1"/>
  <c r="B3105" i="2"/>
  <c r="K3104" i="2" s="1"/>
  <c r="B3106" i="2" l="1"/>
  <c r="J3105" i="2" s="1"/>
  <c r="J3104" i="2"/>
  <c r="B3107" i="2" l="1"/>
  <c r="K3106" i="2" s="1"/>
  <c r="K3105" i="2"/>
  <c r="B3108" i="2" l="1"/>
  <c r="J3107" i="2" s="1"/>
  <c r="J3106" i="2"/>
  <c r="B3109" i="2" l="1"/>
  <c r="K3108" i="2" s="1"/>
  <c r="K3107" i="2"/>
  <c r="B3110" i="2" l="1"/>
  <c r="J3109" i="2" s="1"/>
  <c r="J3108" i="2"/>
  <c r="B3111" i="2" l="1"/>
  <c r="K3110" i="2" s="1"/>
  <c r="K3109" i="2"/>
  <c r="B3112" i="2" l="1"/>
  <c r="J3111" i="2" s="1"/>
  <c r="J3110" i="2"/>
  <c r="B3113" i="2" l="1"/>
  <c r="K3112" i="2" s="1"/>
  <c r="K3111" i="2"/>
  <c r="B3114" i="2" l="1"/>
  <c r="J3113" i="2" s="1"/>
  <c r="J3112" i="2"/>
  <c r="B3115" i="2" l="1"/>
  <c r="K3114" i="2" s="1"/>
  <c r="K3113" i="2"/>
  <c r="B3116" i="2" l="1"/>
  <c r="J3115" i="2" s="1"/>
  <c r="J3114" i="2"/>
  <c r="B3117" i="2" l="1"/>
  <c r="K3116" i="2" s="1"/>
  <c r="K3115" i="2"/>
  <c r="B3118" i="2" l="1"/>
  <c r="J3117" i="2" s="1"/>
  <c r="J3116" i="2"/>
  <c r="B3119" i="2" l="1"/>
  <c r="K3118" i="2" s="1"/>
  <c r="K3117" i="2"/>
  <c r="B3120" i="2" l="1"/>
  <c r="K3119" i="2" s="1"/>
  <c r="J3118" i="2"/>
  <c r="J3119" i="2" l="1"/>
  <c r="B3121" i="2"/>
  <c r="K3120" i="2" s="1"/>
  <c r="B3122" i="2" l="1"/>
  <c r="J3121" i="2" s="1"/>
  <c r="J3120" i="2"/>
  <c r="B3123" i="2" l="1"/>
  <c r="K3122" i="2" s="1"/>
  <c r="K3121" i="2"/>
  <c r="B3124" i="2" l="1"/>
  <c r="K3123" i="2" s="1"/>
  <c r="J3122" i="2"/>
  <c r="J3123" i="2" l="1"/>
  <c r="B3125" i="2"/>
  <c r="K3124" i="2" s="1"/>
  <c r="B3126" i="2" l="1"/>
  <c r="J3125" i="2" s="1"/>
  <c r="J3124" i="2"/>
  <c r="B3127" i="2" l="1"/>
  <c r="K3126" i="2" s="1"/>
  <c r="K3125" i="2"/>
  <c r="B3128" i="2" l="1"/>
  <c r="J3127" i="2" s="1"/>
  <c r="J3126" i="2"/>
  <c r="B3129" i="2" l="1"/>
  <c r="K3128" i="2" s="1"/>
  <c r="K3127" i="2"/>
  <c r="B3130" i="2" l="1"/>
  <c r="J3129" i="2" s="1"/>
  <c r="J3128" i="2"/>
  <c r="B3131" i="2" l="1"/>
  <c r="K3130" i="2" s="1"/>
  <c r="K3129" i="2"/>
  <c r="B3132" i="2" l="1"/>
  <c r="J3131" i="2" s="1"/>
  <c r="J3130" i="2"/>
  <c r="B3133" i="2" l="1"/>
  <c r="K3132" i="2" s="1"/>
  <c r="K3131" i="2"/>
  <c r="B3134" i="2" l="1"/>
  <c r="J3133" i="2" s="1"/>
  <c r="J3132" i="2"/>
  <c r="B3135" i="2" l="1"/>
  <c r="K3134" i="2" s="1"/>
  <c r="K3133" i="2"/>
  <c r="B3136" i="2" l="1"/>
  <c r="J3135" i="2" s="1"/>
  <c r="J3134" i="2"/>
  <c r="B3137" i="2" l="1"/>
  <c r="K3136" i="2" s="1"/>
  <c r="K3135" i="2"/>
  <c r="B3138" i="2" l="1"/>
  <c r="J3137" i="2" s="1"/>
  <c r="J3136" i="2"/>
  <c r="B3139" i="2" l="1"/>
  <c r="K3138" i="2" s="1"/>
  <c r="K3137" i="2"/>
  <c r="B3140" i="2" l="1"/>
  <c r="J3139" i="2" s="1"/>
  <c r="J3138" i="2"/>
  <c r="B3141" i="2" l="1"/>
  <c r="K3140" i="2" s="1"/>
  <c r="K3139" i="2"/>
  <c r="B3142" i="2" l="1"/>
  <c r="J3141" i="2" s="1"/>
  <c r="J3140" i="2"/>
  <c r="B3143" i="2" l="1"/>
  <c r="K3142" i="2" s="1"/>
  <c r="K3141" i="2"/>
  <c r="B3144" i="2" l="1"/>
  <c r="J3143" i="2" s="1"/>
  <c r="J3142" i="2"/>
  <c r="B3145" i="2" l="1"/>
  <c r="K3144" i="2" s="1"/>
  <c r="K3143" i="2"/>
  <c r="B3146" i="2" l="1"/>
  <c r="J3145" i="2" s="1"/>
  <c r="J3144" i="2"/>
  <c r="B3147" i="2" l="1"/>
  <c r="K3146" i="2" s="1"/>
  <c r="K3145" i="2"/>
  <c r="B3148" i="2" l="1"/>
  <c r="J3147" i="2" s="1"/>
  <c r="J3146" i="2"/>
  <c r="B3149" i="2" l="1"/>
  <c r="K3148" i="2" s="1"/>
  <c r="K3147" i="2"/>
  <c r="B3150" i="2" l="1"/>
  <c r="J3149" i="2" s="1"/>
  <c r="J3148" i="2"/>
  <c r="B3151" i="2" l="1"/>
  <c r="K3150" i="2" s="1"/>
  <c r="K3149" i="2"/>
  <c r="B3152" i="2" l="1"/>
  <c r="J3151" i="2" s="1"/>
  <c r="J3150" i="2"/>
  <c r="B3153" i="2" l="1"/>
  <c r="K3151" i="2"/>
  <c r="B3154" i="2" l="1"/>
  <c r="J3153" i="2" s="1"/>
  <c r="K3152" i="2"/>
  <c r="J3152" i="2"/>
  <c r="B3155" i="2" l="1"/>
  <c r="K3154" i="2" s="1"/>
  <c r="K3153" i="2"/>
  <c r="B3156" i="2" l="1"/>
  <c r="K3155" i="2" s="1"/>
  <c r="J3154" i="2"/>
  <c r="J3155" i="2" l="1"/>
  <c r="B3157" i="2"/>
  <c r="K3156" i="2" s="1"/>
  <c r="B3158" i="2" l="1"/>
  <c r="J3157" i="2" s="1"/>
  <c r="J3156" i="2"/>
  <c r="B3159" i="2" l="1"/>
  <c r="K3158" i="2" s="1"/>
  <c r="K3157" i="2"/>
  <c r="B3160" i="2" l="1"/>
  <c r="J3159" i="2" s="1"/>
  <c r="J3158" i="2"/>
  <c r="B3161" i="2" l="1"/>
  <c r="K3159" i="2"/>
  <c r="B3162" i="2" l="1"/>
  <c r="J3161" i="2" s="1"/>
  <c r="K3160" i="2"/>
  <c r="J3160" i="2"/>
  <c r="B3163" i="2" l="1"/>
  <c r="K3162" i="2" s="1"/>
  <c r="K3161" i="2"/>
  <c r="B3164" i="2" l="1"/>
  <c r="J3163" i="2" s="1"/>
  <c r="J3162" i="2"/>
  <c r="B3165" i="2" l="1"/>
  <c r="K3164" i="2" s="1"/>
  <c r="K3163" i="2"/>
  <c r="B3166" i="2" l="1"/>
  <c r="J3165" i="2" s="1"/>
  <c r="J3164" i="2"/>
  <c r="B3167" i="2" l="1"/>
  <c r="K3166" i="2" s="1"/>
  <c r="K3165" i="2"/>
  <c r="B3168" i="2" l="1"/>
  <c r="J3167" i="2" s="1"/>
  <c r="J3166" i="2"/>
  <c r="B3169" i="2" l="1"/>
  <c r="K3168" i="2" s="1"/>
  <c r="K3167" i="2"/>
  <c r="B3170" i="2" l="1"/>
  <c r="J3169" i="2" s="1"/>
  <c r="J3168" i="2"/>
  <c r="B3171" i="2" l="1"/>
  <c r="K3170" i="2" s="1"/>
  <c r="K3169" i="2"/>
  <c r="B3172" i="2" l="1"/>
  <c r="J3171" i="2" s="1"/>
  <c r="J3170" i="2"/>
  <c r="B3173" i="2" l="1"/>
  <c r="K3172" i="2" s="1"/>
  <c r="K3171" i="2"/>
  <c r="B3174" i="2" l="1"/>
  <c r="J3173" i="2" s="1"/>
  <c r="J3172" i="2"/>
  <c r="B3175" i="2" l="1"/>
  <c r="K3174" i="2" s="1"/>
  <c r="K3173" i="2"/>
  <c r="B3176" i="2" l="1"/>
  <c r="J3175" i="2" s="1"/>
  <c r="J3174" i="2"/>
  <c r="B3177" i="2" l="1"/>
  <c r="K3176" i="2" s="1"/>
  <c r="K3175" i="2"/>
  <c r="B3178" i="2" l="1"/>
  <c r="J3177" i="2" s="1"/>
  <c r="J3176" i="2"/>
  <c r="B3179" i="2" l="1"/>
  <c r="K3178" i="2" s="1"/>
  <c r="K3177" i="2"/>
  <c r="B3180" i="2" l="1"/>
  <c r="J3179" i="2" s="1"/>
  <c r="J3178" i="2"/>
  <c r="B3181" i="2" l="1"/>
  <c r="K3180" i="2" s="1"/>
  <c r="K3179" i="2"/>
  <c r="B3182" i="2" l="1"/>
  <c r="J3181" i="2" s="1"/>
  <c r="J3180" i="2"/>
  <c r="B3183" i="2" l="1"/>
  <c r="K3182" i="2" s="1"/>
  <c r="K3181" i="2"/>
  <c r="B3184" i="2" l="1"/>
  <c r="J3183" i="2" s="1"/>
  <c r="J3182" i="2"/>
  <c r="B3185" i="2" l="1"/>
  <c r="K3184" i="2" s="1"/>
  <c r="K3183" i="2"/>
  <c r="B3186" i="2" l="1"/>
  <c r="J3185" i="2" s="1"/>
  <c r="J3184" i="2"/>
  <c r="B3187" i="2" l="1"/>
  <c r="K3186" i="2" s="1"/>
  <c r="K3185" i="2"/>
  <c r="B3188" i="2" l="1"/>
  <c r="J3187" i="2" s="1"/>
  <c r="J3186" i="2"/>
  <c r="B3189" i="2" l="1"/>
  <c r="K3187" i="2"/>
  <c r="B3190" i="2" l="1"/>
  <c r="J3189" i="2" s="1"/>
  <c r="K3188" i="2"/>
  <c r="J3188" i="2"/>
  <c r="B3191" i="2" l="1"/>
  <c r="K3190" i="2" s="1"/>
  <c r="K3189" i="2"/>
  <c r="B3192" i="2" l="1"/>
  <c r="J3191" i="2" s="1"/>
  <c r="J3190" i="2"/>
  <c r="B3193" i="2" l="1"/>
  <c r="K3192" i="2" s="1"/>
  <c r="K3191" i="2"/>
  <c r="B3194" i="2" l="1"/>
  <c r="K3193" i="2" s="1"/>
  <c r="J3192" i="2"/>
  <c r="J3193" i="2" l="1"/>
  <c r="B3195" i="2"/>
  <c r="K3194" i="2" s="1"/>
  <c r="B3196" i="2" l="1"/>
  <c r="J3195" i="2" s="1"/>
  <c r="J3194" i="2"/>
  <c r="B3197" i="2" l="1"/>
  <c r="K3196" i="2" s="1"/>
  <c r="K3195" i="2"/>
  <c r="B3198" i="2" l="1"/>
  <c r="J3197" i="2" s="1"/>
  <c r="J3196" i="2"/>
  <c r="B3199" i="2" l="1"/>
  <c r="K3198" i="2" s="1"/>
  <c r="K3197" i="2"/>
  <c r="B3200" i="2" l="1"/>
  <c r="J3199" i="2" s="1"/>
  <c r="J3198" i="2"/>
  <c r="B3201" i="2" l="1"/>
  <c r="K3200" i="2" s="1"/>
  <c r="K3199" i="2"/>
  <c r="B3202" i="2" l="1"/>
  <c r="J3201" i="2" s="1"/>
  <c r="J3200" i="2"/>
  <c r="B3203" i="2" l="1"/>
  <c r="J3202" i="2" s="1"/>
  <c r="K3201" i="2"/>
  <c r="K3202" i="2" l="1"/>
  <c r="B3204" i="2"/>
  <c r="J3203" i="2" s="1"/>
  <c r="B3205" i="2" l="1"/>
  <c r="K3204" i="2" s="1"/>
  <c r="K3203" i="2"/>
  <c r="B3206" i="2" l="1"/>
  <c r="J3205" i="2" s="1"/>
  <c r="J3204" i="2"/>
  <c r="B3207" i="2" l="1"/>
  <c r="K3205" i="2"/>
  <c r="B3208" i="2" l="1"/>
  <c r="K3207" i="2" s="1"/>
  <c r="K3206" i="2"/>
  <c r="J3206" i="2"/>
  <c r="J3207" i="2" l="1"/>
  <c r="B3209" i="2"/>
  <c r="K3208" i="2" s="1"/>
  <c r="B3210" i="2" l="1"/>
  <c r="J3209" i="2" s="1"/>
  <c r="J3208" i="2"/>
  <c r="B3211" i="2" l="1"/>
  <c r="K3210" i="2" s="1"/>
  <c r="K3209" i="2"/>
  <c r="B3212" i="2" l="1"/>
  <c r="J3211" i="2" s="1"/>
  <c r="J3210" i="2"/>
  <c r="B3213" i="2" l="1"/>
  <c r="K3212" i="2" s="1"/>
  <c r="K3211" i="2"/>
  <c r="B3214" i="2" l="1"/>
  <c r="J3213" i="2" s="1"/>
  <c r="J3212" i="2"/>
  <c r="B3215" i="2" l="1"/>
  <c r="K3214" i="2" s="1"/>
  <c r="K3213" i="2"/>
  <c r="B3216" i="2" l="1"/>
  <c r="J3215" i="2" s="1"/>
  <c r="J3214" i="2"/>
  <c r="B3217" i="2" l="1"/>
  <c r="K3216" i="2" s="1"/>
  <c r="K3215" i="2"/>
  <c r="B3218" i="2" l="1"/>
  <c r="J3217" i="2" s="1"/>
  <c r="J3216" i="2"/>
  <c r="B3219" i="2" l="1"/>
  <c r="K3218" i="2" s="1"/>
  <c r="K3217" i="2"/>
  <c r="B3220" i="2" l="1"/>
  <c r="J3219" i="2" s="1"/>
  <c r="J3218" i="2"/>
  <c r="B3221" i="2" l="1"/>
  <c r="K3220" i="2" s="1"/>
  <c r="K3219" i="2"/>
  <c r="B3222" i="2" l="1"/>
  <c r="J3221" i="2" s="1"/>
  <c r="J3220" i="2"/>
  <c r="B3223" i="2" l="1"/>
  <c r="K3222" i="2" s="1"/>
  <c r="K3221" i="2"/>
  <c r="B3224" i="2" l="1"/>
  <c r="J3223" i="2" s="1"/>
  <c r="J3222" i="2"/>
  <c r="B3225" i="2" l="1"/>
  <c r="K3224" i="2" s="1"/>
  <c r="K3223" i="2"/>
  <c r="B3226" i="2" l="1"/>
  <c r="J3225" i="2" s="1"/>
  <c r="J3224" i="2"/>
  <c r="B3227" i="2" l="1"/>
  <c r="K3226" i="2" s="1"/>
  <c r="K3225" i="2"/>
  <c r="B3228" i="2" l="1"/>
  <c r="J3227" i="2" s="1"/>
  <c r="J3226" i="2"/>
  <c r="B3229" i="2" l="1"/>
  <c r="K3228" i="2" s="1"/>
  <c r="K3227" i="2"/>
  <c r="B3230" i="2" l="1"/>
  <c r="K3229" i="2" s="1"/>
  <c r="J3228" i="2"/>
  <c r="J3229" i="2" l="1"/>
  <c r="B3231" i="2"/>
  <c r="K3230" i="2" s="1"/>
  <c r="B3232" i="2" l="1"/>
  <c r="J3231" i="2" s="1"/>
  <c r="J3230" i="2"/>
  <c r="B3233" i="2" l="1"/>
  <c r="K3232" i="2" s="1"/>
  <c r="K3231" i="2"/>
  <c r="B3234" i="2" l="1"/>
  <c r="J3233" i="2" s="1"/>
  <c r="J3232" i="2"/>
  <c r="B3235" i="2" l="1"/>
  <c r="K3234" i="2" s="1"/>
  <c r="K3233" i="2"/>
  <c r="B3236" i="2" l="1"/>
  <c r="J3235" i="2" s="1"/>
  <c r="J3234" i="2"/>
  <c r="B3237" i="2" l="1"/>
  <c r="K3236" i="2" s="1"/>
  <c r="K3235" i="2"/>
  <c r="B3238" i="2" l="1"/>
  <c r="J3237" i="2" s="1"/>
  <c r="J3236" i="2"/>
  <c r="B3239" i="2" l="1"/>
  <c r="K3238" i="2" s="1"/>
  <c r="K3237" i="2"/>
  <c r="B3240" i="2" l="1"/>
  <c r="J3239" i="2" s="1"/>
  <c r="J3238" i="2"/>
  <c r="B3241" i="2" l="1"/>
  <c r="K3240" i="2" s="1"/>
  <c r="K3239" i="2"/>
  <c r="B3242" i="2" l="1"/>
  <c r="J3241" i="2" s="1"/>
  <c r="J3240" i="2"/>
  <c r="B3243" i="2" l="1"/>
  <c r="K3242" i="2" s="1"/>
  <c r="K3241" i="2"/>
  <c r="B3244" i="2" l="1"/>
  <c r="J3243" i="2" s="1"/>
  <c r="J3242" i="2"/>
  <c r="B3245" i="2" l="1"/>
  <c r="K3244" i="2" s="1"/>
  <c r="K3243" i="2"/>
  <c r="B3246" i="2" l="1"/>
  <c r="J3245" i="2" s="1"/>
  <c r="J3244" i="2"/>
  <c r="B3247" i="2" l="1"/>
  <c r="K3246" i="2" s="1"/>
  <c r="K3245" i="2"/>
  <c r="B3248" i="2" l="1"/>
  <c r="K3247" i="2" s="1"/>
  <c r="J3246" i="2"/>
  <c r="J3247" i="2" l="1"/>
  <c r="B3249" i="2"/>
  <c r="K3248" i="2" s="1"/>
  <c r="B3250" i="2" l="1"/>
  <c r="J3249" i="2" s="1"/>
  <c r="J3248" i="2"/>
  <c r="B3251" i="2" l="1"/>
  <c r="K3250" i="2" s="1"/>
  <c r="K3249" i="2"/>
  <c r="B3252" i="2" l="1"/>
  <c r="J3251" i="2" s="1"/>
  <c r="J3250" i="2"/>
  <c r="B3253" i="2" l="1"/>
  <c r="K3252" i="2" s="1"/>
  <c r="K3251" i="2"/>
  <c r="B3254" i="2" l="1"/>
  <c r="J3253" i="2" s="1"/>
  <c r="J3252" i="2"/>
  <c r="B3255" i="2" l="1"/>
  <c r="K3254" i="2" s="1"/>
  <c r="K3253" i="2"/>
  <c r="B3256" i="2" l="1"/>
  <c r="J3255" i="2" s="1"/>
  <c r="J3254" i="2"/>
  <c r="B3257" i="2" l="1"/>
  <c r="K3256" i="2" s="1"/>
  <c r="K3255" i="2"/>
  <c r="B3258" i="2" l="1"/>
  <c r="K3257" i="2" s="1"/>
  <c r="J3256" i="2"/>
  <c r="J3257" i="2" l="1"/>
  <c r="B3259" i="2"/>
  <c r="K3258" i="2" s="1"/>
  <c r="B3260" i="2" l="1"/>
  <c r="J3259" i="2" s="1"/>
  <c r="J3258" i="2"/>
  <c r="B3261" i="2" l="1"/>
  <c r="K3259" i="2"/>
  <c r="B3262" i="2" l="1"/>
  <c r="J3261" i="2" s="1"/>
  <c r="K3260" i="2"/>
  <c r="J3260" i="2"/>
  <c r="B3263" i="2" l="1"/>
  <c r="K3262" i="2" s="1"/>
  <c r="K3261" i="2"/>
  <c r="B3264" i="2" l="1"/>
  <c r="J3263" i="2" s="1"/>
  <c r="J3262" i="2"/>
  <c r="B3265" i="2" l="1"/>
  <c r="K3264" i="2" s="1"/>
  <c r="K3263" i="2"/>
  <c r="B3266" i="2" l="1"/>
  <c r="K3265" i="2" s="1"/>
  <c r="J3264" i="2"/>
  <c r="J3265" i="2" l="1"/>
  <c r="B3267" i="2"/>
  <c r="K3266" i="2" s="1"/>
  <c r="B3268" i="2" l="1"/>
  <c r="J3267" i="2" s="1"/>
  <c r="J3266" i="2"/>
  <c r="B3269" i="2" l="1"/>
  <c r="K3268" i="2" s="1"/>
  <c r="K3267" i="2"/>
  <c r="B3270" i="2" l="1"/>
  <c r="K3269" i="2" s="1"/>
  <c r="J3268" i="2"/>
  <c r="J3269" i="2" l="1"/>
  <c r="B3271" i="2"/>
  <c r="J3270" i="2" s="1"/>
  <c r="K3270" i="2" l="1"/>
  <c r="B3272" i="2"/>
  <c r="J3271" i="2" s="1"/>
  <c r="B3273" i="2" l="1"/>
  <c r="K3272" i="2" s="1"/>
  <c r="K3271" i="2"/>
  <c r="B3274" i="2" l="1"/>
  <c r="J3273" i="2" s="1"/>
  <c r="J3272" i="2"/>
  <c r="B3275" i="2" l="1"/>
  <c r="K3274" i="2" s="1"/>
  <c r="K3273" i="2"/>
  <c r="B3276" i="2" l="1"/>
  <c r="J3275" i="2" s="1"/>
  <c r="J3274" i="2"/>
  <c r="B3277" i="2" l="1"/>
  <c r="K3276" i="2" s="1"/>
  <c r="K3275" i="2"/>
  <c r="B3278" i="2" l="1"/>
  <c r="J3277" i="2" s="1"/>
  <c r="J3276" i="2"/>
  <c r="B3279" i="2" l="1"/>
  <c r="K3277" i="2"/>
  <c r="B3280" i="2" l="1"/>
  <c r="J3279" i="2" s="1"/>
  <c r="K3278" i="2"/>
  <c r="J3278" i="2"/>
  <c r="B3281" i="2" l="1"/>
  <c r="K3280" i="2" s="1"/>
  <c r="K3279" i="2"/>
  <c r="B3282" i="2" l="1"/>
  <c r="J3281" i="2" s="1"/>
  <c r="J3280" i="2"/>
  <c r="B3283" i="2" l="1"/>
  <c r="K3282" i="2" s="1"/>
  <c r="K3281" i="2"/>
  <c r="B3284" i="2" l="1"/>
  <c r="J3283" i="2" s="1"/>
  <c r="J3282" i="2"/>
  <c r="B3285" i="2" l="1"/>
  <c r="K3284" i="2" s="1"/>
  <c r="K3283" i="2"/>
  <c r="B3286" i="2" l="1"/>
  <c r="K3285" i="2" s="1"/>
  <c r="J3284" i="2"/>
  <c r="J3285" i="2" l="1"/>
  <c r="B3287" i="2"/>
  <c r="K3286" i="2" s="1"/>
  <c r="B3288" i="2" l="1"/>
  <c r="J3287" i="2" s="1"/>
  <c r="J3286" i="2"/>
  <c r="B3289" i="2" l="1"/>
  <c r="K3288" i="2" s="1"/>
  <c r="K3287" i="2"/>
  <c r="B3290" i="2" l="1"/>
  <c r="J3289" i="2" s="1"/>
  <c r="J3288" i="2"/>
  <c r="B3291" i="2" l="1"/>
  <c r="K3290" i="2" s="1"/>
  <c r="K3289" i="2"/>
  <c r="B3292" i="2" l="1"/>
  <c r="J3291" i="2" s="1"/>
  <c r="J3290" i="2"/>
  <c r="B3293" i="2" l="1"/>
  <c r="K3292" i="2" s="1"/>
  <c r="K3291" i="2"/>
  <c r="B3294" i="2" l="1"/>
  <c r="J3293" i="2" s="1"/>
  <c r="J3292" i="2"/>
  <c r="B3295" i="2" l="1"/>
  <c r="K3294" i="2" s="1"/>
  <c r="K3293" i="2"/>
  <c r="B3296" i="2" l="1"/>
  <c r="J3295" i="2" s="1"/>
  <c r="J3294" i="2"/>
  <c r="B3297" i="2" l="1"/>
  <c r="K3296" i="2" s="1"/>
  <c r="K3295" i="2"/>
  <c r="B3298" i="2" l="1"/>
  <c r="J3297" i="2" s="1"/>
  <c r="J3296" i="2"/>
  <c r="B3299" i="2" l="1"/>
  <c r="K3298" i="2" s="1"/>
  <c r="K3297" i="2"/>
  <c r="B3300" i="2" l="1"/>
  <c r="J3299" i="2" s="1"/>
  <c r="J3298" i="2"/>
  <c r="B3301" i="2" l="1"/>
  <c r="K3300" i="2" s="1"/>
  <c r="K3299" i="2"/>
  <c r="B3302" i="2" l="1"/>
  <c r="J3301" i="2" s="1"/>
  <c r="J3300" i="2"/>
  <c r="B3303" i="2" l="1"/>
  <c r="K3302" i="2" s="1"/>
  <c r="K3301" i="2"/>
  <c r="B3304" i="2" l="1"/>
  <c r="K3303" i="2" s="1"/>
  <c r="J3302" i="2"/>
  <c r="J3303" i="2" l="1"/>
  <c r="B3305" i="2"/>
  <c r="K3304" i="2" s="1"/>
  <c r="B3306" i="2" l="1"/>
  <c r="J3305" i="2" s="1"/>
  <c r="J3304" i="2"/>
  <c r="B3307" i="2" l="1"/>
  <c r="K3306" i="2" s="1"/>
  <c r="K3305" i="2"/>
  <c r="B3308" i="2" l="1"/>
  <c r="J3307" i="2" s="1"/>
  <c r="J3306" i="2"/>
  <c r="B3309" i="2" l="1"/>
  <c r="K3308" i="2" s="1"/>
  <c r="K3307" i="2"/>
  <c r="B3310" i="2" l="1"/>
  <c r="J3309" i="2" s="1"/>
  <c r="J3308" i="2"/>
  <c r="B3311" i="2" l="1"/>
  <c r="K3310" i="2" s="1"/>
  <c r="K3309" i="2"/>
  <c r="B3312" i="2" l="1"/>
  <c r="J3311" i="2" s="1"/>
  <c r="J3310" i="2"/>
  <c r="B3313" i="2" l="1"/>
  <c r="K3312" i="2" s="1"/>
  <c r="K3311" i="2"/>
  <c r="B3314" i="2" l="1"/>
  <c r="J3313" i="2" s="1"/>
  <c r="J3312" i="2"/>
  <c r="B3315" i="2" l="1"/>
  <c r="K3313" i="2"/>
  <c r="B3316" i="2" l="1"/>
  <c r="J3315" i="2" s="1"/>
  <c r="K3314" i="2"/>
  <c r="J3314" i="2"/>
  <c r="B3317" i="2" l="1"/>
  <c r="K3316" i="2" s="1"/>
  <c r="K3315" i="2"/>
  <c r="B3318" i="2" l="1"/>
  <c r="J3317" i="2" s="1"/>
  <c r="J3316" i="2"/>
  <c r="B3319" i="2" l="1"/>
  <c r="K3318" i="2" s="1"/>
  <c r="K3317" i="2"/>
  <c r="B3320" i="2" l="1"/>
  <c r="J3319" i="2" s="1"/>
  <c r="J3318" i="2"/>
  <c r="B3321" i="2" l="1"/>
  <c r="K3320" i="2" s="1"/>
  <c r="K3319" i="2"/>
  <c r="B3322" i="2" l="1"/>
  <c r="J3321" i="2" s="1"/>
  <c r="J3320" i="2"/>
  <c r="B3323" i="2" l="1"/>
  <c r="K3322" i="2" s="1"/>
  <c r="K3321" i="2"/>
  <c r="B3324" i="2" l="1"/>
  <c r="J3323" i="2" s="1"/>
  <c r="J3322" i="2"/>
  <c r="B3325" i="2" l="1"/>
  <c r="K3324" i="2" s="1"/>
  <c r="K3323" i="2"/>
  <c r="B3326" i="2" l="1"/>
  <c r="J3325" i="2" s="1"/>
  <c r="J3324" i="2"/>
  <c r="B3327" i="2" l="1"/>
  <c r="K3326" i="2" s="1"/>
  <c r="K3325" i="2"/>
  <c r="B3328" i="2" l="1"/>
  <c r="J3327" i="2" s="1"/>
  <c r="J3326" i="2"/>
  <c r="B3329" i="2" l="1"/>
  <c r="K3328" i="2" s="1"/>
  <c r="K3327" i="2"/>
  <c r="B3330" i="2" l="1"/>
  <c r="J3329" i="2" s="1"/>
  <c r="J3328" i="2"/>
  <c r="B3331" i="2" l="1"/>
  <c r="K3330" i="2" s="1"/>
  <c r="K3329" i="2"/>
  <c r="B3332" i="2" l="1"/>
  <c r="J3331" i="2" s="1"/>
  <c r="J3330" i="2"/>
  <c r="B3333" i="2" l="1"/>
  <c r="K3332" i="2" s="1"/>
  <c r="K3331" i="2"/>
  <c r="B3334" i="2" l="1"/>
  <c r="J3333" i="2" s="1"/>
  <c r="J3332" i="2"/>
  <c r="B3335" i="2" l="1"/>
  <c r="K3334" i="2" s="1"/>
  <c r="K3333" i="2"/>
  <c r="B3336" i="2" l="1"/>
  <c r="J3335" i="2" s="1"/>
  <c r="J3334" i="2"/>
  <c r="B3337" i="2" l="1"/>
  <c r="J3336" i="2" s="1"/>
  <c r="K3335" i="2"/>
  <c r="K3336" i="2" l="1"/>
  <c r="B3338" i="2"/>
  <c r="J3337" i="2" s="1"/>
  <c r="B3339" i="2" l="1"/>
  <c r="K3338" i="2" s="1"/>
  <c r="K3337" i="2"/>
  <c r="B3340" i="2" l="1"/>
  <c r="J3339" i="2" s="1"/>
  <c r="J3338" i="2"/>
  <c r="B3341" i="2" l="1"/>
  <c r="K3340" i="2" s="1"/>
  <c r="K3339" i="2"/>
  <c r="B3342" i="2" l="1"/>
  <c r="J3341" i="2" s="1"/>
  <c r="J3340" i="2"/>
  <c r="B3343" i="2" l="1"/>
  <c r="K3342" i="2" s="1"/>
  <c r="K3341" i="2"/>
  <c r="B3344" i="2" l="1"/>
  <c r="J3343" i="2" s="1"/>
  <c r="J3342" i="2"/>
  <c r="B3345" i="2" l="1"/>
  <c r="K3344" i="2" s="1"/>
  <c r="K3343" i="2"/>
  <c r="B3346" i="2" l="1"/>
  <c r="J3345" i="2" s="1"/>
  <c r="J3344" i="2"/>
  <c r="B3347" i="2" l="1"/>
  <c r="K3346" i="2" s="1"/>
  <c r="K3345" i="2"/>
  <c r="B3348" i="2" l="1"/>
  <c r="J3347" i="2" s="1"/>
  <c r="J3346" i="2"/>
  <c r="B3349" i="2" l="1"/>
  <c r="K3348" i="2" s="1"/>
  <c r="K3347" i="2"/>
  <c r="B3350" i="2" l="1"/>
  <c r="J3349" i="2" s="1"/>
  <c r="J3348" i="2"/>
  <c r="B3351" i="2" l="1"/>
  <c r="K3350" i="2" s="1"/>
  <c r="K3349" i="2"/>
  <c r="B3352" i="2" l="1"/>
  <c r="J3351" i="2" s="1"/>
  <c r="J3350" i="2"/>
  <c r="B3353" i="2" l="1"/>
  <c r="K3352" i="2" s="1"/>
  <c r="K3351" i="2"/>
  <c r="B3354" i="2" l="1"/>
  <c r="J3353" i="2" s="1"/>
  <c r="J3352" i="2"/>
  <c r="B3355" i="2" l="1"/>
  <c r="K3354" i="2" s="1"/>
  <c r="K3353" i="2"/>
  <c r="B3356" i="2" l="1"/>
  <c r="K3355" i="2" s="1"/>
  <c r="J3354" i="2"/>
  <c r="J3355" i="2" l="1"/>
  <c r="B3357" i="2"/>
  <c r="J3356" i="2" s="1"/>
  <c r="K3356" i="2" l="1"/>
  <c r="B3358" i="2"/>
  <c r="K3357" i="2" s="1"/>
  <c r="J3357" i="2" l="1"/>
  <c r="B3359" i="2"/>
  <c r="K3358" i="2" s="1"/>
  <c r="B3360" i="2" l="1"/>
  <c r="J3359" i="2" s="1"/>
  <c r="J3358" i="2"/>
  <c r="B3361" i="2" l="1"/>
  <c r="K3360" i="2" s="1"/>
  <c r="K3359" i="2"/>
  <c r="B3362" i="2" l="1"/>
  <c r="J3361" i="2" s="1"/>
  <c r="J3360" i="2"/>
  <c r="B3363" i="2" l="1"/>
  <c r="K3362" i="2" s="1"/>
  <c r="K3361" i="2"/>
  <c r="B3364" i="2" l="1"/>
  <c r="J3363" i="2" s="1"/>
  <c r="J3362" i="2"/>
  <c r="B3365" i="2" l="1"/>
  <c r="K3364" i="2" s="1"/>
  <c r="K3363" i="2"/>
  <c r="B3366" i="2" l="1"/>
  <c r="J3365" i="2" s="1"/>
  <c r="J3364" i="2"/>
  <c r="B3367" i="2" l="1"/>
  <c r="K3366" i="2" s="1"/>
  <c r="K3365" i="2"/>
  <c r="B3368" i="2" l="1"/>
  <c r="J3367" i="2" s="1"/>
  <c r="J3366" i="2"/>
  <c r="B3369" i="2" l="1"/>
  <c r="K3368" i="2" s="1"/>
  <c r="K3367" i="2"/>
  <c r="B3370" i="2" l="1"/>
  <c r="J3369" i="2" s="1"/>
  <c r="J3368" i="2"/>
  <c r="B3371" i="2" l="1"/>
  <c r="K3370" i="2" s="1"/>
  <c r="K3369" i="2"/>
  <c r="B3372" i="2" l="1"/>
  <c r="J3371" i="2" s="1"/>
  <c r="J3370" i="2"/>
  <c r="B3373" i="2" l="1"/>
  <c r="K3372" i="2" s="1"/>
  <c r="K3371" i="2"/>
  <c r="B3374" i="2" l="1"/>
  <c r="K3373" i="2" s="1"/>
  <c r="J3372" i="2"/>
  <c r="J3373" i="2" l="1"/>
  <c r="B3375" i="2"/>
  <c r="K3374" i="2" s="1"/>
  <c r="B3376" i="2" l="1"/>
  <c r="J3375" i="2" s="1"/>
  <c r="J3374" i="2"/>
  <c r="B3377" i="2" l="1"/>
  <c r="K3376" i="2" s="1"/>
  <c r="K3375" i="2"/>
  <c r="B3378" i="2" l="1"/>
  <c r="J3377" i="2" s="1"/>
  <c r="J3376" i="2"/>
  <c r="B3379" i="2" l="1"/>
  <c r="K3378" i="2" s="1"/>
  <c r="K3377" i="2"/>
  <c r="B3380" i="2" l="1"/>
  <c r="J3379" i="2" s="1"/>
  <c r="J3378" i="2"/>
  <c r="B3381" i="2" l="1"/>
  <c r="K3380" i="2" s="1"/>
  <c r="K3379" i="2"/>
  <c r="B3382" i="2" l="1"/>
  <c r="J3381" i="2" s="1"/>
  <c r="J3380" i="2"/>
  <c r="B3383" i="2" l="1"/>
  <c r="K3382" i="2" s="1"/>
  <c r="K3381" i="2"/>
  <c r="B3384" i="2" l="1"/>
  <c r="J3383" i="2" s="1"/>
  <c r="J3382" i="2"/>
  <c r="B3385" i="2" l="1"/>
  <c r="K3384" i="2" s="1"/>
  <c r="K3383" i="2"/>
  <c r="B3386" i="2" l="1"/>
  <c r="J3385" i="2" s="1"/>
  <c r="J3384" i="2"/>
  <c r="B3387" i="2" l="1"/>
  <c r="K3385" i="2"/>
  <c r="B3388" i="2" l="1"/>
  <c r="J3387" i="2" s="1"/>
  <c r="K3386" i="2"/>
  <c r="J3386" i="2"/>
  <c r="B3389" i="2" l="1"/>
  <c r="K3388" i="2" s="1"/>
  <c r="K3387" i="2"/>
  <c r="B3390" i="2" l="1"/>
  <c r="J3389" i="2" s="1"/>
  <c r="J3388" i="2"/>
  <c r="B3391" i="2" l="1"/>
  <c r="K3390" i="2" s="1"/>
  <c r="K3389" i="2"/>
  <c r="B3392" i="2" l="1"/>
  <c r="K3391" i="2" s="1"/>
  <c r="J3390" i="2"/>
  <c r="J3391" i="2" l="1"/>
  <c r="B3393" i="2"/>
  <c r="K3392" i="2" s="1"/>
  <c r="B3394" i="2" l="1"/>
  <c r="J3393" i="2" s="1"/>
  <c r="J3392" i="2"/>
  <c r="B3395" i="2" l="1"/>
  <c r="K3394" i="2" s="1"/>
  <c r="K3393" i="2"/>
  <c r="B3396" i="2" l="1"/>
  <c r="K3395" i="2" s="1"/>
  <c r="J3394" i="2"/>
  <c r="J3395" i="2" l="1"/>
  <c r="B3397" i="2"/>
  <c r="K3396" i="2" s="1"/>
  <c r="B3398" i="2" l="1"/>
  <c r="J3397" i="2" s="1"/>
  <c r="J3396" i="2"/>
  <c r="B3399" i="2" l="1"/>
  <c r="K3398" i="2" s="1"/>
  <c r="K3397" i="2"/>
  <c r="B3400" i="2" l="1"/>
  <c r="J3399" i="2" s="1"/>
  <c r="J3398" i="2"/>
  <c r="B3401" i="2" l="1"/>
  <c r="K3400" i="2" s="1"/>
  <c r="K3399" i="2"/>
  <c r="B3402" i="2" l="1"/>
  <c r="J3401" i="2" s="1"/>
  <c r="J3400" i="2"/>
  <c r="B3403" i="2" l="1"/>
  <c r="K3402" i="2" s="1"/>
  <c r="K3401" i="2"/>
  <c r="B3404" i="2" l="1"/>
  <c r="J3403" i="2" s="1"/>
  <c r="J3402" i="2"/>
  <c r="B3405" i="2" l="1"/>
  <c r="K3404" i="2" s="1"/>
  <c r="K3403" i="2"/>
  <c r="B3406" i="2" l="1"/>
  <c r="J3405" i="2" s="1"/>
  <c r="J3404" i="2"/>
  <c r="B3407" i="2" l="1"/>
  <c r="K3406" i="2" s="1"/>
  <c r="K3405" i="2"/>
  <c r="B3408" i="2" l="1"/>
  <c r="J3407" i="2" s="1"/>
  <c r="J3406" i="2"/>
  <c r="B3409" i="2" l="1"/>
  <c r="K3408" i="2" s="1"/>
  <c r="K3407" i="2"/>
  <c r="B3410" i="2" l="1"/>
  <c r="J3409" i="2" s="1"/>
  <c r="J3408" i="2"/>
  <c r="B3411" i="2" l="1"/>
  <c r="K3410" i="2" s="1"/>
  <c r="K3409" i="2"/>
  <c r="B3412" i="2" l="1"/>
  <c r="J3411" i="2" s="1"/>
  <c r="J3410" i="2"/>
  <c r="B3413" i="2" l="1"/>
  <c r="K3412" i="2" s="1"/>
  <c r="K3411" i="2"/>
  <c r="B3414" i="2" l="1"/>
  <c r="J3413" i="2" s="1"/>
  <c r="J3412" i="2"/>
  <c r="B3415" i="2" l="1"/>
  <c r="K3414" i="2" s="1"/>
  <c r="K3413" i="2"/>
  <c r="B3416" i="2" l="1"/>
  <c r="K3415" i="2" s="1"/>
  <c r="J3414" i="2"/>
  <c r="J3415" i="2" l="1"/>
  <c r="B3417" i="2"/>
  <c r="K3416" i="2" s="1"/>
  <c r="B3418" i="2" l="1"/>
  <c r="J3417" i="2" s="1"/>
  <c r="J3416" i="2"/>
  <c r="B3419" i="2" l="1"/>
  <c r="J3418" i="2" s="1"/>
  <c r="K3417" i="2"/>
  <c r="K3418" i="2" l="1"/>
  <c r="B3420" i="2"/>
  <c r="J3419" i="2" s="1"/>
  <c r="B3421" i="2" l="1"/>
  <c r="K3420" i="2" s="1"/>
  <c r="K3419" i="2"/>
  <c r="B3422" i="2" l="1"/>
  <c r="K3421" i="2" s="1"/>
  <c r="J3420" i="2"/>
  <c r="J3421" i="2" l="1"/>
  <c r="B3423" i="2"/>
  <c r="B3424" i="2" l="1"/>
  <c r="J3423" i="2" s="1"/>
  <c r="K3422" i="2"/>
  <c r="J3422" i="2"/>
  <c r="B3425" i="2" l="1"/>
  <c r="K3424" i="2" s="1"/>
  <c r="K3423" i="2"/>
  <c r="B3426" i="2" l="1"/>
  <c r="J3425" i="2" s="1"/>
  <c r="J3424" i="2"/>
  <c r="B3427" i="2" l="1"/>
  <c r="K3426" i="2" s="1"/>
  <c r="K3425" i="2"/>
  <c r="B3428" i="2" l="1"/>
  <c r="K3427" i="2" s="1"/>
  <c r="J3426" i="2"/>
  <c r="J3427" i="2" l="1"/>
  <c r="B3429" i="2"/>
  <c r="J3428" i="2" s="1"/>
  <c r="K3428" i="2" l="1"/>
  <c r="B3430" i="2"/>
  <c r="J3429" i="2" s="1"/>
  <c r="B3431" i="2" l="1"/>
  <c r="K3430" i="2" s="1"/>
  <c r="K3429" i="2"/>
  <c r="B3432" i="2" l="1"/>
  <c r="J3431" i="2" s="1"/>
  <c r="J3430" i="2"/>
  <c r="B3433" i="2" l="1"/>
  <c r="K3432" i="2" s="1"/>
  <c r="K3431" i="2"/>
  <c r="B3434" i="2" l="1"/>
  <c r="J3433" i="2" s="1"/>
  <c r="J3432" i="2"/>
  <c r="B3435" i="2" l="1"/>
  <c r="K3434" i="2" s="1"/>
  <c r="K3433" i="2"/>
  <c r="B3436" i="2" l="1"/>
  <c r="J3435" i="2" s="1"/>
  <c r="J3434" i="2"/>
  <c r="B3437" i="2" l="1"/>
  <c r="K3436" i="2" s="1"/>
  <c r="K3435" i="2"/>
  <c r="B3438" i="2" l="1"/>
  <c r="J3437" i="2" s="1"/>
  <c r="J3436" i="2"/>
  <c r="B3439" i="2" l="1"/>
  <c r="K3438" i="2" s="1"/>
  <c r="K3437" i="2"/>
  <c r="B3440" i="2" l="1"/>
  <c r="J3439" i="2" s="1"/>
  <c r="J3438" i="2"/>
  <c r="B3441" i="2" l="1"/>
  <c r="K3439" i="2"/>
  <c r="B3442" i="2" l="1"/>
  <c r="J3441" i="2" s="1"/>
  <c r="K3440" i="2"/>
  <c r="J3440" i="2"/>
  <c r="B3443" i="2" l="1"/>
  <c r="K3442" i="2" s="1"/>
  <c r="K3441" i="2"/>
  <c r="B3444" i="2" l="1"/>
  <c r="J3443" i="2" s="1"/>
  <c r="J3442" i="2"/>
  <c r="B3445" i="2" l="1"/>
  <c r="K3444" i="2" s="1"/>
  <c r="K3443" i="2"/>
  <c r="B3446" i="2" l="1"/>
  <c r="K3445" i="2" s="1"/>
  <c r="J3444" i="2"/>
  <c r="J3445" i="2" l="1"/>
  <c r="B3447" i="2"/>
  <c r="K3446" i="2" s="1"/>
  <c r="B3448" i="2" l="1"/>
  <c r="J3447" i="2" s="1"/>
  <c r="J3446" i="2"/>
  <c r="B3449" i="2" l="1"/>
  <c r="K3448" i="2" s="1"/>
  <c r="K3447" i="2"/>
  <c r="B3450" i="2" l="1"/>
  <c r="J3449" i="2" s="1"/>
  <c r="J3448" i="2"/>
  <c r="B3451" i="2" l="1"/>
  <c r="K3450" i="2" s="1"/>
  <c r="K3449" i="2"/>
  <c r="B3452" i="2" l="1"/>
  <c r="J3451" i="2" s="1"/>
  <c r="J3450" i="2"/>
  <c r="B3453" i="2" l="1"/>
  <c r="K3452" i="2" s="1"/>
  <c r="K3451" i="2"/>
  <c r="B3454" i="2" l="1"/>
  <c r="J3453" i="2" s="1"/>
  <c r="J3452" i="2"/>
  <c r="B3455" i="2" l="1"/>
  <c r="K3454" i="2" s="1"/>
  <c r="K3453" i="2"/>
  <c r="B3456" i="2" l="1"/>
  <c r="J3455" i="2" s="1"/>
  <c r="J3454" i="2"/>
  <c r="B3457" i="2" l="1"/>
  <c r="K3456" i="2" s="1"/>
  <c r="K3455" i="2"/>
  <c r="B3458" i="2" l="1"/>
  <c r="J3457" i="2" s="1"/>
  <c r="J3456" i="2"/>
  <c r="B3459" i="2" l="1"/>
  <c r="K3457" i="2"/>
  <c r="B3460" i="2" l="1"/>
  <c r="K3459" i="2" s="1"/>
  <c r="K3458" i="2"/>
  <c r="J3458" i="2"/>
  <c r="J3459" i="2" l="1"/>
  <c r="B3461" i="2"/>
  <c r="K3460" i="2" s="1"/>
  <c r="B3462" i="2" l="1"/>
  <c r="J3461" i="2" s="1"/>
  <c r="J3460" i="2"/>
  <c r="B3463" i="2" l="1"/>
  <c r="K3462" i="2" s="1"/>
  <c r="K3461" i="2"/>
  <c r="B3464" i="2" l="1"/>
  <c r="J3463" i="2" s="1"/>
  <c r="J3462" i="2"/>
  <c r="B3465" i="2" l="1"/>
  <c r="K3464" i="2" s="1"/>
  <c r="K3463" i="2"/>
  <c r="B3466" i="2" l="1"/>
  <c r="J3465" i="2" s="1"/>
  <c r="J3464" i="2"/>
  <c r="B3467" i="2" l="1"/>
  <c r="K3466" i="2" s="1"/>
  <c r="K3465" i="2"/>
  <c r="B3468" i="2" l="1"/>
  <c r="J3467" i="2" s="1"/>
  <c r="J3466" i="2"/>
  <c r="B3469" i="2" l="1"/>
  <c r="K3468" i="2" s="1"/>
  <c r="K3467" i="2"/>
  <c r="B3470" i="2" l="1"/>
  <c r="J3469" i="2" s="1"/>
  <c r="J3468" i="2"/>
  <c r="B3471" i="2" l="1"/>
  <c r="K3470" i="2" s="1"/>
  <c r="K3469" i="2"/>
  <c r="B3472" i="2" l="1"/>
  <c r="J3471" i="2" s="1"/>
  <c r="J3470" i="2"/>
  <c r="B3473" i="2" l="1"/>
  <c r="K3472" i="2" s="1"/>
  <c r="K3471" i="2"/>
  <c r="B3474" i="2" l="1"/>
  <c r="J3473" i="2" s="1"/>
  <c r="J3472" i="2"/>
  <c r="B3475" i="2" l="1"/>
  <c r="K3474" i="2" s="1"/>
  <c r="K3473" i="2"/>
  <c r="B3476" i="2" l="1"/>
  <c r="J3475" i="2" s="1"/>
  <c r="J3474" i="2"/>
  <c r="B3477" i="2" l="1"/>
  <c r="K3476" i="2" s="1"/>
  <c r="K3475" i="2"/>
  <c r="B3478" i="2" l="1"/>
  <c r="J3477" i="2" s="1"/>
  <c r="J3476" i="2"/>
  <c r="B3479" i="2" l="1"/>
  <c r="K3478" i="2" s="1"/>
  <c r="K3477" i="2"/>
  <c r="B3480" i="2" l="1"/>
  <c r="J3479" i="2" s="1"/>
  <c r="J3478" i="2"/>
  <c r="B3481" i="2" l="1"/>
  <c r="K3480" i="2" s="1"/>
  <c r="K3479" i="2"/>
  <c r="B3482" i="2" l="1"/>
  <c r="J3481" i="2" s="1"/>
  <c r="J3480" i="2"/>
  <c r="B3483" i="2" l="1"/>
  <c r="K3482" i="2" s="1"/>
  <c r="K3481" i="2"/>
  <c r="B3484" i="2" l="1"/>
  <c r="J3483" i="2" s="1"/>
  <c r="J3482" i="2"/>
  <c r="B3485" i="2" l="1"/>
  <c r="K3484" i="2" s="1"/>
  <c r="K3483" i="2"/>
  <c r="B3486" i="2" l="1"/>
  <c r="J3485" i="2" s="1"/>
  <c r="J3484" i="2"/>
  <c r="B3487" i="2" l="1"/>
  <c r="K3486" i="2" s="1"/>
  <c r="K3485" i="2"/>
  <c r="B3488" i="2" l="1"/>
  <c r="J3487" i="2" s="1"/>
  <c r="J3486" i="2"/>
  <c r="B3489" i="2" l="1"/>
  <c r="K3488" i="2" s="1"/>
  <c r="K3487" i="2"/>
  <c r="B3490" i="2" l="1"/>
  <c r="J3489" i="2" s="1"/>
  <c r="J3488" i="2"/>
  <c r="B3491" i="2" l="1"/>
  <c r="K3490" i="2" s="1"/>
  <c r="K3489" i="2"/>
  <c r="B3492" i="2" l="1"/>
  <c r="J3491" i="2" s="1"/>
  <c r="J3490" i="2"/>
  <c r="B3493" i="2" l="1"/>
  <c r="K3492" i="2" s="1"/>
  <c r="K3491" i="2"/>
  <c r="B3494" i="2" l="1"/>
  <c r="J3493" i="2" s="1"/>
  <c r="J3492" i="2"/>
  <c r="B3495" i="2" l="1"/>
  <c r="K3493" i="2"/>
  <c r="B3496" i="2" l="1"/>
  <c r="J3495" i="2" s="1"/>
  <c r="K3494" i="2"/>
  <c r="J3494" i="2"/>
  <c r="B3497" i="2" l="1"/>
  <c r="K3496" i="2" s="1"/>
  <c r="K3495" i="2"/>
  <c r="B3498" i="2" l="1"/>
  <c r="J3497" i="2" s="1"/>
  <c r="J3496" i="2"/>
  <c r="B3499" i="2" l="1"/>
  <c r="K3498" i="2" s="1"/>
  <c r="K3497" i="2"/>
  <c r="B3500" i="2" l="1"/>
  <c r="K3499" i="2" s="1"/>
  <c r="J3498" i="2"/>
  <c r="J3499" i="2" l="1"/>
  <c r="B3501" i="2"/>
  <c r="K3500" i="2" s="1"/>
  <c r="B3502" i="2" l="1"/>
  <c r="J3501" i="2" s="1"/>
  <c r="J3500" i="2"/>
  <c r="B3503" i="2" l="1"/>
  <c r="K3502" i="2" s="1"/>
  <c r="K3501" i="2"/>
  <c r="B3504" i="2" l="1"/>
  <c r="J3503" i="2" s="1"/>
  <c r="J3502" i="2"/>
  <c r="B3505" i="2" l="1"/>
  <c r="K3504" i="2" s="1"/>
  <c r="K3503" i="2"/>
  <c r="B3506" i="2" l="1"/>
  <c r="J3505" i="2" s="1"/>
  <c r="J3504" i="2"/>
  <c r="B3507" i="2" l="1"/>
  <c r="K3506" i="2" s="1"/>
  <c r="K3505" i="2"/>
  <c r="B3508" i="2" l="1"/>
  <c r="J3507" i="2" s="1"/>
  <c r="J3506" i="2"/>
  <c r="B3509" i="2" l="1"/>
  <c r="K3508" i="2" s="1"/>
  <c r="K3507" i="2"/>
  <c r="B3510" i="2" l="1"/>
  <c r="J3509" i="2" s="1"/>
  <c r="J3508" i="2"/>
  <c r="B3511" i="2" l="1"/>
  <c r="K3510" i="2" s="1"/>
  <c r="K3509" i="2"/>
  <c r="B3512" i="2" l="1"/>
  <c r="J3511" i="2" s="1"/>
  <c r="J3510" i="2"/>
  <c r="B3513" i="2" l="1"/>
  <c r="K3512" i="2" s="1"/>
  <c r="K3511" i="2"/>
  <c r="B3514" i="2" l="1"/>
  <c r="J3513" i="2" s="1"/>
  <c r="J3512" i="2"/>
  <c r="B3515" i="2" l="1"/>
  <c r="K3514" i="2" s="1"/>
  <c r="K3513" i="2"/>
  <c r="B3516" i="2" l="1"/>
  <c r="J3515" i="2" s="1"/>
  <c r="J3514" i="2"/>
  <c r="B3517" i="2" l="1"/>
  <c r="K3516" i="2" s="1"/>
  <c r="K3515" i="2"/>
  <c r="B3518" i="2" l="1"/>
  <c r="J3517" i="2" s="1"/>
  <c r="J3516" i="2"/>
  <c r="B3519" i="2" l="1"/>
  <c r="K3518" i="2" s="1"/>
  <c r="K3517" i="2"/>
  <c r="B3520" i="2" l="1"/>
  <c r="J3519" i="2" s="1"/>
  <c r="J3518" i="2"/>
  <c r="B3521" i="2" l="1"/>
  <c r="K3520" i="2" s="1"/>
  <c r="K3519" i="2"/>
  <c r="B3522" i="2" l="1"/>
  <c r="J3521" i="2" s="1"/>
  <c r="J3520" i="2"/>
  <c r="B3523" i="2" l="1"/>
  <c r="K3522" i="2" s="1"/>
  <c r="K3521" i="2"/>
  <c r="B3524" i="2" l="1"/>
  <c r="J3523" i="2" s="1"/>
  <c r="J3522" i="2"/>
  <c r="B3525" i="2" l="1"/>
  <c r="K3524" i="2" s="1"/>
  <c r="K3523" i="2"/>
  <c r="B3526" i="2" l="1"/>
  <c r="J3525" i="2" s="1"/>
  <c r="J3524" i="2"/>
  <c r="B3527" i="2" l="1"/>
  <c r="K3526" i="2" s="1"/>
  <c r="K3525" i="2"/>
  <c r="B3528" i="2" l="1"/>
  <c r="J3527" i="2" s="1"/>
  <c r="J3526" i="2"/>
  <c r="B3529" i="2" l="1"/>
  <c r="K3528" i="2" s="1"/>
  <c r="K3527" i="2"/>
  <c r="B3530" i="2" l="1"/>
  <c r="J3529" i="2" s="1"/>
  <c r="J3528" i="2"/>
  <c r="B3531" i="2" l="1"/>
  <c r="K3530" i="2" s="1"/>
  <c r="K3529" i="2"/>
  <c r="B3532" i="2" l="1"/>
  <c r="J3531" i="2" s="1"/>
  <c r="J3530" i="2"/>
  <c r="B3533" i="2" l="1"/>
  <c r="K3532" i="2" s="1"/>
  <c r="K3531" i="2"/>
  <c r="B3534" i="2" l="1"/>
  <c r="J3533" i="2" s="1"/>
  <c r="J3532" i="2"/>
  <c r="B3535" i="2" l="1"/>
  <c r="K3534" i="2" s="1"/>
  <c r="K3533" i="2"/>
  <c r="B3536" i="2" l="1"/>
  <c r="J3535" i="2" s="1"/>
  <c r="J3534" i="2"/>
  <c r="B3537" i="2" l="1"/>
  <c r="K3536" i="2" s="1"/>
  <c r="K3535" i="2"/>
  <c r="B3538" i="2" l="1"/>
  <c r="J3537" i="2" s="1"/>
  <c r="J3536" i="2"/>
  <c r="B3539" i="2" l="1"/>
  <c r="K3538" i="2" s="1"/>
  <c r="K3537" i="2"/>
  <c r="B3540" i="2" l="1"/>
  <c r="J3539" i="2" s="1"/>
  <c r="J3538" i="2"/>
  <c r="B3541" i="2" l="1"/>
  <c r="K3540" i="2" s="1"/>
  <c r="K3539" i="2"/>
  <c r="B3542" i="2" l="1"/>
  <c r="J3541" i="2" s="1"/>
  <c r="J3540" i="2"/>
  <c r="B3543" i="2" l="1"/>
  <c r="K3542" i="2" s="1"/>
  <c r="K3541" i="2"/>
  <c r="B3544" i="2" l="1"/>
  <c r="J3543" i="2" s="1"/>
  <c r="J3542" i="2"/>
  <c r="B3545" i="2" l="1"/>
  <c r="K3544" i="2" s="1"/>
  <c r="K3543" i="2"/>
  <c r="B3546" i="2" l="1"/>
  <c r="J3545" i="2" s="1"/>
  <c r="J3544" i="2"/>
  <c r="B3547" i="2" l="1"/>
  <c r="K3546" i="2" s="1"/>
  <c r="K3545" i="2"/>
  <c r="B3548" i="2" l="1"/>
  <c r="J3547" i="2" s="1"/>
  <c r="J3546" i="2"/>
  <c r="B3549" i="2" l="1"/>
  <c r="K3548" i="2" s="1"/>
  <c r="K3547" i="2"/>
  <c r="B3550" i="2" l="1"/>
  <c r="J3549" i="2" s="1"/>
  <c r="J3548" i="2"/>
  <c r="B3551" i="2" l="1"/>
  <c r="K3550" i="2" s="1"/>
  <c r="K3549" i="2"/>
  <c r="B3552" i="2" l="1"/>
  <c r="J3551" i="2" s="1"/>
  <c r="J3550" i="2"/>
  <c r="B3553" i="2" l="1"/>
  <c r="K3552" i="2" s="1"/>
  <c r="K3551" i="2"/>
  <c r="B3554" i="2" l="1"/>
  <c r="J3553" i="2" s="1"/>
  <c r="J3552" i="2"/>
  <c r="B3555" i="2" l="1"/>
  <c r="K3554" i="2" s="1"/>
  <c r="K3553" i="2"/>
  <c r="B3556" i="2" l="1"/>
  <c r="J3555" i="2" s="1"/>
  <c r="J3554" i="2"/>
  <c r="B3557" i="2" l="1"/>
  <c r="K3556" i="2" s="1"/>
  <c r="K3555" i="2"/>
  <c r="B3558" i="2" l="1"/>
  <c r="J3557" i="2" s="1"/>
  <c r="J3556" i="2"/>
  <c r="B3559" i="2" l="1"/>
  <c r="K3558" i="2" s="1"/>
  <c r="K3557" i="2"/>
  <c r="B3560" i="2" l="1"/>
  <c r="J3559" i="2" s="1"/>
  <c r="J3558" i="2"/>
  <c r="B3561" i="2" l="1"/>
  <c r="K3560" i="2" s="1"/>
  <c r="K3559" i="2"/>
  <c r="B3562" i="2" l="1"/>
  <c r="J3561" i="2" s="1"/>
  <c r="J3560" i="2"/>
  <c r="B3563" i="2" l="1"/>
  <c r="K3562" i="2" s="1"/>
  <c r="K3561" i="2"/>
  <c r="B3564" i="2" l="1"/>
  <c r="J3563" i="2" s="1"/>
  <c r="J3562" i="2"/>
  <c r="B3565" i="2" l="1"/>
  <c r="K3564" i="2" s="1"/>
  <c r="K3563" i="2"/>
  <c r="B3566" i="2" l="1"/>
  <c r="J3565" i="2" s="1"/>
  <c r="J3564" i="2"/>
  <c r="B3567" i="2" l="1"/>
  <c r="K3566" i="2" s="1"/>
  <c r="K3565" i="2"/>
  <c r="B3568" i="2" l="1"/>
  <c r="K3567" i="2" s="1"/>
  <c r="J3566" i="2"/>
  <c r="B3569" i="2" l="1"/>
  <c r="J3568" i="2" s="1"/>
  <c r="J3567" i="2"/>
  <c r="B3570" i="2" l="1"/>
  <c r="K3569" i="2" s="1"/>
  <c r="K3568" i="2"/>
  <c r="B3571" i="2" l="1"/>
  <c r="J3570" i="2" s="1"/>
  <c r="J3569" i="2"/>
  <c r="B3572" i="2" l="1"/>
  <c r="J3571" i="2" s="1"/>
  <c r="K3570" i="2"/>
  <c r="K3571" i="2" l="1"/>
  <c r="B3573" i="2"/>
  <c r="J3572" i="2" s="1"/>
  <c r="B3574" i="2" l="1"/>
  <c r="K3573" i="2" s="1"/>
  <c r="K3572" i="2"/>
  <c r="B3575" i="2" l="1"/>
  <c r="J3574" i="2" s="1"/>
  <c r="J3573" i="2"/>
  <c r="B3576" i="2" l="1"/>
  <c r="K3575" i="2" s="1"/>
  <c r="K3574" i="2"/>
  <c r="B3577" i="2" l="1"/>
  <c r="J3576" i="2" s="1"/>
  <c r="J3575" i="2"/>
  <c r="B3578" i="2" l="1"/>
  <c r="K3577" i="2" s="1"/>
  <c r="K3576" i="2"/>
  <c r="B3579" i="2" l="1"/>
  <c r="J3578" i="2" s="1"/>
  <c r="J3577" i="2"/>
  <c r="B3580" i="2" l="1"/>
  <c r="K3579" i="2" s="1"/>
  <c r="K3578" i="2"/>
  <c r="B3581" i="2" l="1"/>
  <c r="J3580" i="2" s="1"/>
  <c r="J3579" i="2"/>
  <c r="B3582" i="2" l="1"/>
  <c r="K3581" i="2" s="1"/>
  <c r="K3580" i="2"/>
  <c r="B3583" i="2" l="1"/>
  <c r="J3582" i="2" s="1"/>
  <c r="J3581" i="2"/>
  <c r="B3584" i="2" l="1"/>
  <c r="K3583" i="2" s="1"/>
  <c r="K3582" i="2"/>
  <c r="B3585" i="2" l="1"/>
  <c r="J3584" i="2" s="1"/>
  <c r="J3583" i="2"/>
  <c r="B3586" i="2" l="1"/>
  <c r="K3585" i="2" s="1"/>
  <c r="K3584" i="2"/>
  <c r="B3587" i="2" l="1"/>
  <c r="J3586" i="2" s="1"/>
  <c r="J3585" i="2"/>
  <c r="B3588" i="2" l="1"/>
  <c r="K3587" i="2" s="1"/>
  <c r="K3586" i="2"/>
  <c r="B3589" i="2" l="1"/>
  <c r="J3588" i="2" s="1"/>
  <c r="J3587" i="2"/>
  <c r="B3590" i="2" l="1"/>
  <c r="K3589" i="2" s="1"/>
  <c r="K3588" i="2"/>
  <c r="B3591" i="2" l="1"/>
  <c r="J3590" i="2" s="1"/>
  <c r="J3589" i="2"/>
  <c r="B3592" i="2" l="1"/>
  <c r="K3591" i="2" s="1"/>
  <c r="K3590" i="2"/>
  <c r="B3593" i="2" l="1"/>
  <c r="J3592" i="2" s="1"/>
  <c r="J3591" i="2"/>
  <c r="B3594" i="2" l="1"/>
  <c r="K3593" i="2" s="1"/>
  <c r="K3592" i="2"/>
  <c r="B3595" i="2" l="1"/>
  <c r="J3594" i="2" s="1"/>
  <c r="J3593" i="2"/>
  <c r="B3596" i="2" l="1"/>
  <c r="K3595" i="2" s="1"/>
  <c r="K3594" i="2"/>
  <c r="B3597" i="2" l="1"/>
  <c r="J3596" i="2" s="1"/>
  <c r="J3595" i="2"/>
  <c r="B3598" i="2" l="1"/>
  <c r="K3597" i="2" s="1"/>
  <c r="K3596" i="2"/>
  <c r="B3599" i="2" l="1"/>
  <c r="J3598" i="2" s="1"/>
  <c r="J3597" i="2"/>
  <c r="B3600" i="2" l="1"/>
  <c r="K3599" i="2" s="1"/>
  <c r="K3598" i="2"/>
  <c r="B3601" i="2" l="1"/>
  <c r="J3600" i="2" s="1"/>
  <c r="J3599" i="2"/>
  <c r="B3602" i="2" l="1"/>
  <c r="K3601" i="2" s="1"/>
  <c r="K3600" i="2"/>
  <c r="B3603" i="2" l="1"/>
  <c r="J3602" i="2" s="1"/>
  <c r="J3601" i="2"/>
  <c r="B3604" i="2" l="1"/>
  <c r="K3603" i="2" s="1"/>
  <c r="K3602" i="2"/>
  <c r="B3605" i="2" l="1"/>
  <c r="J3604" i="2" s="1"/>
  <c r="J3603" i="2"/>
  <c r="B3606" i="2" l="1"/>
  <c r="K3605" i="2" s="1"/>
  <c r="K3604" i="2"/>
  <c r="B3607" i="2" l="1"/>
  <c r="J3606" i="2" s="1"/>
  <c r="J3605" i="2"/>
  <c r="B3608" i="2" l="1"/>
  <c r="J3607" i="2" s="1"/>
  <c r="K3606" i="2"/>
  <c r="K3607" i="2" l="1"/>
  <c r="B3609" i="2"/>
  <c r="J3608" i="2" s="1"/>
  <c r="B3610" i="2" l="1"/>
  <c r="K3609" i="2" s="1"/>
  <c r="K3608" i="2"/>
  <c r="B3611" i="2" l="1"/>
  <c r="J3610" i="2" s="1"/>
  <c r="J3609" i="2"/>
  <c r="B3612" i="2" l="1"/>
  <c r="K3611" i="2" s="1"/>
  <c r="K3610" i="2"/>
  <c r="B3613" i="2" l="1"/>
  <c r="J3612" i="2" s="1"/>
  <c r="J3611" i="2"/>
  <c r="B3614" i="2" l="1"/>
  <c r="K3613" i="2" s="1"/>
  <c r="K3612" i="2"/>
  <c r="B3615" i="2" l="1"/>
  <c r="J3614" i="2" s="1"/>
  <c r="J3613" i="2"/>
  <c r="B3616" i="2" l="1"/>
  <c r="K3615" i="2" s="1"/>
  <c r="K3614" i="2"/>
  <c r="B3617" i="2" l="1"/>
  <c r="J3616" i="2" s="1"/>
  <c r="J3615" i="2"/>
  <c r="B3618" i="2" l="1"/>
  <c r="K3617" i="2" s="1"/>
  <c r="K3616" i="2"/>
  <c r="B3619" i="2" l="1"/>
  <c r="J3618" i="2" s="1"/>
  <c r="J3617" i="2"/>
  <c r="B3620" i="2" l="1"/>
  <c r="K3619" i="2" s="1"/>
  <c r="K3618" i="2"/>
  <c r="B3621" i="2" l="1"/>
  <c r="J3620" i="2" s="1"/>
  <c r="J3619" i="2"/>
  <c r="B3622" i="2" l="1"/>
  <c r="K3621" i="2" s="1"/>
  <c r="K3620" i="2"/>
  <c r="B3623" i="2" l="1"/>
  <c r="J3622" i="2" s="1"/>
  <c r="J3621" i="2"/>
  <c r="B3624" i="2" l="1"/>
  <c r="K3623" i="2" s="1"/>
  <c r="K3622" i="2"/>
  <c r="B3625" i="2" l="1"/>
  <c r="J3624" i="2" s="1"/>
  <c r="J3623" i="2"/>
  <c r="B3626" i="2" l="1"/>
  <c r="K3625" i="2" s="1"/>
  <c r="K3624" i="2"/>
  <c r="B3627" i="2" l="1"/>
  <c r="J3626" i="2" s="1"/>
  <c r="J3625" i="2"/>
  <c r="B3628" i="2" l="1"/>
  <c r="K3627" i="2" s="1"/>
  <c r="K3626" i="2"/>
  <c r="B3629" i="2" l="1"/>
  <c r="J3628" i="2" s="1"/>
  <c r="J3627" i="2"/>
  <c r="B3630" i="2" l="1"/>
  <c r="K3629" i="2" s="1"/>
  <c r="K3628" i="2"/>
  <c r="B3631" i="2" l="1"/>
  <c r="J3630" i="2" s="1"/>
  <c r="J3629" i="2"/>
  <c r="B3632" i="2" l="1"/>
  <c r="K3631" i="2" s="1"/>
  <c r="K3630" i="2"/>
  <c r="B3633" i="2" l="1"/>
  <c r="J3632" i="2" s="1"/>
  <c r="J3631" i="2"/>
  <c r="B3634" i="2" l="1"/>
  <c r="K3633" i="2" s="1"/>
  <c r="K3632" i="2"/>
  <c r="B3635" i="2" l="1"/>
  <c r="J3634" i="2" s="1"/>
  <c r="J3633" i="2"/>
  <c r="B3636" i="2" l="1"/>
  <c r="K3635" i="2" s="1"/>
  <c r="K3634" i="2"/>
  <c r="B3637" i="2" l="1"/>
  <c r="J3636" i="2" s="1"/>
  <c r="J3635" i="2"/>
  <c r="B3638" i="2" l="1"/>
  <c r="K3637" i="2" s="1"/>
  <c r="K3636" i="2"/>
  <c r="B3639" i="2" l="1"/>
  <c r="J3638" i="2" s="1"/>
  <c r="J3637" i="2"/>
  <c r="B3640" i="2" l="1"/>
  <c r="K3639" i="2" s="1"/>
  <c r="K3638" i="2"/>
  <c r="B3641" i="2" l="1"/>
  <c r="J3640" i="2" s="1"/>
  <c r="J3639" i="2"/>
  <c r="B3642" i="2" l="1"/>
  <c r="K3641" i="2" s="1"/>
  <c r="K3640" i="2"/>
  <c r="B3643" i="2" l="1"/>
  <c r="J3642" i="2" s="1"/>
  <c r="J3641" i="2"/>
  <c r="B3644" i="2" l="1"/>
  <c r="K3643" i="2" s="1"/>
  <c r="K3642" i="2"/>
  <c r="B3645" i="2" l="1"/>
  <c r="J3644" i="2" s="1"/>
  <c r="J3643" i="2"/>
  <c r="B3646" i="2" l="1"/>
  <c r="K3645" i="2" s="1"/>
  <c r="K3644" i="2"/>
  <c r="B3647" i="2" l="1"/>
  <c r="J3646" i="2" s="1"/>
  <c r="J3645" i="2"/>
  <c r="B3648" i="2" l="1"/>
  <c r="K3647" i="2" s="1"/>
  <c r="K3646" i="2"/>
  <c r="B3649" i="2" l="1"/>
  <c r="J3648" i="2" s="1"/>
  <c r="J3647" i="2"/>
  <c r="B3650" i="2" l="1"/>
  <c r="K3649" i="2" s="1"/>
  <c r="K3648" i="2"/>
  <c r="B3651" i="2" l="1"/>
  <c r="J3650" i="2" s="1"/>
  <c r="J3649" i="2"/>
  <c r="B3652" i="2" l="1"/>
  <c r="K3651" i="2" s="1"/>
  <c r="K3650" i="2"/>
  <c r="B3653" i="2" l="1"/>
  <c r="J3652" i="2" s="1"/>
  <c r="J3651" i="2"/>
  <c r="B3654" i="2" l="1"/>
  <c r="K3653" i="2" s="1"/>
  <c r="K3652" i="2"/>
  <c r="B3655" i="2" l="1"/>
  <c r="J3654" i="2" s="1"/>
  <c r="J3653" i="2"/>
  <c r="B3656" i="2" l="1"/>
  <c r="K3654" i="2"/>
  <c r="H7" i="2" l="1"/>
  <c r="B3657" i="2"/>
  <c r="M3657" i="2" s="1"/>
  <c r="K3655" i="2"/>
  <c r="H6" i="2"/>
  <c r="J3655" i="2"/>
  <c r="J3656" i="2" l="1"/>
  <c r="K3656" i="2"/>
  <c r="B3658" i="2"/>
  <c r="J3657" i="2" s="1"/>
  <c r="K6" i="2"/>
  <c r="H10" i="2" s="1"/>
  <c r="G10" i="2" s="1"/>
  <c r="J6" i="2"/>
  <c r="G9" i="2" s="1"/>
  <c r="H9" i="2" s="1"/>
  <c r="K3657" i="2" l="1"/>
  <c r="B3659" i="2"/>
  <c r="J3658" i="2" s="1"/>
  <c r="M3658" i="2"/>
  <c r="M469" i="2"/>
  <c r="M1860" i="2"/>
  <c r="M3314" i="2"/>
  <c r="M1550" i="2"/>
  <c r="M61" i="2"/>
  <c r="M2811" i="2"/>
  <c r="M2865" i="2"/>
  <c r="M362" i="2"/>
  <c r="M2355" i="2"/>
  <c r="M2428" i="2"/>
  <c r="M3381" i="2"/>
  <c r="M3535" i="2"/>
  <c r="M24" i="2"/>
  <c r="M213" i="2"/>
  <c r="M19" i="2"/>
  <c r="M1120" i="2"/>
  <c r="M1391" i="2"/>
  <c r="M1438" i="2"/>
  <c r="M1523" i="2"/>
  <c r="M1612" i="2"/>
  <c r="M1809" i="2"/>
  <c r="M2128" i="2"/>
  <c r="M2178" i="2"/>
  <c r="M2304" i="2"/>
  <c r="M2647" i="2"/>
  <c r="M2900" i="2"/>
  <c r="M2976" i="2"/>
  <c r="M3084" i="2"/>
  <c r="M3213" i="2"/>
  <c r="M3226" i="2"/>
  <c r="M3329" i="2"/>
  <c r="M3494" i="2"/>
  <c r="M1002" i="2"/>
  <c r="M368" i="2"/>
  <c r="M949" i="2"/>
  <c r="M763" i="2"/>
  <c r="M147" i="2"/>
  <c r="M559" i="2"/>
  <c r="M1057" i="2"/>
  <c r="M1107" i="2"/>
  <c r="M1280" i="2"/>
  <c r="M1396" i="2"/>
  <c r="M1398" i="2"/>
  <c r="M1436" i="2"/>
  <c r="M1461" i="2"/>
  <c r="M1867" i="2"/>
  <c r="M2277" i="2"/>
  <c r="M2373" i="2"/>
  <c r="M2614" i="2"/>
  <c r="M2745" i="2"/>
  <c r="M2791" i="2"/>
  <c r="M2998" i="2"/>
  <c r="M3231" i="2"/>
  <c r="M3465" i="2"/>
  <c r="M392" i="2"/>
  <c r="M87" i="2"/>
  <c r="M73" i="2"/>
  <c r="M156" i="2"/>
  <c r="M658" i="2"/>
  <c r="M988" i="2"/>
  <c r="M91" i="2"/>
  <c r="M337" i="2"/>
  <c r="M494" i="2"/>
  <c r="M548" i="2"/>
  <c r="M732" i="2"/>
  <c r="M593" i="2"/>
  <c r="M69" i="2"/>
  <c r="M105" i="2"/>
  <c r="M808" i="2"/>
  <c r="M9" i="2"/>
  <c r="M111" i="2"/>
  <c r="M296" i="2"/>
  <c r="M526" i="2"/>
  <c r="M749" i="2"/>
  <c r="M980" i="2"/>
  <c r="M1063" i="2"/>
  <c r="M1166" i="2"/>
  <c r="M1350" i="2"/>
  <c r="M1479" i="2"/>
  <c r="M1503" i="2"/>
  <c r="M1510" i="2"/>
  <c r="M1532" i="2"/>
  <c r="M1536" i="2"/>
  <c r="M1570" i="2"/>
  <c r="M1601" i="2"/>
  <c r="M1677" i="2"/>
  <c r="M1703" i="2"/>
  <c r="M1782" i="2"/>
  <c r="M1799" i="2"/>
  <c r="M1829" i="2"/>
  <c r="M1832" i="2"/>
  <c r="M1840" i="2"/>
  <c r="M1872" i="2"/>
  <c r="M1898" i="2"/>
  <c r="M2041" i="2"/>
  <c r="M2047" i="2"/>
  <c r="M2048" i="2"/>
  <c r="M2167" i="2"/>
  <c r="M2175" i="2"/>
  <c r="M2214" i="2"/>
  <c r="M2232" i="2"/>
  <c r="M2268" i="2"/>
  <c r="M2323" i="2"/>
  <c r="M2375" i="2"/>
  <c r="M2410" i="2"/>
  <c r="M2432" i="2"/>
  <c r="M2463" i="2"/>
  <c r="M2500" i="2"/>
  <c r="M2510" i="2"/>
  <c r="M2517" i="2"/>
  <c r="M2535" i="2"/>
  <c r="M2561" i="2"/>
  <c r="M2685" i="2"/>
  <c r="M2725" i="2"/>
  <c r="M2762" i="2"/>
  <c r="M2775" i="2"/>
  <c r="M2898" i="2"/>
  <c r="M2927" i="2"/>
  <c r="M3202" i="2"/>
  <c r="M3257" i="2"/>
  <c r="M3429" i="2"/>
  <c r="M3472" i="2"/>
  <c r="M3501" i="2"/>
  <c r="M3561" i="2"/>
  <c r="M3563" i="2"/>
  <c r="M3621" i="2"/>
  <c r="M685" i="2"/>
  <c r="M346" i="2"/>
  <c r="M183" i="2"/>
  <c r="M675" i="2"/>
  <c r="M955" i="2"/>
  <c r="M350" i="2"/>
  <c r="M527" i="2"/>
  <c r="M62" i="2"/>
  <c r="M98" i="2"/>
  <c r="M209" i="2"/>
  <c r="M591" i="2"/>
  <c r="M633" i="2"/>
  <c r="M767" i="2"/>
  <c r="M782" i="2"/>
  <c r="M27" i="2"/>
  <c r="M134" i="2"/>
  <c r="M273" i="2"/>
  <c r="M656" i="2"/>
  <c r="M721" i="2"/>
  <c r="M976" i="2"/>
  <c r="M279" i="2"/>
  <c r="M498" i="2"/>
  <c r="M568" i="2"/>
  <c r="M769" i="2"/>
  <c r="M982" i="2"/>
  <c r="M204" i="2"/>
  <c r="M553" i="2"/>
  <c r="M562" i="2"/>
  <c r="M598" i="2"/>
  <c r="M670" i="2"/>
  <c r="M734" i="2"/>
  <c r="M753" i="2"/>
  <c r="M768" i="2"/>
  <c r="M1042" i="2"/>
  <c r="M1066" i="2"/>
  <c r="M1085" i="2"/>
  <c r="M1095" i="2"/>
  <c r="M1097" i="2"/>
  <c r="M1133" i="2"/>
  <c r="M1138" i="2"/>
  <c r="M1160" i="2"/>
  <c r="M1200" i="2"/>
  <c r="M1234" i="2"/>
  <c r="M1299" i="2"/>
  <c r="M1388" i="2"/>
  <c r="M1433" i="2"/>
  <c r="M1456" i="2"/>
  <c r="M1459" i="2"/>
  <c r="M1527" i="2"/>
  <c r="M1616" i="2"/>
  <c r="M1681" i="2"/>
  <c r="M1731" i="2"/>
  <c r="M1739" i="2"/>
  <c r="M1780" i="2"/>
  <c r="M1805" i="2"/>
  <c r="M1816" i="2"/>
  <c r="M1825" i="2"/>
  <c r="M1927" i="2"/>
  <c r="M2006" i="2"/>
  <c r="M2016" i="2"/>
  <c r="M2030" i="2"/>
  <c r="M2092" i="2"/>
  <c r="M2114" i="2"/>
  <c r="M2124" i="2"/>
  <c r="M2199" i="2"/>
  <c r="M2222" i="2"/>
  <c r="M2236" i="2"/>
  <c r="M2240" i="2"/>
  <c r="M2285" i="2"/>
  <c r="M2315" i="2"/>
  <c r="M2330" i="2"/>
  <c r="M2343" i="2"/>
  <c r="M2353" i="2"/>
  <c r="M2372" i="2"/>
  <c r="M2408" i="2"/>
  <c r="M2424" i="2"/>
  <c r="M2435" i="2"/>
  <c r="M2466" i="2"/>
  <c r="M2472" i="2"/>
  <c r="M2497" i="2"/>
  <c r="M2504" i="2"/>
  <c r="M2523" i="2"/>
  <c r="M2565" i="2"/>
  <c r="M2601" i="2"/>
  <c r="M2621" i="2"/>
  <c r="M2639" i="2"/>
  <c r="M2688" i="2"/>
  <c r="M2698" i="2"/>
  <c r="M2700" i="2"/>
  <c r="M2750" i="2"/>
  <c r="M2753" i="2"/>
  <c r="M2794" i="2"/>
  <c r="M2797" i="2"/>
  <c r="M2823" i="2"/>
  <c r="M2845" i="2"/>
  <c r="M2849" i="2"/>
  <c r="M2908" i="2"/>
  <c r="M2917" i="2"/>
  <c r="M2930" i="2"/>
  <c r="M2943" i="2"/>
  <c r="M2971" i="2"/>
  <c r="M3002" i="2"/>
  <c r="M3004" i="2"/>
  <c r="M3006" i="2"/>
  <c r="M3067" i="2"/>
  <c r="M3114" i="2"/>
  <c r="M3150" i="2"/>
  <c r="M3200" i="2"/>
  <c r="M3215" i="2"/>
  <c r="M3270" i="2"/>
  <c r="M3315" i="2"/>
  <c r="M3322" i="2"/>
  <c r="M3344" i="2"/>
  <c r="M3362" i="2"/>
  <c r="M3439" i="2"/>
  <c r="M3446" i="2"/>
  <c r="M3507" i="2"/>
  <c r="M3513" i="2"/>
  <c r="M3529" i="2"/>
  <c r="M3537" i="2"/>
  <c r="M3590" i="2"/>
  <c r="M3603" i="2"/>
  <c r="M3623" i="2"/>
  <c r="M1009" i="2"/>
  <c r="M399" i="2"/>
  <c r="M995" i="2"/>
  <c r="M139" i="2"/>
  <c r="M595" i="2"/>
  <c r="M635" i="2"/>
  <c r="M63" i="2"/>
  <c r="M220" i="2"/>
  <c r="M266" i="2"/>
  <c r="M885" i="2"/>
  <c r="M20" i="2"/>
  <c r="M35" i="2"/>
  <c r="M77" i="2"/>
  <c r="M247" i="2"/>
  <c r="M364" i="2"/>
  <c r="M492" i="2"/>
  <c r="M519" i="2"/>
  <c r="M558" i="2"/>
  <c r="M649" i="2"/>
  <c r="M700" i="2"/>
  <c r="M773" i="2"/>
  <c r="M791" i="2"/>
  <c r="M921" i="2"/>
  <c r="M964" i="2"/>
  <c r="M175" i="2"/>
  <c r="M221" i="2"/>
  <c r="M278" i="2"/>
  <c r="M406" i="2"/>
  <c r="M443" i="2"/>
  <c r="M502" i="2"/>
  <c r="M510" i="2"/>
  <c r="M570" i="2"/>
  <c r="M645" i="2"/>
  <c r="M648" i="2"/>
  <c r="M720" i="2"/>
  <c r="M855" i="2"/>
  <c r="M893" i="2"/>
  <c r="M1001" i="2"/>
  <c r="M928" i="2"/>
  <c r="M596" i="2"/>
  <c r="M224" i="2"/>
  <c r="M396" i="2"/>
  <c r="M879" i="2"/>
  <c r="M993" i="2"/>
  <c r="M198" i="2"/>
  <c r="M222" i="2"/>
  <c r="M521" i="2"/>
  <c r="M547" i="2"/>
  <c r="M563" i="2"/>
  <c r="M610" i="2"/>
  <c r="M789" i="2"/>
  <c r="M937" i="2"/>
  <c r="M989" i="2"/>
  <c r="M12" i="2"/>
  <c r="M71" i="2"/>
  <c r="M197" i="2"/>
  <c r="M270" i="2"/>
  <c r="M286" i="2"/>
  <c r="M313" i="2"/>
  <c r="M355" i="2"/>
  <c r="M383" i="2"/>
  <c r="M432" i="2"/>
  <c r="M505" i="2"/>
  <c r="M617" i="2"/>
  <c r="M637" i="2"/>
  <c r="M647" i="2"/>
  <c r="M655" i="2"/>
  <c r="M682" i="2"/>
  <c r="M741" i="2"/>
  <c r="M839" i="2"/>
  <c r="M881" i="2"/>
  <c r="M931" i="2"/>
  <c r="M979" i="2"/>
  <c r="M1019" i="2"/>
  <c r="M1022" i="2"/>
  <c r="M1029" i="2"/>
  <c r="M1041" i="2"/>
  <c r="M1043" i="2"/>
  <c r="M1050" i="2"/>
  <c r="M1059" i="2"/>
  <c r="M1067" i="2"/>
  <c r="M1069" i="2"/>
  <c r="M1104" i="2"/>
  <c r="M1105" i="2"/>
  <c r="M1117" i="2"/>
  <c r="M1143" i="2"/>
  <c r="M1158" i="2"/>
  <c r="M1173" i="2"/>
  <c r="M1179" i="2"/>
  <c r="M1190" i="2"/>
  <c r="M1219" i="2"/>
  <c r="M1223" i="2"/>
  <c r="M1257" i="2"/>
  <c r="M1270" i="2"/>
  <c r="M1273" i="2"/>
  <c r="M1274" i="2"/>
  <c r="M1283" i="2"/>
  <c r="M1285" i="2"/>
  <c r="M1302" i="2"/>
  <c r="M1313" i="2"/>
  <c r="M1325" i="2"/>
  <c r="M1363" i="2"/>
  <c r="M1377" i="2"/>
  <c r="M1379" i="2"/>
  <c r="M1381" i="2"/>
  <c r="M1387" i="2"/>
  <c r="M1401" i="2"/>
  <c r="M1411" i="2"/>
  <c r="M1484" i="2"/>
  <c r="M1505" i="2"/>
  <c r="M1508" i="2"/>
  <c r="M1522" i="2"/>
  <c r="M1534" i="2"/>
  <c r="M1569" i="2"/>
  <c r="M1590" i="2"/>
  <c r="M1597" i="2"/>
  <c r="M1599" i="2"/>
  <c r="M1627" i="2"/>
  <c r="M1628" i="2"/>
  <c r="M1630" i="2"/>
  <c r="M1642" i="2"/>
  <c r="M1643" i="2"/>
  <c r="M1655" i="2"/>
  <c r="M1656" i="2"/>
  <c r="M1666" i="2"/>
  <c r="M1683" i="2"/>
  <c r="M1698" i="2"/>
  <c r="M1722" i="2"/>
  <c r="M1749" i="2"/>
  <c r="M1766" i="2"/>
  <c r="M1787" i="2"/>
  <c r="M1795" i="2"/>
  <c r="M1814" i="2"/>
  <c r="M1844" i="2"/>
  <c r="M1847" i="2"/>
  <c r="M1879" i="2"/>
  <c r="M1882" i="2"/>
  <c r="M1887" i="2"/>
  <c r="M1903" i="2"/>
  <c r="M1909" i="2"/>
  <c r="M1920" i="2"/>
  <c r="M1923" i="2"/>
  <c r="M1933" i="2"/>
  <c r="M1944" i="2"/>
  <c r="M1957" i="2"/>
  <c r="M1998" i="2"/>
  <c r="M2012" i="2"/>
  <c r="M2045" i="2"/>
  <c r="M2055" i="2"/>
  <c r="M2057" i="2"/>
  <c r="M2061" i="2"/>
  <c r="M2068" i="2"/>
  <c r="M2082" i="2"/>
  <c r="M2089" i="2"/>
  <c r="M2096" i="2"/>
  <c r="M2103" i="2"/>
  <c r="M2138" i="2"/>
  <c r="M2142" i="2"/>
  <c r="M2151" i="2"/>
  <c r="M2154" i="2"/>
  <c r="M2162" i="2"/>
  <c r="M2165" i="2"/>
  <c r="M2179" i="2"/>
  <c r="M2186" i="2"/>
  <c r="M2194" i="2"/>
  <c r="M2204" i="2"/>
  <c r="M2212" i="2"/>
  <c r="M2247" i="2"/>
  <c r="M2248" i="2"/>
  <c r="M2266" i="2"/>
  <c r="M2270" i="2"/>
  <c r="M2294" i="2"/>
  <c r="M2303" i="2"/>
  <c r="M2309" i="2"/>
  <c r="M2324" i="2"/>
  <c r="M2338" i="2"/>
  <c r="M2345" i="2"/>
  <c r="M2387" i="2"/>
  <c r="M2401" i="2"/>
  <c r="M2403" i="2"/>
  <c r="M2405" i="2"/>
  <c r="M2415" i="2"/>
  <c r="M2421" i="2"/>
  <c r="M2441" i="2"/>
  <c r="M2458" i="2"/>
  <c r="M2484" i="2"/>
  <c r="M2486" i="2"/>
  <c r="M2492" i="2"/>
  <c r="M2496" i="2"/>
  <c r="M2515" i="2"/>
  <c r="M2532" i="2"/>
  <c r="M2569" i="2"/>
  <c r="M2570" i="2"/>
  <c r="M2574" i="2"/>
  <c r="M2578" i="2"/>
  <c r="M2605" i="2"/>
  <c r="M2612" i="2"/>
  <c r="M2615" i="2"/>
  <c r="M2653" i="2"/>
  <c r="M2714" i="2"/>
  <c r="M2731" i="2"/>
  <c r="M2733" i="2"/>
  <c r="M2764" i="2"/>
  <c r="M2771" i="2"/>
  <c r="M2782" i="2"/>
  <c r="M2802" i="2"/>
  <c r="M2808" i="2"/>
  <c r="M2820" i="2"/>
  <c r="M2822" i="2"/>
  <c r="M2833" i="2"/>
  <c r="M2868" i="2"/>
  <c r="M2896" i="2"/>
  <c r="M2910" i="2"/>
  <c r="M2924" i="2"/>
  <c r="M2932" i="2"/>
  <c r="M2934" i="2"/>
  <c r="M2942" i="2"/>
  <c r="M2965" i="2"/>
  <c r="M2969" i="2"/>
  <c r="M2996" i="2"/>
  <c r="M2999" i="2"/>
  <c r="M3024" i="2"/>
  <c r="M3042" i="2"/>
  <c r="M3050" i="2"/>
  <c r="M3054" i="2"/>
  <c r="M3066" i="2"/>
  <c r="M3085" i="2"/>
  <c r="M3097" i="2"/>
  <c r="M3109" i="2"/>
  <c r="M3112" i="2"/>
  <c r="M3116" i="2"/>
  <c r="M3123" i="2"/>
  <c r="M3144" i="2"/>
  <c r="M3153" i="2"/>
  <c r="M3174" i="2"/>
  <c r="M3187" i="2"/>
  <c r="M3192" i="2"/>
  <c r="M3205" i="2"/>
  <c r="M3227" i="2"/>
  <c r="M3250" i="2"/>
  <c r="M3262" i="2"/>
  <c r="M3265" i="2"/>
  <c r="M3281" i="2"/>
  <c r="M3300" i="2"/>
  <c r="M3307" i="2"/>
  <c r="M3309" i="2"/>
  <c r="M3319" i="2"/>
  <c r="M3328" i="2"/>
  <c r="M3343" i="2"/>
  <c r="M3357" i="2"/>
  <c r="M3377" i="2"/>
  <c r="M3383" i="2"/>
  <c r="M3384" i="2"/>
  <c r="M3396" i="2"/>
  <c r="M3403" i="2"/>
  <c r="M3428" i="2"/>
  <c r="M3432" i="2"/>
  <c r="M3454" i="2"/>
  <c r="M3461" i="2"/>
  <c r="M3467" i="2"/>
  <c r="M3500" i="2"/>
  <c r="M3504" i="2"/>
  <c r="M3508" i="2"/>
  <c r="M3517" i="2"/>
  <c r="M3526" i="2"/>
  <c r="M3527" i="2"/>
  <c r="M3531" i="2"/>
  <c r="M3547" i="2"/>
  <c r="M3549" i="2"/>
  <c r="M3559" i="2"/>
  <c r="M3566" i="2"/>
  <c r="M3599" i="2"/>
  <c r="M3620" i="2"/>
  <c r="M3627" i="2"/>
  <c r="M3630" i="2"/>
  <c r="M3636" i="2"/>
  <c r="M3639" i="2"/>
  <c r="M3643" i="2"/>
  <c r="M3647" i="2"/>
  <c r="M1008" i="2"/>
  <c r="M459" i="2"/>
  <c r="M298" i="2"/>
  <c r="M401" i="2"/>
  <c r="M567" i="2"/>
  <c r="M872" i="2"/>
  <c r="M50" i="2"/>
  <c r="M290" i="2"/>
  <c r="M612" i="2"/>
  <c r="M922" i="2"/>
  <c r="M344" i="2"/>
  <c r="M53" i="2"/>
  <c r="M146" i="2"/>
  <c r="M237" i="2"/>
  <c r="M440" i="2"/>
  <c r="M556" i="2"/>
  <c r="M623" i="2"/>
  <c r="M724" i="2"/>
  <c r="M825" i="2"/>
  <c r="M917" i="2"/>
  <c r="M142" i="2"/>
  <c r="M179" i="2"/>
  <c r="M226" i="2"/>
  <c r="M240" i="2"/>
  <c r="M253" i="2"/>
  <c r="M280" i="2"/>
  <c r="M310" i="2"/>
  <c r="M333" i="2"/>
  <c r="M343" i="2"/>
  <c r="M372" i="2"/>
  <c r="M478" i="2"/>
  <c r="M577" i="2"/>
  <c r="M615" i="2"/>
  <c r="M693" i="2"/>
  <c r="M703" i="2"/>
  <c r="M771" i="2"/>
  <c r="M800" i="2"/>
  <c r="M824" i="2"/>
  <c r="M847" i="2"/>
  <c r="M37" i="2"/>
  <c r="M68" i="2"/>
  <c r="M82" i="2"/>
  <c r="M136" i="2"/>
  <c r="M165" i="2"/>
  <c r="M189" i="2"/>
  <c r="M200" i="2"/>
  <c r="M230" i="2"/>
  <c r="M302" i="2"/>
  <c r="M321" i="2"/>
  <c r="M338" i="2"/>
  <c r="M353" i="2"/>
  <c r="M356" i="2"/>
  <c r="M386" i="2"/>
  <c r="M419" i="2"/>
  <c r="M441" i="2"/>
  <c r="M446" i="2"/>
  <c r="M508" i="2"/>
  <c r="M518" i="2"/>
  <c r="M538" i="2"/>
  <c r="M552" i="2"/>
  <c r="M557" i="2"/>
  <c r="M560" i="2"/>
  <c r="M618" i="2"/>
  <c r="M636" i="2"/>
  <c r="M696" i="2"/>
  <c r="M780" i="2"/>
  <c r="M788" i="2"/>
  <c r="M818" i="2"/>
  <c r="M844" i="2"/>
  <c r="M866" i="2"/>
  <c r="M906" i="2"/>
  <c r="M963" i="2"/>
  <c r="M305" i="2"/>
  <c r="M416" i="2"/>
  <c r="M283" i="2"/>
  <c r="M605" i="2"/>
  <c r="M831" i="2"/>
  <c r="M326" i="2"/>
  <c r="M710" i="2"/>
  <c r="M837" i="2"/>
  <c r="M59" i="2"/>
  <c r="M171" i="2"/>
  <c r="M412" i="2"/>
  <c r="M464" i="2"/>
  <c r="M590" i="2"/>
  <c r="M730" i="2"/>
  <c r="M874" i="2"/>
  <c r="M21" i="2"/>
  <c r="M33" i="2"/>
  <c r="M42" i="2"/>
  <c r="M119" i="2"/>
  <c r="M236" i="2"/>
  <c r="M293" i="2"/>
  <c r="M331" i="2"/>
  <c r="M340" i="2"/>
  <c r="M512" i="2"/>
  <c r="M534" i="2"/>
  <c r="M639" i="2"/>
  <c r="M828" i="2"/>
  <c r="M32" i="2"/>
  <c r="M44" i="2"/>
  <c r="M67" i="2"/>
  <c r="M107" i="2"/>
  <c r="M128" i="2"/>
  <c r="M217" i="2"/>
  <c r="M223" i="2"/>
  <c r="M301" i="2"/>
  <c r="M304" i="2"/>
  <c r="M319" i="2"/>
  <c r="M351" i="2"/>
  <c r="M357" i="2"/>
  <c r="M393" i="2"/>
  <c r="M415" i="2"/>
  <c r="M423" i="2"/>
  <c r="M438" i="2"/>
  <c r="M698" i="2"/>
  <c r="M727" i="2"/>
  <c r="M760" i="2"/>
  <c r="M811" i="2"/>
  <c r="M851" i="2"/>
  <c r="M869" i="2"/>
  <c r="M894" i="2"/>
  <c r="M987" i="2"/>
  <c r="M853" i="2"/>
  <c r="M877" i="2"/>
  <c r="M945" i="2"/>
  <c r="M1010" i="2"/>
  <c r="M1015" i="2"/>
  <c r="M1024" i="2"/>
  <c r="M1025" i="2"/>
  <c r="M1032" i="2"/>
  <c r="M1038" i="2"/>
  <c r="M1039" i="2"/>
  <c r="M1046" i="2"/>
  <c r="M1051" i="2"/>
  <c r="M1056" i="2"/>
  <c r="M1060" i="2"/>
  <c r="M1064" i="2"/>
  <c r="M1072" i="2"/>
  <c r="M1076" i="2"/>
  <c r="M1081" i="2"/>
  <c r="M1088" i="2"/>
  <c r="M1089" i="2"/>
  <c r="M1091" i="2"/>
  <c r="M1101" i="2"/>
  <c r="M1126" i="2"/>
  <c r="M1130" i="2"/>
  <c r="M1136" i="2"/>
  <c r="M1149" i="2"/>
  <c r="M1150" i="2"/>
  <c r="M1159" i="2"/>
  <c r="M1181" i="2"/>
  <c r="M1187" i="2"/>
  <c r="M1194" i="2"/>
  <c r="M1197" i="2"/>
  <c r="M1210" i="2"/>
  <c r="M1212" i="2"/>
  <c r="M1244" i="2"/>
  <c r="M1252" i="2"/>
  <c r="M1262" i="2"/>
  <c r="M1265" i="2"/>
  <c r="M1271" i="2"/>
  <c r="M1279" i="2"/>
  <c r="M1294" i="2"/>
  <c r="M1306" i="2"/>
  <c r="M1308" i="2"/>
  <c r="M1329" i="2"/>
  <c r="M1330" i="2"/>
  <c r="M1333" i="2"/>
  <c r="M1340" i="2"/>
  <c r="M1342" i="2"/>
  <c r="M1353" i="2"/>
  <c r="M1357" i="2"/>
  <c r="M1358" i="2"/>
  <c r="M1360" i="2"/>
  <c r="M1361" i="2"/>
  <c r="M1364" i="2"/>
  <c r="M1372" i="2"/>
  <c r="M1389" i="2"/>
  <c r="M1393" i="2"/>
  <c r="M1400" i="2"/>
  <c r="M1410" i="2"/>
  <c r="M1418" i="2"/>
  <c r="M1420" i="2"/>
  <c r="M1427" i="2"/>
  <c r="M1429" i="2"/>
  <c r="M1444" i="2"/>
  <c r="M1447" i="2"/>
  <c r="M1450" i="2"/>
  <c r="M1467" i="2"/>
  <c r="M1469" i="2"/>
  <c r="M1470" i="2"/>
  <c r="M1482" i="2"/>
  <c r="M1498" i="2"/>
  <c r="M1500" i="2"/>
  <c r="M1502" i="2"/>
  <c r="M1514" i="2"/>
  <c r="M1518" i="2"/>
  <c r="M1519" i="2"/>
  <c r="M1521" i="2"/>
  <c r="M1528" i="2"/>
  <c r="M1539" i="2"/>
  <c r="M1541" i="2"/>
  <c r="M1549" i="2"/>
  <c r="M1558" i="2"/>
  <c r="M1571" i="2"/>
  <c r="M1572" i="2"/>
  <c r="M1594" i="2"/>
  <c r="M1595" i="2"/>
  <c r="M1598" i="2"/>
  <c r="M1603" i="2"/>
  <c r="M1608" i="2"/>
  <c r="M1629" i="2"/>
  <c r="M1637" i="2"/>
  <c r="M1639" i="2"/>
  <c r="M1641" i="2"/>
  <c r="M1649" i="2"/>
  <c r="M1654" i="2"/>
  <c r="M1659" i="2"/>
  <c r="M1660" i="2"/>
  <c r="M1667" i="2"/>
  <c r="M1669" i="2"/>
  <c r="M1674" i="2"/>
  <c r="M1709" i="2"/>
  <c r="M1711" i="2"/>
  <c r="M1725" i="2"/>
  <c r="M1727" i="2"/>
  <c r="M1734" i="2"/>
  <c r="M1738" i="2"/>
  <c r="M1740" i="2"/>
  <c r="M1747" i="2"/>
  <c r="M1756" i="2"/>
  <c r="M1758" i="2"/>
  <c r="M1761" i="2"/>
  <c r="M1767" i="2"/>
  <c r="M1772" i="2"/>
  <c r="M1774" i="2"/>
  <c r="M1778" i="2"/>
  <c r="M1781" i="2"/>
  <c r="M1788" i="2"/>
  <c r="M1802" i="2"/>
  <c r="M1821" i="2"/>
  <c r="M1824" i="2"/>
  <c r="M1827" i="2"/>
  <c r="M1837" i="2"/>
  <c r="M1842" i="2"/>
  <c r="M1849" i="2"/>
  <c r="M1853" i="2"/>
  <c r="M1857" i="2"/>
  <c r="M1864" i="2"/>
  <c r="M1873" i="2"/>
  <c r="M1877" i="2"/>
  <c r="M1881" i="2"/>
  <c r="M1885" i="2"/>
  <c r="M1888" i="2"/>
  <c r="M1895" i="2"/>
  <c r="M1896" i="2"/>
  <c r="M1904" i="2"/>
  <c r="M1917" i="2"/>
  <c r="M1938" i="2"/>
  <c r="M1953" i="2"/>
  <c r="M1955" i="2"/>
  <c r="M1961" i="2"/>
  <c r="M1962" i="2"/>
  <c r="M1970" i="2"/>
  <c r="M1971" i="2"/>
  <c r="M1977" i="2"/>
  <c r="M1986" i="2"/>
  <c r="M1989" i="2"/>
  <c r="M1990" i="2"/>
  <c r="M2001" i="2"/>
  <c r="M2003" i="2"/>
  <c r="M2009" i="2"/>
  <c r="M2026" i="2"/>
  <c r="M2029" i="2"/>
  <c r="M2037" i="2"/>
  <c r="M2039" i="2"/>
  <c r="M2044" i="2"/>
  <c r="M2050" i="2"/>
  <c r="M2060" i="2"/>
  <c r="M2065" i="2"/>
  <c r="M2072" i="2"/>
  <c r="M2078" i="2"/>
  <c r="M2080" i="2"/>
  <c r="M2088" i="2"/>
  <c r="M2097" i="2"/>
  <c r="M2104" i="2"/>
  <c r="M2108" i="2"/>
  <c r="M2116" i="2"/>
  <c r="M2119" i="2"/>
  <c r="M2122" i="2"/>
  <c r="M2125" i="2"/>
  <c r="M2132" i="2"/>
  <c r="M2136" i="2"/>
  <c r="M2147" i="2"/>
  <c r="M2153" i="2"/>
  <c r="M2155" i="2"/>
  <c r="M2172" i="2"/>
  <c r="M2176" i="2"/>
  <c r="M2188" i="2"/>
  <c r="M2191" i="2"/>
  <c r="M2198" i="2"/>
  <c r="M2210" i="2"/>
  <c r="M2218" i="2"/>
  <c r="M2228" i="2"/>
  <c r="M2230" i="2"/>
  <c r="M2234" i="2"/>
  <c r="M2239" i="2"/>
  <c r="M2253" i="2"/>
  <c r="M2255" i="2"/>
  <c r="M2260" i="2"/>
  <c r="M2262" i="2"/>
  <c r="M2290" i="2"/>
  <c r="M2316" i="2"/>
  <c r="M2327" i="2"/>
  <c r="M2336" i="2"/>
  <c r="M2358" i="2"/>
  <c r="M2367" i="2"/>
  <c r="M2371" i="2"/>
  <c r="M2378" i="2"/>
  <c r="M2391" i="2"/>
  <c r="M2393" i="2"/>
  <c r="M2395" i="2"/>
  <c r="M2404" i="2"/>
  <c r="M2417" i="2"/>
  <c r="M2437" i="2"/>
  <c r="M2444" i="2"/>
  <c r="M2445" i="2"/>
  <c r="M2450" i="2"/>
  <c r="M2452" i="2"/>
  <c r="M2453" i="2"/>
  <c r="M2461" i="2"/>
  <c r="M2462" i="2"/>
  <c r="M2467" i="2"/>
  <c r="M2476" i="2"/>
  <c r="M2478" i="2"/>
  <c r="M2494" i="2"/>
  <c r="M2495" i="2"/>
  <c r="M2509" i="2"/>
  <c r="M2512" i="2"/>
  <c r="M2516" i="2"/>
  <c r="M2519" i="2"/>
  <c r="M2521" i="2"/>
  <c r="M2530" i="2"/>
  <c r="M2536" i="2"/>
  <c r="M2538" i="2"/>
  <c r="M2543" i="2"/>
  <c r="M2546" i="2"/>
  <c r="M2548" i="2"/>
  <c r="M2558" i="2"/>
  <c r="M2562" i="2"/>
  <c r="M2568" i="2"/>
  <c r="M2592" i="2"/>
  <c r="M2593" i="2"/>
  <c r="M2595" i="2"/>
  <c r="M2596" i="2"/>
  <c r="M2604" i="2"/>
  <c r="M2608" i="2"/>
  <c r="M2609" i="2"/>
  <c r="M2625" i="2"/>
  <c r="M2654" i="2"/>
  <c r="M2658" i="2"/>
  <c r="M2662" i="2"/>
  <c r="M2665" i="2"/>
  <c r="M2673" i="2"/>
  <c r="M2674" i="2"/>
  <c r="M2678" i="2"/>
  <c r="M2680" i="2"/>
  <c r="M2687" i="2"/>
  <c r="M2695" i="2"/>
  <c r="M2704" i="2"/>
  <c r="M2705" i="2"/>
  <c r="M2709" i="2"/>
  <c r="M2730" i="2"/>
  <c r="M2732" i="2"/>
  <c r="M2735" i="2"/>
  <c r="M2740" i="2"/>
  <c r="M2741" i="2"/>
  <c r="M2743" i="2"/>
  <c r="M2747" i="2"/>
  <c r="M2758" i="2"/>
  <c r="M2770" i="2"/>
  <c r="M2789" i="2"/>
  <c r="M2796" i="2"/>
  <c r="M2816" i="2"/>
  <c r="M2818" i="2"/>
  <c r="M2826" i="2"/>
  <c r="M2843" i="2"/>
  <c r="M2847" i="2"/>
  <c r="M2852" i="2"/>
  <c r="M2855" i="2"/>
  <c r="M2857" i="2"/>
  <c r="M2859" i="2"/>
  <c r="M2863" i="2"/>
  <c r="M2866" i="2"/>
  <c r="M2876" i="2"/>
  <c r="M2880" i="2"/>
  <c r="M2884" i="2"/>
  <c r="M2886" i="2"/>
  <c r="M2888" i="2"/>
  <c r="M2890" i="2"/>
  <c r="M2891" i="2"/>
  <c r="M2906" i="2"/>
  <c r="M2909" i="2"/>
  <c r="M2913" i="2"/>
  <c r="M2914" i="2"/>
  <c r="M2944" i="2"/>
  <c r="M2950" i="2"/>
  <c r="M2957" i="2"/>
  <c r="M2964" i="2"/>
  <c r="M2979" i="2"/>
  <c r="M2991" i="2"/>
  <c r="M3009" i="2"/>
  <c r="M3013" i="2"/>
  <c r="M3026" i="2"/>
  <c r="M3034" i="2"/>
  <c r="M3046" i="2"/>
  <c r="M3060" i="2"/>
  <c r="M3070" i="2"/>
  <c r="M3072" i="2"/>
  <c r="M3081" i="2"/>
  <c r="M3090" i="2"/>
  <c r="M3094" i="2"/>
  <c r="M3099" i="2"/>
  <c r="M3100" i="2"/>
  <c r="M3104" i="2"/>
  <c r="M3105" i="2"/>
  <c r="M3115" i="2"/>
  <c r="M3117" i="2"/>
  <c r="M3121" i="2"/>
  <c r="M3126" i="2"/>
  <c r="M3135" i="2"/>
  <c r="M3156" i="2"/>
  <c r="M3160" i="2"/>
  <c r="M3165" i="2"/>
  <c r="M3168" i="2"/>
  <c r="M3180" i="2"/>
  <c r="M3181" i="2"/>
  <c r="M3182" i="2"/>
  <c r="M3190" i="2"/>
  <c r="M3194" i="2"/>
  <c r="M3196" i="2"/>
  <c r="M3216" i="2"/>
  <c r="M3218" i="2"/>
  <c r="M3235" i="2"/>
  <c r="M3240" i="2"/>
  <c r="M3243" i="2"/>
  <c r="M3248" i="2"/>
  <c r="M3259" i="2"/>
  <c r="M3268" i="2"/>
  <c r="M3272" i="2"/>
  <c r="M3294" i="2"/>
  <c r="M3303" i="2"/>
  <c r="M3304" i="2"/>
  <c r="M3306" i="2"/>
  <c r="M3323" i="2"/>
  <c r="M3332" i="2"/>
  <c r="M3337" i="2"/>
  <c r="M3348" i="2"/>
  <c r="M3351" i="2"/>
  <c r="M3387" i="2"/>
  <c r="M3391" i="2"/>
  <c r="M3400" i="2"/>
  <c r="M3404" i="2"/>
  <c r="M3411" i="2"/>
  <c r="M3426" i="2"/>
  <c r="M3433" i="2"/>
  <c r="M3438" i="2"/>
  <c r="M3442" i="2"/>
  <c r="M3447" i="2"/>
  <c r="M3460" i="2"/>
  <c r="M3466" i="2"/>
  <c r="M3477" i="2"/>
  <c r="M3478" i="2"/>
  <c r="M3481" i="2"/>
  <c r="M3482" i="2"/>
  <c r="M3483" i="2"/>
  <c r="M3497" i="2"/>
  <c r="M3512" i="2"/>
  <c r="M3543" i="2"/>
  <c r="M3554" i="2"/>
  <c r="M3560" i="2"/>
  <c r="M3576" i="2"/>
  <c r="M3583" i="2"/>
  <c r="M3591" i="2"/>
  <c r="M3608" i="2"/>
  <c r="M3631" i="2"/>
  <c r="M3637" i="2"/>
  <c r="M3651" i="2"/>
  <c r="M3656" i="2"/>
  <c r="M367" i="2"/>
  <c r="M15" i="2"/>
  <c r="M374" i="2"/>
  <c r="M312" i="2"/>
  <c r="M151" i="2"/>
  <c r="M210" i="2"/>
  <c r="M488" i="2"/>
  <c r="M775" i="2"/>
  <c r="M952" i="2"/>
  <c r="M26" i="2"/>
  <c r="M75" i="2"/>
  <c r="M378" i="2"/>
  <c r="M430" i="2"/>
  <c r="M546" i="2"/>
  <c r="M628" i="2"/>
  <c r="M777" i="2"/>
  <c r="M896" i="2"/>
  <c r="M936" i="2"/>
  <c r="M28" i="2"/>
  <c r="M135" i="2"/>
  <c r="M186" i="2"/>
  <c r="M190" i="2"/>
  <c r="M260" i="2"/>
  <c r="M339" i="2"/>
  <c r="M422" i="2"/>
  <c r="M449" i="2"/>
  <c r="M511" i="2"/>
  <c r="M575" i="2"/>
  <c r="M642" i="2"/>
  <c r="M665" i="2"/>
  <c r="M786" i="2"/>
  <c r="M857" i="2"/>
  <c r="M862" i="2"/>
  <c r="M911" i="2"/>
  <c r="M88" i="2"/>
  <c r="M103" i="2"/>
  <c r="M106" i="2"/>
  <c r="M188" i="2"/>
  <c r="M195" i="2"/>
  <c r="M199" i="2"/>
  <c r="M205" i="2"/>
  <c r="M256" i="2"/>
  <c r="M265" i="2"/>
  <c r="M284" i="2"/>
  <c r="M328" i="2"/>
  <c r="M390" i="2"/>
  <c r="M428" i="2"/>
  <c r="M465" i="2"/>
  <c r="M515" i="2"/>
  <c r="M588" i="2"/>
  <c r="M657" i="2"/>
  <c r="M661" i="2"/>
  <c r="M680" i="2"/>
  <c r="M683" i="2"/>
  <c r="M688" i="2"/>
  <c r="M737" i="2"/>
  <c r="M758" i="2"/>
  <c r="M823" i="2"/>
  <c r="M836" i="2"/>
  <c r="M852" i="2"/>
  <c r="M920" i="2"/>
  <c r="M935" i="2"/>
  <c r="M943" i="2"/>
  <c r="M953" i="2"/>
  <c r="M972" i="2"/>
  <c r="M985" i="2"/>
  <c r="M1006" i="2"/>
  <c r="M29" i="2"/>
  <c r="M36" i="2"/>
  <c r="M38" i="2"/>
  <c r="M46" i="2"/>
  <c r="M54" i="2"/>
  <c r="M89" i="2"/>
  <c r="M94" i="2"/>
  <c r="M117" i="2"/>
  <c r="M143" i="2"/>
  <c r="M163" i="2"/>
  <c r="M170" i="2"/>
  <c r="M178" i="2"/>
  <c r="M231" i="2"/>
  <c r="M243" i="2"/>
  <c r="M255" i="2"/>
  <c r="M267" i="2"/>
  <c r="M281" i="2"/>
  <c r="M297" i="2"/>
  <c r="M311" i="2"/>
  <c r="M314" i="2"/>
  <c r="M318" i="2"/>
  <c r="M342" i="2"/>
  <c r="M382" i="2"/>
  <c r="M411" i="2"/>
  <c r="M424" i="2"/>
  <c r="M434" i="2"/>
  <c r="M444" i="2"/>
  <c r="M447" i="2"/>
  <c r="M460" i="2"/>
  <c r="M474" i="2"/>
  <c r="M484" i="2"/>
  <c r="M490" i="2"/>
  <c r="M499" i="2"/>
  <c r="M506" i="2"/>
  <c r="M523" i="2"/>
  <c r="M531" i="2"/>
  <c r="M554" i="2"/>
  <c r="M566" i="2"/>
  <c r="M579" i="2"/>
  <c r="M589" i="2"/>
  <c r="M609" i="2"/>
  <c r="M626" i="2"/>
  <c r="M644" i="2"/>
  <c r="M652" i="2"/>
  <c r="M662" i="2"/>
  <c r="M697" i="2"/>
  <c r="M704" i="2"/>
  <c r="M715" i="2"/>
  <c r="M779" i="2"/>
  <c r="M796" i="2"/>
  <c r="M804" i="2"/>
  <c r="M822" i="2"/>
  <c r="M834" i="2"/>
  <c r="M856" i="2"/>
  <c r="M871" i="2"/>
  <c r="M876" i="2"/>
  <c r="M890" i="2"/>
  <c r="M902" i="2"/>
  <c r="M915" i="2"/>
  <c r="M929" i="2"/>
  <c r="M933" i="2"/>
  <c r="M970" i="2"/>
  <c r="M426" i="2"/>
  <c r="M463" i="2"/>
  <c r="M487" i="2"/>
  <c r="M497" i="2"/>
  <c r="M524" i="2"/>
  <c r="M536" i="2"/>
  <c r="M564" i="2"/>
  <c r="M574" i="2"/>
  <c r="M621" i="2"/>
  <c r="M677" i="2"/>
  <c r="M716" i="2"/>
  <c r="M770" i="2"/>
  <c r="M792" i="2"/>
  <c r="M810" i="2"/>
  <c r="M832" i="2"/>
  <c r="M873" i="2"/>
  <c r="M897" i="2"/>
  <c r="M957" i="2"/>
  <c r="M974" i="2"/>
  <c r="M813" i="2"/>
  <c r="M285" i="2"/>
  <c r="M83" i="2"/>
  <c r="M167" i="2"/>
  <c r="M294" i="2"/>
  <c r="M738" i="2"/>
  <c r="M65" i="2"/>
  <c r="M324" i="2"/>
  <c r="M435" i="2"/>
  <c r="M627" i="2"/>
  <c r="M830" i="2"/>
  <c r="M864" i="2"/>
  <c r="M925" i="2"/>
  <c r="M8" i="2"/>
  <c r="M49" i="2"/>
  <c r="M80" i="2"/>
  <c r="M127" i="2"/>
  <c r="M138" i="2"/>
  <c r="M187" i="2"/>
  <c r="M345" i="2"/>
  <c r="M452" i="2"/>
  <c r="M483" i="2"/>
  <c r="M550" i="2"/>
  <c r="M573" i="2"/>
  <c r="M585" i="2"/>
  <c r="M594" i="2"/>
  <c r="M630" i="2"/>
  <c r="M783" i="2"/>
  <c r="M816" i="2"/>
  <c r="M846" i="2"/>
  <c r="M860" i="2"/>
  <c r="M865" i="2"/>
  <c r="M905" i="2"/>
  <c r="M1000" i="2"/>
  <c r="M1004" i="2"/>
  <c r="M57" i="2"/>
  <c r="M100" i="2"/>
  <c r="M109" i="2"/>
  <c r="M129" i="2"/>
  <c r="M185" i="2"/>
  <c r="M191" i="2"/>
  <c r="M202" i="2"/>
  <c r="M262" i="2"/>
  <c r="M275" i="2"/>
  <c r="M322" i="2"/>
  <c r="M379" i="2"/>
  <c r="M413" i="2"/>
  <c r="M454" i="2"/>
  <c r="M561" i="2"/>
  <c r="M582" i="2"/>
  <c r="M654" i="2"/>
  <c r="M668" i="2"/>
  <c r="M681" i="2"/>
  <c r="M686" i="2"/>
  <c r="M691" i="2"/>
  <c r="M695" i="2"/>
  <c r="M755" i="2"/>
  <c r="M765" i="2"/>
  <c r="M794" i="2"/>
  <c r="M833" i="2"/>
  <c r="M882" i="2"/>
  <c r="M946" i="2"/>
  <c r="M961" i="2"/>
  <c r="M968" i="2"/>
  <c r="M978" i="2"/>
  <c r="M983" i="2"/>
  <c r="M990" i="2"/>
  <c r="M13" i="2"/>
  <c r="M48" i="2"/>
  <c r="M125" i="2"/>
  <c r="M145" i="2"/>
  <c r="M154" i="2"/>
  <c r="M184" i="2"/>
  <c r="M203" i="2"/>
  <c r="M238" i="2"/>
  <c r="M250" i="2"/>
  <c r="M258" i="2"/>
  <c r="M268" i="2"/>
  <c r="M282" i="2"/>
  <c r="M300" i="2"/>
  <c r="M307" i="2"/>
  <c r="M315" i="2"/>
  <c r="M329" i="2"/>
  <c r="M348" i="2"/>
  <c r="M360" i="2"/>
  <c r="M380" i="2"/>
  <c r="M408" i="2"/>
  <c r="M433" i="2"/>
  <c r="M458" i="2"/>
  <c r="M477" i="2"/>
  <c r="M491" i="2"/>
  <c r="M501" i="2"/>
  <c r="M529" i="2"/>
  <c r="M569" i="2"/>
  <c r="M587" i="2"/>
  <c r="M606" i="2"/>
  <c r="M667" i="2"/>
  <c r="M705" i="2"/>
  <c r="M743" i="2"/>
  <c r="M784" i="2"/>
  <c r="M801" i="2"/>
  <c r="M858" i="2"/>
  <c r="M884" i="2"/>
  <c r="M924" i="2"/>
  <c r="M965" i="2"/>
  <c r="M994" i="2"/>
  <c r="M1013" i="2"/>
  <c r="M1016" i="2"/>
  <c r="M1027" i="2"/>
  <c r="M1033" i="2"/>
  <c r="M1034" i="2"/>
  <c r="M1036" i="2"/>
  <c r="M1040" i="2"/>
  <c r="M1044" i="2"/>
  <c r="M1052" i="2"/>
  <c r="M1061" i="2"/>
  <c r="M1070" i="2"/>
  <c r="M1074" i="2"/>
  <c r="M1078" i="2"/>
  <c r="M1080" i="2"/>
  <c r="M1083" i="2"/>
  <c r="M1086" i="2"/>
  <c r="M1093" i="2"/>
  <c r="M1099" i="2"/>
  <c r="M1108" i="2"/>
  <c r="M1110" i="2"/>
  <c r="M1113" i="2"/>
  <c r="M1115" i="2"/>
  <c r="M1118" i="2"/>
  <c r="M1121" i="2"/>
  <c r="M1124" i="2"/>
  <c r="M1125" i="2"/>
  <c r="M1127" i="2"/>
  <c r="M1129" i="2"/>
  <c r="M1131" i="2"/>
  <c r="M1152" i="2"/>
  <c r="M1154" i="2"/>
  <c r="M1157" i="2"/>
  <c r="M1162" i="2"/>
  <c r="M1169" i="2"/>
  <c r="M1171" i="2"/>
  <c r="M1175" i="2"/>
  <c r="M1184" i="2"/>
  <c r="M1188" i="2"/>
  <c r="M1191" i="2"/>
  <c r="M1195" i="2"/>
  <c r="M1198" i="2"/>
  <c r="M1206" i="2"/>
  <c r="M1208" i="2"/>
  <c r="M1214" i="2"/>
  <c r="M1221" i="2"/>
  <c r="M1224" i="2"/>
  <c r="M1227" i="2"/>
  <c r="M1232" i="2"/>
  <c r="M1236" i="2"/>
  <c r="M1238" i="2"/>
  <c r="M1245" i="2"/>
  <c r="M1248" i="2"/>
  <c r="M1266" i="2"/>
  <c r="M1268" i="2"/>
  <c r="M1275" i="2"/>
  <c r="M1284" i="2"/>
  <c r="M1287" i="2"/>
  <c r="M1288" i="2"/>
  <c r="M1290" i="2"/>
  <c r="M1292" i="2"/>
  <c r="M1293" i="2"/>
  <c r="M1310" i="2"/>
  <c r="M1312" i="2"/>
  <c r="M1315" i="2"/>
  <c r="M1319" i="2"/>
  <c r="M1323" i="2"/>
  <c r="M1324" i="2"/>
  <c r="M1328" i="2"/>
  <c r="M1338" i="2"/>
  <c r="M1343" i="2"/>
  <c r="M1345" i="2"/>
  <c r="M1347" i="2"/>
  <c r="M1354" i="2"/>
  <c r="M1369" i="2"/>
  <c r="M1376" i="2"/>
  <c r="M1380" i="2"/>
  <c r="M1382" i="2"/>
  <c r="M1385" i="2"/>
  <c r="M1395" i="2"/>
  <c r="M1402" i="2"/>
  <c r="M1403" i="2"/>
  <c r="M1406" i="2"/>
  <c r="M1408" i="2"/>
  <c r="M1412" i="2"/>
  <c r="M1414" i="2"/>
  <c r="M1417" i="2"/>
  <c r="M1422" i="2"/>
  <c r="M1431" i="2"/>
  <c r="M1437" i="2"/>
  <c r="M1439" i="2"/>
  <c r="M1441" i="2"/>
  <c r="M1443" i="2"/>
  <c r="M1445" i="2"/>
  <c r="M1446" i="2"/>
  <c r="M1448" i="2"/>
  <c r="M1452" i="2"/>
  <c r="M1454" i="2"/>
  <c r="M1458" i="2"/>
  <c r="M1462" i="2"/>
  <c r="M1464" i="2"/>
  <c r="M1465" i="2"/>
  <c r="M1472" i="2"/>
  <c r="M1473" i="2"/>
  <c r="M1474" i="2"/>
  <c r="M1477" i="2"/>
  <c r="M1480" i="2"/>
  <c r="M1487" i="2"/>
  <c r="M1488" i="2"/>
  <c r="M1493" i="2"/>
  <c r="M1494" i="2"/>
  <c r="M1497" i="2"/>
  <c r="M1499" i="2"/>
  <c r="M1506" i="2"/>
  <c r="M1511" i="2"/>
  <c r="M1520" i="2"/>
  <c r="M1524" i="2"/>
  <c r="M1525" i="2"/>
  <c r="M1529" i="2"/>
  <c r="M1533" i="2"/>
  <c r="M1544" i="2"/>
  <c r="M1545" i="2"/>
  <c r="M1547" i="2"/>
  <c r="M1553" i="2"/>
  <c r="M1555" i="2"/>
  <c r="M1562" i="2"/>
  <c r="M1563" i="2"/>
  <c r="M1568" i="2"/>
  <c r="M1575" i="2"/>
  <c r="M1577" i="2"/>
  <c r="M1579" i="2"/>
  <c r="M1584" i="2"/>
  <c r="M1585" i="2"/>
  <c r="M1587" i="2"/>
  <c r="M1602" i="2"/>
  <c r="M1604" i="2"/>
  <c r="M1607" i="2"/>
  <c r="M1609" i="2"/>
  <c r="M1613" i="2"/>
  <c r="M1615" i="2"/>
  <c r="M1618" i="2"/>
  <c r="M1619" i="2"/>
  <c r="M1620" i="2"/>
  <c r="M1621" i="2"/>
  <c r="M1623" i="2"/>
  <c r="M1624" i="2"/>
  <c r="M1634" i="2"/>
  <c r="M1636" i="2"/>
  <c r="M1646" i="2"/>
  <c r="M1653" i="2"/>
  <c r="M1661" i="2"/>
  <c r="M1664" i="2"/>
  <c r="M1670" i="2"/>
  <c r="M1672" i="2"/>
  <c r="M1673" i="2"/>
  <c r="M1676" i="2"/>
  <c r="M1678" i="2"/>
  <c r="M1679" i="2"/>
  <c r="M1680" i="2"/>
  <c r="M1682" i="2"/>
  <c r="M1685" i="2"/>
  <c r="M1687" i="2"/>
  <c r="M1689" i="2"/>
  <c r="M1692" i="2"/>
  <c r="M1694" i="2"/>
  <c r="M1695" i="2"/>
  <c r="M1701" i="2"/>
  <c r="M1704" i="2"/>
  <c r="M1705" i="2"/>
  <c r="M1706" i="2"/>
  <c r="M1712" i="2"/>
  <c r="M1715" i="2"/>
  <c r="M1717" i="2"/>
  <c r="M1718" i="2"/>
  <c r="M1726" i="2"/>
  <c r="M1729" i="2"/>
  <c r="M1732" i="2"/>
  <c r="M1733" i="2"/>
  <c r="M1735" i="2"/>
  <c r="M1741" i="2"/>
  <c r="M1744" i="2"/>
  <c r="M1745" i="2"/>
  <c r="M1751" i="2"/>
  <c r="M1752" i="2"/>
  <c r="M1755" i="2"/>
  <c r="M1760" i="2"/>
  <c r="M1763" i="2"/>
  <c r="M1765" i="2"/>
  <c r="M1776" i="2"/>
  <c r="M1784" i="2"/>
  <c r="M1791" i="2"/>
  <c r="M1793" i="2"/>
  <c r="M1797" i="2"/>
  <c r="M1800" i="2"/>
  <c r="M1808" i="2"/>
  <c r="M1811" i="2"/>
  <c r="M1815" i="2"/>
  <c r="M1818" i="2"/>
  <c r="M1823" i="2"/>
  <c r="M1836" i="2"/>
  <c r="M1839" i="2"/>
  <c r="M1841" i="2"/>
  <c r="M1845" i="2"/>
  <c r="M1852" i="2"/>
  <c r="M1866" i="2"/>
  <c r="M1869" i="2"/>
  <c r="M1871" i="2"/>
  <c r="M1874" i="2"/>
  <c r="M1889" i="2"/>
  <c r="M1891" i="2"/>
  <c r="M1893" i="2"/>
  <c r="M1900" i="2"/>
  <c r="M1901" i="2"/>
  <c r="M1905" i="2"/>
  <c r="M1913" i="2"/>
  <c r="M1916" i="2"/>
  <c r="M1919" i="2"/>
  <c r="M1921" i="2"/>
  <c r="M1935" i="2"/>
  <c r="M1937" i="2"/>
  <c r="M1945" i="2"/>
  <c r="M1947" i="2"/>
  <c r="M1949" i="2"/>
  <c r="M1952" i="2"/>
  <c r="M1960" i="2"/>
  <c r="M1964" i="2"/>
  <c r="M1967" i="2"/>
  <c r="M1968" i="2"/>
  <c r="M1974" i="2"/>
  <c r="M1975" i="2"/>
  <c r="M1978" i="2"/>
  <c r="M1979" i="2"/>
  <c r="M1980" i="2"/>
  <c r="M1985" i="2"/>
  <c r="M1993" i="2"/>
  <c r="M2004" i="2"/>
  <c r="M2005" i="2"/>
  <c r="M2008" i="2"/>
  <c r="M2013" i="2"/>
  <c r="M2020" i="2"/>
  <c r="M2028" i="2"/>
  <c r="M2033" i="2"/>
  <c r="M2035" i="2"/>
  <c r="M2042" i="2"/>
  <c r="M2049" i="2"/>
  <c r="M2051" i="2"/>
  <c r="M2053" i="2"/>
  <c r="M2058" i="2"/>
  <c r="M2062" i="2"/>
  <c r="M2066" i="2"/>
  <c r="M2070" i="2"/>
  <c r="M2076" i="2"/>
  <c r="M2084" i="2"/>
  <c r="M2093" i="2"/>
  <c r="M2099" i="2"/>
  <c r="M2102" i="2"/>
  <c r="M2106" i="2"/>
  <c r="M2109" i="2"/>
  <c r="M2110" i="2"/>
  <c r="M2112" i="2"/>
  <c r="M2118" i="2"/>
  <c r="M2120" i="2"/>
  <c r="M2123" i="2"/>
  <c r="M2127" i="2"/>
  <c r="M2135" i="2"/>
  <c r="M2139" i="2"/>
  <c r="M2141" i="2"/>
  <c r="M2145" i="2"/>
  <c r="M2149" i="2"/>
  <c r="M2156" i="2"/>
  <c r="M2159" i="2"/>
  <c r="M2161" i="2"/>
  <c r="M2163" i="2"/>
  <c r="M2166" i="2"/>
  <c r="M2171" i="2"/>
  <c r="M2173" i="2"/>
  <c r="M2183" i="2"/>
  <c r="M2184" i="2"/>
  <c r="M2189" i="2"/>
  <c r="M2193" i="2"/>
  <c r="M2196" i="2"/>
  <c r="M2200" i="2"/>
  <c r="M2201" i="2"/>
  <c r="M2203" i="2"/>
  <c r="M2207" i="2"/>
  <c r="M2224" i="2"/>
  <c r="M2245" i="2"/>
  <c r="M2246" i="2"/>
  <c r="M2250" i="2"/>
  <c r="M2251" i="2"/>
  <c r="M2252" i="2"/>
  <c r="M2264" i="2"/>
  <c r="M2272" i="2"/>
  <c r="M2274" i="2"/>
  <c r="M2280" i="2"/>
  <c r="M2282" i="2"/>
  <c r="M2286" i="2"/>
  <c r="M2300" i="2"/>
  <c r="M2306" i="2"/>
  <c r="M2307" i="2"/>
  <c r="M2308" i="2"/>
  <c r="M2310" i="2"/>
  <c r="M2317" i="2"/>
  <c r="M2332" i="2"/>
  <c r="M2334" i="2"/>
  <c r="M2335" i="2"/>
  <c r="M2349" i="2"/>
  <c r="M2351" i="2"/>
  <c r="M2354" i="2"/>
  <c r="M2359" i="2"/>
  <c r="M2362" i="2"/>
  <c r="M2369" i="2"/>
  <c r="M2376" i="2"/>
  <c r="M2377" i="2"/>
  <c r="M2379" i="2"/>
  <c r="M2399" i="2"/>
  <c r="M2411" i="2"/>
  <c r="M2412" i="2"/>
  <c r="M2414" i="2"/>
  <c r="M2426" i="2"/>
  <c r="M2429" i="2"/>
  <c r="M2436" i="2"/>
  <c r="M2439" i="2"/>
  <c r="M2440" i="2"/>
  <c r="M2442" i="2"/>
  <c r="M2451" i="2"/>
  <c r="M2455" i="2"/>
  <c r="M2457" i="2"/>
  <c r="M2465" i="2"/>
  <c r="M2475" i="2"/>
  <c r="M2482" i="2"/>
  <c r="M2490" i="2"/>
  <c r="M2499" i="2"/>
  <c r="M2501" i="2"/>
  <c r="M2511" i="2"/>
  <c r="M2518" i="2"/>
  <c r="M2522" i="2"/>
  <c r="M2525" i="2"/>
  <c r="M2527" i="2"/>
  <c r="M2529" i="2"/>
  <c r="M2542" i="2"/>
  <c r="M2544" i="2"/>
  <c r="M2550" i="2"/>
  <c r="M2552" i="2"/>
  <c r="M2553" i="2"/>
  <c r="M2556" i="2"/>
  <c r="M2559" i="2"/>
  <c r="M2575" i="2"/>
  <c r="M2576" i="2"/>
  <c r="M2577" i="2"/>
  <c r="M2579" i="2"/>
  <c r="M2583" i="2"/>
  <c r="M2587" i="2"/>
  <c r="M2588" i="2"/>
  <c r="M2590" i="2"/>
  <c r="M2597" i="2"/>
  <c r="M2599" i="2"/>
  <c r="M2603" i="2"/>
  <c r="M2606" i="2"/>
  <c r="M2616" i="2"/>
  <c r="M2618" i="2"/>
  <c r="M2622" i="2"/>
  <c r="M2624" i="2"/>
  <c r="M2626" i="2"/>
  <c r="M2628" i="2"/>
  <c r="M2629" i="2"/>
  <c r="M2630" i="2"/>
  <c r="M2632" i="2"/>
  <c r="M2636" i="2"/>
  <c r="M2641" i="2"/>
  <c r="M2642" i="2"/>
  <c r="M2644" i="2"/>
  <c r="M2650" i="2"/>
  <c r="M2655" i="2"/>
  <c r="M2656" i="2"/>
  <c r="M2657" i="2"/>
  <c r="M2661" i="2"/>
  <c r="M2668" i="2"/>
  <c r="M2669" i="2"/>
  <c r="M2670" i="2"/>
  <c r="M2676" i="2"/>
  <c r="M2679" i="2"/>
  <c r="M2683" i="2"/>
  <c r="M2690" i="2"/>
  <c r="M2696" i="2"/>
  <c r="M2697" i="2"/>
  <c r="M2699" i="2"/>
  <c r="M2702" i="2"/>
  <c r="M2708" i="2"/>
  <c r="M2710" i="2"/>
  <c r="M2711" i="2"/>
  <c r="M2717" i="2"/>
  <c r="M2718" i="2"/>
  <c r="M2721" i="2"/>
  <c r="M2723" i="2"/>
  <c r="M2729" i="2"/>
  <c r="M2739" i="2"/>
  <c r="M2742" i="2"/>
  <c r="M2748" i="2"/>
  <c r="M2749" i="2"/>
  <c r="M2752" i="2"/>
  <c r="M2754" i="2"/>
  <c r="M2757" i="2"/>
  <c r="M2759" i="2"/>
  <c r="M2760" i="2"/>
  <c r="M2763" i="2"/>
  <c r="M2768" i="2"/>
  <c r="M2772" i="2"/>
  <c r="M2778" i="2"/>
  <c r="M2779" i="2"/>
  <c r="M2780" i="2"/>
  <c r="M2781" i="2"/>
  <c r="M2790" i="2"/>
  <c r="M2801" i="2"/>
  <c r="M2805" i="2"/>
  <c r="M2807" i="2"/>
  <c r="M2812" i="2"/>
  <c r="M2815" i="2"/>
  <c r="M2825" i="2"/>
  <c r="M2831" i="2"/>
  <c r="M2832" i="2"/>
  <c r="M2834" i="2"/>
  <c r="M2835" i="2"/>
  <c r="M2838" i="2"/>
  <c r="M2839" i="2"/>
  <c r="M2840" i="2"/>
  <c r="M2850" i="2"/>
  <c r="M2851" i="2"/>
  <c r="M2853" i="2"/>
  <c r="M2858" i="2"/>
  <c r="M2867" i="2"/>
  <c r="M2881" i="2"/>
  <c r="M2882" i="2"/>
  <c r="M2883" i="2"/>
  <c r="M2893" i="2"/>
  <c r="M2895" i="2"/>
  <c r="M2897" i="2"/>
  <c r="M2911" i="2"/>
  <c r="M2918" i="2"/>
  <c r="M2920" i="2"/>
  <c r="M2921" i="2"/>
  <c r="M2936" i="2"/>
  <c r="M2939" i="2"/>
  <c r="M2940" i="2"/>
  <c r="M2946" i="2"/>
  <c r="M2947" i="2"/>
  <c r="M2948" i="2"/>
  <c r="M2951" i="2"/>
  <c r="M2953" i="2"/>
  <c r="M2960" i="2"/>
  <c r="M2966" i="2"/>
  <c r="M2973" i="2"/>
  <c r="M2975" i="2"/>
  <c r="M2977" i="2"/>
  <c r="M2982" i="2"/>
  <c r="M2984" i="2"/>
  <c r="M2987" i="2"/>
  <c r="M2993" i="2"/>
  <c r="M2994" i="2"/>
  <c r="M2995" i="2"/>
  <c r="M3000" i="2"/>
  <c r="M3008" i="2"/>
  <c r="M3015" i="2"/>
  <c r="M3017" i="2"/>
  <c r="M3020" i="2"/>
  <c r="M3022" i="2"/>
  <c r="M3031" i="2"/>
  <c r="M3038" i="2"/>
  <c r="M3043" i="2"/>
  <c r="M3045" i="2"/>
  <c r="M3053" i="2"/>
  <c r="M3062" i="2"/>
  <c r="M3063" i="2"/>
  <c r="M3068" i="2"/>
  <c r="M3069" i="2"/>
  <c r="M3075" i="2"/>
  <c r="M3091" i="2"/>
  <c r="M3093" i="2"/>
  <c r="M3096" i="2"/>
  <c r="M3107" i="2"/>
  <c r="M3111" i="2"/>
  <c r="M3113" i="2"/>
  <c r="M3119" i="2"/>
  <c r="M3124" i="2"/>
  <c r="M3131" i="2"/>
  <c r="M3133" i="2"/>
  <c r="M3134" i="2"/>
  <c r="M3139" i="2"/>
  <c r="M3142" i="2"/>
  <c r="M3143" i="2"/>
  <c r="M3147" i="2"/>
  <c r="M3148" i="2"/>
  <c r="M3154" i="2"/>
  <c r="M3159" i="2"/>
  <c r="M3161" i="2"/>
  <c r="M3162" i="2"/>
  <c r="M3164" i="2"/>
  <c r="M3167" i="2"/>
  <c r="M3170" i="2"/>
  <c r="M3178" i="2"/>
  <c r="M3179" i="2"/>
  <c r="M3183" i="2"/>
  <c r="M3186" i="2"/>
  <c r="M3188" i="2"/>
  <c r="M3191" i="2"/>
  <c r="M3195" i="2"/>
  <c r="M3207" i="2"/>
  <c r="M3209" i="2"/>
  <c r="M3220" i="2"/>
  <c r="M3224" i="2"/>
  <c r="M3228" i="2"/>
  <c r="M3232" i="2"/>
  <c r="M3234" i="2"/>
  <c r="M3237" i="2"/>
  <c r="M3238" i="2"/>
  <c r="M3241" i="2"/>
  <c r="M3245" i="2"/>
  <c r="M3249" i="2"/>
  <c r="M3254" i="2"/>
  <c r="M3256" i="2"/>
  <c r="M3261" i="2"/>
  <c r="M3267" i="2"/>
  <c r="M3271" i="2"/>
  <c r="M3275" i="2"/>
  <c r="M3276" i="2"/>
  <c r="M3277" i="2"/>
  <c r="M3284" i="2"/>
  <c r="M3286" i="2"/>
  <c r="M3288" i="2"/>
  <c r="M3291" i="2"/>
  <c r="M3297" i="2"/>
  <c r="M3299" i="2"/>
  <c r="M3301" i="2"/>
  <c r="M3313" i="2"/>
  <c r="M3318" i="2"/>
  <c r="M3320" i="2"/>
  <c r="M3326" i="2"/>
  <c r="M3330" i="2"/>
  <c r="M3333" i="2"/>
  <c r="M3334" i="2"/>
  <c r="M3336" i="2"/>
  <c r="M3340" i="2"/>
  <c r="M3345" i="2"/>
  <c r="M3349" i="2"/>
  <c r="M3350" i="2"/>
  <c r="M3352" i="2"/>
  <c r="M3353" i="2"/>
  <c r="M3355" i="2"/>
  <c r="M3358" i="2"/>
  <c r="M3359" i="2"/>
  <c r="M3363" i="2"/>
  <c r="M3364" i="2"/>
  <c r="M3366" i="2"/>
  <c r="M3369" i="2"/>
  <c r="M3370" i="2"/>
  <c r="M3371" i="2"/>
  <c r="M3374" i="2"/>
  <c r="M3378" i="2"/>
  <c r="M3379" i="2"/>
  <c r="M3386" i="2"/>
  <c r="M3389" i="2"/>
  <c r="M3395" i="2"/>
  <c r="M3401" i="2"/>
  <c r="M3406" i="2"/>
  <c r="M3410" i="2"/>
  <c r="M3416" i="2"/>
  <c r="M3419" i="2"/>
  <c r="M3422" i="2"/>
  <c r="M3424" i="2"/>
  <c r="M3434" i="2"/>
  <c r="M3436" i="2"/>
  <c r="M3437" i="2"/>
  <c r="M3440" i="2"/>
  <c r="M3441" i="2"/>
  <c r="M3443" i="2"/>
  <c r="M3444" i="2"/>
  <c r="M3449" i="2"/>
  <c r="M3450" i="2"/>
  <c r="M3468" i="2"/>
  <c r="M3470" i="2"/>
  <c r="M3474" i="2"/>
  <c r="M3486" i="2"/>
  <c r="M3488" i="2"/>
  <c r="M3490" i="2"/>
  <c r="M3496" i="2"/>
  <c r="M3502" i="2"/>
  <c r="M3503" i="2"/>
  <c r="M3509" i="2"/>
  <c r="M3511" i="2"/>
  <c r="M3515" i="2"/>
  <c r="M3519" i="2"/>
  <c r="M3521" i="2"/>
  <c r="M3525" i="2"/>
  <c r="M3533" i="2"/>
  <c r="M3536" i="2"/>
  <c r="M3538" i="2"/>
  <c r="M3539" i="2"/>
  <c r="M3540" i="2"/>
  <c r="M3545" i="2"/>
  <c r="M3556" i="2"/>
  <c r="M3567" i="2"/>
  <c r="M3569" i="2"/>
  <c r="M3578" i="2"/>
  <c r="M3579" i="2"/>
  <c r="M3580" i="2"/>
  <c r="M3585" i="2"/>
  <c r="M3586" i="2"/>
  <c r="M3593" i="2"/>
  <c r="M3596" i="2"/>
  <c r="M3600" i="2"/>
  <c r="M3605" i="2"/>
  <c r="M3614" i="2"/>
  <c r="M3615" i="2"/>
  <c r="M3616" i="2"/>
  <c r="M3619" i="2"/>
  <c r="M3629" i="2"/>
  <c r="M3632" i="2"/>
  <c r="M3635" i="2"/>
  <c r="M3638" i="2"/>
  <c r="M3642" i="2"/>
  <c r="M3644" i="2"/>
  <c r="M1007" i="2"/>
  <c r="M451" i="2"/>
  <c r="M870" i="2"/>
  <c r="M387" i="2"/>
  <c r="M555" i="2"/>
  <c r="M899" i="2"/>
  <c r="M254" i="2"/>
  <c r="M448" i="2"/>
  <c r="M634" i="2"/>
  <c r="M690" i="2"/>
  <c r="M722" i="2"/>
  <c r="M842" i="2"/>
  <c r="M900" i="2"/>
  <c r="M17" i="2"/>
  <c r="M31" i="2"/>
  <c r="M64" i="2"/>
  <c r="M108" i="2"/>
  <c r="M149" i="2"/>
  <c r="M182" i="2"/>
  <c r="M277" i="2"/>
  <c r="M287" i="2"/>
  <c r="M388" i="2"/>
  <c r="M601" i="2"/>
  <c r="M708" i="2"/>
  <c r="M744" i="2"/>
  <c r="M901" i="2"/>
  <c r="M958" i="2"/>
  <c r="M14" i="2"/>
  <c r="M113" i="2"/>
  <c r="M172" i="2"/>
  <c r="M201" i="2"/>
  <c r="M257" i="2"/>
  <c r="M317" i="2"/>
  <c r="M407" i="2"/>
  <c r="M450" i="2"/>
  <c r="M535" i="2"/>
  <c r="M624" i="2"/>
  <c r="M653" i="2"/>
  <c r="M673" i="2"/>
  <c r="M701" i="2"/>
  <c r="M713" i="2"/>
  <c r="M733" i="2"/>
  <c r="M838" i="2"/>
  <c r="M85" i="2"/>
  <c r="M110" i="2"/>
  <c r="M157" i="2"/>
  <c r="M215" i="2"/>
  <c r="M241" i="2"/>
  <c r="M246" i="2"/>
  <c r="M251" i="2"/>
  <c r="M261" i="2"/>
  <c r="M269" i="2"/>
  <c r="M347" i="2"/>
  <c r="M375" i="2"/>
  <c r="M420" i="2"/>
  <c r="M522" i="2"/>
  <c r="M620" i="2"/>
  <c r="M629" i="2"/>
  <c r="M663" i="2"/>
  <c r="M714" i="2"/>
  <c r="M735" i="2"/>
  <c r="M750" i="2"/>
  <c r="M802" i="2"/>
  <c r="M840" i="2"/>
  <c r="M907" i="2"/>
  <c r="M932" i="2"/>
  <c r="M962" i="2"/>
  <c r="M967" i="2"/>
  <c r="M984" i="2"/>
  <c r="M11" i="2"/>
  <c r="M23" i="2"/>
  <c r="M39" i="2"/>
  <c r="M45" i="2"/>
  <c r="M97" i="2"/>
  <c r="M112" i="2"/>
  <c r="M124" i="2"/>
  <c r="M130" i="2"/>
  <c r="M137" i="2"/>
  <c r="M148" i="2"/>
  <c r="M162" i="2"/>
  <c r="M193" i="2"/>
  <c r="M208" i="2"/>
  <c r="M232" i="2"/>
  <c r="M242" i="2"/>
  <c r="M248" i="2"/>
  <c r="M264" i="2"/>
  <c r="M288" i="2"/>
  <c r="M299" i="2"/>
  <c r="M323" i="2"/>
  <c r="M359" i="2"/>
  <c r="M373" i="2"/>
  <c r="M397" i="2"/>
  <c r="M403" i="2"/>
  <c r="M421" i="2"/>
  <c r="M427" i="2"/>
  <c r="M439" i="2"/>
  <c r="M456" i="2"/>
  <c r="M475" i="2"/>
  <c r="M481" i="2"/>
  <c r="M500" i="2"/>
  <c r="M507" i="2"/>
  <c r="M539" i="2"/>
  <c r="M572" i="2"/>
  <c r="M581" i="2"/>
  <c r="M584" i="2"/>
  <c r="M597" i="2"/>
  <c r="M603" i="2"/>
  <c r="M625" i="2"/>
  <c r="M678" i="2"/>
  <c r="M707" i="2"/>
  <c r="M717" i="2"/>
  <c r="M787" i="2"/>
  <c r="M805" i="2"/>
  <c r="M820" i="2"/>
  <c r="M875" i="2"/>
  <c r="M880" i="2"/>
  <c r="M883" i="2"/>
  <c r="M903" i="2"/>
  <c r="M910" i="2"/>
  <c r="M913" i="2"/>
  <c r="M918" i="2"/>
  <c r="M934" i="2"/>
  <c r="M941" i="2"/>
  <c r="M959" i="2"/>
  <c r="M969" i="2"/>
  <c r="M998" i="2"/>
  <c r="M16" i="2"/>
  <c r="M41" i="2"/>
  <c r="M47" i="2"/>
  <c r="M52" i="2"/>
  <c r="M55" i="2"/>
  <c r="M74" i="2"/>
  <c r="M78" i="2"/>
  <c r="M81" i="2"/>
  <c r="M84" i="2"/>
  <c r="M101" i="2"/>
  <c r="M104" i="2"/>
  <c r="M115" i="2"/>
  <c r="M120" i="2"/>
  <c r="M123" i="2"/>
  <c r="M126" i="2"/>
  <c r="M131" i="2"/>
  <c r="M141" i="2"/>
  <c r="M150" i="2"/>
  <c r="M159" i="2"/>
  <c r="M169" i="2"/>
  <c r="M173" i="2"/>
  <c r="M192" i="2"/>
  <c r="M207" i="2"/>
  <c r="M212" i="2"/>
  <c r="M216" i="2"/>
  <c r="M219" i="2"/>
  <c r="M227" i="2"/>
  <c r="M235" i="2"/>
  <c r="M239" i="2"/>
  <c r="M245" i="2"/>
  <c r="M252" i="2"/>
  <c r="M274" i="2"/>
  <c r="M289" i="2"/>
  <c r="M309" i="2"/>
  <c r="M320" i="2"/>
  <c r="M327" i="2"/>
  <c r="M330" i="2"/>
  <c r="M334" i="2"/>
  <c r="M358" i="2"/>
  <c r="M361" i="2"/>
  <c r="M365" i="2"/>
  <c r="M370" i="2"/>
  <c r="M376" i="2"/>
  <c r="M381" i="2"/>
  <c r="M391" i="2"/>
  <c r="M395" i="2"/>
  <c r="M402" i="2"/>
  <c r="M405" i="2"/>
  <c r="M429" i="2"/>
  <c r="M442" i="2"/>
  <c r="M453" i="2"/>
  <c r="M457" i="2"/>
  <c r="M468" i="2"/>
  <c r="M480" i="2"/>
  <c r="M486" i="2"/>
  <c r="M489" i="2"/>
  <c r="M496" i="2"/>
  <c r="M533" i="2"/>
  <c r="M541" i="2"/>
  <c r="M543" i="2"/>
  <c r="M565" i="2"/>
  <c r="M571" i="2"/>
  <c r="M578" i="2"/>
  <c r="M583" i="2"/>
  <c r="M602" i="2"/>
  <c r="M608" i="2"/>
  <c r="M613" i="2"/>
  <c r="M616" i="2"/>
  <c r="M631" i="2"/>
  <c r="M638" i="2"/>
  <c r="M641" i="2"/>
  <c r="M650" i="2"/>
  <c r="M664" i="2"/>
  <c r="M672" i="2"/>
  <c r="M689" i="2"/>
  <c r="M706" i="2"/>
  <c r="M711" i="2"/>
  <c r="M725" i="2"/>
  <c r="M739" i="2"/>
  <c r="M745" i="2"/>
  <c r="M756" i="2"/>
  <c r="M764" i="2"/>
  <c r="M778" i="2"/>
  <c r="M785" i="2"/>
  <c r="M790" i="2"/>
  <c r="M795" i="2"/>
  <c r="M799" i="2"/>
  <c r="M809" i="2"/>
  <c r="M814" i="2"/>
  <c r="M821" i="2"/>
  <c r="M826" i="2"/>
  <c r="M848" i="2"/>
  <c r="M859" i="2"/>
  <c r="M863" i="2"/>
  <c r="M867" i="2"/>
  <c r="M887" i="2"/>
  <c r="M889" i="2"/>
  <c r="M891" i="2"/>
  <c r="M908" i="2"/>
  <c r="M916" i="2"/>
  <c r="M923" i="2"/>
  <c r="M926" i="2"/>
  <c r="M930" i="2"/>
  <c r="M940" i="2"/>
  <c r="M944" i="2"/>
  <c r="M947" i="2"/>
  <c r="M956" i="2"/>
  <c r="M973" i="2"/>
  <c r="M975" i="2"/>
  <c r="M981" i="2"/>
  <c r="M991" i="2"/>
  <c r="M997" i="2"/>
  <c r="M895" i="2"/>
  <c r="M919" i="2"/>
  <c r="M942" i="2"/>
  <c r="M948" i="2"/>
  <c r="M971" i="2"/>
  <c r="M1003" i="2"/>
  <c r="M854" i="2"/>
  <c r="M121" i="2"/>
  <c r="M600" i="2"/>
  <c r="M56" i="2"/>
  <c r="M272" i="2"/>
  <c r="M470" i="2"/>
  <c r="M576" i="2"/>
  <c r="M719" i="2"/>
  <c r="M798" i="2"/>
  <c r="M960" i="2"/>
  <c r="M118" i="2"/>
  <c r="M181" i="2"/>
  <c r="M196" i="2"/>
  <c r="M233" i="2"/>
  <c r="M394" i="2"/>
  <c r="M471" i="2"/>
  <c r="M517" i="2"/>
  <c r="M676" i="2"/>
  <c r="M747" i="2"/>
  <c r="M70" i="2"/>
  <c r="M95" i="2"/>
  <c r="M168" i="2"/>
  <c r="M228" i="2"/>
  <c r="M263" i="2"/>
  <c r="M292" i="2"/>
  <c r="M436" i="2"/>
  <c r="M516" i="2"/>
  <c r="M537" i="2"/>
  <c r="M580" i="2"/>
  <c r="M659" i="2"/>
  <c r="M694" i="2"/>
  <c r="M729" i="2"/>
  <c r="M736" i="2"/>
  <c r="M850" i="2"/>
  <c r="M892" i="2"/>
  <c r="M992" i="2"/>
  <c r="M10" i="2"/>
  <c r="M116" i="2"/>
  <c r="M144" i="2"/>
  <c r="M155" i="2"/>
  <c r="M166" i="2"/>
  <c r="M177" i="2"/>
  <c r="M206" i="2"/>
  <c r="M244" i="2"/>
  <c r="M249" i="2"/>
  <c r="M336" i="2"/>
  <c r="M354" i="2"/>
  <c r="M384" i="2"/>
  <c r="M462" i="2"/>
  <c r="M466" i="2"/>
  <c r="M485" i="2"/>
  <c r="M514" i="2"/>
  <c r="M592" i="2"/>
  <c r="M611" i="2"/>
  <c r="M684" i="2"/>
  <c r="M742" i="2"/>
  <c r="M752" i="2"/>
  <c r="M829" i="2"/>
  <c r="M909" i="2"/>
  <c r="M966" i="2"/>
  <c r="M986" i="2"/>
  <c r="M18" i="2"/>
  <c r="M22" i="2"/>
  <c r="M51" i="2"/>
  <c r="M60" i="2"/>
  <c r="M66" i="2"/>
  <c r="M72" i="2"/>
  <c r="M92" i="2"/>
  <c r="M132" i="2"/>
  <c r="M153" i="2"/>
  <c r="M160" i="2"/>
  <c r="M164" i="2"/>
  <c r="M211" i="2"/>
  <c r="M218" i="2"/>
  <c r="M234" i="2"/>
  <c r="M291" i="2"/>
  <c r="M295" i="2"/>
  <c r="M303" i="2"/>
  <c r="M325" i="2"/>
  <c r="M335" i="2"/>
  <c r="M341" i="2"/>
  <c r="M349" i="2"/>
  <c r="M352" i="2"/>
  <c r="M377" i="2"/>
  <c r="M398" i="2"/>
  <c r="M409" i="2"/>
  <c r="M418" i="2"/>
  <c r="M425" i="2"/>
  <c r="M461" i="2"/>
  <c r="M467" i="2"/>
  <c r="M473" i="2"/>
  <c r="M482" i="2"/>
  <c r="M503" i="2"/>
  <c r="M525" i="2"/>
  <c r="M544" i="2"/>
  <c r="M549" i="2"/>
  <c r="M599" i="2"/>
  <c r="M622" i="2"/>
  <c r="M632" i="2"/>
  <c r="M646" i="2"/>
  <c r="M651" i="2"/>
  <c r="M660" i="2"/>
  <c r="M699" i="2"/>
  <c r="M712" i="2"/>
  <c r="M728" i="2"/>
  <c r="M746" i="2"/>
  <c r="M757" i="2"/>
  <c r="M762" i="2"/>
  <c r="M772" i="2"/>
  <c r="M774" i="2"/>
  <c r="M793" i="2"/>
  <c r="M797" i="2"/>
  <c r="M803" i="2"/>
  <c r="M806" i="2"/>
  <c r="M815" i="2"/>
  <c r="M827" i="2"/>
  <c r="M841" i="2"/>
  <c r="M849" i="2"/>
  <c r="M868" i="2"/>
  <c r="M878" i="2"/>
  <c r="M886" i="2"/>
  <c r="M904" i="2"/>
  <c r="M912" i="2"/>
  <c r="M914" i="2"/>
  <c r="M927" i="2"/>
  <c r="M939" i="2"/>
  <c r="M951" i="2"/>
  <c r="M954" i="2"/>
  <c r="M996" i="2"/>
  <c r="M1005" i="2"/>
  <c r="M7" i="2"/>
  <c r="M25" i="2"/>
  <c r="M30" i="2"/>
  <c r="M34" i="2"/>
  <c r="M40" i="2"/>
  <c r="M43" i="2"/>
  <c r="M58" i="2"/>
  <c r="M76" i="2"/>
  <c r="M79" i="2"/>
  <c r="M86" i="2"/>
  <c r="M90" i="2"/>
  <c r="M93" i="2"/>
  <c r="M96" i="2"/>
  <c r="M99" i="2"/>
  <c r="M102" i="2"/>
  <c r="M114" i="2"/>
  <c r="M122" i="2"/>
  <c r="M133" i="2"/>
  <c r="M140" i="2"/>
  <c r="M152" i="2"/>
  <c r="M158" i="2"/>
  <c r="M161" i="2"/>
  <c r="M174" i="2"/>
  <c r="M176" i="2"/>
  <c r="M180" i="2"/>
  <c r="M194" i="2"/>
  <c r="M214" i="2"/>
  <c r="M225" i="2"/>
  <c r="M229" i="2"/>
  <c r="M259" i="2"/>
  <c r="M271" i="2"/>
  <c r="M276" i="2"/>
  <c r="M306" i="2"/>
  <c r="M308" i="2"/>
  <c r="M316" i="2"/>
  <c r="M332" i="2"/>
  <c r="M363" i="2"/>
  <c r="M366" i="2"/>
  <c r="M369" i="2"/>
  <c r="M371" i="2"/>
  <c r="M385" i="2"/>
  <c r="M389" i="2"/>
  <c r="M400" i="2"/>
  <c r="M404" i="2"/>
  <c r="M410" i="2"/>
  <c r="M414" i="2"/>
  <c r="M417" i="2"/>
  <c r="M431" i="2"/>
  <c r="M437" i="2"/>
  <c r="M445" i="2"/>
  <c r="M455" i="2"/>
  <c r="M472" i="2"/>
  <c r="M476" i="2"/>
  <c r="M479" i="2"/>
  <c r="M493" i="2"/>
  <c r="M495" i="2"/>
  <c r="M504" i="2"/>
  <c r="M509" i="2"/>
  <c r="M513" i="2"/>
  <c r="M520" i="2"/>
  <c r="M528" i="2"/>
  <c r="M530" i="2"/>
  <c r="M532" i="2"/>
  <c r="M540" i="2"/>
  <c r="M542" i="2"/>
  <c r="M545" i="2"/>
  <c r="M551" i="2"/>
  <c r="M586" i="2"/>
  <c r="M604" i="2"/>
  <c r="M607" i="2"/>
  <c r="M614" i="2"/>
  <c r="M619" i="2"/>
  <c r="M640" i="2"/>
  <c r="M643" i="2"/>
  <c r="M666" i="2"/>
  <c r="M669" i="2"/>
  <c r="M671" i="2"/>
  <c r="M674" i="2"/>
  <c r="M679" i="2"/>
  <c r="M687" i="2"/>
  <c r="M692" i="2"/>
  <c r="M702" i="2"/>
  <c r="M709" i="2"/>
  <c r="M718" i="2"/>
  <c r="M723" i="2"/>
  <c r="M726" i="2"/>
  <c r="M731" i="2"/>
  <c r="M740" i="2"/>
  <c r="M748" i="2"/>
  <c r="M751" i="2"/>
  <c r="M754" i="2"/>
  <c r="M759" i="2"/>
  <c r="M761" i="2"/>
  <c r="M766" i="2"/>
  <c r="M776" i="2"/>
  <c r="M781" i="2"/>
  <c r="M807" i="2"/>
  <c r="M812" i="2"/>
  <c r="M817" i="2"/>
  <c r="M819" i="2"/>
  <c r="M835" i="2"/>
  <c r="M843" i="2"/>
  <c r="M845" i="2"/>
  <c r="M861" i="2"/>
  <c r="M888" i="2"/>
  <c r="M898" i="2"/>
  <c r="M938" i="2"/>
  <c r="M950" i="2"/>
  <c r="M977" i="2"/>
  <c r="M999" i="2"/>
  <c r="M1011" i="2"/>
  <c r="M1012" i="2"/>
  <c r="M1014" i="2"/>
  <c r="M1017" i="2"/>
  <c r="M1018" i="2"/>
  <c r="M1020" i="2"/>
  <c r="M1021" i="2"/>
  <c r="M1023" i="2"/>
  <c r="M1026" i="2"/>
  <c r="M1028" i="2"/>
  <c r="M1030" i="2"/>
  <c r="M1031" i="2"/>
  <c r="M1035" i="2"/>
  <c r="M1037" i="2"/>
  <c r="M1045" i="2"/>
  <c r="M1047" i="2"/>
  <c r="M1048" i="2"/>
  <c r="M1049" i="2"/>
  <c r="M1053" i="2"/>
  <c r="M1054" i="2"/>
  <c r="M1055" i="2"/>
  <c r="M1058" i="2"/>
  <c r="M1062" i="2"/>
  <c r="M1065" i="2"/>
  <c r="M1068" i="2"/>
  <c r="M1071" i="2"/>
  <c r="M1073" i="2"/>
  <c r="M1075" i="2"/>
  <c r="M1077" i="2"/>
  <c r="M1079" i="2"/>
  <c r="M1082" i="2"/>
  <c r="M1084" i="2"/>
  <c r="M1087" i="2"/>
  <c r="M1090" i="2"/>
  <c r="M1092" i="2"/>
  <c r="M1094" i="2"/>
  <c r="M1096" i="2"/>
  <c r="M1098" i="2"/>
  <c r="M1100" i="2"/>
  <c r="M1102" i="2"/>
  <c r="M1103" i="2"/>
  <c r="M1106" i="2"/>
  <c r="M1109" i="2"/>
  <c r="M1111" i="2"/>
  <c r="M1112" i="2"/>
  <c r="M1114" i="2"/>
  <c r="M1116" i="2"/>
  <c r="M1119" i="2"/>
  <c r="M1122" i="2"/>
  <c r="M1123" i="2"/>
  <c r="M1128" i="2"/>
  <c r="M1132" i="2"/>
  <c r="M1134" i="2"/>
  <c r="M1135" i="2"/>
  <c r="M1137" i="2"/>
  <c r="M1139" i="2"/>
  <c r="M1140" i="2"/>
  <c r="M1141" i="2"/>
  <c r="M1142" i="2"/>
  <c r="M1144" i="2"/>
  <c r="M1145" i="2"/>
  <c r="M1146" i="2"/>
  <c r="M1147" i="2"/>
  <c r="M1148" i="2"/>
  <c r="M1151" i="2"/>
  <c r="M1153" i="2"/>
  <c r="M1155" i="2"/>
  <c r="M1156" i="2"/>
  <c r="M1161" i="2"/>
  <c r="M1163" i="2"/>
  <c r="M1164" i="2"/>
  <c r="M1165" i="2"/>
  <c r="M1167" i="2"/>
  <c r="M1168" i="2"/>
  <c r="M1170" i="2"/>
  <c r="M1172" i="2"/>
  <c r="M1174" i="2"/>
  <c r="M1176" i="2"/>
  <c r="M1177" i="2"/>
  <c r="M1178" i="2"/>
  <c r="M1180" i="2"/>
  <c r="M1182" i="2"/>
  <c r="M1183" i="2"/>
  <c r="M1185" i="2"/>
  <c r="M1186" i="2"/>
  <c r="M1189" i="2"/>
  <c r="M1192" i="2"/>
  <c r="M1193" i="2"/>
  <c r="M1196" i="2"/>
  <c r="M1199" i="2"/>
  <c r="M1201" i="2"/>
  <c r="M1202" i="2"/>
  <c r="M1203" i="2"/>
  <c r="M1204" i="2"/>
  <c r="M1205" i="2"/>
  <c r="M1207" i="2"/>
  <c r="M1209" i="2"/>
  <c r="M1211" i="2"/>
  <c r="M1213" i="2"/>
  <c r="M1215" i="2"/>
  <c r="M1216" i="2"/>
  <c r="M1217" i="2"/>
  <c r="M1218" i="2"/>
  <c r="M1220" i="2"/>
  <c r="M1222" i="2"/>
  <c r="M1225" i="2"/>
  <c r="M1226" i="2"/>
  <c r="M1228" i="2"/>
  <c r="M1229" i="2"/>
  <c r="M1230" i="2"/>
  <c r="M1231" i="2"/>
  <c r="M1233" i="2"/>
  <c r="M1235" i="2"/>
  <c r="M1237" i="2"/>
  <c r="M1239" i="2"/>
  <c r="M1240" i="2"/>
  <c r="M1241" i="2"/>
  <c r="M1242" i="2"/>
  <c r="M1243" i="2"/>
  <c r="M1246" i="2"/>
  <c r="M1247" i="2"/>
  <c r="M1249" i="2"/>
  <c r="M1250" i="2"/>
  <c r="M1251" i="2"/>
  <c r="M1253" i="2"/>
  <c r="M1254" i="2"/>
  <c r="M1255" i="2"/>
  <c r="M1256" i="2"/>
  <c r="M1258" i="2"/>
  <c r="M1259" i="2"/>
  <c r="M1260" i="2"/>
  <c r="M1261" i="2"/>
  <c r="M1263" i="2"/>
  <c r="M1264" i="2"/>
  <c r="M1267" i="2"/>
  <c r="M1269" i="2"/>
  <c r="M1272" i="2"/>
  <c r="M1276" i="2"/>
  <c r="M1277" i="2"/>
  <c r="M1278" i="2"/>
  <c r="M1281" i="2"/>
  <c r="M1282" i="2"/>
  <c r="M1286" i="2"/>
  <c r="M1289" i="2"/>
  <c r="M1291" i="2"/>
  <c r="M1295" i="2"/>
  <c r="M1296" i="2"/>
  <c r="M1297" i="2"/>
  <c r="M1298" i="2"/>
  <c r="M1300" i="2"/>
  <c r="M1301" i="2"/>
  <c r="M1303" i="2"/>
  <c r="M1304" i="2"/>
  <c r="M1305" i="2"/>
  <c r="M1307" i="2"/>
  <c r="M1309" i="2"/>
  <c r="M1311" i="2"/>
  <c r="M1314" i="2"/>
  <c r="M1316" i="2"/>
  <c r="M1317" i="2"/>
  <c r="M1318" i="2"/>
  <c r="M1320" i="2"/>
  <c r="M1321" i="2"/>
  <c r="M1322" i="2"/>
  <c r="M1326" i="2"/>
  <c r="M1327" i="2"/>
  <c r="M1331" i="2"/>
  <c r="M1332" i="2"/>
  <c r="M1334" i="2"/>
  <c r="M1335" i="2"/>
  <c r="M1336" i="2"/>
  <c r="M1337" i="2"/>
  <c r="M1339" i="2"/>
  <c r="M1341" i="2"/>
  <c r="M1344" i="2"/>
  <c r="M1346" i="2"/>
  <c r="M1348" i="2"/>
  <c r="M1349" i="2"/>
  <c r="M1351" i="2"/>
  <c r="M1352" i="2"/>
  <c r="M1355" i="2"/>
  <c r="M1356" i="2"/>
  <c r="M1359" i="2"/>
  <c r="M1362" i="2"/>
  <c r="M1365" i="2"/>
  <c r="M1366" i="2"/>
  <c r="M1367" i="2"/>
  <c r="M1368" i="2"/>
  <c r="M1370" i="2"/>
  <c r="M1371" i="2"/>
  <c r="M1373" i="2"/>
  <c r="M1374" i="2"/>
  <c r="M1375" i="2"/>
  <c r="M1378" i="2"/>
  <c r="M1383" i="2"/>
  <c r="M1384" i="2"/>
  <c r="M1386" i="2"/>
  <c r="M1390" i="2"/>
  <c r="M1392" i="2"/>
  <c r="M1394" i="2"/>
  <c r="M1397" i="2"/>
  <c r="M1399" i="2"/>
  <c r="M1404" i="2"/>
  <c r="M1405" i="2"/>
  <c r="M1407" i="2"/>
  <c r="M1409" i="2"/>
  <c r="M1413" i="2"/>
  <c r="M1415" i="2"/>
  <c r="M1416" i="2"/>
  <c r="M1419" i="2"/>
  <c r="M1421" i="2"/>
  <c r="M1423" i="2"/>
  <c r="M1424" i="2"/>
  <c r="M1425" i="2"/>
  <c r="M1426" i="2"/>
  <c r="M1428" i="2"/>
  <c r="M1430" i="2"/>
  <c r="M1432" i="2"/>
  <c r="M1434" i="2"/>
  <c r="M1435" i="2"/>
  <c r="M1440" i="2"/>
  <c r="M1442" i="2"/>
  <c r="M1449" i="2"/>
  <c r="M1451" i="2"/>
  <c r="M1453" i="2"/>
  <c r="M1455" i="2"/>
  <c r="M1457" i="2"/>
  <c r="M1460" i="2"/>
  <c r="M1463" i="2"/>
  <c r="M1466" i="2"/>
  <c r="M1468" i="2"/>
  <c r="M1471" i="2"/>
  <c r="M1475" i="2"/>
  <c r="M1476" i="2"/>
  <c r="M1478" i="2"/>
  <c r="M1481" i="2"/>
  <c r="M1483" i="2"/>
  <c r="M1485" i="2"/>
  <c r="M1486" i="2"/>
  <c r="M1489" i="2"/>
  <c r="M1490" i="2"/>
  <c r="M1491" i="2"/>
  <c r="M1492" i="2"/>
  <c r="M1495" i="2"/>
  <c r="M1496" i="2"/>
  <c r="M1501" i="2"/>
  <c r="M1504" i="2"/>
  <c r="M1507" i="2"/>
  <c r="M1509" i="2"/>
  <c r="M1512" i="2"/>
  <c r="M1513" i="2"/>
  <c r="M1515" i="2"/>
  <c r="M1516" i="2"/>
  <c r="M1517" i="2"/>
  <c r="M1526" i="2"/>
  <c r="M1530" i="2"/>
  <c r="M1531" i="2"/>
  <c r="M1535" i="2"/>
  <c r="M1537" i="2"/>
  <c r="M1538" i="2"/>
  <c r="M1540" i="2"/>
  <c r="M1542" i="2"/>
  <c r="M1543" i="2"/>
  <c r="M1546" i="2"/>
  <c r="M1548" i="2"/>
  <c r="M1551" i="2"/>
  <c r="M1552" i="2"/>
  <c r="M1554" i="2"/>
  <c r="M1556" i="2"/>
  <c r="M1557" i="2"/>
  <c r="M1559" i="2"/>
  <c r="M1560" i="2"/>
  <c r="M1561" i="2"/>
  <c r="M1564" i="2"/>
  <c r="M1565" i="2"/>
  <c r="M1566" i="2"/>
  <c r="M1567" i="2"/>
  <c r="M1573" i="2"/>
  <c r="M1574" i="2"/>
  <c r="M1576" i="2"/>
  <c r="M1578" i="2"/>
  <c r="M1580" i="2"/>
  <c r="M1581" i="2"/>
  <c r="M1582" i="2"/>
  <c r="M1583" i="2"/>
  <c r="M1586" i="2"/>
  <c r="M1588" i="2"/>
  <c r="M1589" i="2"/>
  <c r="M1591" i="2"/>
  <c r="M1592" i="2"/>
  <c r="M1593" i="2"/>
  <c r="M1596" i="2"/>
  <c r="M1600" i="2"/>
  <c r="M1605" i="2"/>
  <c r="M1606" i="2"/>
  <c r="M1610" i="2"/>
  <c r="M1611" i="2"/>
  <c r="M1614" i="2"/>
  <c r="M1617" i="2"/>
  <c r="M1622" i="2"/>
  <c r="M1625" i="2"/>
  <c r="M1626" i="2"/>
  <c r="M1631" i="2"/>
  <c r="M1632" i="2"/>
  <c r="M1633" i="2"/>
  <c r="M1635" i="2"/>
  <c r="M1638" i="2"/>
  <c r="M1640" i="2"/>
  <c r="M1644" i="2"/>
  <c r="M1645" i="2"/>
  <c r="M1647" i="2"/>
  <c r="M1648" i="2"/>
  <c r="M1650" i="2"/>
  <c r="M1651" i="2"/>
  <c r="M1652" i="2"/>
  <c r="M1657" i="2"/>
  <c r="M1658" i="2"/>
  <c r="M1662" i="2"/>
  <c r="M1663" i="2"/>
  <c r="M1665" i="2"/>
  <c r="M1668" i="2"/>
  <c r="M1671" i="2"/>
  <c r="M1675" i="2"/>
  <c r="M1684" i="2"/>
  <c r="M1686" i="2"/>
  <c r="M1688" i="2"/>
  <c r="M1690" i="2"/>
  <c r="M1691" i="2"/>
  <c r="M1693" i="2"/>
  <c r="M1696" i="2"/>
  <c r="M1697" i="2"/>
  <c r="M1699" i="2"/>
  <c r="M1700" i="2"/>
  <c r="M1702" i="2"/>
  <c r="M1707" i="2"/>
  <c r="M1708" i="2"/>
  <c r="M1710" i="2"/>
  <c r="M1713" i="2"/>
  <c r="M1714" i="2"/>
  <c r="M1716" i="2"/>
  <c r="M1719" i="2"/>
  <c r="M1720" i="2"/>
  <c r="M1721" i="2"/>
  <c r="M1723" i="2"/>
  <c r="M1724" i="2"/>
  <c r="M1728" i="2"/>
  <c r="M1730" i="2"/>
  <c r="M1736" i="2"/>
  <c r="M1737" i="2"/>
  <c r="M1742" i="2"/>
  <c r="M1743" i="2"/>
  <c r="M1746" i="2"/>
  <c r="M1748" i="2"/>
  <c r="M1750" i="2"/>
  <c r="M1753" i="2"/>
  <c r="M1754" i="2"/>
  <c r="M1757" i="2"/>
  <c r="M1759" i="2"/>
  <c r="M1762" i="2"/>
  <c r="M1764" i="2"/>
  <c r="M1768" i="2"/>
  <c r="M1769" i="2"/>
  <c r="M1770" i="2"/>
  <c r="M1771" i="2"/>
  <c r="M1773" i="2"/>
  <c r="M1775" i="2"/>
  <c r="M1777" i="2"/>
  <c r="M1779" i="2"/>
  <c r="M1783" i="2"/>
  <c r="M1785" i="2"/>
  <c r="M1786" i="2"/>
  <c r="M1789" i="2"/>
  <c r="M1790" i="2"/>
  <c r="M1792" i="2"/>
  <c r="M1794" i="2"/>
  <c r="M1796" i="2"/>
  <c r="M1798" i="2"/>
  <c r="M1801" i="2"/>
  <c r="M1803" i="2"/>
  <c r="M1804" i="2"/>
  <c r="M1806" i="2"/>
  <c r="M1807" i="2"/>
  <c r="M1810" i="2"/>
  <c r="M1812" i="2"/>
  <c r="M1813" i="2"/>
  <c r="M1817" i="2"/>
  <c r="M1819" i="2"/>
  <c r="M1820" i="2"/>
  <c r="M1822" i="2"/>
  <c r="M1826" i="2"/>
  <c r="M1828" i="2"/>
  <c r="M1830" i="2"/>
  <c r="M1831" i="2"/>
  <c r="M1833" i="2"/>
  <c r="M1834" i="2"/>
  <c r="M1835" i="2"/>
  <c r="M1838" i="2"/>
  <c r="M1843" i="2"/>
  <c r="M1846" i="2"/>
  <c r="M1848" i="2"/>
  <c r="M1850" i="2"/>
  <c r="M1851" i="2"/>
  <c r="M1854" i="2"/>
  <c r="M1855" i="2"/>
  <c r="M1856" i="2"/>
  <c r="M1858" i="2"/>
  <c r="M1859" i="2"/>
  <c r="M1861" i="2"/>
  <c r="M1862" i="2"/>
  <c r="M1863" i="2"/>
  <c r="M1865" i="2"/>
  <c r="M1868" i="2"/>
  <c r="M1870" i="2"/>
  <c r="M1875" i="2"/>
  <c r="M1876" i="2"/>
  <c r="M1878" i="2"/>
  <c r="M1880" i="2"/>
  <c r="M1883" i="2"/>
  <c r="M1884" i="2"/>
  <c r="M1886" i="2"/>
  <c r="M1890" i="2"/>
  <c r="M1892" i="2"/>
  <c r="M1894" i="2"/>
  <c r="M1897" i="2"/>
  <c r="M1899" i="2"/>
  <c r="M1902" i="2"/>
  <c r="M1906" i="2"/>
  <c r="M1907" i="2"/>
  <c r="M1908" i="2"/>
  <c r="M1910" i="2"/>
  <c r="M1911" i="2"/>
  <c r="M1912" i="2"/>
  <c r="M1914" i="2"/>
  <c r="M1915" i="2"/>
  <c r="M1918" i="2"/>
  <c r="M1922" i="2"/>
  <c r="M1924" i="2"/>
  <c r="M1925" i="2"/>
  <c r="M1926" i="2"/>
  <c r="M1928" i="2"/>
  <c r="M1929" i="2"/>
  <c r="M1930" i="2"/>
  <c r="M1931" i="2"/>
  <c r="M1932" i="2"/>
  <c r="M1934" i="2"/>
  <c r="M1936" i="2"/>
  <c r="M1939" i="2"/>
  <c r="M1940" i="2"/>
  <c r="M1941" i="2"/>
  <c r="M1942" i="2"/>
  <c r="M1943" i="2"/>
  <c r="M1946" i="2"/>
  <c r="M1948" i="2"/>
  <c r="M1950" i="2"/>
  <c r="M1951" i="2"/>
  <c r="M1954" i="2"/>
  <c r="M1956" i="2"/>
  <c r="M1958" i="2"/>
  <c r="M1959" i="2"/>
  <c r="M1963" i="2"/>
  <c r="M1965" i="2"/>
  <c r="M1966" i="2"/>
  <c r="M1969" i="2"/>
  <c r="M1972" i="2"/>
  <c r="M1973" i="2"/>
  <c r="M1976" i="2"/>
  <c r="M1981" i="2"/>
  <c r="M1982" i="2"/>
  <c r="M1983" i="2"/>
  <c r="M1984" i="2"/>
  <c r="M1987" i="2"/>
  <c r="M1988" i="2"/>
  <c r="M1991" i="2"/>
  <c r="M1992" i="2"/>
  <c r="M1994" i="2"/>
  <c r="M1995" i="2"/>
  <c r="M1996" i="2"/>
  <c r="M1997" i="2"/>
  <c r="M1999" i="2"/>
  <c r="M2000" i="2"/>
  <c r="M2002" i="2"/>
  <c r="M2007" i="2"/>
  <c r="M2010" i="2"/>
  <c r="M2011" i="2"/>
  <c r="M2014" i="2"/>
  <c r="M2015" i="2"/>
  <c r="M2017" i="2"/>
  <c r="M2018" i="2"/>
  <c r="M2019" i="2"/>
  <c r="M2021" i="2"/>
  <c r="M2022" i="2"/>
  <c r="M2023" i="2"/>
  <c r="M2024" i="2"/>
  <c r="M2025" i="2"/>
  <c r="M2027" i="2"/>
  <c r="M2031" i="2"/>
  <c r="M2032" i="2"/>
  <c r="M2034" i="2"/>
  <c r="M2036" i="2"/>
  <c r="M2038" i="2"/>
  <c r="M2040" i="2"/>
  <c r="M2043" i="2"/>
  <c r="M2046" i="2"/>
  <c r="M2052" i="2"/>
  <c r="M2054" i="2"/>
  <c r="M2056" i="2"/>
  <c r="M2059" i="2"/>
  <c r="M2063" i="2"/>
  <c r="M2064" i="2"/>
  <c r="M2067" i="2"/>
  <c r="M2069" i="2"/>
  <c r="M2071" i="2"/>
  <c r="M2073" i="2"/>
  <c r="M2074" i="2"/>
  <c r="M2075" i="2"/>
  <c r="M2077" i="2"/>
  <c r="M2079" i="2"/>
  <c r="M2081" i="2"/>
  <c r="M2083" i="2"/>
  <c r="M2085" i="2"/>
  <c r="M2086" i="2"/>
  <c r="M2087" i="2"/>
  <c r="M2090" i="2"/>
  <c r="M2091" i="2"/>
  <c r="M2094" i="2"/>
  <c r="M2095" i="2"/>
  <c r="M2098" i="2"/>
  <c r="M2100" i="2"/>
  <c r="M2101" i="2"/>
  <c r="M2105" i="2"/>
  <c r="M2107" i="2"/>
  <c r="M2111" i="2"/>
  <c r="M2113" i="2"/>
  <c r="M2115" i="2"/>
  <c r="M2117" i="2"/>
  <c r="M2121" i="2"/>
  <c r="M2126" i="2"/>
  <c r="M2129" i="2"/>
  <c r="M2130" i="2"/>
  <c r="M2131" i="2"/>
  <c r="M2133" i="2"/>
  <c r="M2134" i="2"/>
  <c r="M2137" i="2"/>
  <c r="M2140" i="2"/>
  <c r="M2143" i="2"/>
  <c r="M2144" i="2"/>
  <c r="M2146" i="2"/>
  <c r="M2148" i="2"/>
  <c r="M2150" i="2"/>
  <c r="M2152" i="2"/>
  <c r="M2157" i="2"/>
  <c r="M2158" i="2"/>
  <c r="M2160" i="2"/>
  <c r="M2164" i="2"/>
  <c r="M2168" i="2"/>
  <c r="M2169" i="2"/>
  <c r="M2170" i="2"/>
  <c r="M2174" i="2"/>
  <c r="M2177" i="2"/>
  <c r="M2180" i="2"/>
  <c r="M2181" i="2"/>
  <c r="M2182" i="2"/>
  <c r="M2185" i="2"/>
  <c r="M2187" i="2"/>
  <c r="M2190" i="2"/>
  <c r="M2192" i="2"/>
  <c r="M2195" i="2"/>
  <c r="M2197" i="2"/>
  <c r="M2202" i="2"/>
  <c r="M2205" i="2"/>
  <c r="M2206" i="2"/>
  <c r="M2208" i="2"/>
  <c r="M2209" i="2"/>
  <c r="M2211" i="2"/>
  <c r="M2213" i="2"/>
  <c r="M2215" i="2"/>
  <c r="M2216" i="2"/>
  <c r="M2217" i="2"/>
  <c r="M2219" i="2"/>
  <c r="M2220" i="2"/>
  <c r="M2221" i="2"/>
  <c r="M2223" i="2"/>
  <c r="M2225" i="2"/>
  <c r="M2226" i="2"/>
  <c r="M2227" i="2"/>
  <c r="M2229" i="2"/>
  <c r="M2231" i="2"/>
  <c r="M2233" i="2"/>
  <c r="M2235" i="2"/>
  <c r="M2237" i="2"/>
  <c r="M2238" i="2"/>
  <c r="M2241" i="2"/>
  <c r="M2242" i="2"/>
  <c r="M2243" i="2"/>
  <c r="M2244" i="2"/>
  <c r="M2249" i="2"/>
  <c r="M2254" i="2"/>
  <c r="M2256" i="2"/>
  <c r="M2257" i="2"/>
  <c r="M2258" i="2"/>
  <c r="M2259" i="2"/>
  <c r="M2261" i="2"/>
  <c r="M2263" i="2"/>
  <c r="M2265" i="2"/>
  <c r="M2267" i="2"/>
  <c r="M2269" i="2"/>
  <c r="M2271" i="2"/>
  <c r="M2273" i="2"/>
  <c r="M2275" i="2"/>
  <c r="M2276" i="2"/>
  <c r="M2278" i="2"/>
  <c r="M2279" i="2"/>
  <c r="M2281" i="2"/>
  <c r="M2283" i="2"/>
  <c r="M2284" i="2"/>
  <c r="M2287" i="2"/>
  <c r="M2288" i="2"/>
  <c r="M2289" i="2"/>
  <c r="M2291" i="2"/>
  <c r="M2292" i="2"/>
  <c r="M2293" i="2"/>
  <c r="M2295" i="2"/>
  <c r="M2296" i="2"/>
  <c r="M2297" i="2"/>
  <c r="M2298" i="2"/>
  <c r="M2299" i="2"/>
  <c r="M2301" i="2"/>
  <c r="M2302" i="2"/>
  <c r="M2305" i="2"/>
  <c r="M2311" i="2"/>
  <c r="M2312" i="2"/>
  <c r="M2313" i="2"/>
  <c r="M2314" i="2"/>
  <c r="M2318" i="2"/>
  <c r="M2319" i="2"/>
  <c r="M2320" i="2"/>
  <c r="M2321" i="2"/>
  <c r="M2322" i="2"/>
  <c r="M2325" i="2"/>
  <c r="M2326" i="2"/>
  <c r="M2328" i="2"/>
  <c r="M2329" i="2"/>
  <c r="M2331" i="2"/>
  <c r="M2333" i="2"/>
  <c r="M2337" i="2"/>
  <c r="M2339" i="2"/>
  <c r="M2340" i="2"/>
  <c r="M2341" i="2"/>
  <c r="M2342" i="2"/>
  <c r="M2344" i="2"/>
  <c r="M2346" i="2"/>
  <c r="M2347" i="2"/>
  <c r="M2348" i="2"/>
  <c r="M2350" i="2"/>
  <c r="M2352" i="2"/>
  <c r="M2356" i="2"/>
  <c r="M2357" i="2"/>
  <c r="M2360" i="2"/>
  <c r="M2361" i="2"/>
  <c r="M2363" i="2"/>
  <c r="M2364" i="2"/>
  <c r="M2365" i="2"/>
  <c r="M2366" i="2"/>
  <c r="M2368" i="2"/>
  <c r="M2370" i="2"/>
  <c r="M2374" i="2"/>
  <c r="M2380" i="2"/>
  <c r="M2381" i="2"/>
  <c r="M2382" i="2"/>
  <c r="M2383" i="2"/>
  <c r="M2384" i="2"/>
  <c r="M2385" i="2"/>
  <c r="M2386" i="2"/>
  <c r="M2388" i="2"/>
  <c r="M2389" i="2"/>
  <c r="M2390" i="2"/>
  <c r="M2392" i="2"/>
  <c r="M2394" i="2"/>
  <c r="M2396" i="2"/>
  <c r="M2397" i="2"/>
  <c r="M2398" i="2"/>
  <c r="M2400" i="2"/>
  <c r="M2402" i="2"/>
  <c r="M2406" i="2"/>
  <c r="M2407" i="2"/>
  <c r="M2409" i="2"/>
  <c r="M2413" i="2"/>
  <c r="M2416" i="2"/>
  <c r="M2418" i="2"/>
  <c r="M2419" i="2"/>
  <c r="M2420" i="2"/>
  <c r="M2422" i="2"/>
  <c r="M2423" i="2"/>
  <c r="M2425" i="2"/>
  <c r="M2427" i="2"/>
  <c r="M2430" i="2"/>
  <c r="M2431" i="2"/>
  <c r="M2433" i="2"/>
  <c r="M2434" i="2"/>
  <c r="M2438" i="2"/>
  <c r="M2443" i="2"/>
  <c r="M2446" i="2"/>
  <c r="M2447" i="2"/>
  <c r="M2448" i="2"/>
  <c r="M2449" i="2"/>
  <c r="M2454" i="2"/>
  <c r="M2456" i="2"/>
  <c r="M2459" i="2"/>
  <c r="M2460" i="2"/>
  <c r="M2464" i="2"/>
  <c r="M2468" i="2"/>
  <c r="M2469" i="2"/>
  <c r="M2470" i="2"/>
  <c r="M2471" i="2"/>
  <c r="M2473" i="2"/>
  <c r="M2474" i="2"/>
  <c r="M2477" i="2"/>
  <c r="M2479" i="2"/>
  <c r="M2480" i="2"/>
  <c r="M2481" i="2"/>
  <c r="M2483" i="2"/>
  <c r="M2485" i="2"/>
  <c r="M2487" i="2"/>
  <c r="M2488" i="2"/>
  <c r="M2489" i="2"/>
  <c r="M2491" i="2"/>
  <c r="M2493" i="2"/>
  <c r="M2498" i="2"/>
  <c r="M2502" i="2"/>
  <c r="M2503" i="2"/>
  <c r="M2505" i="2"/>
  <c r="M2506" i="2"/>
  <c r="M2507" i="2"/>
  <c r="M2508" i="2"/>
  <c r="M2513" i="2"/>
  <c r="M2514" i="2"/>
  <c r="M2520" i="2"/>
  <c r="M2524" i="2"/>
  <c r="M2526" i="2"/>
  <c r="M2528" i="2"/>
  <c r="M2531" i="2"/>
  <c r="M2533" i="2"/>
  <c r="M2534" i="2"/>
  <c r="M2537" i="2"/>
  <c r="M2539" i="2"/>
  <c r="M2540" i="2"/>
  <c r="M2541" i="2"/>
  <c r="M2545" i="2"/>
  <c r="M2547" i="2"/>
  <c r="M2549" i="2"/>
  <c r="M2551" i="2"/>
  <c r="M2554" i="2"/>
  <c r="M2555" i="2"/>
  <c r="M2557" i="2"/>
  <c r="M2560" i="2"/>
  <c r="M2563" i="2"/>
  <c r="M2564" i="2"/>
  <c r="M2566" i="2"/>
  <c r="M2567" i="2"/>
  <c r="M2571" i="2"/>
  <c r="M2572" i="2"/>
  <c r="M2573" i="2"/>
  <c r="M2580" i="2"/>
  <c r="M2581" i="2"/>
  <c r="M2582" i="2"/>
  <c r="M2584" i="2"/>
  <c r="M2585" i="2"/>
  <c r="M2586" i="2"/>
  <c r="M2589" i="2"/>
  <c r="M2591" i="2"/>
  <c r="M2594" i="2"/>
  <c r="M2598" i="2"/>
  <c r="M2600" i="2"/>
  <c r="M2602" i="2"/>
  <c r="M2607" i="2"/>
  <c r="M2610" i="2"/>
  <c r="M2611" i="2"/>
  <c r="M2613" i="2"/>
  <c r="M2617" i="2"/>
  <c r="M2619" i="2"/>
  <c r="M2620" i="2"/>
  <c r="M2623" i="2"/>
  <c r="M2627" i="2"/>
  <c r="M2631" i="2"/>
  <c r="M2633" i="2"/>
  <c r="M2634" i="2"/>
  <c r="M2635" i="2"/>
  <c r="M2637" i="2"/>
  <c r="M2638" i="2"/>
  <c r="M2640" i="2"/>
  <c r="M2643" i="2"/>
  <c r="M2645" i="2"/>
  <c r="M2646" i="2"/>
  <c r="M2648" i="2"/>
  <c r="M2649" i="2"/>
  <c r="M2651" i="2"/>
  <c r="M2652" i="2"/>
  <c r="M2659" i="2"/>
  <c r="M2660" i="2"/>
  <c r="M2663" i="2"/>
  <c r="M2664" i="2"/>
  <c r="M2666" i="2"/>
  <c r="M2667" i="2"/>
  <c r="M2671" i="2"/>
  <c r="M2672" i="2"/>
  <c r="M2675" i="2"/>
  <c r="M2677" i="2"/>
  <c r="M2681" i="2"/>
  <c r="M2682" i="2"/>
  <c r="M2684" i="2"/>
  <c r="M2686" i="2"/>
  <c r="M2689" i="2"/>
  <c r="M2691" i="2"/>
  <c r="M2692" i="2"/>
  <c r="M2693" i="2"/>
  <c r="M2694" i="2"/>
  <c r="M2701" i="2"/>
  <c r="M2703" i="2"/>
  <c r="M2706" i="2"/>
  <c r="M2707" i="2"/>
  <c r="M2712" i="2"/>
  <c r="M2713" i="2"/>
  <c r="M2715" i="2"/>
  <c r="M2716" i="2"/>
  <c r="M2719" i="2"/>
  <c r="M2720" i="2"/>
  <c r="M2722" i="2"/>
  <c r="M2724" i="2"/>
  <c r="M2726" i="2"/>
  <c r="M2727" i="2"/>
  <c r="M2728" i="2"/>
  <c r="M2734" i="2"/>
  <c r="M2736" i="2"/>
  <c r="M2737" i="2"/>
  <c r="M2738" i="2"/>
  <c r="M2744" i="2"/>
  <c r="M2746" i="2"/>
  <c r="M2751" i="2"/>
  <c r="M2755" i="2"/>
  <c r="M2756" i="2"/>
  <c r="M2761" i="2"/>
  <c r="M2765" i="2"/>
  <c r="M2766" i="2"/>
  <c r="M2767" i="2"/>
  <c r="M2769" i="2"/>
  <c r="M2773" i="2"/>
  <c r="M2774" i="2"/>
  <c r="M2776" i="2"/>
  <c r="M2777" i="2"/>
  <c r="M2783" i="2"/>
  <c r="M2784" i="2"/>
  <c r="M2785" i="2"/>
  <c r="M2786" i="2"/>
  <c r="M2787" i="2"/>
  <c r="M2788" i="2"/>
  <c r="M2792" i="2"/>
  <c r="M2793" i="2"/>
  <c r="M2795" i="2"/>
  <c r="M2798" i="2"/>
  <c r="M2799" i="2"/>
  <c r="M2800" i="2"/>
  <c r="M2803" i="2"/>
  <c r="M2804" i="2"/>
  <c r="M2806" i="2"/>
  <c r="M2809" i="2"/>
  <c r="M2810" i="2"/>
  <c r="M2813" i="2"/>
  <c r="M2814" i="2"/>
  <c r="M2817" i="2"/>
  <c r="M2819" i="2"/>
  <c r="M2821" i="2"/>
  <c r="M2824" i="2"/>
  <c r="M2827" i="2"/>
  <c r="M2828" i="2"/>
  <c r="M2829" i="2"/>
  <c r="M2830" i="2"/>
  <c r="M2836" i="2"/>
  <c r="M2837" i="2"/>
  <c r="M2841" i="2"/>
  <c r="M2842" i="2"/>
  <c r="M2844" i="2"/>
  <c r="M2846" i="2"/>
  <c r="M2848" i="2"/>
  <c r="M2854" i="2"/>
  <c r="M2856" i="2"/>
  <c r="M2860" i="2"/>
  <c r="M2861" i="2"/>
  <c r="M2862" i="2"/>
  <c r="M2864" i="2"/>
  <c r="M2869" i="2"/>
  <c r="M2870" i="2"/>
  <c r="M2871" i="2"/>
  <c r="M2872" i="2"/>
  <c r="M2873" i="2"/>
  <c r="M2874" i="2"/>
  <c r="M2875" i="2"/>
  <c r="M2877" i="2"/>
  <c r="M2878" i="2"/>
  <c r="M2879" i="2"/>
  <c r="M2885" i="2"/>
  <c r="M2887" i="2"/>
  <c r="M2889" i="2"/>
  <c r="M2892" i="2"/>
  <c r="M2894" i="2"/>
  <c r="M2899" i="2"/>
  <c r="M2901" i="2"/>
  <c r="M2902" i="2"/>
  <c r="M2903" i="2"/>
  <c r="M2904" i="2"/>
  <c r="M2905" i="2"/>
  <c r="M2907" i="2"/>
  <c r="M2912" i="2"/>
  <c r="M2915" i="2"/>
  <c r="M2916" i="2"/>
  <c r="M2919" i="2"/>
  <c r="M2922" i="2"/>
  <c r="M2923" i="2"/>
  <c r="M2925" i="2"/>
  <c r="M2926" i="2"/>
  <c r="M2928" i="2"/>
  <c r="M2929" i="2"/>
  <c r="M2931" i="2"/>
  <c r="M2933" i="2"/>
  <c r="M2935" i="2"/>
  <c r="M2937" i="2"/>
  <c r="M2938" i="2"/>
  <c r="M2941" i="2"/>
  <c r="M2945" i="2"/>
  <c r="M2949" i="2"/>
  <c r="M2952" i="2"/>
  <c r="M2954" i="2"/>
  <c r="M2955" i="2"/>
  <c r="M2956" i="2"/>
  <c r="M2958" i="2"/>
  <c r="M2959" i="2"/>
  <c r="M2961" i="2"/>
  <c r="M2962" i="2"/>
  <c r="M2963" i="2"/>
  <c r="M2967" i="2"/>
  <c r="M2968" i="2"/>
  <c r="M2970" i="2"/>
  <c r="M2972" i="2"/>
  <c r="M2974" i="2"/>
  <c r="M2978" i="2"/>
  <c r="M2980" i="2"/>
  <c r="M2981" i="2"/>
  <c r="M2983" i="2"/>
  <c r="M2985" i="2"/>
  <c r="M2986" i="2"/>
  <c r="M2988" i="2"/>
  <c r="M2989" i="2"/>
  <c r="M2990" i="2"/>
  <c r="M2992" i="2"/>
  <c r="M2997" i="2"/>
  <c r="M3001" i="2"/>
  <c r="M3003" i="2"/>
  <c r="M3005" i="2"/>
  <c r="M3007" i="2"/>
  <c r="M3010" i="2"/>
  <c r="M3011" i="2"/>
  <c r="M3012" i="2"/>
  <c r="M3014" i="2"/>
  <c r="M3016" i="2"/>
  <c r="M3018" i="2"/>
  <c r="M3019" i="2"/>
  <c r="M3021" i="2"/>
  <c r="M3023" i="2"/>
  <c r="M3025" i="2"/>
  <c r="M3027" i="2"/>
  <c r="M3028" i="2"/>
  <c r="M3029" i="2"/>
  <c r="M3030" i="2"/>
  <c r="M3032" i="2"/>
  <c r="M3033" i="2"/>
  <c r="M3035" i="2"/>
  <c r="M3036" i="2"/>
  <c r="M3037" i="2"/>
  <c r="M3039" i="2"/>
  <c r="M3040" i="2"/>
  <c r="M3041" i="2"/>
  <c r="M3044" i="2"/>
  <c r="M3047" i="2"/>
  <c r="M3048" i="2"/>
  <c r="M3049" i="2"/>
  <c r="M3051" i="2"/>
  <c r="M3052" i="2"/>
  <c r="M3055" i="2"/>
  <c r="M3056" i="2"/>
  <c r="M3057" i="2"/>
  <c r="M3058" i="2"/>
  <c r="M3059" i="2"/>
  <c r="M3061" i="2"/>
  <c r="M3064" i="2"/>
  <c r="M3065" i="2"/>
  <c r="M3071" i="2"/>
  <c r="M3073" i="2"/>
  <c r="M3074" i="2"/>
  <c r="M3076" i="2"/>
  <c r="M3077" i="2"/>
  <c r="M3078" i="2"/>
  <c r="M3079" i="2"/>
  <c r="M3080" i="2"/>
  <c r="M3082" i="2"/>
  <c r="M3083" i="2"/>
  <c r="M3086" i="2"/>
  <c r="M3087" i="2"/>
  <c r="M3088" i="2"/>
  <c r="M3089" i="2"/>
  <c r="M3092" i="2"/>
  <c r="M3095" i="2"/>
  <c r="M3098" i="2"/>
  <c r="M3101" i="2"/>
  <c r="M3102" i="2"/>
  <c r="M3103" i="2"/>
  <c r="M3106" i="2"/>
  <c r="M3108" i="2"/>
  <c r="M3110" i="2"/>
  <c r="M3118" i="2"/>
  <c r="M3120" i="2"/>
  <c r="M3122" i="2"/>
  <c r="M3125" i="2"/>
  <c r="M3127" i="2"/>
  <c r="M3128" i="2"/>
  <c r="M3129" i="2"/>
  <c r="M3130" i="2"/>
  <c r="M3132" i="2"/>
  <c r="M3136" i="2"/>
  <c r="M3137" i="2"/>
  <c r="M3138" i="2"/>
  <c r="M3140" i="2"/>
  <c r="M3141" i="2"/>
  <c r="M3145" i="2"/>
  <c r="M3146" i="2"/>
  <c r="M3149" i="2"/>
  <c r="M3151" i="2"/>
  <c r="M3152" i="2"/>
  <c r="M3155" i="2"/>
  <c r="M3157" i="2"/>
  <c r="M3158" i="2"/>
  <c r="M3163" i="2"/>
  <c r="M3166" i="2"/>
  <c r="M3169" i="2"/>
  <c r="M3171" i="2"/>
  <c r="M3172" i="2"/>
  <c r="M3173" i="2"/>
  <c r="M3175" i="2"/>
  <c r="M3176" i="2"/>
  <c r="M3177" i="2"/>
  <c r="M3184" i="2"/>
  <c r="M3185" i="2"/>
  <c r="M3189" i="2"/>
  <c r="M3193" i="2"/>
  <c r="M3197" i="2"/>
  <c r="M3198" i="2"/>
  <c r="M3199" i="2"/>
  <c r="M3201" i="2"/>
  <c r="M3203" i="2"/>
  <c r="M3204" i="2"/>
  <c r="M3206" i="2"/>
  <c r="M3208" i="2"/>
  <c r="M3210" i="2"/>
  <c r="M3211" i="2"/>
  <c r="M3212" i="2"/>
  <c r="M3214" i="2"/>
  <c r="M3217" i="2"/>
  <c r="M3219" i="2"/>
  <c r="M3221" i="2"/>
  <c r="M3222" i="2"/>
  <c r="M3223" i="2"/>
  <c r="M3225" i="2"/>
  <c r="M3229" i="2"/>
  <c r="M3230" i="2"/>
  <c r="M3233" i="2"/>
  <c r="M3236" i="2"/>
  <c r="M3239" i="2"/>
  <c r="M3242" i="2"/>
  <c r="M3244" i="2"/>
  <c r="M3246" i="2"/>
  <c r="M3247" i="2"/>
  <c r="M3251" i="2"/>
  <c r="M3252" i="2"/>
  <c r="M3253" i="2"/>
  <c r="M3255" i="2"/>
  <c r="M3258" i="2"/>
  <c r="M3260" i="2"/>
  <c r="M3263" i="2"/>
  <c r="M3264" i="2"/>
  <c r="M3266" i="2"/>
  <c r="M3269" i="2"/>
  <c r="M3273" i="2"/>
  <c r="M3274" i="2"/>
  <c r="M3278" i="2"/>
  <c r="M3279" i="2"/>
  <c r="M3280" i="2"/>
  <c r="M3282" i="2"/>
  <c r="M3283" i="2"/>
  <c r="M3285" i="2"/>
  <c r="M3287" i="2"/>
  <c r="M3289" i="2"/>
  <c r="M3290" i="2"/>
  <c r="M3292" i="2"/>
  <c r="M3293" i="2"/>
  <c r="M3295" i="2"/>
  <c r="M3296" i="2"/>
  <c r="M3298" i="2"/>
  <c r="M3302" i="2"/>
  <c r="M3305" i="2"/>
  <c r="M3308" i="2"/>
  <c r="M3310" i="2"/>
  <c r="M3311" i="2"/>
  <c r="M3312" i="2"/>
  <c r="M3316" i="2"/>
  <c r="M3317" i="2"/>
  <c r="M3321" i="2"/>
  <c r="M3324" i="2"/>
  <c r="M3325" i="2"/>
  <c r="M3327" i="2"/>
  <c r="M3331" i="2"/>
  <c r="M3335" i="2"/>
  <c r="M3338" i="2"/>
  <c r="M3339" i="2"/>
  <c r="M3341" i="2"/>
  <c r="M3342" i="2"/>
  <c r="M3346" i="2"/>
  <c r="M3347" i="2"/>
  <c r="M3354" i="2"/>
  <c r="M3356" i="2"/>
  <c r="M3360" i="2"/>
  <c r="M3361" i="2"/>
  <c r="M3365" i="2"/>
  <c r="M3367" i="2"/>
  <c r="M3368" i="2"/>
  <c r="M3372" i="2"/>
  <c r="M3373" i="2"/>
  <c r="M3375" i="2"/>
  <c r="M3376" i="2"/>
  <c r="M3380" i="2"/>
  <c r="M3382" i="2"/>
  <c r="M3385" i="2"/>
  <c r="M3388" i="2"/>
  <c r="M3390" i="2"/>
  <c r="M3392" i="2"/>
  <c r="M3393" i="2"/>
  <c r="M3394" i="2"/>
  <c r="M3397" i="2"/>
  <c r="M3398" i="2"/>
  <c r="M3399" i="2"/>
  <c r="M3402" i="2"/>
  <c r="M3405" i="2"/>
  <c r="M3407" i="2"/>
  <c r="M3408" i="2"/>
  <c r="M3409" i="2"/>
  <c r="M3412" i="2"/>
  <c r="M3413" i="2"/>
  <c r="M3414" i="2"/>
  <c r="M3415" i="2"/>
  <c r="M3417" i="2"/>
  <c r="M3418" i="2"/>
  <c r="M3420" i="2"/>
  <c r="M3421" i="2"/>
  <c r="M3423" i="2"/>
  <c r="M3425" i="2"/>
  <c r="M3427" i="2"/>
  <c r="M3430" i="2"/>
  <c r="M3431" i="2"/>
  <c r="M3435" i="2"/>
  <c r="M3445" i="2"/>
  <c r="M3448" i="2"/>
  <c r="M3451" i="2"/>
  <c r="M3452" i="2"/>
  <c r="M3453" i="2"/>
  <c r="M3455" i="2"/>
  <c r="M3456" i="2"/>
  <c r="M3457" i="2"/>
  <c r="M3458" i="2"/>
  <c r="M3459" i="2"/>
  <c r="M3462" i="2"/>
  <c r="M3463" i="2"/>
  <c r="M3464" i="2"/>
  <c r="M3469" i="2"/>
  <c r="M3471" i="2"/>
  <c r="M3473" i="2"/>
  <c r="M3475" i="2"/>
  <c r="M3476" i="2"/>
  <c r="M3479" i="2"/>
  <c r="M3480" i="2"/>
  <c r="M3484" i="2"/>
  <c r="M3485" i="2"/>
  <c r="M3487" i="2"/>
  <c r="M3489" i="2"/>
  <c r="M3491" i="2"/>
  <c r="M3492" i="2"/>
  <c r="M3493" i="2"/>
  <c r="M3495" i="2"/>
  <c r="M3498" i="2"/>
  <c r="M3499" i="2"/>
  <c r="M3505" i="2"/>
  <c r="M3506" i="2"/>
  <c r="M3510" i="2"/>
  <c r="M3514" i="2"/>
  <c r="M3516" i="2"/>
  <c r="M3518" i="2"/>
  <c r="M3520" i="2"/>
  <c r="M3522" i="2"/>
  <c r="M3523" i="2"/>
  <c r="M3524" i="2"/>
  <c r="M3528" i="2"/>
  <c r="M3530" i="2"/>
  <c r="M3532" i="2"/>
  <c r="M3534" i="2"/>
  <c r="M3541" i="2"/>
  <c r="M3542" i="2"/>
  <c r="M3544" i="2"/>
  <c r="M3546" i="2"/>
  <c r="M3548" i="2"/>
  <c r="M3550" i="2"/>
  <c r="M3551" i="2"/>
  <c r="M3552" i="2"/>
  <c r="M3553" i="2"/>
  <c r="M3555" i="2"/>
  <c r="M3557" i="2"/>
  <c r="M3558" i="2"/>
  <c r="M3562" i="2"/>
  <c r="M3564" i="2"/>
  <c r="M3565" i="2"/>
  <c r="M3568" i="2"/>
  <c r="M3570" i="2"/>
  <c r="M3571" i="2"/>
  <c r="M3572" i="2"/>
  <c r="M3573" i="2"/>
  <c r="M3574" i="2"/>
  <c r="M3575" i="2"/>
  <c r="M3577" i="2"/>
  <c r="M3581" i="2"/>
  <c r="M3582" i="2"/>
  <c r="M3584" i="2"/>
  <c r="M3587" i="2"/>
  <c r="M3588" i="2"/>
  <c r="M3589" i="2"/>
  <c r="M3592" i="2"/>
  <c r="M3594" i="2"/>
  <c r="M3595" i="2"/>
  <c r="M3597" i="2"/>
  <c r="M3598" i="2"/>
  <c r="M3601" i="2"/>
  <c r="M3602" i="2"/>
  <c r="M3604" i="2"/>
  <c r="M3606" i="2"/>
  <c r="M3607" i="2"/>
  <c r="M3609" i="2"/>
  <c r="M3610" i="2"/>
  <c r="M3611" i="2"/>
  <c r="M3612" i="2"/>
  <c r="M3613" i="2"/>
  <c r="M3617" i="2"/>
  <c r="M3618" i="2"/>
  <c r="M3622" i="2"/>
  <c r="M3624" i="2"/>
  <c r="M3625" i="2"/>
  <c r="M3626" i="2"/>
  <c r="M3628" i="2"/>
  <c r="M3633" i="2"/>
  <c r="M3634" i="2"/>
  <c r="M3640" i="2"/>
  <c r="M3641" i="2"/>
  <c r="M3645" i="2"/>
  <c r="M3646" i="2"/>
  <c r="M3648" i="2"/>
  <c r="M3649" i="2"/>
  <c r="M3650" i="2"/>
  <c r="M3652" i="2"/>
  <c r="M3653" i="2"/>
  <c r="M3654" i="2"/>
  <c r="M3655" i="2"/>
  <c r="Q10" i="2" l="1"/>
  <c r="O10" i="2"/>
  <c r="K3658" i="2"/>
  <c r="B3660" i="2"/>
  <c r="J3659" i="2" s="1"/>
  <c r="M3659" i="2"/>
  <c r="J29" i="7"/>
  <c r="P110" i="7"/>
  <c r="P106" i="7"/>
  <c r="P89" i="7"/>
  <c r="P63" i="7"/>
  <c r="P92" i="7"/>
  <c r="P54" i="7"/>
  <c r="P23" i="7"/>
  <c r="P18" i="7"/>
  <c r="P76" i="7"/>
  <c r="P64" i="7"/>
  <c r="P101" i="7"/>
  <c r="P84" i="7"/>
  <c r="P68" i="7"/>
  <c r="P50" i="7"/>
  <c r="P49" i="7"/>
  <c r="P48" i="7"/>
  <c r="P40" i="7"/>
  <c r="P29" i="7"/>
  <c r="P20" i="7"/>
  <c r="P113" i="7"/>
  <c r="P78" i="7"/>
  <c r="P75" i="7"/>
  <c r="P73" i="7"/>
  <c r="P58" i="7"/>
  <c r="P26" i="7"/>
  <c r="P24" i="7"/>
  <c r="P86" i="7"/>
  <c r="P59" i="7"/>
  <c r="P21" i="7"/>
  <c r="P4" i="7"/>
  <c r="P33" i="7"/>
  <c r="P69" i="7"/>
  <c r="P87" i="7"/>
  <c r="P85" i="7"/>
  <c r="P109" i="7"/>
  <c r="P90" i="7"/>
  <c r="P80" i="7"/>
  <c r="P108" i="7"/>
  <c r="P102" i="7"/>
  <c r="P99" i="7"/>
  <c r="P95" i="7"/>
  <c r="P67" i="7"/>
  <c r="P61" i="7"/>
  <c r="P57" i="7"/>
  <c r="P56" i="7"/>
  <c r="P47" i="7"/>
  <c r="P6" i="7"/>
  <c r="P3" i="7"/>
  <c r="P105" i="7"/>
  <c r="P98" i="7"/>
  <c r="P52" i="7"/>
  <c r="P42" i="7"/>
  <c r="P38" i="7"/>
  <c r="P37" i="7"/>
  <c r="P31" i="7"/>
  <c r="P17" i="7"/>
  <c r="P72" i="7"/>
  <c r="P44" i="7"/>
  <c r="P14" i="7"/>
  <c r="P13" i="7"/>
  <c r="P74" i="7"/>
  <c r="P60" i="7"/>
  <c r="P41" i="7"/>
  <c r="P12" i="7"/>
  <c r="P28" i="7"/>
  <c r="P114" i="7"/>
  <c r="P97" i="7"/>
  <c r="P65" i="7"/>
  <c r="P120" i="7"/>
  <c r="P91" i="7"/>
  <c r="P122" i="7"/>
  <c r="P104" i="7"/>
  <c r="P121" i="7"/>
  <c r="P119" i="7"/>
  <c r="P107" i="7"/>
  <c r="P94" i="7"/>
  <c r="P71" i="7"/>
  <c r="P70" i="7"/>
  <c r="P55" i="7"/>
  <c r="P51" i="7"/>
  <c r="P45" i="7"/>
  <c r="P15" i="7"/>
  <c r="P10" i="7"/>
  <c r="P34" i="7"/>
  <c r="P32" i="7"/>
  <c r="P22" i="7"/>
  <c r="P8" i="7"/>
  <c r="P118" i="7"/>
  <c r="P83" i="7"/>
  <c r="P79" i="7"/>
  <c r="P77" i="7"/>
  <c r="P35" i="7"/>
  <c r="P36" i="7"/>
  <c r="P112" i="7"/>
  <c r="P25" i="7"/>
  <c r="P117" i="7"/>
  <c r="P11" i="7"/>
  <c r="P27" i="7"/>
  <c r="P30" i="7"/>
  <c r="P16" i="7"/>
  <c r="P7" i="7"/>
  <c r="P111" i="7"/>
  <c r="P96" i="7"/>
  <c r="P93" i="7"/>
  <c r="P81" i="7"/>
  <c r="P66" i="7"/>
  <c r="P62" i="7"/>
  <c r="P53" i="7"/>
  <c r="P43" i="7"/>
  <c r="P19" i="7"/>
  <c r="P9" i="7"/>
  <c r="P5" i="7"/>
  <c r="P116" i="7"/>
  <c r="P115" i="7"/>
  <c r="P103" i="7"/>
  <c r="P100" i="7"/>
  <c r="P88" i="7"/>
  <c r="P39" i="7"/>
  <c r="P46" i="7"/>
  <c r="P82" i="7"/>
  <c r="U18" i="7"/>
  <c r="U20" i="7"/>
  <c r="U21" i="7" s="1"/>
  <c r="H9" i="7"/>
  <c r="H12" i="7"/>
  <c r="H11" i="7"/>
  <c r="H10" i="7"/>
  <c r="H8" i="7"/>
  <c r="H7" i="7"/>
  <c r="H6" i="7"/>
  <c r="H5" i="7"/>
  <c r="H4" i="7"/>
  <c r="H3" i="7"/>
  <c r="K3659" i="2" l="1"/>
  <c r="B3661" i="2"/>
  <c r="J3660" i="2" s="1"/>
  <c r="M3660" i="2"/>
  <c r="L15" i="7"/>
  <c r="K15" i="7"/>
  <c r="R5" i="7"/>
  <c r="R11" i="7"/>
  <c r="R12" i="7"/>
  <c r="R13" i="7"/>
  <c r="R9" i="7"/>
  <c r="R8" i="7"/>
  <c r="R10" i="7"/>
  <c r="R14" i="7"/>
  <c r="R6" i="7"/>
  <c r="R4" i="7"/>
  <c r="R7" i="7"/>
  <c r="R3" i="7"/>
  <c r="Q11" i="7"/>
  <c r="D11" i="7" s="1"/>
  <c r="Q5" i="7"/>
  <c r="D5" i="7" s="1"/>
  <c r="Q12" i="7"/>
  <c r="D12" i="7" s="1"/>
  <c r="Q13" i="7"/>
  <c r="D13" i="7" s="1"/>
  <c r="Q9" i="7"/>
  <c r="D9" i="7" s="1"/>
  <c r="Q8" i="7"/>
  <c r="D8" i="7" s="1"/>
  <c r="Q10" i="7"/>
  <c r="D10" i="7" s="1"/>
  <c r="Q14" i="7"/>
  <c r="D14" i="7" s="1"/>
  <c r="Q6" i="7"/>
  <c r="D6" i="7" s="1"/>
  <c r="Q4" i="7"/>
  <c r="D4" i="7" s="1"/>
  <c r="Q7" i="7"/>
  <c r="D7" i="7" s="1"/>
  <c r="Q3" i="7"/>
  <c r="D3" i="7" s="1"/>
  <c r="U22" i="7"/>
  <c r="U23" i="7" s="1"/>
  <c r="H13" i="7"/>
  <c r="K3660" i="2" l="1"/>
  <c r="B3662" i="2"/>
  <c r="J3661" i="2" s="1"/>
  <c r="M3661" i="2"/>
  <c r="D30" i="7"/>
  <c r="U24" i="7"/>
  <c r="U25" i="7" s="1"/>
  <c r="K3661" i="2" l="1"/>
  <c r="B3663" i="2"/>
  <c r="J3662" i="2" s="1"/>
  <c r="M3662" i="2"/>
  <c r="U26" i="7"/>
  <c r="U27" i="7" s="1"/>
  <c r="K3662" i="2" l="1"/>
  <c r="B3664" i="2"/>
  <c r="J3663" i="2" s="1"/>
  <c r="M3663" i="2"/>
  <c r="U28" i="7"/>
  <c r="U29" i="7" s="1"/>
  <c r="K3663" i="2" l="1"/>
  <c r="B3665" i="2"/>
  <c r="J3664" i="2" s="1"/>
  <c r="M3664" i="2"/>
  <c r="U30" i="7"/>
  <c r="U31" i="7" s="1"/>
  <c r="K3664" i="2" l="1"/>
  <c r="B3666" i="2"/>
  <c r="K3665" i="2" s="1"/>
  <c r="M3665" i="2"/>
  <c r="U32" i="7"/>
  <c r="U33" i="7" s="1"/>
  <c r="J3665" i="2" l="1"/>
  <c r="B3667" i="2"/>
  <c r="J3666" i="2" s="1"/>
  <c r="M3666" i="2"/>
  <c r="U34" i="7"/>
  <c r="U35" i="7" s="1"/>
  <c r="U36" i="7" s="1"/>
  <c r="U37" i="7" s="1"/>
  <c r="K3666" i="2" l="1"/>
  <c r="B3668" i="2"/>
  <c r="J3667" i="2" s="1"/>
  <c r="M3667" i="2"/>
  <c r="U38" i="7"/>
  <c r="U39" i="7" s="1"/>
  <c r="U40" i="7" s="1"/>
  <c r="U41" i="7" s="1"/>
  <c r="U42" i="7" s="1"/>
  <c r="U43" i="7" s="1"/>
  <c r="U44" i="7" s="1"/>
  <c r="U45" i="7" s="1"/>
  <c r="U46" i="7" s="1"/>
  <c r="U47" i="7" s="1"/>
  <c r="U17" i="7" s="1"/>
  <c r="K3667" i="2" l="1"/>
  <c r="B3669" i="2"/>
  <c r="J3668" i="2" s="1"/>
  <c r="M3668" i="2"/>
  <c r="K3668" i="2" l="1"/>
  <c r="B3670" i="2"/>
  <c r="J3669" i="2" s="1"/>
  <c r="M3669" i="2"/>
  <c r="K3669" i="2" l="1"/>
  <c r="B3671" i="2"/>
  <c r="J3670" i="2" s="1"/>
  <c r="M3670" i="2"/>
  <c r="K3670" i="2" l="1"/>
  <c r="B3672" i="2"/>
  <c r="J3671" i="2" s="1"/>
  <c r="M3671" i="2"/>
  <c r="K3671" i="2" l="1"/>
  <c r="B3673" i="2"/>
  <c r="J3672" i="2" s="1"/>
  <c r="M3672" i="2"/>
  <c r="K3672" i="2" l="1"/>
  <c r="B3674" i="2"/>
  <c r="J3673" i="2" s="1"/>
  <c r="M3673" i="2"/>
  <c r="K3673" i="2" l="1"/>
  <c r="B3675" i="2"/>
  <c r="J3674" i="2" s="1"/>
  <c r="M3674" i="2"/>
  <c r="K3674" i="2" l="1"/>
  <c r="B3676" i="2"/>
  <c r="J3675" i="2" s="1"/>
  <c r="M3675" i="2"/>
  <c r="K3675" i="2" l="1"/>
  <c r="B3677" i="2"/>
  <c r="J3676" i="2" s="1"/>
  <c r="M3676" i="2"/>
  <c r="K3676" i="2" l="1"/>
  <c r="B3678" i="2"/>
  <c r="J3677" i="2" s="1"/>
  <c r="M3677" i="2"/>
  <c r="K3677" i="2" l="1"/>
  <c r="B3679" i="2"/>
  <c r="J3678" i="2" s="1"/>
  <c r="M3678" i="2"/>
  <c r="K3678" i="2" l="1"/>
  <c r="B3680" i="2"/>
  <c r="J3679" i="2" s="1"/>
  <c r="M3679" i="2"/>
  <c r="K3679" i="2" l="1"/>
  <c r="B3681" i="2"/>
  <c r="J3680" i="2" s="1"/>
  <c r="M3680" i="2"/>
  <c r="K3680" i="2" l="1"/>
  <c r="B3682" i="2"/>
  <c r="J3681" i="2" s="1"/>
  <c r="M3681" i="2"/>
  <c r="K3681" i="2" l="1"/>
  <c r="B3683" i="2"/>
  <c r="J3682" i="2" s="1"/>
  <c r="M3682" i="2"/>
  <c r="K3682" i="2" l="1"/>
  <c r="B3684" i="2"/>
  <c r="J3683" i="2" s="1"/>
  <c r="M3683" i="2"/>
  <c r="K3683" i="2" l="1"/>
  <c r="B3685" i="2"/>
  <c r="J3684" i="2" s="1"/>
  <c r="M3684" i="2"/>
  <c r="K3684" i="2" l="1"/>
  <c r="B3686" i="2"/>
  <c r="J3685" i="2" s="1"/>
  <c r="M3685" i="2"/>
  <c r="K3685" i="2" l="1"/>
  <c r="B3687" i="2"/>
  <c r="J3686" i="2" s="1"/>
  <c r="M3686" i="2"/>
  <c r="K3686" i="2" l="1"/>
  <c r="B3688" i="2"/>
  <c r="J3687" i="2" s="1"/>
  <c r="M3687" i="2"/>
  <c r="K3687" i="2" l="1"/>
  <c r="B3689" i="2"/>
  <c r="J3688" i="2" s="1"/>
  <c r="M3688" i="2"/>
  <c r="K3688" i="2" l="1"/>
  <c r="B3690" i="2"/>
  <c r="J3689" i="2" s="1"/>
  <c r="M3689" i="2"/>
  <c r="K3689" i="2" l="1"/>
  <c r="B3691" i="2"/>
  <c r="J3690" i="2" s="1"/>
  <c r="M3690" i="2"/>
  <c r="K3690" i="2" l="1"/>
  <c r="B3692" i="2"/>
  <c r="J3691" i="2" s="1"/>
  <c r="M3691" i="2"/>
  <c r="K3691" i="2" l="1"/>
  <c r="B3693" i="2"/>
  <c r="J3692" i="2" s="1"/>
  <c r="M3692" i="2"/>
  <c r="K3692" i="2" l="1"/>
  <c r="B3694" i="2"/>
  <c r="J3693" i="2" s="1"/>
  <c r="M3693" i="2"/>
  <c r="K3693" i="2" l="1"/>
  <c r="B3695" i="2"/>
  <c r="J3694" i="2" s="1"/>
  <c r="M3694" i="2"/>
  <c r="K3694" i="2" l="1"/>
  <c r="B3696" i="2"/>
  <c r="J3695" i="2" s="1"/>
  <c r="M3695" i="2"/>
  <c r="K3695" i="2" l="1"/>
  <c r="B3697" i="2"/>
  <c r="J3696" i="2" s="1"/>
  <c r="M3696" i="2"/>
  <c r="K3696" i="2" l="1"/>
  <c r="B3698" i="2"/>
  <c r="J3697" i="2" s="1"/>
  <c r="M3697" i="2"/>
  <c r="K3697" i="2" l="1"/>
  <c r="B3699" i="2"/>
  <c r="J3698" i="2" s="1"/>
  <c r="M3698" i="2"/>
  <c r="K3698" i="2" l="1"/>
  <c r="B3700" i="2"/>
  <c r="J3699" i="2" s="1"/>
  <c r="M3699" i="2"/>
  <c r="K3699" i="2" l="1"/>
  <c r="B3701" i="2"/>
  <c r="J3700" i="2" s="1"/>
  <c r="M3700" i="2"/>
  <c r="K3700" i="2" l="1"/>
  <c r="B3702" i="2"/>
  <c r="J3701" i="2" s="1"/>
  <c r="M3701" i="2"/>
  <c r="K3701" i="2" l="1"/>
  <c r="B3703" i="2"/>
  <c r="J3702" i="2" s="1"/>
  <c r="M3702" i="2"/>
  <c r="K3702" i="2" l="1"/>
  <c r="B3704" i="2"/>
  <c r="J3703" i="2" s="1"/>
  <c r="M3703" i="2"/>
  <c r="K3703" i="2" l="1"/>
  <c r="B3705" i="2"/>
  <c r="J3704" i="2" s="1"/>
  <c r="M3704" i="2"/>
  <c r="K3704" i="2" l="1"/>
  <c r="B3706" i="2"/>
  <c r="J3705" i="2" s="1"/>
  <c r="M3705" i="2"/>
  <c r="K3705" i="2" l="1"/>
  <c r="B3707" i="2"/>
  <c r="J3706" i="2" s="1"/>
  <c r="M3706" i="2"/>
  <c r="K3706" i="2" l="1"/>
  <c r="B3708" i="2"/>
  <c r="J3707" i="2" s="1"/>
  <c r="M3707" i="2"/>
  <c r="K3707" i="2" l="1"/>
  <c r="B3709" i="2"/>
  <c r="J3708" i="2" s="1"/>
  <c r="M3708" i="2"/>
  <c r="K3708" i="2" l="1"/>
  <c r="B3710" i="2"/>
  <c r="J3709" i="2" s="1"/>
  <c r="M3709" i="2"/>
  <c r="K3709" i="2" l="1"/>
  <c r="B3711" i="2"/>
  <c r="J3710" i="2" s="1"/>
  <c r="M3710" i="2"/>
  <c r="K3710" i="2" l="1"/>
  <c r="B3712" i="2"/>
  <c r="J3711" i="2" s="1"/>
  <c r="M3711" i="2"/>
  <c r="K3711" i="2" l="1"/>
  <c r="B3713" i="2"/>
  <c r="J3712" i="2" s="1"/>
  <c r="M3712" i="2"/>
  <c r="K3712" i="2" l="1"/>
  <c r="B3714" i="2"/>
  <c r="J3713" i="2" s="1"/>
  <c r="M3713" i="2"/>
  <c r="K3713" i="2" l="1"/>
  <c r="B3715" i="2"/>
  <c r="J3714" i="2" s="1"/>
  <c r="M3714" i="2"/>
  <c r="K3714" i="2" l="1"/>
  <c r="B3716" i="2"/>
  <c r="J3715" i="2" s="1"/>
  <c r="M3715" i="2"/>
  <c r="K3715" i="2" l="1"/>
  <c r="B3717" i="2"/>
  <c r="J3716" i="2" s="1"/>
  <c r="M3716" i="2"/>
  <c r="K3716" i="2" l="1"/>
  <c r="B3718" i="2"/>
  <c r="J3717" i="2" s="1"/>
  <c r="M3717" i="2"/>
  <c r="K3717" i="2" l="1"/>
  <c r="B3719" i="2"/>
  <c r="J3718" i="2" s="1"/>
  <c r="M3718" i="2"/>
  <c r="K3718" i="2" l="1"/>
  <c r="B3720" i="2"/>
  <c r="J3719" i="2" s="1"/>
  <c r="M3719" i="2"/>
  <c r="K3719" i="2" l="1"/>
  <c r="B3721" i="2"/>
  <c r="J3720" i="2" s="1"/>
  <c r="M3720" i="2"/>
  <c r="K3720" i="2" l="1"/>
  <c r="B3722" i="2"/>
  <c r="J3721" i="2" s="1"/>
  <c r="M3721" i="2"/>
  <c r="K3721" i="2" l="1"/>
  <c r="B3723" i="2"/>
  <c r="J3722" i="2" s="1"/>
  <c r="M3722" i="2"/>
  <c r="K3722" i="2" l="1"/>
  <c r="B3724" i="2"/>
  <c r="K3723" i="2" s="1"/>
  <c r="M3723" i="2"/>
  <c r="J3723" i="2" l="1"/>
  <c r="B3725" i="2"/>
  <c r="J3724" i="2" s="1"/>
  <c r="M3724" i="2"/>
  <c r="K3724" i="2" l="1"/>
  <c r="B3726" i="2"/>
  <c r="J3725" i="2" s="1"/>
  <c r="M3725" i="2"/>
  <c r="K3725" i="2" l="1"/>
  <c r="B3727" i="2"/>
  <c r="J3726" i="2" s="1"/>
  <c r="M3726" i="2"/>
  <c r="K3726" i="2" l="1"/>
  <c r="B3728" i="2"/>
  <c r="J3727" i="2" s="1"/>
  <c r="M3727" i="2"/>
  <c r="K3727" i="2" l="1"/>
  <c r="B3729" i="2"/>
  <c r="J3728" i="2" s="1"/>
  <c r="M3728" i="2"/>
  <c r="K3728" i="2" l="1"/>
  <c r="B3730" i="2"/>
  <c r="J3729" i="2" s="1"/>
  <c r="M3729" i="2"/>
  <c r="K3729" i="2" l="1"/>
  <c r="B3731" i="2"/>
  <c r="J3730" i="2" s="1"/>
  <c r="M3730" i="2"/>
  <c r="K3730" i="2" l="1"/>
  <c r="B3732" i="2"/>
  <c r="J3731" i="2" s="1"/>
  <c r="M3731" i="2"/>
  <c r="K3731" i="2" l="1"/>
  <c r="B3733" i="2"/>
  <c r="J3732" i="2" s="1"/>
  <c r="M3732" i="2"/>
  <c r="K3732" i="2" l="1"/>
  <c r="B3734" i="2"/>
  <c r="J3733" i="2" s="1"/>
  <c r="M3733" i="2"/>
  <c r="K3733" i="2" l="1"/>
  <c r="B3735" i="2"/>
  <c r="J3734" i="2" s="1"/>
  <c r="M3734" i="2"/>
  <c r="K3734" i="2" l="1"/>
  <c r="B3736" i="2"/>
  <c r="J3735" i="2" s="1"/>
  <c r="M3735" i="2"/>
  <c r="K3735" i="2" l="1"/>
  <c r="B3737" i="2"/>
  <c r="J3736" i="2" s="1"/>
  <c r="M3736" i="2"/>
  <c r="K3736" i="2" l="1"/>
  <c r="B3738" i="2"/>
  <c r="J3737" i="2" s="1"/>
  <c r="M3737" i="2"/>
  <c r="K3737" i="2" l="1"/>
  <c r="B3739" i="2"/>
  <c r="J3738" i="2" s="1"/>
  <c r="M3738" i="2"/>
  <c r="K3738" i="2" l="1"/>
  <c r="B3740" i="2"/>
  <c r="K3739" i="2" s="1"/>
  <c r="M3739" i="2"/>
  <c r="J3739" i="2" l="1"/>
  <c r="B3741" i="2"/>
  <c r="J3740" i="2" s="1"/>
  <c r="M3740" i="2"/>
  <c r="K3740" i="2" l="1"/>
  <c r="B3742" i="2"/>
  <c r="J3741" i="2" s="1"/>
  <c r="M3741" i="2"/>
  <c r="K3741" i="2" l="1"/>
  <c r="B3743" i="2"/>
  <c r="J3742" i="2" s="1"/>
  <c r="M3742" i="2"/>
  <c r="K3742" i="2" l="1"/>
  <c r="B3744" i="2"/>
  <c r="J3743" i="2" s="1"/>
  <c r="M3743" i="2"/>
  <c r="K3743" i="2" l="1"/>
  <c r="B3745" i="2"/>
  <c r="J3744" i="2" s="1"/>
  <c r="M3744" i="2"/>
  <c r="K3744" i="2" l="1"/>
  <c r="B3746" i="2"/>
  <c r="J3745" i="2" s="1"/>
  <c r="M3745" i="2"/>
  <c r="K3745" i="2" l="1"/>
  <c r="B3747" i="2"/>
  <c r="J3746" i="2" s="1"/>
  <c r="M3746" i="2"/>
  <c r="K3746" i="2" l="1"/>
  <c r="B3748" i="2"/>
  <c r="J3747" i="2" s="1"/>
  <c r="M3747" i="2"/>
  <c r="K3747" i="2" l="1"/>
  <c r="B3749" i="2"/>
  <c r="J3748" i="2" s="1"/>
  <c r="M3748" i="2"/>
  <c r="K3748" i="2" l="1"/>
  <c r="B3750" i="2"/>
  <c r="J3749" i="2" s="1"/>
  <c r="M3749" i="2"/>
  <c r="K3749" i="2" l="1"/>
  <c r="B3751" i="2"/>
  <c r="J3750" i="2" s="1"/>
  <c r="M3750" i="2"/>
  <c r="K3750" i="2" l="1"/>
  <c r="B3752" i="2"/>
  <c r="J3751" i="2" s="1"/>
  <c r="M3751" i="2"/>
  <c r="K3751" i="2" l="1"/>
  <c r="B3753" i="2"/>
  <c r="J3752" i="2" s="1"/>
  <c r="M3752" i="2"/>
  <c r="K3752" i="2" l="1"/>
  <c r="B3754" i="2"/>
  <c r="J3753" i="2" s="1"/>
  <c r="M3753" i="2"/>
  <c r="K3753" i="2" l="1"/>
  <c r="B3755" i="2"/>
  <c r="J3754" i="2" s="1"/>
  <c r="M3754" i="2"/>
  <c r="K3754" i="2" l="1"/>
  <c r="B3756" i="2"/>
  <c r="J3755" i="2" s="1"/>
  <c r="M3755" i="2"/>
  <c r="K3755" i="2" l="1"/>
  <c r="B3757" i="2"/>
  <c r="J3756" i="2" s="1"/>
  <c r="M3756" i="2"/>
  <c r="K3756" i="2" l="1"/>
  <c r="B3758" i="2"/>
  <c r="J3757" i="2" s="1"/>
  <c r="M3757" i="2"/>
  <c r="K3757" i="2" l="1"/>
  <c r="B3759" i="2"/>
  <c r="J3758" i="2" s="1"/>
  <c r="M3758" i="2"/>
  <c r="K3758" i="2" l="1"/>
  <c r="B3760" i="2"/>
  <c r="J3759" i="2" s="1"/>
  <c r="M3759" i="2"/>
  <c r="K3759" i="2" l="1"/>
  <c r="B3761" i="2"/>
  <c r="J3760" i="2" s="1"/>
  <c r="M3760" i="2"/>
  <c r="K3760" i="2" l="1"/>
  <c r="B3762" i="2"/>
  <c r="J3761" i="2" s="1"/>
  <c r="M3761" i="2"/>
  <c r="K3761" i="2" l="1"/>
  <c r="B3763" i="2"/>
  <c r="J3762" i="2" s="1"/>
  <c r="M3762" i="2"/>
  <c r="K3762" i="2" l="1"/>
  <c r="B3764" i="2"/>
  <c r="J3763" i="2" s="1"/>
  <c r="M3763" i="2"/>
  <c r="K3763" i="2" l="1"/>
  <c r="B3765" i="2"/>
  <c r="J3764" i="2" s="1"/>
  <c r="M3764" i="2"/>
  <c r="K3764" i="2" l="1"/>
  <c r="B3766" i="2"/>
  <c r="J3765" i="2" s="1"/>
  <c r="M3765" i="2"/>
  <c r="K3765" i="2" l="1"/>
  <c r="B3767" i="2"/>
  <c r="J3766" i="2" s="1"/>
  <c r="M3766" i="2"/>
  <c r="K3766" i="2" l="1"/>
  <c r="B3768" i="2"/>
  <c r="J3767" i="2" s="1"/>
  <c r="M3767" i="2"/>
  <c r="K3767" i="2" l="1"/>
  <c r="B3769" i="2"/>
  <c r="J3768" i="2" s="1"/>
  <c r="M3768" i="2"/>
  <c r="K3768" i="2" l="1"/>
  <c r="B3770" i="2"/>
  <c r="J3769" i="2" s="1"/>
  <c r="M3769" i="2"/>
  <c r="K3769" i="2" l="1"/>
  <c r="B3771" i="2"/>
  <c r="J3770" i="2" s="1"/>
  <c r="M3770" i="2"/>
  <c r="K3770" i="2" l="1"/>
  <c r="B3772" i="2"/>
  <c r="J3771" i="2" s="1"/>
  <c r="M3771" i="2"/>
  <c r="K3771" i="2" l="1"/>
  <c r="B3773" i="2"/>
  <c r="J3772" i="2" s="1"/>
  <c r="M3772" i="2"/>
  <c r="K3772" i="2" l="1"/>
  <c r="B3774" i="2"/>
  <c r="J3773" i="2" s="1"/>
  <c r="M3773" i="2"/>
  <c r="K3773" i="2" l="1"/>
  <c r="B3775" i="2"/>
  <c r="J3774" i="2" s="1"/>
  <c r="M3774" i="2"/>
  <c r="K3774" i="2" l="1"/>
  <c r="B3776" i="2"/>
  <c r="J3775" i="2" s="1"/>
  <c r="M3775" i="2"/>
  <c r="K3775" i="2" l="1"/>
  <c r="B3777" i="2"/>
  <c r="J3776" i="2" s="1"/>
  <c r="M3776" i="2"/>
  <c r="K3776" i="2" l="1"/>
  <c r="B3778" i="2"/>
  <c r="J3777" i="2" s="1"/>
  <c r="M3777" i="2"/>
  <c r="K3777" i="2" l="1"/>
  <c r="B3779" i="2"/>
  <c r="J3778" i="2" s="1"/>
  <c r="M3778" i="2"/>
  <c r="K3778" i="2" l="1"/>
  <c r="B3780" i="2"/>
  <c r="J3779" i="2" s="1"/>
  <c r="M3779" i="2"/>
  <c r="K3779" i="2" l="1"/>
  <c r="B3781" i="2"/>
  <c r="J3780" i="2" s="1"/>
  <c r="M3780" i="2"/>
  <c r="K3780" i="2" l="1"/>
  <c r="B3782" i="2"/>
  <c r="J3781" i="2" s="1"/>
  <c r="M3781" i="2"/>
  <c r="K3781" i="2" l="1"/>
  <c r="B3783" i="2"/>
  <c r="J3782" i="2" s="1"/>
  <c r="M3782" i="2"/>
  <c r="K3782" i="2" l="1"/>
  <c r="B3784" i="2"/>
  <c r="J3783" i="2" s="1"/>
  <c r="M3783" i="2"/>
  <c r="K3783" i="2" l="1"/>
  <c r="B3785" i="2"/>
  <c r="J3784" i="2" s="1"/>
  <c r="M3784" i="2"/>
  <c r="K3784" i="2" l="1"/>
  <c r="B3786" i="2"/>
  <c r="J3785" i="2" s="1"/>
  <c r="M3785" i="2"/>
  <c r="K3785" i="2" l="1"/>
  <c r="B3787" i="2"/>
  <c r="J3786" i="2" s="1"/>
  <c r="M3786" i="2"/>
  <c r="K3786" i="2" l="1"/>
  <c r="B3788" i="2"/>
  <c r="J3787" i="2" s="1"/>
  <c r="M3787" i="2"/>
  <c r="K3787" i="2" l="1"/>
  <c r="B3789" i="2"/>
  <c r="J3788" i="2" s="1"/>
  <c r="M3788" i="2"/>
  <c r="K3788" i="2" l="1"/>
  <c r="B3790" i="2"/>
  <c r="J3789" i="2" s="1"/>
  <c r="M3789" i="2"/>
  <c r="K3789" i="2" l="1"/>
  <c r="B3791" i="2"/>
  <c r="J3790" i="2" s="1"/>
  <c r="M3790" i="2"/>
  <c r="K3790" i="2" l="1"/>
  <c r="B3792" i="2"/>
  <c r="J3791" i="2" s="1"/>
  <c r="M3791" i="2"/>
  <c r="K3791" i="2" l="1"/>
  <c r="B3793" i="2"/>
  <c r="J3792" i="2" s="1"/>
  <c r="M3792" i="2"/>
  <c r="K3792" i="2" l="1"/>
  <c r="B3794" i="2"/>
  <c r="J3793" i="2" s="1"/>
  <c r="M3793" i="2"/>
  <c r="K3793" i="2" l="1"/>
  <c r="B3795" i="2"/>
  <c r="J3794" i="2" s="1"/>
  <c r="M3794" i="2"/>
  <c r="K3794" i="2" l="1"/>
  <c r="B3796" i="2"/>
  <c r="J3795" i="2" s="1"/>
  <c r="M3795" i="2"/>
  <c r="K3795" i="2" l="1"/>
  <c r="B3797" i="2"/>
  <c r="J3796" i="2" s="1"/>
  <c r="M3796" i="2"/>
  <c r="K3796" i="2" l="1"/>
  <c r="B3798" i="2"/>
  <c r="J3797" i="2" s="1"/>
  <c r="M3797" i="2"/>
  <c r="K3797" i="2" l="1"/>
  <c r="B3799" i="2"/>
  <c r="J3798" i="2" s="1"/>
  <c r="M3798" i="2"/>
  <c r="K3798" i="2" l="1"/>
  <c r="B3800" i="2"/>
  <c r="J3799" i="2" s="1"/>
  <c r="M3799" i="2"/>
  <c r="K3799" i="2" l="1"/>
  <c r="B3801" i="2"/>
  <c r="J3800" i="2" s="1"/>
  <c r="M3800" i="2"/>
  <c r="K3800" i="2" l="1"/>
  <c r="B3802" i="2"/>
  <c r="J3801" i="2" s="1"/>
  <c r="M3801" i="2"/>
  <c r="K3801" i="2" l="1"/>
  <c r="B3803" i="2"/>
  <c r="J3802" i="2" s="1"/>
  <c r="M3802" i="2"/>
  <c r="K3802" i="2" l="1"/>
  <c r="B3804" i="2"/>
  <c r="J3803" i="2" s="1"/>
  <c r="M3803" i="2"/>
  <c r="K3803" i="2" l="1"/>
  <c r="B3805" i="2"/>
  <c r="J3804" i="2" s="1"/>
  <c r="M3804" i="2"/>
  <c r="K3804" i="2" l="1"/>
  <c r="B3806" i="2"/>
  <c r="J3805" i="2" s="1"/>
  <c r="M3805" i="2"/>
  <c r="K3805" i="2" l="1"/>
  <c r="B3807" i="2"/>
  <c r="J3806" i="2" s="1"/>
  <c r="M3806" i="2"/>
  <c r="K3806" i="2" l="1"/>
  <c r="B3808" i="2"/>
  <c r="J3807" i="2" s="1"/>
  <c r="M3807" i="2"/>
  <c r="K3807" i="2" l="1"/>
  <c r="B3809" i="2"/>
  <c r="J3808" i="2" s="1"/>
  <c r="M3808" i="2"/>
  <c r="K3808" i="2" l="1"/>
  <c r="B3810" i="2"/>
  <c r="J3809" i="2" s="1"/>
  <c r="M3809" i="2"/>
  <c r="K3809" i="2" l="1"/>
  <c r="B3811" i="2"/>
  <c r="J3810" i="2" s="1"/>
  <c r="M3810" i="2"/>
  <c r="K3810" i="2" l="1"/>
  <c r="B3812" i="2"/>
  <c r="J3811" i="2" s="1"/>
  <c r="M3811" i="2"/>
  <c r="K3811" i="2" l="1"/>
  <c r="B3813" i="2"/>
  <c r="K3812" i="2" s="1"/>
  <c r="M3812" i="2"/>
  <c r="J3812" i="2" l="1"/>
  <c r="B3814" i="2"/>
  <c r="K3813" i="2" s="1"/>
  <c r="M3813" i="2"/>
  <c r="J3813" i="2" l="1"/>
  <c r="B3815" i="2"/>
  <c r="K3814" i="2" s="1"/>
  <c r="M3814" i="2"/>
  <c r="J3814" i="2" l="1"/>
  <c r="B3816" i="2"/>
  <c r="K3815" i="2" s="1"/>
  <c r="M3815" i="2"/>
  <c r="J3815" i="2" l="1"/>
  <c r="B3817" i="2"/>
  <c r="K3816" i="2" s="1"/>
  <c r="M3816" i="2"/>
  <c r="J3816" i="2" l="1"/>
  <c r="B3818" i="2"/>
  <c r="K3817" i="2" s="1"/>
  <c r="M3817" i="2"/>
  <c r="J3817" i="2" l="1"/>
  <c r="B3819" i="2"/>
  <c r="K3818" i="2" s="1"/>
  <c r="M3818" i="2"/>
  <c r="J3818" i="2" l="1"/>
  <c r="B3820" i="2"/>
  <c r="K3819" i="2" s="1"/>
  <c r="M3819" i="2"/>
  <c r="J3819" i="2" l="1"/>
  <c r="B3821" i="2"/>
  <c r="K3820" i="2" s="1"/>
  <c r="M3820" i="2"/>
  <c r="J3820" i="2" l="1"/>
  <c r="B3822" i="2"/>
  <c r="K3821" i="2" s="1"/>
  <c r="M3821" i="2"/>
  <c r="J3821" i="2" l="1"/>
  <c r="B3823" i="2"/>
  <c r="K3822" i="2" s="1"/>
  <c r="M3822" i="2"/>
  <c r="J3822" i="2" l="1"/>
  <c r="B3824" i="2"/>
  <c r="K3823" i="2" s="1"/>
  <c r="M3823" i="2"/>
  <c r="J3823" i="2" l="1"/>
  <c r="B3825" i="2"/>
  <c r="K3824" i="2" s="1"/>
  <c r="M3824" i="2"/>
  <c r="J3824" i="2" l="1"/>
  <c r="B3826" i="2"/>
  <c r="K3825" i="2" s="1"/>
  <c r="M3825" i="2"/>
  <c r="J3825" i="2" l="1"/>
  <c r="B3827" i="2"/>
  <c r="K3826" i="2" s="1"/>
  <c r="M3826" i="2"/>
  <c r="J3826" i="2" l="1"/>
  <c r="B3828" i="2"/>
  <c r="K3827" i="2" s="1"/>
  <c r="M3827" i="2"/>
  <c r="J3827" i="2" l="1"/>
  <c r="B3829" i="2"/>
  <c r="K3828" i="2" s="1"/>
  <c r="M3828" i="2"/>
  <c r="J3828" i="2" l="1"/>
  <c r="B3830" i="2"/>
  <c r="K3829" i="2" s="1"/>
  <c r="M3829" i="2"/>
  <c r="J3829" i="2" l="1"/>
  <c r="B3831" i="2"/>
  <c r="K3830" i="2" s="1"/>
  <c r="M3830" i="2"/>
  <c r="J3830" i="2" l="1"/>
  <c r="B3832" i="2"/>
  <c r="K3831" i="2" s="1"/>
  <c r="M3831" i="2"/>
  <c r="J3831" i="2" l="1"/>
  <c r="B3833" i="2"/>
  <c r="K3832" i="2" s="1"/>
  <c r="M3832" i="2"/>
  <c r="J3832" i="2" l="1"/>
  <c r="B3834" i="2"/>
  <c r="K3833" i="2" s="1"/>
  <c r="M3833" i="2"/>
  <c r="J3833" i="2" l="1"/>
  <c r="B3835" i="2"/>
  <c r="K3834" i="2" s="1"/>
  <c r="M3834" i="2"/>
  <c r="J3834" i="2" l="1"/>
  <c r="B3836" i="2"/>
  <c r="K3835" i="2" s="1"/>
  <c r="M3835" i="2"/>
  <c r="J3835" i="2" l="1"/>
  <c r="B3837" i="2"/>
  <c r="K3836" i="2" s="1"/>
  <c r="M3836" i="2"/>
  <c r="J3836" i="2" l="1"/>
  <c r="B3838" i="2"/>
  <c r="K3837" i="2" s="1"/>
  <c r="M3837" i="2"/>
  <c r="J3837" i="2" l="1"/>
  <c r="B3839" i="2"/>
  <c r="K3838" i="2" s="1"/>
  <c r="M3838" i="2"/>
  <c r="J3838" i="2" l="1"/>
  <c r="B3840" i="2"/>
  <c r="K3839" i="2" s="1"/>
  <c r="M3839" i="2"/>
  <c r="J3839" i="2" l="1"/>
  <c r="B3841" i="2"/>
  <c r="K3840" i="2" s="1"/>
  <c r="M3840" i="2"/>
  <c r="J3840" i="2" l="1"/>
  <c r="B3842" i="2"/>
  <c r="K3841" i="2" s="1"/>
  <c r="M3841" i="2"/>
  <c r="J3841" i="2" l="1"/>
  <c r="B3843" i="2"/>
  <c r="K3842" i="2" s="1"/>
  <c r="M3842" i="2"/>
  <c r="J3842" i="2" l="1"/>
  <c r="B3844" i="2"/>
  <c r="K3843" i="2" s="1"/>
  <c r="M3843" i="2"/>
  <c r="J3843" i="2" l="1"/>
  <c r="B3845" i="2"/>
  <c r="K3844" i="2" s="1"/>
  <c r="M3844" i="2"/>
  <c r="J3844" i="2" l="1"/>
  <c r="B3846" i="2"/>
  <c r="K3845" i="2" s="1"/>
  <c r="M3845" i="2"/>
  <c r="J3845" i="2" l="1"/>
  <c r="B3847" i="2"/>
  <c r="K3846" i="2" s="1"/>
  <c r="M3846" i="2"/>
  <c r="J3846" i="2" l="1"/>
  <c r="B3848" i="2"/>
  <c r="K3847" i="2" s="1"/>
  <c r="M3847" i="2"/>
  <c r="J3847" i="2" l="1"/>
  <c r="B3849" i="2"/>
  <c r="K3848" i="2" s="1"/>
  <c r="M3848" i="2"/>
  <c r="J3848" i="2" l="1"/>
  <c r="B3850" i="2"/>
  <c r="K3849" i="2" s="1"/>
  <c r="M3849" i="2"/>
  <c r="J3849" i="2" l="1"/>
  <c r="B3851" i="2"/>
  <c r="K3850" i="2" s="1"/>
  <c r="M3850" i="2"/>
  <c r="J3850" i="2" l="1"/>
  <c r="B3852" i="2"/>
  <c r="K3851" i="2" s="1"/>
  <c r="M3851" i="2"/>
  <c r="J3851" i="2" l="1"/>
  <c r="B3853" i="2"/>
  <c r="J3852" i="2" s="1"/>
  <c r="M3852" i="2"/>
  <c r="K3852" i="2" l="1"/>
  <c r="B3854" i="2"/>
  <c r="K3853" i="2" s="1"/>
  <c r="M3853" i="2"/>
  <c r="J3853" i="2" l="1"/>
  <c r="B3855" i="2"/>
  <c r="K3854" i="2" s="1"/>
  <c r="M3854" i="2"/>
  <c r="J3854" i="2" l="1"/>
  <c r="B3856" i="2"/>
  <c r="K3855" i="2" s="1"/>
  <c r="M3855" i="2"/>
  <c r="J3855" i="2" l="1"/>
  <c r="B3857" i="2"/>
  <c r="K3856" i="2" s="1"/>
  <c r="M3856" i="2"/>
  <c r="J3856" i="2" l="1"/>
  <c r="B3858" i="2"/>
  <c r="K3857" i="2" s="1"/>
  <c r="M3857" i="2"/>
  <c r="J3857" i="2" l="1"/>
  <c r="B3859" i="2"/>
  <c r="K3858" i="2" s="1"/>
  <c r="M3858" i="2"/>
  <c r="J3858" i="2" l="1"/>
  <c r="B3860" i="2"/>
  <c r="K3859" i="2" s="1"/>
  <c r="M3859" i="2"/>
  <c r="J3859" i="2" l="1"/>
  <c r="B3861" i="2"/>
  <c r="K3860" i="2" s="1"/>
  <c r="M3860" i="2"/>
  <c r="J3860" i="2" l="1"/>
  <c r="B3862" i="2"/>
  <c r="K3861" i="2" s="1"/>
  <c r="M3861" i="2"/>
  <c r="J3861" i="2" l="1"/>
  <c r="B3863" i="2"/>
  <c r="K3862" i="2" s="1"/>
  <c r="M3862" i="2"/>
  <c r="J3862" i="2" l="1"/>
  <c r="B3864" i="2"/>
  <c r="K3863" i="2" s="1"/>
  <c r="M3863" i="2"/>
  <c r="J3863" i="2" l="1"/>
  <c r="B3865" i="2"/>
  <c r="K3864" i="2" s="1"/>
  <c r="M3864" i="2"/>
  <c r="J3864" i="2" l="1"/>
  <c r="B3866" i="2"/>
  <c r="K3865" i="2" s="1"/>
  <c r="M3865" i="2"/>
  <c r="J3865" i="2" l="1"/>
  <c r="B3867" i="2"/>
  <c r="K3866" i="2" s="1"/>
  <c r="M3866" i="2"/>
  <c r="J3866" i="2" l="1"/>
  <c r="B3868" i="2"/>
  <c r="K3867" i="2" s="1"/>
  <c r="M3867" i="2"/>
  <c r="J3867" i="2" l="1"/>
  <c r="B3869" i="2"/>
  <c r="K3868" i="2" s="1"/>
  <c r="M3868" i="2"/>
  <c r="J3868" i="2" l="1"/>
  <c r="B3870" i="2"/>
  <c r="K3869" i="2" s="1"/>
  <c r="M3869" i="2"/>
  <c r="J3869" i="2" l="1"/>
  <c r="B3871" i="2"/>
  <c r="K3870" i="2" s="1"/>
  <c r="M3870" i="2"/>
  <c r="J3870" i="2" l="1"/>
  <c r="B3872" i="2"/>
  <c r="K3871" i="2" s="1"/>
  <c r="M3871" i="2"/>
  <c r="J3871" i="2" l="1"/>
  <c r="B3873" i="2"/>
  <c r="K3872" i="2" s="1"/>
  <c r="M3872" i="2"/>
  <c r="J3872" i="2" l="1"/>
  <c r="B3874" i="2"/>
  <c r="K3873" i="2" s="1"/>
  <c r="M3873" i="2"/>
  <c r="J3873" i="2" l="1"/>
  <c r="B3875" i="2"/>
  <c r="K3874" i="2" s="1"/>
  <c r="M3874" i="2"/>
  <c r="J3874" i="2" l="1"/>
  <c r="B3876" i="2"/>
  <c r="K3875" i="2" s="1"/>
  <c r="M3875" i="2"/>
  <c r="J3875" i="2" l="1"/>
  <c r="B3877" i="2"/>
  <c r="K3876" i="2" s="1"/>
  <c r="M3876" i="2"/>
  <c r="J3876" i="2" l="1"/>
  <c r="B3878" i="2"/>
  <c r="K3877" i="2" s="1"/>
  <c r="M3877" i="2"/>
  <c r="J3877" i="2" l="1"/>
  <c r="B3879" i="2"/>
  <c r="K3878" i="2" s="1"/>
  <c r="M3878" i="2"/>
  <c r="J3878" i="2" l="1"/>
  <c r="B3880" i="2"/>
  <c r="K3879" i="2" s="1"/>
  <c r="M3879" i="2"/>
  <c r="J3879" i="2" l="1"/>
  <c r="B3881" i="2"/>
  <c r="K3880" i="2" s="1"/>
  <c r="M3880" i="2"/>
  <c r="J3880" i="2" l="1"/>
  <c r="B3882" i="2"/>
  <c r="K3881" i="2" s="1"/>
  <c r="M3881" i="2"/>
  <c r="J3881" i="2" l="1"/>
  <c r="B3883" i="2"/>
  <c r="K3882" i="2" s="1"/>
  <c r="M3882" i="2"/>
  <c r="J3882" i="2" l="1"/>
  <c r="B3884" i="2"/>
  <c r="K3883" i="2" s="1"/>
  <c r="M3883" i="2"/>
  <c r="J3883" i="2" l="1"/>
  <c r="B3885" i="2"/>
  <c r="K3884" i="2" s="1"/>
  <c r="M3884" i="2"/>
  <c r="J3884" i="2" l="1"/>
  <c r="B3886" i="2"/>
  <c r="K3885" i="2" s="1"/>
  <c r="M3885" i="2"/>
  <c r="J3885" i="2" l="1"/>
  <c r="B3887" i="2"/>
  <c r="K3886" i="2" s="1"/>
  <c r="M3886" i="2"/>
  <c r="J3886" i="2" l="1"/>
  <c r="B3888" i="2"/>
  <c r="K3887" i="2" s="1"/>
  <c r="M3887" i="2"/>
  <c r="J3887" i="2" l="1"/>
  <c r="B3889" i="2"/>
  <c r="K3888" i="2" s="1"/>
  <c r="M3888" i="2"/>
  <c r="J3888" i="2" l="1"/>
  <c r="B3890" i="2"/>
  <c r="K3889" i="2" s="1"/>
  <c r="M3889" i="2"/>
  <c r="J3889" i="2" l="1"/>
  <c r="B3891" i="2"/>
  <c r="K3890" i="2" s="1"/>
  <c r="M3890" i="2"/>
  <c r="J3890" i="2" l="1"/>
  <c r="B3892" i="2"/>
  <c r="K3891" i="2" s="1"/>
  <c r="M3891" i="2"/>
  <c r="J3891" i="2" l="1"/>
  <c r="B3893" i="2"/>
  <c r="K3892" i="2" s="1"/>
  <c r="M3892" i="2"/>
  <c r="J3892" i="2" l="1"/>
  <c r="B3894" i="2"/>
  <c r="K3893" i="2" s="1"/>
  <c r="M3893" i="2"/>
  <c r="J3893" i="2" l="1"/>
  <c r="B3895" i="2"/>
  <c r="K3894" i="2" s="1"/>
  <c r="M3894" i="2"/>
  <c r="J3894" i="2" l="1"/>
  <c r="B3896" i="2"/>
  <c r="K3895" i="2" s="1"/>
  <c r="M3895" i="2"/>
  <c r="J3895" i="2" l="1"/>
  <c r="B3897" i="2"/>
  <c r="K3896" i="2" s="1"/>
  <c r="M3896" i="2"/>
  <c r="J3896" i="2" l="1"/>
  <c r="B3898" i="2"/>
  <c r="K3897" i="2" s="1"/>
  <c r="M3897" i="2"/>
  <c r="J3897" i="2" l="1"/>
  <c r="B3899" i="2"/>
  <c r="K3898" i="2" s="1"/>
  <c r="M3898" i="2"/>
  <c r="J3898" i="2" l="1"/>
  <c r="B3900" i="2"/>
  <c r="K3899" i="2" s="1"/>
  <c r="M3899" i="2"/>
  <c r="J3899" i="2" l="1"/>
  <c r="B3901" i="2"/>
  <c r="K3900" i="2" s="1"/>
  <c r="M3900" i="2"/>
  <c r="J3900" i="2" l="1"/>
  <c r="B3902" i="2"/>
  <c r="K3901" i="2" s="1"/>
  <c r="M3901" i="2"/>
  <c r="J3901" i="2" l="1"/>
  <c r="B3903" i="2"/>
  <c r="K3902" i="2" s="1"/>
  <c r="M3902" i="2"/>
  <c r="J3902" i="2" l="1"/>
  <c r="B3904" i="2"/>
  <c r="K3903" i="2" s="1"/>
  <c r="M3903" i="2"/>
  <c r="J3903" i="2" l="1"/>
  <c r="B3905" i="2"/>
  <c r="K3904" i="2" s="1"/>
  <c r="M3904" i="2"/>
  <c r="J3904" i="2" l="1"/>
  <c r="B3906" i="2"/>
  <c r="K3905" i="2" s="1"/>
  <c r="M3905" i="2"/>
  <c r="J3905" i="2" l="1"/>
  <c r="B3907" i="2"/>
  <c r="K3906" i="2" s="1"/>
  <c r="M3906" i="2"/>
  <c r="J3906" i="2" l="1"/>
  <c r="B3908" i="2"/>
  <c r="K3907" i="2" s="1"/>
  <c r="M3907" i="2"/>
  <c r="J3907" i="2" l="1"/>
  <c r="B3909" i="2"/>
  <c r="K3908" i="2" s="1"/>
  <c r="M3908" i="2"/>
  <c r="J3908" i="2" l="1"/>
  <c r="B3910" i="2"/>
  <c r="K3909" i="2" s="1"/>
  <c r="M3909" i="2"/>
  <c r="J3909" i="2" l="1"/>
  <c r="B3911" i="2"/>
  <c r="K3910" i="2" s="1"/>
  <c r="M3910" i="2"/>
  <c r="J3910" i="2" l="1"/>
  <c r="B3912" i="2"/>
  <c r="K3911" i="2" s="1"/>
  <c r="M3911" i="2"/>
  <c r="J3911" i="2" l="1"/>
  <c r="B3913" i="2"/>
  <c r="K3912" i="2" s="1"/>
  <c r="M3912" i="2"/>
  <c r="J3912" i="2" l="1"/>
  <c r="B3914" i="2"/>
  <c r="K3913" i="2" s="1"/>
  <c r="M3913" i="2"/>
  <c r="J3913" i="2" l="1"/>
  <c r="B3915" i="2"/>
  <c r="J3914" i="2" s="1"/>
  <c r="M3914" i="2"/>
  <c r="K3914" i="2" l="1"/>
  <c r="B3916" i="2"/>
  <c r="J3915" i="2" s="1"/>
  <c r="M3915" i="2"/>
  <c r="K3915" i="2" l="1"/>
  <c r="B3917" i="2"/>
  <c r="J3916" i="2" s="1"/>
  <c r="M3916" i="2"/>
  <c r="K3916" i="2" l="1"/>
  <c r="B3918" i="2"/>
  <c r="J3917" i="2" s="1"/>
  <c r="M3917" i="2"/>
  <c r="K3917" i="2" l="1"/>
  <c r="B3919" i="2"/>
  <c r="J3918" i="2" s="1"/>
  <c r="M3918" i="2"/>
  <c r="K3918" i="2" l="1"/>
  <c r="B3920" i="2"/>
  <c r="J3919" i="2" s="1"/>
  <c r="M3919" i="2"/>
  <c r="K3919" i="2" l="1"/>
  <c r="B3921" i="2"/>
  <c r="J3920" i="2" s="1"/>
  <c r="M3920" i="2"/>
  <c r="K3920" i="2" l="1"/>
  <c r="B3922" i="2"/>
  <c r="J3921" i="2" s="1"/>
  <c r="M3921" i="2"/>
  <c r="K3921" i="2" l="1"/>
  <c r="B3923" i="2"/>
  <c r="J3922" i="2" s="1"/>
  <c r="M3922" i="2"/>
  <c r="K3922" i="2" l="1"/>
  <c r="B3924" i="2"/>
  <c r="J3923" i="2" s="1"/>
  <c r="M3923" i="2"/>
  <c r="K3923" i="2" l="1"/>
  <c r="B3925" i="2"/>
  <c r="J3924" i="2" s="1"/>
  <c r="M3924" i="2"/>
  <c r="K3924" i="2" l="1"/>
  <c r="B3926" i="2"/>
  <c r="J3925" i="2" s="1"/>
  <c r="M3925" i="2"/>
  <c r="K3925" i="2" l="1"/>
  <c r="B3927" i="2"/>
  <c r="J3926" i="2" s="1"/>
  <c r="M3926" i="2"/>
  <c r="K3926" i="2" l="1"/>
  <c r="B3928" i="2"/>
  <c r="J3927" i="2" s="1"/>
  <c r="M3927" i="2"/>
  <c r="K3927" i="2" l="1"/>
  <c r="B3929" i="2"/>
  <c r="J3928" i="2" s="1"/>
  <c r="M3928" i="2"/>
  <c r="K3928" i="2" l="1"/>
  <c r="B3930" i="2"/>
  <c r="K3929" i="2" s="1"/>
  <c r="M3929" i="2"/>
  <c r="J3929" i="2" l="1"/>
  <c r="B3931" i="2"/>
  <c r="J3930" i="2" s="1"/>
  <c r="M3930" i="2"/>
  <c r="K3930" i="2" l="1"/>
  <c r="B3932" i="2"/>
  <c r="J3931" i="2" s="1"/>
  <c r="M3931" i="2"/>
  <c r="K3931" i="2" l="1"/>
  <c r="B3933" i="2"/>
  <c r="J3932" i="2" s="1"/>
  <c r="M3932" i="2"/>
  <c r="K3932" i="2" l="1"/>
  <c r="B3934" i="2"/>
  <c r="J3933" i="2" s="1"/>
  <c r="M3933" i="2"/>
  <c r="K3933" i="2" l="1"/>
  <c r="B3935" i="2"/>
  <c r="K3934" i="2" s="1"/>
  <c r="M3934" i="2"/>
  <c r="J3934" i="2" l="1"/>
  <c r="B3936" i="2"/>
  <c r="J3935" i="2" s="1"/>
  <c r="M3935" i="2"/>
  <c r="K3935" i="2" l="1"/>
  <c r="B3937" i="2"/>
  <c r="J3936" i="2" s="1"/>
  <c r="M3936" i="2"/>
  <c r="K3936" i="2" l="1"/>
  <c r="B3938" i="2"/>
  <c r="J3937" i="2" s="1"/>
  <c r="M3937" i="2"/>
  <c r="K3937" i="2" l="1"/>
  <c r="B3939" i="2"/>
  <c r="J3938" i="2" s="1"/>
  <c r="M3938" i="2"/>
  <c r="K3938" i="2" l="1"/>
  <c r="B3940" i="2"/>
  <c r="J3939" i="2" s="1"/>
  <c r="M3939" i="2"/>
  <c r="K3939" i="2" l="1"/>
  <c r="B3941" i="2"/>
  <c r="J3940" i="2" s="1"/>
  <c r="M3940" i="2"/>
  <c r="K3940" i="2" l="1"/>
  <c r="B3942" i="2"/>
  <c r="J3941" i="2" s="1"/>
  <c r="M3941" i="2"/>
  <c r="K3941" i="2" l="1"/>
  <c r="B3943" i="2"/>
  <c r="J3942" i="2" s="1"/>
  <c r="M3942" i="2"/>
  <c r="K3942" i="2" l="1"/>
  <c r="B3944" i="2"/>
  <c r="K3943" i="2" s="1"/>
  <c r="M3943" i="2"/>
  <c r="J3943" i="2" l="1"/>
  <c r="B3945" i="2"/>
  <c r="J3944" i="2" s="1"/>
  <c r="M3944" i="2"/>
  <c r="K3944" i="2" l="1"/>
  <c r="B3946" i="2"/>
  <c r="J3945" i="2" s="1"/>
  <c r="M3945" i="2"/>
  <c r="K3945" i="2" l="1"/>
  <c r="B3947" i="2"/>
  <c r="J3946" i="2" s="1"/>
  <c r="M3946" i="2"/>
  <c r="K3946" i="2" l="1"/>
  <c r="B3948" i="2"/>
  <c r="J3947" i="2" s="1"/>
  <c r="M3947" i="2"/>
  <c r="K3947" i="2" l="1"/>
  <c r="B3949" i="2"/>
  <c r="J3948" i="2" s="1"/>
  <c r="M3948" i="2"/>
  <c r="K3948" i="2" l="1"/>
  <c r="B3950" i="2"/>
  <c r="J3949" i="2" s="1"/>
  <c r="M3949" i="2"/>
  <c r="K3949" i="2" l="1"/>
  <c r="B3951" i="2"/>
  <c r="J3950" i="2" s="1"/>
  <c r="M3950" i="2"/>
  <c r="K3950" i="2" l="1"/>
  <c r="B3952" i="2"/>
  <c r="J3951" i="2" s="1"/>
  <c r="M3951" i="2"/>
  <c r="K3951" i="2" l="1"/>
  <c r="B3953" i="2"/>
  <c r="K3952" i="2" s="1"/>
  <c r="M3952" i="2"/>
  <c r="J3952" i="2" l="1"/>
  <c r="B3954" i="2"/>
  <c r="J3953" i="2" s="1"/>
  <c r="M3953" i="2"/>
  <c r="K3953" i="2" l="1"/>
  <c r="B3955" i="2"/>
  <c r="J3954" i="2" s="1"/>
  <c r="M3954" i="2"/>
  <c r="K3954" i="2" l="1"/>
  <c r="B3956" i="2"/>
  <c r="J3955" i="2" s="1"/>
  <c r="M3955" i="2"/>
  <c r="K3955" i="2" l="1"/>
  <c r="B3957" i="2"/>
  <c r="J3956" i="2" s="1"/>
  <c r="M3956" i="2"/>
  <c r="K3956" i="2" l="1"/>
  <c r="B3958" i="2"/>
  <c r="J3957" i="2" s="1"/>
  <c r="M3957" i="2"/>
  <c r="K3957" i="2" l="1"/>
  <c r="B3959" i="2"/>
  <c r="K3958" i="2" s="1"/>
  <c r="M3958" i="2"/>
  <c r="J3958" i="2" l="1"/>
  <c r="B3960" i="2"/>
  <c r="J3959" i="2" s="1"/>
  <c r="M3959" i="2"/>
  <c r="K3959" i="2" l="1"/>
  <c r="B3961" i="2"/>
  <c r="J3960" i="2" s="1"/>
  <c r="M3960" i="2"/>
  <c r="K3960" i="2" l="1"/>
  <c r="B3962" i="2"/>
  <c r="J3961" i="2" s="1"/>
  <c r="M3961" i="2"/>
  <c r="K3961" i="2" l="1"/>
  <c r="B3963" i="2"/>
  <c r="J3962" i="2" s="1"/>
  <c r="M3962" i="2"/>
  <c r="K3962" i="2" l="1"/>
  <c r="B3964" i="2"/>
  <c r="J3963" i="2" s="1"/>
  <c r="M3963" i="2"/>
  <c r="K3963" i="2" l="1"/>
  <c r="B3965" i="2"/>
  <c r="K3964" i="2" s="1"/>
  <c r="M3964" i="2"/>
  <c r="J3964" i="2" l="1"/>
  <c r="B3966" i="2"/>
  <c r="J3965" i="2" s="1"/>
  <c r="M3965" i="2"/>
  <c r="K3965" i="2" l="1"/>
  <c r="B3967" i="2"/>
  <c r="J3966" i="2" s="1"/>
  <c r="M3966" i="2"/>
  <c r="K3966" i="2" l="1"/>
  <c r="B3968" i="2"/>
  <c r="K3967" i="2" s="1"/>
  <c r="M3967" i="2"/>
  <c r="J3967" i="2" l="1"/>
  <c r="B3969" i="2"/>
  <c r="J3968" i="2" s="1"/>
  <c r="M3968" i="2"/>
  <c r="K3968" i="2" l="1"/>
  <c r="B3970" i="2"/>
  <c r="J3969" i="2" s="1"/>
  <c r="M3969" i="2"/>
  <c r="K3969" i="2" l="1"/>
  <c r="B3971" i="2"/>
  <c r="K3970" i="2" s="1"/>
  <c r="M3970" i="2"/>
  <c r="J3970" i="2" l="1"/>
  <c r="B3972" i="2"/>
  <c r="J3971" i="2" s="1"/>
  <c r="M3971" i="2"/>
  <c r="K3971" i="2" l="1"/>
  <c r="B3973" i="2"/>
  <c r="J3972" i="2" s="1"/>
  <c r="M3972" i="2"/>
  <c r="K3972" i="2" l="1"/>
  <c r="B3974" i="2"/>
  <c r="J3973" i="2" s="1"/>
  <c r="M3973" i="2"/>
  <c r="K3973" i="2" l="1"/>
  <c r="B3975" i="2"/>
  <c r="J3974" i="2" s="1"/>
  <c r="M3974" i="2"/>
  <c r="K3974" i="2" l="1"/>
  <c r="B3976" i="2"/>
  <c r="J3975" i="2" s="1"/>
  <c r="M3975" i="2"/>
  <c r="K3975" i="2" l="1"/>
  <c r="B3977" i="2"/>
  <c r="K3976" i="2" s="1"/>
  <c r="M3976" i="2"/>
  <c r="J3976" i="2" l="1"/>
  <c r="B3978" i="2"/>
  <c r="J3977" i="2" s="1"/>
  <c r="M3977" i="2"/>
  <c r="K3977" i="2" l="1"/>
  <c r="B3979" i="2"/>
  <c r="J3978" i="2" s="1"/>
  <c r="M3978" i="2"/>
  <c r="K3978" i="2" l="1"/>
  <c r="B3980" i="2"/>
  <c r="K3979" i="2" s="1"/>
  <c r="M3979" i="2"/>
  <c r="J3979" i="2" l="1"/>
  <c r="B3981" i="2"/>
  <c r="J3980" i="2" s="1"/>
  <c r="M3980" i="2"/>
  <c r="K3980" i="2" l="1"/>
  <c r="B3982" i="2"/>
  <c r="J3981" i="2" s="1"/>
  <c r="M3981" i="2"/>
  <c r="K3981" i="2" l="1"/>
  <c r="B3983" i="2"/>
  <c r="J3982" i="2" s="1"/>
  <c r="M3982" i="2"/>
  <c r="K3982" i="2" l="1"/>
  <c r="B3984" i="2"/>
  <c r="J3983" i="2" s="1"/>
  <c r="M3983" i="2"/>
  <c r="K3983" i="2" l="1"/>
  <c r="B3985" i="2"/>
  <c r="J3984" i="2" s="1"/>
  <c r="M3984" i="2"/>
  <c r="K3984" i="2" l="1"/>
  <c r="B3986" i="2"/>
  <c r="K3985" i="2" s="1"/>
  <c r="M3985" i="2"/>
  <c r="J3985" i="2" l="1"/>
  <c r="B3987" i="2"/>
  <c r="J3986" i="2" s="1"/>
  <c r="M3986" i="2"/>
  <c r="K3986" i="2" l="1"/>
  <c r="B3988" i="2"/>
  <c r="J3987" i="2" s="1"/>
  <c r="M3987" i="2"/>
  <c r="K3987" i="2" l="1"/>
  <c r="B3989" i="2"/>
  <c r="K3988" i="2" s="1"/>
  <c r="M3988" i="2"/>
  <c r="J3988" i="2" l="1"/>
  <c r="B3990" i="2"/>
  <c r="J3989" i="2" s="1"/>
  <c r="M3989" i="2"/>
  <c r="K3989" i="2" l="1"/>
  <c r="B3991" i="2"/>
  <c r="J3990" i="2" s="1"/>
  <c r="M3990" i="2"/>
  <c r="K3990" i="2" l="1"/>
  <c r="B3992" i="2"/>
  <c r="J3991" i="2" s="1"/>
  <c r="M3991" i="2"/>
  <c r="K3991" i="2" l="1"/>
  <c r="B3993" i="2"/>
  <c r="J3992" i="2" s="1"/>
  <c r="M3992" i="2"/>
  <c r="K3992" i="2" l="1"/>
  <c r="B3994" i="2"/>
  <c r="K3993" i="2" s="1"/>
  <c r="M3993" i="2"/>
  <c r="J3993" i="2" l="1"/>
  <c r="B3995" i="2"/>
  <c r="J3994" i="2" s="1"/>
  <c r="M3994" i="2"/>
  <c r="K3994" i="2" l="1"/>
  <c r="B3996" i="2"/>
  <c r="J3995" i="2" s="1"/>
  <c r="M3995" i="2"/>
  <c r="K3995" i="2" l="1"/>
  <c r="B3997" i="2"/>
  <c r="K3996" i="2" s="1"/>
  <c r="M3996" i="2"/>
  <c r="J3996" i="2" l="1"/>
  <c r="B3998" i="2"/>
  <c r="J3997" i="2" s="1"/>
  <c r="M3997" i="2"/>
  <c r="K3997" i="2" l="1"/>
  <c r="B3999" i="2"/>
  <c r="J3998" i="2" s="1"/>
  <c r="M3998" i="2"/>
  <c r="K3998" i="2" l="1"/>
  <c r="B4000" i="2"/>
  <c r="K3999" i="2" s="1"/>
  <c r="M3999" i="2"/>
  <c r="J3999" i="2" l="1"/>
  <c r="B4001" i="2"/>
  <c r="J4000" i="2" s="1"/>
  <c r="M4000" i="2"/>
  <c r="K4000" i="2" l="1"/>
  <c r="B4002" i="2"/>
  <c r="J4001" i="2" s="1"/>
  <c r="M4001" i="2"/>
  <c r="K4001" i="2" l="1"/>
  <c r="B4003" i="2"/>
  <c r="K4002" i="2" s="1"/>
  <c r="M4002" i="2"/>
  <c r="J4002" i="2" l="1"/>
  <c r="B4004" i="2"/>
  <c r="J4003" i="2" s="1"/>
  <c r="M4003" i="2"/>
  <c r="K4003" i="2" l="1"/>
  <c r="B4005" i="2"/>
  <c r="J4004" i="2" s="1"/>
  <c r="M4004" i="2"/>
  <c r="K4004" i="2" l="1"/>
  <c r="B4006" i="2"/>
  <c r="K4005" i="2" s="1"/>
  <c r="M4005" i="2"/>
  <c r="J4005" i="2" l="1"/>
  <c r="B4007" i="2"/>
  <c r="J4006" i="2" s="1"/>
  <c r="M4006" i="2"/>
  <c r="K4006" i="2" l="1"/>
  <c r="B4008" i="2"/>
  <c r="J4007" i="2" s="1"/>
  <c r="M4007" i="2"/>
  <c r="K4007" i="2" l="1"/>
  <c r="B4009" i="2"/>
  <c r="K4008" i="2" s="1"/>
  <c r="M4008" i="2"/>
  <c r="J4008" i="2" l="1"/>
  <c r="B4010" i="2"/>
  <c r="K4009" i="2" s="1"/>
  <c r="M4009" i="2"/>
  <c r="J4009" i="2" l="1"/>
  <c r="B4011" i="2"/>
  <c r="J4010" i="2" s="1"/>
  <c r="M4010" i="2"/>
  <c r="K4010" i="2" l="1"/>
  <c r="B4012" i="2"/>
  <c r="K4011" i="2" s="1"/>
  <c r="M4011" i="2"/>
  <c r="J4011" i="2" l="1"/>
  <c r="B4013" i="2"/>
  <c r="J4012" i="2" s="1"/>
  <c r="M4012" i="2"/>
  <c r="K4012" i="2" l="1"/>
  <c r="B4014" i="2"/>
  <c r="J4013" i="2" s="1"/>
  <c r="M4013" i="2"/>
  <c r="K4013" i="2" l="1"/>
  <c r="B4015" i="2"/>
  <c r="K4014" i="2" s="1"/>
  <c r="M4014" i="2"/>
  <c r="J4014" i="2" l="1"/>
  <c r="B4016" i="2"/>
  <c r="K4015" i="2" s="1"/>
  <c r="M4015" i="2"/>
  <c r="J4015" i="2" l="1"/>
  <c r="B4017" i="2"/>
  <c r="K4016" i="2" s="1"/>
  <c r="M4016" i="2"/>
  <c r="J4016" i="2" l="1"/>
  <c r="B4018" i="2"/>
  <c r="K4017" i="2" s="1"/>
  <c r="M4017" i="2"/>
  <c r="J4017" i="2" l="1"/>
  <c r="B4019" i="2"/>
  <c r="J4018" i="2" s="1"/>
  <c r="M4018" i="2"/>
  <c r="K4018" i="2" l="1"/>
  <c r="B4020" i="2"/>
  <c r="K4019" i="2" s="1"/>
  <c r="M4019" i="2"/>
  <c r="J4019" i="2" l="1"/>
  <c r="B4021" i="2"/>
  <c r="K4020" i="2" s="1"/>
  <c r="M4020" i="2"/>
  <c r="J4020" i="2" l="1"/>
  <c r="B4022" i="2"/>
  <c r="K4021" i="2" s="1"/>
  <c r="M4021" i="2"/>
  <c r="J4021" i="2" l="1"/>
  <c r="B4023" i="2"/>
  <c r="K4022" i="2" s="1"/>
  <c r="M4022" i="2"/>
  <c r="J4022" i="2" l="1"/>
  <c r="B4024" i="2"/>
  <c r="K4023" i="2" s="1"/>
  <c r="M4023" i="2"/>
  <c r="J4023" i="2" l="1"/>
  <c r="B4025" i="2"/>
  <c r="J4024" i="2" s="1"/>
  <c r="M4024" i="2"/>
  <c r="K4024" i="2" l="1"/>
  <c r="B4026" i="2"/>
  <c r="K4025" i="2" s="1"/>
  <c r="M4025" i="2"/>
  <c r="J4025" i="2" l="1"/>
  <c r="B4027" i="2"/>
  <c r="K4026" i="2" s="1"/>
  <c r="M4026" i="2"/>
  <c r="J4026" i="2" l="1"/>
  <c r="B4028" i="2"/>
  <c r="K4027" i="2" s="1"/>
  <c r="M4027" i="2"/>
  <c r="J4027" i="2" l="1"/>
  <c r="B4029" i="2"/>
  <c r="K4028" i="2" s="1"/>
  <c r="M4028" i="2"/>
  <c r="J4028" i="2" l="1"/>
  <c r="B4030" i="2"/>
  <c r="K4029" i="2" s="1"/>
  <c r="M4029" i="2"/>
  <c r="J4029" i="2" l="1"/>
  <c r="B4031" i="2"/>
  <c r="J4030" i="2" s="1"/>
  <c r="M4030" i="2"/>
  <c r="K4030" i="2" l="1"/>
  <c r="B4032" i="2"/>
  <c r="K4031" i="2" s="1"/>
  <c r="M4031" i="2"/>
  <c r="J4031" i="2" l="1"/>
  <c r="B4033" i="2"/>
  <c r="K4032" i="2" s="1"/>
  <c r="M4032" i="2"/>
  <c r="J4032" i="2" l="1"/>
  <c r="B4034" i="2"/>
  <c r="K4033" i="2" s="1"/>
  <c r="M4033" i="2"/>
  <c r="J4033" i="2" l="1"/>
  <c r="B4035" i="2"/>
  <c r="K4034" i="2" s="1"/>
  <c r="M4034" i="2"/>
  <c r="J4034" i="2" l="1"/>
  <c r="B4036" i="2"/>
  <c r="K4035" i="2" s="1"/>
  <c r="M4035" i="2"/>
  <c r="J4035" i="2" l="1"/>
  <c r="B4037" i="2"/>
  <c r="J4036" i="2" s="1"/>
  <c r="M4036" i="2"/>
  <c r="K4036" i="2" l="1"/>
  <c r="B4038" i="2"/>
  <c r="K4037" i="2" s="1"/>
  <c r="M4037" i="2"/>
  <c r="J4037" i="2" l="1"/>
  <c r="B4039" i="2"/>
  <c r="K4038" i="2" s="1"/>
  <c r="M4038" i="2"/>
  <c r="J4038" i="2" l="1"/>
  <c r="B4040" i="2"/>
  <c r="J4039" i="2" s="1"/>
  <c r="M4039" i="2"/>
  <c r="K4039" i="2" l="1"/>
  <c r="B4041" i="2"/>
  <c r="K4040" i="2" s="1"/>
  <c r="M4040" i="2"/>
  <c r="J4040" i="2" l="1"/>
  <c r="B4042" i="2"/>
  <c r="K4041" i="2" s="1"/>
  <c r="M4041" i="2"/>
  <c r="J4041" i="2" l="1"/>
  <c r="B4043" i="2"/>
  <c r="J4042" i="2" s="1"/>
  <c r="M4042" i="2"/>
  <c r="K4042" i="2" l="1"/>
  <c r="B4044" i="2"/>
  <c r="K4043" i="2" s="1"/>
  <c r="M4043" i="2"/>
  <c r="J4043" i="2" l="1"/>
  <c r="B4045" i="2"/>
  <c r="K4044" i="2" s="1"/>
  <c r="M4044" i="2"/>
  <c r="J4044" i="2" l="1"/>
  <c r="B4046" i="2"/>
  <c r="K4045" i="2" s="1"/>
  <c r="M4045" i="2"/>
  <c r="J4045" i="2" l="1"/>
  <c r="B4047" i="2"/>
  <c r="K4046" i="2" s="1"/>
  <c r="M4046" i="2"/>
  <c r="J4046" i="2" l="1"/>
  <c r="B4048" i="2"/>
  <c r="K4047" i="2" s="1"/>
  <c r="M4047" i="2"/>
  <c r="J4047" i="2" l="1"/>
  <c r="B4049" i="2"/>
  <c r="J4048" i="2" s="1"/>
  <c r="M4048" i="2"/>
  <c r="K4048" i="2" l="1"/>
  <c r="B4050" i="2"/>
  <c r="K4049" i="2" s="1"/>
  <c r="M4049" i="2"/>
  <c r="J4049" i="2" l="1"/>
  <c r="B4051" i="2"/>
  <c r="K4050" i="2" s="1"/>
  <c r="M4050" i="2"/>
  <c r="J4050" i="2" l="1"/>
  <c r="B4052" i="2"/>
  <c r="J4051" i="2" s="1"/>
  <c r="M4051" i="2"/>
  <c r="K4051" i="2" l="1"/>
  <c r="B4053" i="2"/>
  <c r="J4052" i="2" s="1"/>
  <c r="M4052" i="2"/>
  <c r="K4052" i="2" l="1"/>
  <c r="B4054" i="2"/>
  <c r="K4053" i="2" s="1"/>
  <c r="M4053" i="2"/>
  <c r="J4053" i="2" l="1"/>
  <c r="B4055" i="2"/>
  <c r="K4054" i="2" s="1"/>
  <c r="M4054" i="2"/>
  <c r="J4054" i="2" l="1"/>
  <c r="B4056" i="2"/>
  <c r="K4055" i="2" s="1"/>
  <c r="M4055" i="2"/>
  <c r="J4055" i="2" l="1"/>
  <c r="B4057" i="2"/>
  <c r="K4056" i="2" s="1"/>
  <c r="M4056" i="2"/>
  <c r="J4056" i="2" l="1"/>
  <c r="B4058" i="2"/>
  <c r="J4057" i="2" s="1"/>
  <c r="M4057" i="2"/>
  <c r="K4057" i="2" l="1"/>
  <c r="B4059" i="2"/>
  <c r="K4058" i="2" s="1"/>
  <c r="M4058" i="2"/>
  <c r="J4058" i="2" l="1"/>
  <c r="B4060" i="2"/>
  <c r="J4059" i="2" s="1"/>
  <c r="M4059" i="2"/>
  <c r="K4059" i="2" l="1"/>
  <c r="B4061" i="2"/>
  <c r="J4060" i="2" s="1"/>
  <c r="M4060" i="2"/>
  <c r="K4060" i="2" l="1"/>
  <c r="B4062" i="2"/>
  <c r="J4061" i="2" s="1"/>
  <c r="M4061" i="2"/>
  <c r="K4061" i="2" l="1"/>
  <c r="B4063" i="2"/>
  <c r="K4062" i="2" s="1"/>
  <c r="M4062" i="2"/>
  <c r="J4062" i="2" l="1"/>
  <c r="B4064" i="2"/>
  <c r="K4063" i="2" s="1"/>
  <c r="M4063" i="2"/>
  <c r="J4063" i="2" l="1"/>
  <c r="B4065" i="2"/>
  <c r="J4064" i="2" s="1"/>
  <c r="M4064" i="2"/>
  <c r="K4064" i="2" l="1"/>
  <c r="B4066" i="2"/>
  <c r="J4065" i="2" s="1"/>
  <c r="M4065" i="2"/>
  <c r="K4065" i="2" l="1"/>
  <c r="B4067" i="2"/>
  <c r="J4066" i="2" s="1"/>
  <c r="M4066" i="2"/>
  <c r="K4066" i="2" l="1"/>
  <c r="B4068" i="2"/>
  <c r="K4067" i="2" s="1"/>
  <c r="M4067" i="2"/>
  <c r="J4067" i="2" l="1"/>
  <c r="B4069" i="2"/>
  <c r="J4068" i="2" s="1"/>
  <c r="M4068" i="2"/>
  <c r="K4068" i="2" l="1"/>
  <c r="B4070" i="2"/>
  <c r="J4069" i="2" s="1"/>
  <c r="M4069" i="2"/>
  <c r="K4069" i="2" l="1"/>
  <c r="B4071" i="2"/>
  <c r="K4070" i="2" s="1"/>
  <c r="M4070" i="2"/>
  <c r="J4070" i="2" l="1"/>
  <c r="B4072" i="2"/>
  <c r="J4071" i="2" s="1"/>
  <c r="M4071" i="2"/>
  <c r="K4071" i="2" l="1"/>
  <c r="B4073" i="2"/>
  <c r="J4072" i="2" s="1"/>
  <c r="M4072" i="2"/>
  <c r="K4072" i="2" l="1"/>
  <c r="B4074" i="2"/>
  <c r="J4073" i="2" s="1"/>
  <c r="M4073" i="2"/>
  <c r="K4073" i="2" l="1"/>
  <c r="B4075" i="2"/>
  <c r="K4074" i="2" s="1"/>
  <c r="M4074" i="2"/>
  <c r="J4074" i="2" l="1"/>
  <c r="B4076" i="2"/>
  <c r="J4075" i="2" s="1"/>
  <c r="M4075" i="2"/>
  <c r="K4075" i="2" l="1"/>
  <c r="B4077" i="2"/>
  <c r="K4076" i="2" s="1"/>
  <c r="M4076" i="2"/>
  <c r="J4076" i="2" l="1"/>
  <c r="B4078" i="2"/>
  <c r="J4077" i="2" s="1"/>
  <c r="M4077" i="2"/>
  <c r="K4077" i="2" l="1"/>
  <c r="B4079" i="2"/>
  <c r="J4078" i="2" s="1"/>
  <c r="M4078" i="2"/>
  <c r="K4078" i="2" l="1"/>
  <c r="B4080" i="2"/>
  <c r="K4079" i="2" s="1"/>
  <c r="M4079" i="2"/>
  <c r="J4079" i="2" l="1"/>
  <c r="B4081" i="2"/>
  <c r="K4080" i="2" s="1"/>
  <c r="M4080" i="2"/>
  <c r="J4080" i="2" l="1"/>
  <c r="B4082" i="2"/>
  <c r="J4081" i="2" s="1"/>
  <c r="M4081" i="2"/>
  <c r="K4081" i="2" l="1"/>
  <c r="B4083" i="2"/>
  <c r="J4082" i="2" s="1"/>
  <c r="M4082" i="2"/>
  <c r="K4082" i="2" l="1"/>
  <c r="B4084" i="2"/>
  <c r="K4083" i="2" s="1"/>
  <c r="M4083" i="2"/>
  <c r="J4083" i="2" l="1"/>
  <c r="B4085" i="2"/>
  <c r="J4084" i="2" s="1"/>
  <c r="M4084" i="2"/>
  <c r="K4084" i="2" l="1"/>
  <c r="B4086" i="2"/>
  <c r="J4085" i="2" s="1"/>
  <c r="M4085" i="2"/>
  <c r="K4085" i="2" l="1"/>
  <c r="B4087" i="2"/>
  <c r="K4086" i="2" s="1"/>
  <c r="M4086" i="2"/>
  <c r="J4086" i="2" l="1"/>
  <c r="B4088" i="2"/>
  <c r="J4087" i="2" s="1"/>
  <c r="M4087" i="2"/>
  <c r="K4087" i="2" l="1"/>
  <c r="B4089" i="2"/>
  <c r="J4088" i="2" s="1"/>
  <c r="M4088" i="2"/>
  <c r="K4088" i="2" l="1"/>
  <c r="B4090" i="2"/>
  <c r="K4089" i="2" s="1"/>
  <c r="M4089" i="2"/>
  <c r="J4089" i="2" l="1"/>
  <c r="B4091" i="2"/>
  <c r="J4090" i="2" s="1"/>
  <c r="M4090" i="2"/>
  <c r="K4090" i="2" l="1"/>
  <c r="B4092" i="2"/>
  <c r="J4091" i="2" s="1"/>
  <c r="M4091" i="2"/>
  <c r="K4091" i="2" l="1"/>
  <c r="B4093" i="2"/>
  <c r="K4092" i="2" s="1"/>
  <c r="M4092" i="2"/>
  <c r="J4092" i="2" l="1"/>
  <c r="B4094" i="2"/>
  <c r="J4093" i="2" s="1"/>
  <c r="M4093" i="2"/>
  <c r="K4093" i="2" l="1"/>
  <c r="B4095" i="2"/>
  <c r="J4094" i="2" s="1"/>
  <c r="M4094" i="2"/>
  <c r="K4094" i="2" l="1"/>
  <c r="B4096" i="2"/>
  <c r="K4095" i="2" s="1"/>
  <c r="M4095" i="2"/>
  <c r="J4095" i="2" l="1"/>
  <c r="B4097" i="2"/>
  <c r="J4096" i="2" s="1"/>
  <c r="M4096" i="2"/>
  <c r="K4096" i="2" l="1"/>
  <c r="B4098" i="2"/>
  <c r="J4097" i="2" s="1"/>
  <c r="M4097" i="2"/>
  <c r="K4097" i="2" l="1"/>
  <c r="B4099" i="2"/>
  <c r="K4098" i="2" s="1"/>
  <c r="M4098" i="2"/>
  <c r="J4098" i="2" l="1"/>
  <c r="B4100" i="2"/>
  <c r="J4099" i="2" s="1"/>
  <c r="M4099" i="2"/>
  <c r="K4099" i="2" l="1"/>
  <c r="B4101" i="2"/>
  <c r="J4100" i="2" s="1"/>
  <c r="M4100" i="2"/>
  <c r="K4100" i="2" l="1"/>
  <c r="B4102" i="2"/>
  <c r="K4101" i="2" s="1"/>
  <c r="M4101" i="2"/>
  <c r="J4101" i="2" l="1"/>
  <c r="B4103" i="2"/>
  <c r="J4102" i="2" s="1"/>
  <c r="M4102" i="2"/>
  <c r="K4102" i="2" l="1"/>
  <c r="B4104" i="2"/>
  <c r="J4103" i="2" s="1"/>
  <c r="M4103" i="2"/>
  <c r="K4103" i="2" l="1"/>
  <c r="B4105" i="2"/>
  <c r="K4104" i="2" s="1"/>
  <c r="M4104" i="2"/>
  <c r="J4104" i="2" l="1"/>
  <c r="B4106" i="2"/>
  <c r="J4105" i="2" s="1"/>
  <c r="M4105" i="2"/>
  <c r="K4105" i="2" l="1"/>
  <c r="B4107" i="2"/>
  <c r="J4106" i="2" s="1"/>
  <c r="M4106" i="2"/>
  <c r="K4106" i="2" l="1"/>
  <c r="B4108" i="2"/>
  <c r="K4107" i="2" s="1"/>
  <c r="M4107" i="2"/>
  <c r="J4107" i="2" l="1"/>
  <c r="B4109" i="2"/>
  <c r="J4108" i="2" s="1"/>
  <c r="M4108" i="2"/>
  <c r="K4108" i="2" l="1"/>
  <c r="B4110" i="2"/>
  <c r="J4109" i="2" s="1"/>
  <c r="M4109" i="2"/>
  <c r="K4109" i="2" l="1"/>
  <c r="B4111" i="2"/>
  <c r="K4110" i="2" s="1"/>
  <c r="M4110" i="2"/>
  <c r="J4110" i="2" l="1"/>
  <c r="B4112" i="2"/>
  <c r="J4111" i="2" s="1"/>
  <c r="M4111" i="2"/>
  <c r="K4111" i="2" l="1"/>
  <c r="B4113" i="2"/>
  <c r="J4112" i="2" s="1"/>
  <c r="M4112" i="2"/>
  <c r="K4112" i="2" l="1"/>
  <c r="B4114" i="2"/>
  <c r="K4113" i="2" s="1"/>
  <c r="M4113" i="2"/>
  <c r="J4113" i="2" l="1"/>
  <c r="B4115" i="2"/>
  <c r="J4114" i="2" s="1"/>
  <c r="M4114" i="2"/>
  <c r="K4114" i="2" l="1"/>
  <c r="B4116" i="2"/>
  <c r="J4115" i="2" s="1"/>
  <c r="M4115" i="2"/>
  <c r="K4115" i="2" l="1"/>
  <c r="B4117" i="2"/>
  <c r="K4116" i="2" s="1"/>
  <c r="M4116" i="2"/>
  <c r="J4116" i="2" l="1"/>
  <c r="B4118" i="2"/>
  <c r="J4117" i="2" s="1"/>
  <c r="M4117" i="2"/>
  <c r="K4117" i="2" l="1"/>
  <c r="B4119" i="2"/>
  <c r="J4118" i="2" s="1"/>
  <c r="M4118" i="2"/>
  <c r="K4118" i="2" l="1"/>
  <c r="B4120" i="2"/>
  <c r="K4119" i="2" s="1"/>
  <c r="M4119" i="2"/>
  <c r="J4119" i="2" l="1"/>
  <c r="B4121" i="2"/>
  <c r="J4120" i="2" s="1"/>
  <c r="M4120" i="2"/>
  <c r="K4120" i="2" l="1"/>
  <c r="B4122" i="2"/>
  <c r="J4121" i="2" s="1"/>
  <c r="M4121" i="2"/>
  <c r="K4121" i="2" l="1"/>
  <c r="B4123" i="2"/>
  <c r="K4122" i="2" s="1"/>
  <c r="M4122" i="2"/>
  <c r="J4122" i="2" l="1"/>
  <c r="B4124" i="2"/>
  <c r="J4123" i="2" s="1"/>
  <c r="M4123" i="2"/>
  <c r="K4123" i="2" l="1"/>
  <c r="B4125" i="2"/>
  <c r="J4124" i="2" s="1"/>
  <c r="M4124" i="2"/>
  <c r="K4124" i="2" l="1"/>
  <c r="B4126" i="2"/>
  <c r="K4125" i="2" s="1"/>
  <c r="M4125" i="2"/>
  <c r="J4125" i="2" l="1"/>
  <c r="B4127" i="2"/>
  <c r="J4126" i="2" s="1"/>
  <c r="M4126" i="2"/>
  <c r="K4126" i="2" l="1"/>
  <c r="B4128" i="2"/>
  <c r="J4127" i="2" s="1"/>
  <c r="M4127" i="2"/>
  <c r="K4127" i="2" l="1"/>
  <c r="B4129" i="2"/>
  <c r="K4128" i="2" s="1"/>
  <c r="M4128" i="2"/>
  <c r="J4128" i="2" l="1"/>
  <c r="B4130" i="2"/>
  <c r="J4129" i="2" s="1"/>
  <c r="M4129" i="2"/>
  <c r="K4129" i="2" l="1"/>
  <c r="B4131" i="2"/>
  <c r="J4130" i="2" s="1"/>
  <c r="M4130" i="2"/>
  <c r="K4130" i="2" l="1"/>
  <c r="B4132" i="2"/>
  <c r="K4131" i="2" s="1"/>
  <c r="M4131" i="2"/>
  <c r="J4131" i="2" l="1"/>
  <c r="B4133" i="2"/>
  <c r="J4132" i="2" s="1"/>
  <c r="M4132" i="2"/>
  <c r="K4132" i="2" l="1"/>
  <c r="B4134" i="2"/>
  <c r="J4133" i="2" s="1"/>
  <c r="M4133" i="2"/>
  <c r="K4133" i="2" l="1"/>
  <c r="B4135" i="2"/>
  <c r="K4134" i="2" s="1"/>
  <c r="M4134" i="2"/>
  <c r="J4134" i="2" l="1"/>
  <c r="B4136" i="2"/>
  <c r="J4135" i="2" s="1"/>
  <c r="M4135" i="2"/>
  <c r="K4135" i="2" l="1"/>
  <c r="B4137" i="2"/>
  <c r="J4136" i="2" s="1"/>
  <c r="M4136" i="2"/>
  <c r="K4136" i="2" l="1"/>
  <c r="B4138" i="2"/>
  <c r="K4137" i="2" s="1"/>
  <c r="M4137" i="2"/>
  <c r="J4137" i="2" l="1"/>
  <c r="B4139" i="2"/>
  <c r="J4138" i="2" s="1"/>
  <c r="M4138" i="2"/>
  <c r="K4138" i="2" l="1"/>
  <c r="B4140" i="2"/>
  <c r="J4139" i="2" s="1"/>
  <c r="M4139" i="2"/>
  <c r="K4139" i="2" l="1"/>
  <c r="B4141" i="2"/>
  <c r="K4140" i="2" s="1"/>
  <c r="M4140" i="2"/>
  <c r="J4140" i="2" l="1"/>
  <c r="B4142" i="2"/>
  <c r="J4141" i="2" s="1"/>
  <c r="M4141" i="2"/>
  <c r="K4141" i="2" l="1"/>
  <c r="B4143" i="2"/>
  <c r="J4142" i="2" s="1"/>
  <c r="M4142" i="2"/>
  <c r="K4142" i="2" l="1"/>
  <c r="B4144" i="2"/>
  <c r="K4143" i="2" s="1"/>
  <c r="M4143" i="2"/>
  <c r="J4143" i="2" l="1"/>
  <c r="B4145" i="2"/>
  <c r="J4144" i="2" s="1"/>
  <c r="M4144" i="2"/>
  <c r="K4144" i="2" l="1"/>
  <c r="B4146" i="2"/>
  <c r="J4145" i="2" s="1"/>
  <c r="M4145" i="2"/>
  <c r="K4145" i="2" l="1"/>
  <c r="B4147" i="2"/>
  <c r="J4146" i="2" s="1"/>
  <c r="M4146" i="2"/>
  <c r="K4146" i="2" l="1"/>
  <c r="B4148" i="2"/>
  <c r="J4147" i="2" s="1"/>
  <c r="M4147" i="2"/>
  <c r="K4147" i="2" l="1"/>
  <c r="B4149" i="2"/>
  <c r="J4148" i="2" s="1"/>
  <c r="M4148" i="2"/>
  <c r="K4148" i="2" l="1"/>
  <c r="B4150" i="2"/>
  <c r="J4149" i="2" s="1"/>
  <c r="M4149" i="2"/>
  <c r="K4149" i="2" l="1"/>
  <c r="B4151" i="2"/>
  <c r="J4150" i="2" s="1"/>
  <c r="M4150" i="2"/>
  <c r="K4150" i="2" l="1"/>
  <c r="B4152" i="2"/>
  <c r="J4151" i="2" s="1"/>
  <c r="M4151" i="2"/>
  <c r="K4151" i="2" l="1"/>
  <c r="B4153" i="2"/>
  <c r="J4152" i="2" s="1"/>
  <c r="M4152" i="2"/>
  <c r="K4152" i="2" l="1"/>
  <c r="B4154" i="2"/>
  <c r="J4153" i="2" s="1"/>
  <c r="M4153" i="2"/>
  <c r="K4153" i="2" l="1"/>
  <c r="B4155" i="2"/>
  <c r="J4154" i="2" s="1"/>
  <c r="M4154" i="2"/>
  <c r="K4154" i="2" l="1"/>
  <c r="B4156" i="2"/>
  <c r="J4155" i="2" s="1"/>
  <c r="M4155" i="2"/>
  <c r="K4155" i="2" l="1"/>
  <c r="B4157" i="2"/>
  <c r="J4156" i="2" s="1"/>
  <c r="M4156" i="2"/>
  <c r="K4156" i="2" l="1"/>
  <c r="B4158" i="2"/>
  <c r="J4157" i="2" s="1"/>
  <c r="M4157" i="2"/>
  <c r="K4157" i="2" l="1"/>
  <c r="B4159" i="2"/>
  <c r="J4158" i="2" s="1"/>
  <c r="M4158" i="2"/>
  <c r="K4158" i="2" l="1"/>
  <c r="B4160" i="2"/>
  <c r="J4159" i="2" s="1"/>
  <c r="M4159" i="2"/>
  <c r="K4159" i="2" l="1"/>
  <c r="B4161" i="2"/>
  <c r="J4160" i="2" s="1"/>
  <c r="M4160" i="2"/>
  <c r="K4160" i="2" l="1"/>
  <c r="B4162" i="2"/>
  <c r="J4161" i="2" s="1"/>
  <c r="M4161" i="2"/>
  <c r="K4161" i="2" l="1"/>
  <c r="B4163" i="2"/>
  <c r="J4162" i="2" s="1"/>
  <c r="M4162" i="2"/>
  <c r="K4162" i="2" l="1"/>
  <c r="B4164" i="2"/>
  <c r="J4163" i="2" s="1"/>
  <c r="M4163" i="2"/>
  <c r="K4163" i="2" l="1"/>
  <c r="B4165" i="2"/>
  <c r="K4164" i="2" s="1"/>
  <c r="M4164" i="2"/>
  <c r="J4164" i="2" l="1"/>
  <c r="B4166" i="2"/>
  <c r="J4165" i="2" s="1"/>
  <c r="M4165" i="2"/>
  <c r="K4165" i="2" l="1"/>
  <c r="B4167" i="2"/>
  <c r="J4166" i="2" s="1"/>
  <c r="M4166" i="2"/>
  <c r="K4166" i="2" l="1"/>
  <c r="B4168" i="2"/>
  <c r="J4167" i="2" s="1"/>
  <c r="M4167" i="2"/>
  <c r="K4167" i="2" l="1"/>
  <c r="B4169" i="2"/>
  <c r="J4168" i="2" s="1"/>
  <c r="M4168" i="2"/>
  <c r="K4168" i="2" l="1"/>
  <c r="B4170" i="2"/>
  <c r="J4169" i="2" s="1"/>
  <c r="M4169" i="2"/>
  <c r="K4169" i="2" l="1"/>
  <c r="B4171" i="2"/>
  <c r="J4170" i="2" s="1"/>
  <c r="M4170" i="2"/>
  <c r="K4170" i="2" l="1"/>
  <c r="B4172" i="2"/>
  <c r="J4171" i="2" s="1"/>
  <c r="M4171" i="2"/>
  <c r="K4171" i="2" l="1"/>
  <c r="B4173" i="2"/>
  <c r="J4172" i="2" s="1"/>
  <c r="M4172" i="2"/>
  <c r="K4172" i="2" l="1"/>
  <c r="B4174" i="2"/>
  <c r="J4173" i="2" s="1"/>
  <c r="M4173" i="2"/>
  <c r="K4173" i="2" l="1"/>
  <c r="B4175" i="2"/>
  <c r="K4174" i="2" s="1"/>
  <c r="M4174" i="2"/>
  <c r="J4174" i="2" l="1"/>
  <c r="B4176" i="2"/>
  <c r="J4175" i="2" s="1"/>
  <c r="M4175" i="2"/>
  <c r="K4175" i="2" l="1"/>
  <c r="B4177" i="2"/>
  <c r="J4176" i="2" s="1"/>
  <c r="M4176" i="2"/>
  <c r="K4176" i="2" l="1"/>
  <c r="B4178" i="2"/>
  <c r="K4177" i="2" s="1"/>
  <c r="M4177" i="2"/>
  <c r="J4177" i="2" l="1"/>
  <c r="B4179" i="2"/>
  <c r="J4178" i="2" s="1"/>
  <c r="M4178" i="2"/>
  <c r="K4178" i="2" l="1"/>
  <c r="B4180" i="2"/>
  <c r="J4179" i="2" s="1"/>
  <c r="M4179" i="2"/>
  <c r="K4179" i="2" l="1"/>
  <c r="B4181" i="2"/>
  <c r="K4180" i="2" s="1"/>
  <c r="M4180" i="2"/>
  <c r="J4180" i="2" l="1"/>
  <c r="B4182" i="2"/>
  <c r="J4181" i="2" s="1"/>
  <c r="M4181" i="2"/>
  <c r="K4181" i="2" l="1"/>
  <c r="B4183" i="2"/>
  <c r="K4182" i="2" s="1"/>
  <c r="M4182" i="2"/>
  <c r="J4182" i="2" l="1"/>
  <c r="B4184" i="2"/>
  <c r="K4183" i="2" s="1"/>
  <c r="M4183" i="2"/>
  <c r="J4183" i="2" l="1"/>
  <c r="B4185" i="2"/>
  <c r="J4184" i="2" s="1"/>
  <c r="M4184" i="2"/>
  <c r="K4184" i="2" l="1"/>
  <c r="B4186" i="2"/>
  <c r="J4185" i="2" s="1"/>
  <c r="M4185" i="2"/>
  <c r="K4185" i="2" l="1"/>
  <c r="B4187" i="2"/>
  <c r="K4186" i="2" s="1"/>
  <c r="M4186" i="2"/>
  <c r="J4186" i="2" l="1"/>
  <c r="B4188" i="2"/>
  <c r="K4187" i="2" s="1"/>
  <c r="M4187" i="2"/>
  <c r="J4187" i="2" l="1"/>
  <c r="B4189" i="2"/>
  <c r="J4188" i="2" s="1"/>
  <c r="M4188" i="2"/>
  <c r="K4188" i="2" l="1"/>
  <c r="B4190" i="2"/>
  <c r="K4189" i="2" s="1"/>
  <c r="M4189" i="2"/>
  <c r="J4189" i="2" l="1"/>
  <c r="B4191" i="2"/>
  <c r="J4190" i="2" s="1"/>
  <c r="M4190" i="2"/>
  <c r="K4190" i="2" l="1"/>
  <c r="B4192" i="2"/>
  <c r="K4191" i="2" s="1"/>
  <c r="M4191" i="2"/>
  <c r="J4191" i="2" l="1"/>
  <c r="B4193" i="2"/>
  <c r="K4192" i="2" s="1"/>
  <c r="M4192" i="2"/>
  <c r="J4192" i="2" l="1"/>
  <c r="B4194" i="2"/>
  <c r="J4193" i="2" s="1"/>
  <c r="M4193" i="2"/>
  <c r="K4193" i="2" l="1"/>
  <c r="B4195" i="2"/>
  <c r="J4194" i="2" s="1"/>
  <c r="M4194" i="2"/>
  <c r="K4194" i="2" l="1"/>
  <c r="B4196" i="2"/>
  <c r="K4195" i="2" s="1"/>
  <c r="M4195" i="2"/>
  <c r="J4195" i="2" l="1"/>
  <c r="B4197" i="2"/>
  <c r="K4196" i="2" s="1"/>
  <c r="M4196" i="2"/>
  <c r="J4196" i="2" l="1"/>
  <c r="B4198" i="2"/>
  <c r="J4197" i="2" s="1"/>
  <c r="M4197" i="2"/>
  <c r="K4197" i="2" l="1"/>
  <c r="B4199" i="2"/>
  <c r="K4198" i="2" s="1"/>
  <c r="M4198" i="2"/>
  <c r="J4198" i="2" l="1"/>
  <c r="B4200" i="2"/>
  <c r="J4199" i="2" s="1"/>
  <c r="M4199" i="2"/>
  <c r="K4199" i="2" l="1"/>
  <c r="B4201" i="2"/>
  <c r="J4200" i="2" s="1"/>
  <c r="M4200" i="2"/>
  <c r="K4200" i="2" l="1"/>
  <c r="B4202" i="2"/>
  <c r="K4201" i="2" s="1"/>
  <c r="M4201" i="2"/>
  <c r="J4201" i="2" l="1"/>
  <c r="B4203" i="2"/>
  <c r="J4202" i="2" s="1"/>
  <c r="M4202" i="2"/>
  <c r="K4202" i="2" l="1"/>
  <c r="B4204" i="2"/>
  <c r="J4203" i="2" s="1"/>
  <c r="M4203" i="2"/>
  <c r="K4203" i="2" l="1"/>
  <c r="B4205" i="2"/>
  <c r="K4204" i="2" s="1"/>
  <c r="M4204" i="2"/>
  <c r="J4204" i="2" l="1"/>
  <c r="B4206" i="2"/>
  <c r="J4205" i="2" s="1"/>
  <c r="M4205" i="2"/>
  <c r="K4205" i="2" l="1"/>
  <c r="B4207" i="2"/>
  <c r="J4206" i="2" s="1"/>
  <c r="M4206" i="2"/>
  <c r="K4206" i="2" l="1"/>
  <c r="B4208" i="2"/>
  <c r="K4207" i="2" s="1"/>
  <c r="M4207" i="2"/>
  <c r="J4207" i="2" l="1"/>
  <c r="B4209" i="2"/>
  <c r="J4208" i="2" s="1"/>
  <c r="M4208" i="2"/>
  <c r="K4208" i="2" l="1"/>
  <c r="B4210" i="2"/>
  <c r="K4209" i="2" s="1"/>
  <c r="M4209" i="2"/>
  <c r="J4209" i="2" l="1"/>
  <c r="B4211" i="2"/>
  <c r="K4210" i="2" s="1"/>
  <c r="M4210" i="2"/>
  <c r="J4210" i="2" l="1"/>
  <c r="B4212" i="2"/>
  <c r="J4211" i="2" s="1"/>
  <c r="M4211" i="2"/>
  <c r="K4211" i="2" l="1"/>
  <c r="B4213" i="2"/>
  <c r="J4212" i="2" s="1"/>
  <c r="M4212" i="2"/>
  <c r="K4212" i="2" l="1"/>
  <c r="B4214" i="2"/>
  <c r="K4213" i="2" s="1"/>
  <c r="M4213" i="2"/>
  <c r="J4213" i="2" l="1"/>
  <c r="B4215" i="2"/>
  <c r="K4214" i="2" s="1"/>
  <c r="M4214" i="2"/>
  <c r="J4214" i="2" l="1"/>
  <c r="B4216" i="2"/>
  <c r="J4215" i="2" s="1"/>
  <c r="M4215" i="2"/>
  <c r="K4215" i="2" l="1"/>
  <c r="B4217" i="2"/>
  <c r="K4216" i="2" s="1"/>
  <c r="M4216" i="2"/>
  <c r="J4216" i="2" l="1"/>
  <c r="B4218" i="2"/>
  <c r="J4217" i="2" s="1"/>
  <c r="M4217" i="2"/>
  <c r="K4217" i="2" l="1"/>
  <c r="B4219" i="2"/>
  <c r="K4218" i="2" s="1"/>
  <c r="M4218" i="2"/>
  <c r="J4218" i="2" l="1"/>
  <c r="B4220" i="2"/>
  <c r="K4219" i="2" s="1"/>
  <c r="M4219" i="2"/>
  <c r="J4219" i="2" l="1"/>
  <c r="B4221" i="2"/>
  <c r="J4220" i="2" s="1"/>
  <c r="M4220" i="2"/>
  <c r="K4220" i="2" l="1"/>
  <c r="B4222" i="2"/>
  <c r="J4221" i="2" s="1"/>
  <c r="M4221" i="2"/>
  <c r="K4221" i="2" l="1"/>
  <c r="B4223" i="2"/>
  <c r="K4222" i="2" s="1"/>
  <c r="M4222" i="2"/>
  <c r="J4222" i="2" l="1"/>
  <c r="B4224" i="2"/>
  <c r="K4223" i="2" s="1"/>
  <c r="M4223" i="2"/>
  <c r="J4223" i="2" l="1"/>
  <c r="B4225" i="2"/>
  <c r="J4224" i="2" s="1"/>
  <c r="M4224" i="2"/>
  <c r="K4224" i="2" l="1"/>
  <c r="B4226" i="2"/>
  <c r="K4225" i="2" s="1"/>
  <c r="M4225" i="2"/>
  <c r="J4225" i="2" l="1"/>
  <c r="B4227" i="2"/>
  <c r="J4226" i="2" s="1"/>
  <c r="M4226" i="2"/>
  <c r="K4226" i="2" l="1"/>
  <c r="B4228" i="2"/>
  <c r="K4227" i="2" s="1"/>
  <c r="M4227" i="2"/>
  <c r="J4227" i="2" l="1"/>
  <c r="B4229" i="2"/>
  <c r="K4228" i="2" s="1"/>
  <c r="M4228" i="2"/>
  <c r="J4228" i="2" l="1"/>
  <c r="B4230" i="2"/>
  <c r="J4229" i="2" s="1"/>
  <c r="M4229" i="2"/>
  <c r="K4229" i="2" l="1"/>
  <c r="B4231" i="2"/>
  <c r="J4230" i="2" s="1"/>
  <c r="M4230" i="2"/>
  <c r="K4230" i="2" l="1"/>
  <c r="B4232" i="2"/>
  <c r="K4231" i="2" s="1"/>
  <c r="M4231" i="2"/>
  <c r="J4231" i="2" l="1"/>
  <c r="B4233" i="2"/>
  <c r="J4232" i="2" s="1"/>
  <c r="M4232" i="2"/>
  <c r="K4232" i="2" l="1"/>
  <c r="B4234" i="2"/>
  <c r="J4233" i="2" s="1"/>
  <c r="M4233" i="2"/>
  <c r="K4233" i="2" l="1"/>
  <c r="B4235" i="2"/>
  <c r="K4234" i="2" s="1"/>
  <c r="M4234" i="2"/>
  <c r="J4234" i="2" l="1"/>
  <c r="B4236" i="2"/>
  <c r="K4235" i="2" s="1"/>
  <c r="M4235" i="2"/>
  <c r="J4235" i="2" l="1"/>
  <c r="B4237" i="2"/>
  <c r="J4236" i="2" s="1"/>
  <c r="M4236" i="2"/>
  <c r="K4236" i="2" l="1"/>
  <c r="B4238" i="2"/>
  <c r="K4237" i="2" s="1"/>
  <c r="M4237" i="2"/>
  <c r="J4237" i="2" l="1"/>
  <c r="B4239" i="2"/>
  <c r="J4238" i="2" s="1"/>
  <c r="M4238" i="2"/>
  <c r="K4238" i="2" l="1"/>
  <c r="B4240" i="2"/>
  <c r="J4239" i="2" s="1"/>
  <c r="M4239" i="2"/>
  <c r="K4239" i="2" l="1"/>
  <c r="B4241" i="2"/>
  <c r="K4240" i="2" s="1"/>
  <c r="M4240" i="2"/>
  <c r="J4240" i="2" l="1"/>
  <c r="B4242" i="2"/>
  <c r="J4241" i="2" s="1"/>
  <c r="M4241" i="2"/>
  <c r="K4241" i="2" l="1"/>
  <c r="B4243" i="2"/>
  <c r="J4242" i="2" s="1"/>
  <c r="M4242" i="2"/>
  <c r="K4242" i="2" l="1"/>
  <c r="B4244" i="2"/>
  <c r="K4243" i="2" s="1"/>
  <c r="M4243" i="2"/>
  <c r="J4243" i="2" l="1"/>
  <c r="B4245" i="2"/>
  <c r="J4244" i="2" s="1"/>
  <c r="M4244" i="2"/>
  <c r="K4244" i="2" l="1"/>
  <c r="B4246" i="2"/>
  <c r="J4245" i="2" s="1"/>
  <c r="M4245" i="2"/>
  <c r="K4245" i="2" l="1"/>
  <c r="B4247" i="2"/>
  <c r="K4246" i="2" s="1"/>
  <c r="M4246" i="2"/>
  <c r="J4246" i="2" l="1"/>
  <c r="B4248" i="2"/>
  <c r="K4247" i="2" s="1"/>
  <c r="M4247" i="2"/>
  <c r="J4247" i="2" l="1"/>
  <c r="B4249" i="2"/>
  <c r="J4248" i="2" s="1"/>
  <c r="M4248" i="2"/>
  <c r="K4248" i="2" l="1"/>
  <c r="B4250" i="2"/>
  <c r="K4249" i="2" s="1"/>
  <c r="M4249" i="2"/>
  <c r="J4249" i="2" l="1"/>
  <c r="B4251" i="2"/>
  <c r="J4250" i="2" s="1"/>
  <c r="M4250" i="2"/>
  <c r="K4250" i="2" l="1"/>
  <c r="B4252" i="2"/>
  <c r="J4251" i="2" s="1"/>
  <c r="M4251" i="2"/>
  <c r="K4251" i="2" l="1"/>
  <c r="B4253" i="2"/>
  <c r="K4252" i="2" s="1"/>
  <c r="M4252" i="2"/>
  <c r="J4252" i="2" l="1"/>
  <c r="B4254" i="2"/>
  <c r="J4253" i="2" s="1"/>
  <c r="M4253" i="2"/>
  <c r="K4253" i="2" l="1"/>
  <c r="B4255" i="2"/>
  <c r="J4254" i="2" s="1"/>
  <c r="M4254" i="2"/>
  <c r="K4254" i="2" l="1"/>
  <c r="B4256" i="2"/>
  <c r="J4255" i="2" s="1"/>
  <c r="M4255" i="2"/>
  <c r="K4255" i="2" l="1"/>
  <c r="B4257" i="2"/>
  <c r="J4256" i="2" s="1"/>
  <c r="M4256" i="2"/>
  <c r="K4256" i="2" l="1"/>
  <c r="B4258" i="2"/>
  <c r="K4257" i="2" s="1"/>
  <c r="M4257" i="2"/>
  <c r="J4257" i="2" l="1"/>
  <c r="B4259" i="2"/>
  <c r="J4258" i="2" s="1"/>
  <c r="M4258" i="2"/>
  <c r="K4258" i="2" l="1"/>
  <c r="B4260" i="2"/>
  <c r="J4259" i="2" s="1"/>
  <c r="M4259" i="2"/>
  <c r="K4259" i="2" l="1"/>
  <c r="B4261" i="2"/>
  <c r="K4260" i="2" s="1"/>
  <c r="M4260" i="2"/>
  <c r="J4260" i="2" l="1"/>
  <c r="B4262" i="2"/>
  <c r="J4261" i="2" s="1"/>
  <c r="M4261" i="2"/>
  <c r="K4261" i="2" l="1"/>
  <c r="B4263" i="2"/>
  <c r="J4262" i="2" s="1"/>
  <c r="M4262" i="2"/>
  <c r="K4262" i="2" l="1"/>
  <c r="B4264" i="2"/>
  <c r="K4263" i="2" s="1"/>
  <c r="M4263" i="2"/>
  <c r="J4263" i="2" l="1"/>
  <c r="B4265" i="2"/>
  <c r="J4264" i="2" s="1"/>
  <c r="M4264" i="2"/>
  <c r="K4264" i="2" l="1"/>
  <c r="B4266" i="2"/>
  <c r="J4265" i="2" s="1"/>
  <c r="M4265" i="2"/>
  <c r="K4265" i="2" l="1"/>
  <c r="B4267" i="2"/>
  <c r="J4266" i="2" s="1"/>
  <c r="M4266" i="2"/>
  <c r="K4266" i="2" l="1"/>
  <c r="B4268" i="2"/>
  <c r="J4267" i="2" s="1"/>
  <c r="M4267" i="2"/>
  <c r="K4267" i="2" l="1"/>
  <c r="B4269" i="2"/>
  <c r="J4268" i="2" s="1"/>
  <c r="M4268" i="2"/>
  <c r="K4268" i="2" l="1"/>
  <c r="B4270" i="2"/>
  <c r="J4269" i="2" s="1"/>
  <c r="M4269" i="2"/>
  <c r="K4269" i="2" l="1"/>
  <c r="B4271" i="2"/>
  <c r="J4270" i="2" s="1"/>
  <c r="M4270" i="2"/>
  <c r="K4270" i="2" l="1"/>
  <c r="B4272" i="2"/>
  <c r="J4271" i="2" s="1"/>
  <c r="M4271" i="2"/>
  <c r="K4271" i="2" l="1"/>
  <c r="B4273" i="2"/>
  <c r="J4272" i="2" s="1"/>
  <c r="M4272" i="2"/>
  <c r="K4272" i="2" l="1"/>
  <c r="B4274" i="2"/>
  <c r="J4273" i="2" s="1"/>
  <c r="M4273" i="2"/>
  <c r="K4273" i="2" l="1"/>
  <c r="B4275" i="2"/>
  <c r="J4274" i="2" s="1"/>
  <c r="M4274" i="2"/>
  <c r="K4274" i="2" l="1"/>
  <c r="B4276" i="2"/>
  <c r="K4275" i="2" s="1"/>
  <c r="M4275" i="2"/>
  <c r="J4275" i="2" l="1"/>
  <c r="B4277" i="2"/>
  <c r="J4276" i="2" s="1"/>
  <c r="M4276" i="2"/>
  <c r="K4276" i="2" l="1"/>
  <c r="B4278" i="2"/>
  <c r="J4277" i="2" s="1"/>
  <c r="M4277" i="2"/>
  <c r="K4277" i="2" l="1"/>
  <c r="B4279" i="2"/>
  <c r="K4278" i="2" s="1"/>
  <c r="M4278" i="2"/>
  <c r="J4278" i="2" l="1"/>
  <c r="B4280" i="2"/>
  <c r="J4279" i="2" s="1"/>
  <c r="M4279" i="2"/>
  <c r="K4279" i="2" l="1"/>
  <c r="B4281" i="2"/>
  <c r="J4280" i="2" s="1"/>
  <c r="M4280" i="2"/>
  <c r="K4280" i="2" l="1"/>
  <c r="B4282" i="2"/>
  <c r="K4281" i="2" s="1"/>
  <c r="M4281" i="2"/>
  <c r="J4281" i="2" l="1"/>
  <c r="B4283" i="2"/>
  <c r="J4282" i="2" s="1"/>
  <c r="M4282" i="2"/>
  <c r="K4282" i="2" l="1"/>
  <c r="B4284" i="2"/>
  <c r="J4283" i="2" s="1"/>
  <c r="M4283" i="2"/>
  <c r="K4283" i="2" l="1"/>
  <c r="B4285" i="2"/>
  <c r="J4284" i="2" s="1"/>
  <c r="M4284" i="2"/>
  <c r="K4284" i="2" l="1"/>
  <c r="B4286" i="2"/>
  <c r="J4285" i="2" s="1"/>
  <c r="M4285" i="2"/>
  <c r="K4285" i="2" l="1"/>
  <c r="B4287" i="2"/>
  <c r="K4286" i="2" s="1"/>
  <c r="M4286" i="2"/>
  <c r="J4286" i="2" l="1"/>
  <c r="B4288" i="2"/>
  <c r="J4287" i="2" s="1"/>
  <c r="M4287" i="2"/>
  <c r="K4287" i="2" l="1"/>
  <c r="B4289" i="2"/>
  <c r="J4288" i="2" s="1"/>
  <c r="M4288" i="2"/>
  <c r="K4288" i="2" l="1"/>
  <c r="B4290" i="2"/>
  <c r="J4289" i="2" s="1"/>
  <c r="M4289" i="2"/>
  <c r="K4289" i="2" l="1"/>
  <c r="B4291" i="2"/>
  <c r="J4290" i="2" s="1"/>
  <c r="M4290" i="2"/>
  <c r="K4290" i="2" l="1"/>
  <c r="B4292" i="2"/>
  <c r="J4291" i="2" s="1"/>
  <c r="M4291" i="2"/>
  <c r="K4291" i="2" l="1"/>
  <c r="B4293" i="2"/>
  <c r="J4292" i="2" s="1"/>
  <c r="M4292" i="2"/>
  <c r="K4292" i="2" l="1"/>
  <c r="B4294" i="2"/>
  <c r="K4293" i="2" s="1"/>
  <c r="M4293" i="2"/>
  <c r="J4293" i="2" l="1"/>
  <c r="B4295" i="2"/>
  <c r="J4294" i="2" s="1"/>
  <c r="M4294" i="2"/>
  <c r="K4294" i="2" l="1"/>
  <c r="B4296" i="2"/>
  <c r="J4295" i="2" s="1"/>
  <c r="M4295" i="2"/>
  <c r="K4295" i="2" l="1"/>
  <c r="B4297" i="2"/>
  <c r="K4296" i="2" s="1"/>
  <c r="M4296" i="2"/>
  <c r="J4296" i="2" l="1"/>
  <c r="B4298" i="2"/>
  <c r="J4297" i="2" s="1"/>
  <c r="M4297" i="2"/>
  <c r="K4297" i="2" l="1"/>
  <c r="B4299" i="2"/>
  <c r="J4298" i="2" s="1"/>
  <c r="M4298" i="2"/>
  <c r="K4298" i="2" l="1"/>
  <c r="B4300" i="2"/>
  <c r="K4299" i="2" s="1"/>
  <c r="M4299" i="2"/>
  <c r="J4299" i="2" l="1"/>
  <c r="B4301" i="2"/>
  <c r="J4300" i="2" s="1"/>
  <c r="M4300" i="2"/>
  <c r="K4300" i="2" l="1"/>
  <c r="B4302" i="2"/>
  <c r="J4301" i="2" s="1"/>
  <c r="M4301" i="2"/>
  <c r="K4301" i="2" l="1"/>
  <c r="B4303" i="2"/>
  <c r="J4302" i="2" s="1"/>
  <c r="M4302" i="2"/>
  <c r="K4302" i="2" l="1"/>
  <c r="B4304" i="2"/>
  <c r="J4303" i="2" s="1"/>
  <c r="M4303" i="2"/>
  <c r="K4303" i="2" l="1"/>
  <c r="B4305" i="2"/>
  <c r="J4304" i="2" s="1"/>
  <c r="M4304" i="2"/>
  <c r="K4304" i="2" l="1"/>
  <c r="B4306" i="2"/>
  <c r="J4305" i="2" s="1"/>
  <c r="M4305" i="2"/>
  <c r="K4305" i="2" l="1"/>
  <c r="B4307" i="2"/>
  <c r="J4306" i="2" s="1"/>
  <c r="M4306" i="2"/>
  <c r="K4306" i="2" l="1"/>
  <c r="B4308" i="2"/>
  <c r="J4307" i="2" s="1"/>
  <c r="M4307" i="2"/>
  <c r="K4307" i="2" l="1"/>
  <c r="B4309" i="2"/>
  <c r="J4308" i="2" s="1"/>
  <c r="M4308" i="2"/>
  <c r="K4308" i="2" l="1"/>
  <c r="B4310" i="2"/>
  <c r="J4309" i="2" s="1"/>
  <c r="M4309" i="2"/>
  <c r="K4309" i="2" l="1"/>
  <c r="B4311" i="2"/>
  <c r="J4310" i="2" s="1"/>
  <c r="M4310" i="2"/>
  <c r="K4310" i="2" l="1"/>
  <c r="B4312" i="2"/>
  <c r="K4311" i="2" s="1"/>
  <c r="M4311" i="2"/>
  <c r="J4311" i="2" l="1"/>
  <c r="B4313" i="2"/>
  <c r="J4312" i="2" s="1"/>
  <c r="M4312" i="2"/>
  <c r="K4312" i="2" l="1"/>
  <c r="B4314" i="2"/>
  <c r="J4313" i="2" s="1"/>
  <c r="M4313" i="2"/>
  <c r="K4313" i="2" l="1"/>
  <c r="B4315" i="2"/>
  <c r="K4314" i="2" s="1"/>
  <c r="M4314" i="2"/>
  <c r="J4314" i="2" l="1"/>
  <c r="B4316" i="2"/>
  <c r="J4315" i="2" s="1"/>
  <c r="M4315" i="2"/>
  <c r="K4315" i="2" l="1"/>
  <c r="B4317" i="2"/>
  <c r="J4316" i="2" s="1"/>
  <c r="M4316" i="2"/>
  <c r="K4316" i="2" l="1"/>
  <c r="B4318" i="2"/>
  <c r="K4317" i="2" s="1"/>
  <c r="M4317" i="2"/>
  <c r="J4317" i="2" l="1"/>
  <c r="B4319" i="2"/>
  <c r="J4318" i="2" s="1"/>
  <c r="M4318" i="2"/>
  <c r="K4318" i="2" l="1"/>
  <c r="B4320" i="2"/>
  <c r="J4319" i="2" s="1"/>
  <c r="M4319" i="2"/>
  <c r="K4319" i="2" l="1"/>
  <c r="B4321" i="2"/>
  <c r="J4320" i="2" s="1"/>
  <c r="M4320" i="2"/>
  <c r="K4320" i="2" l="1"/>
  <c r="B4322" i="2"/>
  <c r="J4321" i="2" s="1"/>
  <c r="M4321" i="2"/>
  <c r="K4321" i="2" l="1"/>
  <c r="B4323" i="2"/>
  <c r="J4322" i="2" s="1"/>
  <c r="M4322" i="2"/>
  <c r="K4322" i="2" l="1"/>
  <c r="B4324" i="2"/>
  <c r="J4323" i="2" s="1"/>
  <c r="M4323" i="2"/>
  <c r="K4323" i="2" l="1"/>
  <c r="B4325" i="2"/>
  <c r="J4324" i="2" s="1"/>
  <c r="M4324" i="2"/>
  <c r="K4324" i="2" l="1"/>
  <c r="B4326" i="2"/>
  <c r="J4325" i="2" s="1"/>
  <c r="M4325" i="2"/>
  <c r="K4325" i="2" l="1"/>
  <c r="B4327" i="2"/>
  <c r="J4326" i="2" s="1"/>
  <c r="M4326" i="2"/>
  <c r="K4326" i="2" l="1"/>
  <c r="B4328" i="2"/>
  <c r="J4327" i="2" s="1"/>
  <c r="M4327" i="2"/>
  <c r="K4327" i="2" l="1"/>
  <c r="B4329" i="2"/>
  <c r="J4328" i="2" s="1"/>
  <c r="M4328" i="2"/>
  <c r="K4328" i="2" l="1"/>
  <c r="B4330" i="2"/>
  <c r="K4329" i="2" s="1"/>
  <c r="M4329" i="2"/>
  <c r="J4329" i="2" l="1"/>
  <c r="B4331" i="2"/>
  <c r="J4330" i="2" s="1"/>
  <c r="M4330" i="2"/>
  <c r="K4330" i="2" l="1"/>
  <c r="B4332" i="2"/>
  <c r="J4331" i="2" s="1"/>
  <c r="M4331" i="2"/>
  <c r="K4331" i="2" l="1"/>
  <c r="B4333" i="2"/>
  <c r="J4332" i="2" s="1"/>
  <c r="M4332" i="2"/>
  <c r="K4332" i="2" l="1"/>
  <c r="B4334" i="2"/>
  <c r="J4333" i="2" s="1"/>
  <c r="M4333" i="2"/>
  <c r="K4333" i="2" l="1"/>
  <c r="B4335" i="2"/>
  <c r="J4334" i="2" s="1"/>
  <c r="M4334" i="2"/>
  <c r="K4334" i="2" l="1"/>
  <c r="B4336" i="2"/>
  <c r="K4335" i="2" s="1"/>
  <c r="M4335" i="2"/>
  <c r="J4335" i="2" l="1"/>
  <c r="B4337" i="2"/>
  <c r="J4336" i="2" s="1"/>
  <c r="M4336" i="2"/>
  <c r="K4336" i="2" l="1"/>
  <c r="B4338" i="2"/>
  <c r="J4337" i="2" s="1"/>
  <c r="M4337" i="2"/>
  <c r="K4337" i="2" l="1"/>
  <c r="B4339" i="2"/>
  <c r="K4338" i="2" s="1"/>
  <c r="M4338" i="2"/>
  <c r="J4338" i="2" l="1"/>
  <c r="B4340" i="2"/>
  <c r="J4339" i="2" s="1"/>
  <c r="M4339" i="2"/>
  <c r="K4339" i="2" l="1"/>
  <c r="B4341" i="2"/>
  <c r="J4340" i="2" s="1"/>
  <c r="M4340" i="2"/>
  <c r="K4340" i="2" l="1"/>
  <c r="B4342" i="2"/>
  <c r="J4341" i="2" s="1"/>
  <c r="M4341" i="2"/>
  <c r="K4341" i="2" l="1"/>
  <c r="B4343" i="2"/>
  <c r="J4342" i="2" s="1"/>
  <c r="M4342" i="2"/>
  <c r="K4342" i="2" l="1"/>
  <c r="B4344" i="2"/>
  <c r="K4343" i="2" s="1"/>
  <c r="M4343" i="2"/>
  <c r="J4343" i="2" l="1"/>
  <c r="B4345" i="2"/>
  <c r="J4344" i="2" s="1"/>
  <c r="M4344" i="2"/>
  <c r="K4344" i="2" l="1"/>
  <c r="B4346" i="2"/>
  <c r="J4345" i="2" s="1"/>
  <c r="M4345" i="2"/>
  <c r="K4345" i="2" l="1"/>
  <c r="B4347" i="2"/>
  <c r="K4346" i="2" s="1"/>
  <c r="M4346" i="2"/>
  <c r="J4346" i="2" l="1"/>
  <c r="B4348" i="2"/>
  <c r="J4347" i="2" s="1"/>
  <c r="M4347" i="2"/>
  <c r="K4347" i="2" l="1"/>
  <c r="B4349" i="2"/>
  <c r="J4348" i="2" s="1"/>
  <c r="M4348" i="2"/>
  <c r="K4348" i="2" l="1"/>
  <c r="B4350" i="2"/>
  <c r="J4349" i="2" s="1"/>
  <c r="M4349" i="2"/>
  <c r="K4349" i="2" l="1"/>
  <c r="B4351" i="2"/>
  <c r="J4350" i="2" s="1"/>
  <c r="M4350" i="2"/>
  <c r="K4350" i="2" l="1"/>
  <c r="B4352" i="2"/>
  <c r="J4351" i="2" s="1"/>
  <c r="M4351" i="2"/>
  <c r="K4351" i="2" l="1"/>
  <c r="B4353" i="2"/>
  <c r="J4352" i="2" s="1"/>
  <c r="M4352" i="2"/>
  <c r="K4352" i="2" l="1"/>
  <c r="B4354" i="2"/>
  <c r="J4353" i="2" s="1"/>
  <c r="M4353" i="2"/>
  <c r="K4353" i="2" l="1"/>
  <c r="B4355" i="2"/>
  <c r="J4354" i="2" s="1"/>
  <c r="M4354" i="2"/>
  <c r="K4354" i="2" l="1"/>
  <c r="B4356" i="2"/>
  <c r="J4355" i="2" s="1"/>
  <c r="M4355" i="2"/>
  <c r="K4355" i="2" l="1"/>
  <c r="B4357" i="2"/>
  <c r="J4356" i="2" s="1"/>
  <c r="M4356" i="2"/>
  <c r="K4356" i="2" l="1"/>
  <c r="B4358" i="2"/>
  <c r="J4357" i="2" s="1"/>
  <c r="M4357" i="2"/>
  <c r="K4357" i="2" l="1"/>
  <c r="B4359" i="2"/>
  <c r="J4358" i="2" s="1"/>
  <c r="M4358" i="2"/>
  <c r="K4358" i="2" l="1"/>
  <c r="B4360" i="2"/>
  <c r="K4359" i="2" s="1"/>
  <c r="M4359" i="2"/>
  <c r="J4359" i="2" l="1"/>
  <c r="B4361" i="2"/>
  <c r="J4360" i="2" s="1"/>
  <c r="M4360" i="2"/>
  <c r="K4360" i="2" l="1"/>
  <c r="B4362" i="2"/>
  <c r="K4361" i="2" s="1"/>
  <c r="M4361" i="2"/>
  <c r="J4361" i="2" l="1"/>
  <c r="B4363" i="2"/>
  <c r="J4362" i="2" s="1"/>
  <c r="M4362" i="2"/>
  <c r="K4362" i="2" l="1"/>
  <c r="B4364" i="2"/>
  <c r="J4363" i="2" s="1"/>
  <c r="M4363" i="2"/>
  <c r="K4363" i="2" l="1"/>
  <c r="B4365" i="2"/>
  <c r="K4364" i="2" s="1"/>
  <c r="M4364" i="2"/>
  <c r="J4364" i="2" l="1"/>
  <c r="B4366" i="2"/>
  <c r="K4365" i="2" s="1"/>
  <c r="M4365" i="2"/>
  <c r="J4365" i="2" l="1"/>
  <c r="B4367" i="2"/>
  <c r="J4366" i="2" s="1"/>
  <c r="M4366" i="2"/>
  <c r="K4366" i="2" l="1"/>
  <c r="B4368" i="2"/>
  <c r="K4367" i="2" s="1"/>
  <c r="M4367" i="2"/>
  <c r="J4367" i="2" l="1"/>
  <c r="B4369" i="2"/>
  <c r="J4368" i="2" s="1"/>
  <c r="M4368" i="2"/>
  <c r="K4368" i="2" l="1"/>
  <c r="B4370" i="2"/>
  <c r="J4369" i="2" s="1"/>
  <c r="M4369" i="2"/>
  <c r="K4369" i="2" l="1"/>
  <c r="B4371" i="2"/>
  <c r="K4370" i="2" s="1"/>
  <c r="M4370" i="2"/>
  <c r="J4370" i="2" l="1"/>
  <c r="B4372" i="2"/>
  <c r="K4371" i="2" s="1"/>
  <c r="M4371" i="2"/>
  <c r="J4371" i="2" l="1"/>
  <c r="B4373" i="2"/>
  <c r="J4372" i="2" s="1"/>
  <c r="M4372" i="2"/>
  <c r="K4372" i="2" l="1"/>
  <c r="B4374" i="2"/>
  <c r="K4373" i="2" s="1"/>
  <c r="M4373" i="2"/>
  <c r="J4373" i="2" l="1"/>
  <c r="B4375" i="2"/>
  <c r="J4374" i="2" s="1"/>
  <c r="M4374" i="2"/>
  <c r="K4374" i="2" l="1"/>
  <c r="B4376" i="2"/>
  <c r="J4375" i="2" s="1"/>
  <c r="M4375" i="2"/>
  <c r="K4375" i="2" l="1"/>
  <c r="B4377" i="2"/>
  <c r="K4376" i="2" s="1"/>
  <c r="M4376" i="2"/>
  <c r="J4376" i="2" l="1"/>
  <c r="B4378" i="2"/>
  <c r="K4377" i="2" s="1"/>
  <c r="M4377" i="2"/>
  <c r="J4377" i="2" l="1"/>
  <c r="B4379" i="2"/>
  <c r="J4378" i="2" s="1"/>
  <c r="M4378" i="2"/>
  <c r="K4378" i="2" l="1"/>
  <c r="B4380" i="2"/>
  <c r="K4379" i="2" s="1"/>
  <c r="M4379" i="2"/>
  <c r="J4379" i="2" l="1"/>
  <c r="B4381" i="2"/>
  <c r="J4380" i="2" s="1"/>
  <c r="M4380" i="2"/>
  <c r="K4380" i="2" l="1"/>
  <c r="B4382" i="2"/>
  <c r="J4381" i="2" s="1"/>
  <c r="M4381" i="2"/>
  <c r="K4381" i="2" l="1"/>
  <c r="B4383" i="2"/>
  <c r="K4382" i="2" s="1"/>
  <c r="M4382" i="2"/>
  <c r="J4382" i="2" l="1"/>
  <c r="B4384" i="2"/>
  <c r="K4383" i="2" s="1"/>
  <c r="M4383" i="2"/>
  <c r="J4383" i="2" l="1"/>
  <c r="B4385" i="2"/>
  <c r="J4384" i="2" s="1"/>
  <c r="M4384" i="2"/>
  <c r="K4384" i="2" l="1"/>
  <c r="B4386" i="2"/>
  <c r="K4385" i="2" s="1"/>
  <c r="M4385" i="2"/>
  <c r="J4385" i="2" l="1"/>
  <c r="B4387" i="2"/>
  <c r="J4386" i="2" s="1"/>
  <c r="M4386" i="2"/>
  <c r="K4386" i="2" l="1"/>
  <c r="B4388" i="2"/>
  <c r="J4387" i="2" s="1"/>
  <c r="M4387" i="2"/>
  <c r="K4387" i="2" l="1"/>
  <c r="B4389" i="2"/>
  <c r="K4388" i="2" s="1"/>
  <c r="M4388" i="2"/>
  <c r="J4388" i="2" l="1"/>
  <c r="B4390" i="2"/>
  <c r="K4389" i="2" s="1"/>
  <c r="M4389" i="2"/>
  <c r="J4389" i="2" l="1"/>
  <c r="B4391" i="2"/>
  <c r="J4390" i="2" s="1"/>
  <c r="M4390" i="2"/>
  <c r="K4390" i="2" l="1"/>
  <c r="B4392" i="2"/>
  <c r="K4391" i="2" s="1"/>
  <c r="M4391" i="2"/>
  <c r="J4391" i="2" l="1"/>
  <c r="B4393" i="2"/>
  <c r="J4392" i="2" s="1"/>
  <c r="M4392" i="2"/>
  <c r="K4392" i="2" l="1"/>
  <c r="B4394" i="2"/>
  <c r="J4393" i="2" s="1"/>
  <c r="M4393" i="2"/>
  <c r="K4393" i="2" l="1"/>
  <c r="B4395" i="2"/>
  <c r="K4394" i="2" s="1"/>
  <c r="M4394" i="2"/>
  <c r="J4394" i="2" l="1"/>
  <c r="B4396" i="2"/>
  <c r="K4395" i="2" s="1"/>
  <c r="M4395" i="2"/>
  <c r="J4395" i="2" l="1"/>
  <c r="B4397" i="2"/>
  <c r="K4396" i="2" s="1"/>
  <c r="M4396" i="2"/>
  <c r="J4396" i="2" l="1"/>
  <c r="B4398" i="2"/>
  <c r="K4397" i="2" s="1"/>
  <c r="M4397" i="2"/>
  <c r="J4397" i="2" l="1"/>
  <c r="B4399" i="2"/>
  <c r="K4398" i="2" s="1"/>
  <c r="M4398" i="2"/>
  <c r="J4398" i="2" l="1"/>
  <c r="B4400" i="2"/>
  <c r="K4399" i="2" s="1"/>
  <c r="M4399" i="2"/>
  <c r="J4399" i="2" l="1"/>
  <c r="B4401" i="2"/>
  <c r="K4400" i="2" s="1"/>
  <c r="M4400" i="2"/>
  <c r="J4400" i="2" l="1"/>
  <c r="B4402" i="2"/>
  <c r="J4401" i="2" s="1"/>
  <c r="M4401" i="2"/>
  <c r="K4401" i="2" l="1"/>
  <c r="B4403" i="2"/>
  <c r="K4402" i="2" s="1"/>
  <c r="M4402" i="2"/>
  <c r="J4402" i="2" l="1"/>
  <c r="B4404" i="2"/>
  <c r="K4403" i="2" s="1"/>
  <c r="M4403" i="2"/>
  <c r="J4403" i="2" l="1"/>
  <c r="B4405" i="2"/>
  <c r="J4404" i="2" s="1"/>
  <c r="M4404" i="2"/>
  <c r="K4404" i="2" l="1"/>
  <c r="B4406" i="2"/>
  <c r="K4405" i="2" s="1"/>
  <c r="M4405" i="2"/>
  <c r="J4405" i="2" l="1"/>
  <c r="B4407" i="2"/>
  <c r="K4406" i="2" s="1"/>
  <c r="M4406" i="2"/>
  <c r="J4406" i="2" l="1"/>
  <c r="B4408" i="2"/>
  <c r="K4407" i="2" s="1"/>
  <c r="M4407" i="2"/>
  <c r="J4407" i="2" l="1"/>
  <c r="B4409" i="2"/>
  <c r="K4408" i="2" s="1"/>
  <c r="M4408" i="2"/>
  <c r="J4408" i="2" l="1"/>
  <c r="B4410" i="2"/>
  <c r="J4409" i="2" s="1"/>
  <c r="M4409" i="2"/>
  <c r="K4409" i="2" l="1"/>
  <c r="B4411" i="2"/>
  <c r="K4410" i="2" s="1"/>
  <c r="M4410" i="2"/>
  <c r="J4410" i="2" l="1"/>
  <c r="B4412" i="2"/>
  <c r="J4411" i="2" s="1"/>
  <c r="M4411" i="2"/>
  <c r="K4411" i="2" l="1"/>
  <c r="B4413" i="2"/>
  <c r="J4412" i="2" s="1"/>
  <c r="M4412" i="2"/>
  <c r="K4412" i="2" l="1"/>
  <c r="B4414" i="2"/>
  <c r="K4413" i="2" s="1"/>
  <c r="M4413" i="2"/>
  <c r="J4413" i="2" l="1"/>
  <c r="B4415" i="2"/>
  <c r="K4414" i="2" s="1"/>
  <c r="M4414" i="2"/>
  <c r="J4414" i="2" l="1"/>
  <c r="B4416" i="2"/>
  <c r="J4415" i="2" s="1"/>
  <c r="M4415" i="2"/>
  <c r="K4415" i="2" l="1"/>
  <c r="B4417" i="2"/>
  <c r="J4416" i="2" s="1"/>
  <c r="M4416" i="2"/>
  <c r="K4416" i="2" l="1"/>
  <c r="B4418" i="2"/>
  <c r="K4417" i="2" s="1"/>
  <c r="M4417" i="2"/>
  <c r="J4417" i="2" l="1"/>
  <c r="B4419" i="2"/>
  <c r="K4418" i="2" s="1"/>
  <c r="M4418" i="2"/>
  <c r="J4418" i="2" l="1"/>
  <c r="B4420" i="2"/>
  <c r="J4419" i="2" s="1"/>
  <c r="M4419" i="2"/>
  <c r="K4419" i="2" l="1"/>
  <c r="B4421" i="2"/>
  <c r="K4420" i="2" s="1"/>
  <c r="M4420" i="2"/>
  <c r="J4420" i="2" l="1"/>
  <c r="B4422" i="2"/>
  <c r="K4421" i="2" s="1"/>
  <c r="M4421" i="2"/>
  <c r="J4421" i="2" l="1"/>
  <c r="B4423" i="2"/>
  <c r="J4422" i="2" s="1"/>
  <c r="M4422" i="2"/>
  <c r="K4422" i="2" l="1"/>
  <c r="B4424" i="2"/>
  <c r="K4423" i="2" s="1"/>
  <c r="M4423" i="2"/>
  <c r="J4423" i="2" l="1"/>
  <c r="B4425" i="2"/>
  <c r="K4424" i="2" s="1"/>
  <c r="M4424" i="2"/>
  <c r="J4424" i="2" l="1"/>
  <c r="B4426" i="2"/>
  <c r="K4425" i="2" s="1"/>
  <c r="M4425" i="2"/>
  <c r="J4425" i="2" l="1"/>
  <c r="B4427" i="2"/>
  <c r="K4426" i="2" s="1"/>
  <c r="M4426" i="2"/>
  <c r="J4426" i="2" l="1"/>
  <c r="B4428" i="2"/>
  <c r="J4427" i="2" s="1"/>
  <c r="M4427" i="2"/>
  <c r="K4427" i="2" l="1"/>
  <c r="B4429" i="2"/>
  <c r="K4428" i="2" s="1"/>
  <c r="M4428" i="2"/>
  <c r="J4428" i="2" l="1"/>
  <c r="B4430" i="2"/>
  <c r="K4429" i="2" s="1"/>
  <c r="M4429" i="2"/>
  <c r="J4429" i="2" l="1"/>
  <c r="B4431" i="2"/>
  <c r="J4430" i="2" s="1"/>
  <c r="M4430" i="2"/>
  <c r="K4430" i="2" l="1"/>
  <c r="B4432" i="2"/>
  <c r="K4431" i="2" s="1"/>
  <c r="M4431" i="2"/>
  <c r="J4431" i="2" l="1"/>
  <c r="B4433" i="2"/>
  <c r="K4432" i="2" s="1"/>
  <c r="M4432" i="2"/>
  <c r="J4432" i="2" l="1"/>
  <c r="B4434" i="2"/>
  <c r="J4433" i="2" s="1"/>
  <c r="M4433" i="2"/>
  <c r="K4433" i="2" l="1"/>
  <c r="B4435" i="2"/>
  <c r="J4434" i="2" s="1"/>
  <c r="M4434" i="2"/>
  <c r="K4434" i="2" l="1"/>
  <c r="B4436" i="2"/>
  <c r="K4435" i="2" s="1"/>
  <c r="M4435" i="2"/>
  <c r="J4435" i="2" l="1"/>
  <c r="B4437" i="2"/>
  <c r="K4436" i="2" s="1"/>
  <c r="M4436" i="2"/>
  <c r="J4436" i="2" l="1"/>
  <c r="B4438" i="2"/>
  <c r="J4437" i="2" s="1"/>
  <c r="M4437" i="2"/>
  <c r="K4437" i="2" l="1"/>
  <c r="B4439" i="2"/>
  <c r="K4438" i="2" s="1"/>
  <c r="M4438" i="2"/>
  <c r="J4438" i="2" l="1"/>
  <c r="B4440" i="2"/>
  <c r="K4439" i="2" s="1"/>
  <c r="M4439" i="2"/>
  <c r="J4439" i="2" l="1"/>
  <c r="B4441" i="2"/>
  <c r="J4440" i="2" s="1"/>
  <c r="M4440" i="2"/>
  <c r="K4440" i="2" l="1"/>
  <c r="B4442" i="2"/>
  <c r="K4441" i="2" s="1"/>
  <c r="M4441" i="2"/>
  <c r="J4441" i="2" l="1"/>
  <c r="B4443" i="2"/>
  <c r="K4442" i="2" s="1"/>
  <c r="M4442" i="2"/>
  <c r="J4442" i="2" l="1"/>
  <c r="B4444" i="2"/>
  <c r="K4443" i="2" s="1"/>
  <c r="M4443" i="2"/>
  <c r="J4443" i="2" l="1"/>
  <c r="B4445" i="2"/>
  <c r="K4444" i="2" s="1"/>
  <c r="M4444" i="2"/>
  <c r="J4444" i="2" l="1"/>
  <c r="B4446" i="2"/>
  <c r="J4445" i="2" s="1"/>
  <c r="M4445" i="2"/>
  <c r="K4445" i="2" l="1"/>
  <c r="B4447" i="2"/>
  <c r="K4446" i="2" s="1"/>
  <c r="M4446" i="2"/>
  <c r="J4446" i="2" l="1"/>
  <c r="B4448" i="2"/>
  <c r="K4447" i="2" s="1"/>
  <c r="M4447" i="2"/>
  <c r="J4447" i="2" l="1"/>
  <c r="B4449" i="2"/>
  <c r="J4448" i="2" s="1"/>
  <c r="M4448" i="2"/>
  <c r="K4448" i="2" l="1"/>
  <c r="B4450" i="2"/>
  <c r="K4449" i="2" s="1"/>
  <c r="M4449" i="2"/>
  <c r="J4449" i="2" l="1"/>
  <c r="B4451" i="2"/>
  <c r="K4450" i="2" s="1"/>
  <c r="M4450" i="2"/>
  <c r="J4450" i="2" l="1"/>
  <c r="B4452" i="2"/>
  <c r="J4451" i="2" s="1"/>
  <c r="M4451" i="2"/>
  <c r="K4451" i="2" l="1"/>
  <c r="B4453" i="2"/>
  <c r="J4452" i="2" s="1"/>
  <c r="M4452" i="2"/>
  <c r="K4452" i="2" l="1"/>
  <c r="B4454" i="2"/>
  <c r="K4453" i="2" s="1"/>
  <c r="M4453" i="2"/>
  <c r="J4453" i="2" l="1"/>
  <c r="B4455" i="2"/>
  <c r="K4454" i="2" s="1"/>
  <c r="M4454" i="2"/>
  <c r="J4454" i="2" l="1"/>
  <c r="B4456" i="2"/>
  <c r="J4455" i="2" s="1"/>
  <c r="M4455" i="2"/>
  <c r="K4455" i="2" l="1"/>
  <c r="B4457" i="2"/>
  <c r="K4456" i="2" s="1"/>
  <c r="M4456" i="2"/>
  <c r="J4456" i="2" l="1"/>
  <c r="B4458" i="2"/>
  <c r="K4457" i="2" s="1"/>
  <c r="M4457" i="2"/>
  <c r="J4457" i="2" l="1"/>
  <c r="B4459" i="2"/>
  <c r="J4458" i="2" s="1"/>
  <c r="M4458" i="2"/>
  <c r="K4458" i="2" l="1"/>
  <c r="B4460" i="2"/>
  <c r="K4459" i="2" s="1"/>
  <c r="M4459" i="2"/>
  <c r="J4459" i="2" l="1"/>
  <c r="B4461" i="2"/>
  <c r="K4460" i="2" s="1"/>
  <c r="M4460" i="2"/>
  <c r="J4460" i="2" l="1"/>
  <c r="B4462" i="2"/>
  <c r="K4461" i="2" s="1"/>
  <c r="M4461" i="2"/>
  <c r="J4461" i="2" l="1"/>
  <c r="B4463" i="2"/>
  <c r="J4462" i="2" s="1"/>
  <c r="M4462" i="2"/>
  <c r="K4462" i="2" l="1"/>
  <c r="B4464" i="2"/>
  <c r="J4463" i="2" s="1"/>
  <c r="M4463" i="2"/>
  <c r="K4463" i="2" l="1"/>
  <c r="B4465" i="2"/>
  <c r="K4464" i="2" s="1"/>
  <c r="M4464" i="2"/>
  <c r="J4464" i="2" l="1"/>
  <c r="B4466" i="2"/>
  <c r="K4465" i="2" s="1"/>
  <c r="M4465" i="2"/>
  <c r="J4465" i="2" l="1"/>
  <c r="B4467" i="2"/>
  <c r="J4466" i="2" s="1"/>
  <c r="M4466" i="2"/>
  <c r="K4466" i="2" l="1"/>
  <c r="B4468" i="2"/>
  <c r="K4467" i="2" s="1"/>
  <c r="M4467" i="2"/>
  <c r="J4467" i="2" l="1"/>
  <c r="B4469" i="2"/>
  <c r="K4468" i="2" s="1"/>
  <c r="M4468" i="2"/>
  <c r="J4468" i="2" l="1"/>
  <c r="B4470" i="2"/>
  <c r="K4469" i="2" s="1"/>
  <c r="M4469" i="2"/>
  <c r="J4469" i="2" l="1"/>
  <c r="B4471" i="2"/>
  <c r="J4470" i="2" s="1"/>
  <c r="M4470" i="2"/>
  <c r="K4470" i="2" l="1"/>
  <c r="B4472" i="2"/>
  <c r="J4471" i="2" s="1"/>
  <c r="M4471" i="2"/>
  <c r="K4471" i="2" l="1"/>
  <c r="B4473" i="2"/>
  <c r="J4472" i="2" s="1"/>
  <c r="M4472" i="2"/>
  <c r="K4472" i="2" l="1"/>
  <c r="B4474" i="2"/>
  <c r="J4473" i="2" s="1"/>
  <c r="M4473" i="2"/>
  <c r="K4473" i="2" l="1"/>
  <c r="B4475" i="2"/>
  <c r="K4474" i="2" s="1"/>
  <c r="M4474" i="2"/>
  <c r="J4474" i="2" l="1"/>
  <c r="B4476" i="2"/>
  <c r="J4475" i="2" s="1"/>
  <c r="M4475" i="2"/>
  <c r="K4475" i="2" l="1"/>
  <c r="B4477" i="2"/>
  <c r="J4476" i="2" s="1"/>
  <c r="M4476" i="2"/>
  <c r="K4476" i="2" l="1"/>
  <c r="B4478" i="2"/>
  <c r="J4477" i="2" s="1"/>
  <c r="M4477" i="2"/>
  <c r="K4477" i="2" l="1"/>
  <c r="B4479" i="2"/>
  <c r="J4478" i="2" s="1"/>
  <c r="M4478" i="2"/>
  <c r="K4478" i="2" l="1"/>
  <c r="B4480" i="2"/>
  <c r="J4479" i="2" s="1"/>
  <c r="M4479" i="2"/>
  <c r="K4479" i="2" l="1"/>
  <c r="B4481" i="2"/>
  <c r="K4480" i="2" s="1"/>
  <c r="M4480" i="2"/>
  <c r="J4480" i="2" l="1"/>
  <c r="B4482" i="2"/>
  <c r="J4481" i="2" s="1"/>
  <c r="M4481" i="2"/>
  <c r="K4481" i="2" l="1"/>
  <c r="B4483" i="2"/>
  <c r="K4482" i="2" s="1"/>
  <c r="M4482" i="2"/>
  <c r="J4482" i="2" l="1"/>
  <c r="B4484" i="2"/>
  <c r="J4483" i="2" s="1"/>
  <c r="M4483" i="2"/>
  <c r="K4483" i="2" l="1"/>
  <c r="B4485" i="2"/>
  <c r="K4484" i="2" s="1"/>
  <c r="M4484" i="2"/>
  <c r="J4484" i="2" l="1"/>
  <c r="B4486" i="2"/>
  <c r="J4485" i="2" s="1"/>
  <c r="M4485" i="2"/>
  <c r="K4485" i="2" l="1"/>
  <c r="B4487" i="2"/>
  <c r="J4486" i="2" s="1"/>
  <c r="M4486" i="2"/>
  <c r="K4486" i="2" l="1"/>
  <c r="B4488" i="2"/>
  <c r="J4487" i="2" s="1"/>
  <c r="M4487" i="2"/>
  <c r="K4487" i="2" l="1"/>
  <c r="B4489" i="2"/>
  <c r="J4488" i="2" s="1"/>
  <c r="M4488" i="2"/>
  <c r="K4488" i="2" l="1"/>
  <c r="B4490" i="2"/>
  <c r="J4489" i="2" s="1"/>
  <c r="M4489" i="2"/>
  <c r="K4489" i="2" l="1"/>
  <c r="B4491" i="2"/>
  <c r="J4490" i="2" s="1"/>
  <c r="M4490" i="2"/>
  <c r="K4490" i="2" l="1"/>
  <c r="B4492" i="2"/>
  <c r="J4491" i="2" s="1"/>
  <c r="M4491" i="2"/>
  <c r="K4491" i="2" l="1"/>
  <c r="B4493" i="2"/>
  <c r="J4492" i="2" s="1"/>
  <c r="M4492" i="2"/>
  <c r="K4492" i="2" l="1"/>
  <c r="B4494" i="2"/>
  <c r="J4493" i="2" s="1"/>
  <c r="M4493" i="2"/>
  <c r="K4493" i="2" l="1"/>
  <c r="B4495" i="2"/>
  <c r="J4494" i="2" s="1"/>
  <c r="M4494" i="2"/>
  <c r="K4494" i="2" l="1"/>
  <c r="B4496" i="2"/>
  <c r="J4495" i="2" s="1"/>
  <c r="M4495" i="2"/>
  <c r="K4495" i="2" l="1"/>
  <c r="B4497" i="2"/>
  <c r="J4496" i="2" s="1"/>
  <c r="M4496" i="2"/>
  <c r="K4496" i="2" l="1"/>
  <c r="B4498" i="2"/>
  <c r="J4497" i="2" s="1"/>
  <c r="M4497" i="2"/>
  <c r="K4497" i="2" l="1"/>
  <c r="B4499" i="2"/>
  <c r="J4498" i="2" s="1"/>
  <c r="M4498" i="2"/>
  <c r="K4498" i="2" l="1"/>
  <c r="B4500" i="2"/>
  <c r="J4499" i="2" s="1"/>
  <c r="M4499" i="2"/>
  <c r="K4499" i="2" l="1"/>
  <c r="B4501" i="2"/>
  <c r="J4500" i="2" s="1"/>
  <c r="M4500" i="2"/>
  <c r="K4500" i="2" l="1"/>
  <c r="B4502" i="2"/>
  <c r="J4501" i="2" s="1"/>
  <c r="M4501" i="2"/>
  <c r="K4501" i="2" l="1"/>
  <c r="B4503" i="2"/>
  <c r="J4502" i="2" s="1"/>
  <c r="M4502" i="2"/>
  <c r="K4502" i="2" l="1"/>
  <c r="B4504" i="2"/>
  <c r="J4503" i="2" s="1"/>
  <c r="M4503" i="2"/>
  <c r="K4503" i="2" l="1"/>
  <c r="B4505" i="2"/>
  <c r="J4504" i="2" s="1"/>
  <c r="M4504" i="2"/>
  <c r="K4504" i="2" l="1"/>
  <c r="B4506" i="2"/>
  <c r="J4505" i="2" s="1"/>
  <c r="M4505" i="2"/>
  <c r="K4505" i="2" l="1"/>
  <c r="B4507" i="2"/>
  <c r="J4506" i="2" s="1"/>
  <c r="M4506" i="2"/>
  <c r="K4506" i="2" l="1"/>
  <c r="B4508" i="2"/>
  <c r="J4507" i="2" s="1"/>
  <c r="M4507" i="2"/>
  <c r="K4507" i="2" l="1"/>
  <c r="B4509" i="2"/>
  <c r="J4508" i="2" s="1"/>
  <c r="M4508" i="2"/>
  <c r="K4508" i="2" l="1"/>
  <c r="B4510" i="2"/>
  <c r="J4509" i="2" s="1"/>
  <c r="M4509" i="2"/>
  <c r="K4509" i="2" l="1"/>
  <c r="B4511" i="2"/>
  <c r="J4510" i="2" s="1"/>
  <c r="M4510" i="2"/>
  <c r="K4510" i="2" l="1"/>
  <c r="B4512" i="2"/>
  <c r="J4511" i="2" s="1"/>
  <c r="M4511" i="2"/>
  <c r="K4511" i="2" l="1"/>
  <c r="B4513" i="2"/>
  <c r="J4512" i="2" s="1"/>
  <c r="M4512" i="2"/>
  <c r="K4512" i="2" l="1"/>
  <c r="B4514" i="2"/>
  <c r="J4513" i="2" s="1"/>
  <c r="M4513" i="2"/>
  <c r="K4513" i="2" l="1"/>
  <c r="B4515" i="2"/>
  <c r="J4514" i="2" s="1"/>
  <c r="M4514" i="2"/>
  <c r="K4514" i="2" l="1"/>
  <c r="B4516" i="2"/>
  <c r="J4515" i="2" s="1"/>
  <c r="M4515" i="2"/>
  <c r="K4515" i="2" l="1"/>
  <c r="B4517" i="2"/>
  <c r="J4516" i="2" s="1"/>
  <c r="M4516" i="2"/>
  <c r="K4516" i="2" l="1"/>
  <c r="B4518" i="2"/>
  <c r="J4517" i="2" s="1"/>
  <c r="M4517" i="2"/>
  <c r="K4517" i="2" l="1"/>
  <c r="B4519" i="2"/>
  <c r="J4518" i="2" s="1"/>
  <c r="M4518" i="2"/>
  <c r="K4518" i="2" l="1"/>
  <c r="B4520" i="2"/>
  <c r="J4519" i="2" s="1"/>
  <c r="M4519" i="2"/>
  <c r="K4519" i="2" l="1"/>
  <c r="B4521" i="2"/>
  <c r="J4520" i="2" s="1"/>
  <c r="M4520" i="2"/>
  <c r="K4520" i="2" l="1"/>
  <c r="B4522" i="2"/>
  <c r="J4521" i="2" s="1"/>
  <c r="M4521" i="2"/>
  <c r="K4521" i="2" l="1"/>
  <c r="B4523" i="2"/>
  <c r="J4522" i="2" s="1"/>
  <c r="M4522" i="2"/>
  <c r="K4522" i="2" l="1"/>
  <c r="B4524" i="2"/>
  <c r="J4523" i="2" s="1"/>
  <c r="M4523" i="2"/>
  <c r="K4523" i="2" l="1"/>
  <c r="B4525" i="2"/>
  <c r="J4524" i="2" s="1"/>
  <c r="M4524" i="2"/>
  <c r="K4524" i="2" l="1"/>
  <c r="B4526" i="2"/>
  <c r="J4525" i="2" s="1"/>
  <c r="M4525" i="2"/>
  <c r="K4525" i="2" l="1"/>
  <c r="B4527" i="2"/>
  <c r="J4526" i="2" s="1"/>
  <c r="M4526" i="2"/>
  <c r="K4526" i="2" l="1"/>
  <c r="B4528" i="2"/>
  <c r="J4527" i="2" s="1"/>
  <c r="M4527" i="2"/>
  <c r="K4527" i="2" l="1"/>
  <c r="B4529" i="2"/>
  <c r="J4528" i="2" s="1"/>
  <c r="M4528" i="2"/>
  <c r="K4528" i="2" l="1"/>
  <c r="B4530" i="2"/>
  <c r="J4529" i="2" s="1"/>
  <c r="M4529" i="2"/>
  <c r="K4529" i="2" l="1"/>
  <c r="B4531" i="2"/>
  <c r="J4530" i="2" s="1"/>
  <c r="M4530" i="2"/>
  <c r="K4530" i="2" l="1"/>
  <c r="B4532" i="2"/>
  <c r="J4531" i="2" s="1"/>
  <c r="M4531" i="2"/>
  <c r="K4531" i="2" l="1"/>
  <c r="B4533" i="2"/>
  <c r="J4532" i="2" s="1"/>
  <c r="M4532" i="2"/>
  <c r="K4532" i="2" l="1"/>
  <c r="B4534" i="2"/>
  <c r="J4533" i="2" s="1"/>
  <c r="M4533" i="2"/>
  <c r="K4533" i="2" l="1"/>
  <c r="B4535" i="2"/>
  <c r="J4534" i="2" s="1"/>
  <c r="M4534" i="2"/>
  <c r="K4534" i="2" l="1"/>
  <c r="B4536" i="2"/>
  <c r="J4535" i="2" s="1"/>
  <c r="M4535" i="2"/>
  <c r="K4535" i="2" l="1"/>
  <c r="B4537" i="2"/>
  <c r="J4536" i="2" s="1"/>
  <c r="M4536" i="2"/>
  <c r="K4536" i="2" l="1"/>
  <c r="B4538" i="2"/>
  <c r="J4537" i="2" s="1"/>
  <c r="M4537" i="2"/>
  <c r="K4537" i="2" l="1"/>
  <c r="B4539" i="2"/>
  <c r="J4538" i="2" s="1"/>
  <c r="M4538" i="2"/>
  <c r="K4538" i="2" l="1"/>
  <c r="B4540" i="2"/>
  <c r="J4539" i="2" s="1"/>
  <c r="M4539" i="2"/>
  <c r="K4539" i="2" l="1"/>
  <c r="B4541" i="2"/>
  <c r="K4540" i="2" s="1"/>
  <c r="M4540" i="2"/>
  <c r="J4540" i="2" l="1"/>
  <c r="B4542" i="2"/>
  <c r="J4541" i="2" s="1"/>
  <c r="M4541" i="2"/>
  <c r="K4541" i="2" l="1"/>
  <c r="B4543" i="2"/>
  <c r="J4542" i="2" s="1"/>
  <c r="M4542" i="2"/>
  <c r="K4542" i="2" l="1"/>
  <c r="B4544" i="2"/>
  <c r="J4543" i="2" s="1"/>
  <c r="M4543" i="2"/>
  <c r="K4543" i="2" l="1"/>
  <c r="B4545" i="2"/>
  <c r="J4544" i="2" s="1"/>
  <c r="M4544" i="2"/>
  <c r="K4544" i="2" l="1"/>
  <c r="B4546" i="2"/>
  <c r="J4545" i="2" s="1"/>
  <c r="M4545" i="2"/>
  <c r="K4545" i="2" l="1"/>
  <c r="B4547" i="2"/>
  <c r="J4546" i="2" s="1"/>
  <c r="M4546" i="2"/>
  <c r="K4546" i="2" l="1"/>
  <c r="B4548" i="2"/>
  <c r="J4547" i="2" s="1"/>
  <c r="M4547" i="2"/>
  <c r="K4547" i="2" l="1"/>
  <c r="B4549" i="2"/>
  <c r="J4548" i="2" s="1"/>
  <c r="M4548" i="2"/>
  <c r="K4548" i="2" l="1"/>
  <c r="B4550" i="2"/>
  <c r="J4549" i="2" s="1"/>
  <c r="M4549" i="2"/>
  <c r="K4549" i="2" l="1"/>
  <c r="B4551" i="2"/>
  <c r="J4550" i="2" s="1"/>
  <c r="M4550" i="2"/>
  <c r="K4550" i="2" l="1"/>
  <c r="B4552" i="2"/>
  <c r="J4551" i="2" s="1"/>
  <c r="M4551" i="2"/>
  <c r="K4551" i="2" l="1"/>
  <c r="B4553" i="2"/>
  <c r="J4552" i="2" s="1"/>
  <c r="M4552" i="2"/>
  <c r="K4552" i="2" l="1"/>
  <c r="B4554" i="2"/>
  <c r="J4553" i="2" s="1"/>
  <c r="M4553" i="2"/>
  <c r="K4553" i="2" l="1"/>
  <c r="B4555" i="2"/>
  <c r="J4554" i="2" s="1"/>
  <c r="M4554" i="2"/>
  <c r="K4554" i="2" l="1"/>
  <c r="B4556" i="2"/>
  <c r="J4555" i="2" s="1"/>
  <c r="M4555" i="2"/>
  <c r="K4555" i="2" l="1"/>
  <c r="B4557" i="2"/>
  <c r="J4556" i="2" s="1"/>
  <c r="M4556" i="2"/>
  <c r="K4556" i="2" l="1"/>
  <c r="B4558" i="2"/>
  <c r="J4557" i="2" s="1"/>
  <c r="M4557" i="2"/>
  <c r="K4557" i="2" l="1"/>
  <c r="B4559" i="2"/>
  <c r="J4558" i="2" s="1"/>
  <c r="M4558" i="2"/>
  <c r="K4558" i="2" l="1"/>
  <c r="B4560" i="2"/>
  <c r="J4559" i="2" s="1"/>
  <c r="M4559" i="2"/>
  <c r="K4559" i="2" l="1"/>
  <c r="B4561" i="2"/>
  <c r="J4560" i="2" s="1"/>
  <c r="M4560" i="2"/>
  <c r="K4560" i="2" l="1"/>
  <c r="B4562" i="2"/>
  <c r="K4561" i="2" s="1"/>
  <c r="M4561" i="2"/>
  <c r="J4561" i="2" l="1"/>
  <c r="B4563" i="2"/>
  <c r="J4562" i="2" s="1"/>
  <c r="M4562" i="2"/>
  <c r="K4562" i="2" l="1"/>
  <c r="B4564" i="2"/>
  <c r="J4563" i="2" s="1"/>
  <c r="M4563" i="2"/>
  <c r="K4563" i="2" l="1"/>
  <c r="B4565" i="2"/>
  <c r="K4564" i="2" s="1"/>
  <c r="M4564" i="2"/>
  <c r="J4564" i="2" l="1"/>
  <c r="B4566" i="2"/>
  <c r="J4565" i="2" s="1"/>
  <c r="M4565" i="2"/>
  <c r="K4565" i="2" l="1"/>
  <c r="B4567" i="2"/>
  <c r="J4566" i="2" s="1"/>
  <c r="M4566" i="2"/>
  <c r="K4566" i="2" l="1"/>
  <c r="B4568" i="2"/>
  <c r="J4567" i="2" s="1"/>
  <c r="M4567" i="2"/>
  <c r="K4567" i="2" l="1"/>
  <c r="B4569" i="2"/>
  <c r="J4568" i="2" s="1"/>
  <c r="M4568" i="2"/>
  <c r="K4568" i="2" l="1"/>
  <c r="B4570" i="2"/>
  <c r="J4569" i="2" s="1"/>
  <c r="M4569" i="2"/>
  <c r="K4569" i="2" l="1"/>
  <c r="B4571" i="2"/>
  <c r="J4570" i="2" s="1"/>
  <c r="M4570" i="2"/>
  <c r="K4570" i="2" l="1"/>
  <c r="B4572" i="2"/>
  <c r="J4571" i="2" s="1"/>
  <c r="M4571" i="2"/>
  <c r="K4571" i="2" l="1"/>
  <c r="B4573" i="2"/>
  <c r="J4572" i="2" s="1"/>
  <c r="M4572" i="2"/>
  <c r="K4572" i="2" l="1"/>
  <c r="B4574" i="2"/>
  <c r="J4573" i="2" s="1"/>
  <c r="M4573" i="2"/>
  <c r="K4573" i="2" l="1"/>
  <c r="B4575" i="2"/>
  <c r="K4574" i="2" s="1"/>
  <c r="M4574" i="2"/>
  <c r="J4574" i="2" l="1"/>
  <c r="B4576" i="2"/>
  <c r="J4575" i="2" s="1"/>
  <c r="M4575" i="2"/>
  <c r="K4575" i="2" l="1"/>
  <c r="B4577" i="2"/>
  <c r="J4576" i="2" s="1"/>
  <c r="M4576" i="2"/>
  <c r="K4576" i="2" l="1"/>
  <c r="B4578" i="2"/>
  <c r="K4577" i="2" s="1"/>
  <c r="M4577" i="2"/>
  <c r="J4577" i="2" l="1"/>
  <c r="B4579" i="2"/>
  <c r="J4578" i="2" s="1"/>
  <c r="M4578" i="2"/>
  <c r="K4578" i="2" l="1"/>
  <c r="B4580" i="2"/>
  <c r="J4579" i="2" s="1"/>
  <c r="M4579" i="2"/>
  <c r="K4579" i="2" l="1"/>
  <c r="B4581" i="2"/>
  <c r="J4580" i="2" s="1"/>
  <c r="M4580" i="2"/>
  <c r="K4580" i="2" l="1"/>
  <c r="B4582" i="2"/>
  <c r="J4581" i="2" s="1"/>
  <c r="M4581" i="2"/>
  <c r="K4581" i="2" l="1"/>
  <c r="B4583" i="2"/>
  <c r="J4582" i="2" s="1"/>
  <c r="M4582" i="2"/>
  <c r="K4582" i="2" l="1"/>
  <c r="B4584" i="2"/>
  <c r="K4583" i="2" s="1"/>
  <c r="M4583" i="2"/>
  <c r="J4583" i="2" l="1"/>
  <c r="B4585" i="2"/>
  <c r="J4584" i="2" s="1"/>
  <c r="M4584" i="2"/>
  <c r="K4584" i="2" l="1"/>
  <c r="B4586" i="2"/>
  <c r="J4585" i="2" s="1"/>
  <c r="M4585" i="2"/>
  <c r="K4585" i="2" l="1"/>
  <c r="B4587" i="2"/>
  <c r="J4586" i="2" s="1"/>
  <c r="M4586" i="2"/>
  <c r="K4586" i="2" l="1"/>
  <c r="B4588" i="2"/>
  <c r="K4587" i="2" s="1"/>
  <c r="M4587" i="2"/>
  <c r="J4587" i="2" l="1"/>
  <c r="B4589" i="2"/>
  <c r="J4588" i="2" s="1"/>
  <c r="M4588" i="2"/>
  <c r="K4588" i="2" l="1"/>
  <c r="B4590" i="2"/>
  <c r="J4589" i="2" s="1"/>
  <c r="M4589" i="2"/>
  <c r="K4589" i="2" l="1"/>
  <c r="B4591" i="2"/>
  <c r="J4590" i="2" s="1"/>
  <c r="M4590" i="2"/>
  <c r="K4590" i="2" l="1"/>
  <c r="B4592" i="2"/>
  <c r="J4591" i="2" s="1"/>
  <c r="M4591" i="2"/>
  <c r="K4591" i="2" l="1"/>
  <c r="B4593" i="2"/>
  <c r="J4592" i="2" s="1"/>
  <c r="M4592" i="2"/>
  <c r="K4592" i="2" l="1"/>
  <c r="B4594" i="2"/>
  <c r="J4593" i="2" s="1"/>
  <c r="M4593" i="2"/>
  <c r="K4593" i="2" l="1"/>
  <c r="B4595" i="2"/>
  <c r="J4594" i="2" s="1"/>
  <c r="M4594" i="2"/>
  <c r="K4594" i="2" l="1"/>
  <c r="B4596" i="2"/>
  <c r="J4595" i="2" s="1"/>
  <c r="M4595" i="2"/>
  <c r="K4595" i="2" l="1"/>
  <c r="B4597" i="2"/>
  <c r="J4596" i="2" s="1"/>
  <c r="M4596" i="2"/>
  <c r="K4596" i="2" l="1"/>
  <c r="B4598" i="2"/>
  <c r="J4597" i="2" s="1"/>
  <c r="M4597" i="2"/>
  <c r="K4597" i="2" l="1"/>
  <c r="B4599" i="2"/>
  <c r="J4598" i="2" s="1"/>
  <c r="M4598" i="2"/>
  <c r="K4598" i="2" l="1"/>
  <c r="B4600" i="2"/>
  <c r="J4599" i="2" s="1"/>
  <c r="M4599" i="2"/>
  <c r="K4599" i="2" l="1"/>
  <c r="B4601" i="2"/>
  <c r="J4600" i="2" s="1"/>
  <c r="M4600" i="2"/>
  <c r="K4600" i="2" l="1"/>
  <c r="B4602" i="2"/>
  <c r="J4601" i="2" s="1"/>
  <c r="M4601" i="2"/>
  <c r="K4601" i="2" l="1"/>
  <c r="B4603" i="2"/>
  <c r="J4602" i="2" s="1"/>
  <c r="M4602" i="2"/>
  <c r="K4602" i="2" l="1"/>
  <c r="B4604" i="2"/>
  <c r="J4603" i="2" s="1"/>
  <c r="M4603" i="2"/>
  <c r="K4603" i="2" l="1"/>
  <c r="B4605" i="2"/>
  <c r="J4604" i="2" s="1"/>
  <c r="M4604" i="2"/>
  <c r="K4604" i="2" l="1"/>
  <c r="B4606" i="2"/>
  <c r="J4605" i="2" s="1"/>
  <c r="M4605" i="2"/>
  <c r="K4605" i="2" l="1"/>
  <c r="B4607" i="2"/>
  <c r="J4606" i="2" s="1"/>
  <c r="M4606" i="2"/>
  <c r="K4606" i="2" l="1"/>
  <c r="B4608" i="2"/>
  <c r="K4607" i="2" s="1"/>
  <c r="M4607" i="2"/>
  <c r="J4607" i="2" l="1"/>
  <c r="B4609" i="2"/>
  <c r="J4608" i="2" s="1"/>
  <c r="M4608" i="2"/>
  <c r="K4608" i="2" l="1"/>
  <c r="B4610" i="2"/>
  <c r="J4609" i="2" s="1"/>
  <c r="M4609" i="2"/>
  <c r="K4609" i="2" l="1"/>
  <c r="B4611" i="2"/>
  <c r="K4610" i="2" s="1"/>
  <c r="M4610" i="2"/>
  <c r="J4610" i="2" l="1"/>
  <c r="B4612" i="2"/>
  <c r="J4611" i="2" s="1"/>
  <c r="M4611" i="2"/>
  <c r="K4611" i="2" l="1"/>
  <c r="B4613" i="2"/>
  <c r="J4612" i="2" s="1"/>
  <c r="M4612" i="2"/>
  <c r="K4612" i="2" l="1"/>
  <c r="B4614" i="2"/>
  <c r="J4613" i="2" s="1"/>
  <c r="M4613" i="2"/>
  <c r="K4613" i="2" l="1"/>
  <c r="B4615" i="2"/>
  <c r="J4614" i="2" s="1"/>
  <c r="M4614" i="2"/>
  <c r="K4614" i="2" l="1"/>
  <c r="B4616" i="2"/>
  <c r="J4615" i="2" s="1"/>
  <c r="M4615" i="2"/>
  <c r="K4615" i="2" l="1"/>
  <c r="B4617" i="2"/>
  <c r="J4616" i="2" s="1"/>
  <c r="M4616" i="2"/>
  <c r="K4616" i="2" l="1"/>
  <c r="B4618" i="2"/>
  <c r="K4617" i="2" s="1"/>
  <c r="M4617" i="2"/>
  <c r="J4617" i="2" l="1"/>
  <c r="B4619" i="2"/>
  <c r="K4618" i="2" s="1"/>
  <c r="M4618" i="2"/>
  <c r="J4618" i="2" l="1"/>
  <c r="B4620" i="2"/>
  <c r="J4619" i="2" s="1"/>
  <c r="M4619" i="2"/>
  <c r="K4619" i="2" l="1"/>
  <c r="B4621" i="2"/>
  <c r="J4620" i="2" s="1"/>
  <c r="M4620" i="2"/>
  <c r="K4620" i="2" l="1"/>
  <c r="B4622" i="2"/>
  <c r="K4621" i="2" s="1"/>
  <c r="M4621" i="2"/>
  <c r="J4621" i="2" l="1"/>
  <c r="B4623" i="2"/>
  <c r="J4622" i="2" s="1"/>
  <c r="M4622" i="2"/>
  <c r="K4622" i="2" l="1"/>
  <c r="B4624" i="2"/>
  <c r="K4623" i="2" s="1"/>
  <c r="M4623" i="2"/>
  <c r="J4623" i="2" l="1"/>
  <c r="B4625" i="2"/>
  <c r="K4624" i="2" s="1"/>
  <c r="M4624" i="2"/>
  <c r="J4624" i="2" l="1"/>
  <c r="B4626" i="2"/>
  <c r="K4625" i="2" s="1"/>
  <c r="M4625" i="2"/>
  <c r="J4625" i="2" l="1"/>
  <c r="B4627" i="2"/>
  <c r="K4626" i="2" s="1"/>
  <c r="M4626" i="2"/>
  <c r="J4626" i="2" l="1"/>
  <c r="B4628" i="2"/>
  <c r="K4627" i="2" s="1"/>
  <c r="M4627" i="2"/>
  <c r="J4627" i="2" l="1"/>
  <c r="B4629" i="2"/>
  <c r="J4628" i="2" s="1"/>
  <c r="M4628" i="2"/>
  <c r="K4628" i="2" l="1"/>
  <c r="B4630" i="2"/>
  <c r="K4629" i="2" s="1"/>
  <c r="M4629" i="2"/>
  <c r="J4629" i="2" l="1"/>
  <c r="B4631" i="2"/>
  <c r="K4630" i="2" s="1"/>
  <c r="M4630" i="2"/>
  <c r="J4630" i="2" l="1"/>
  <c r="B4632" i="2"/>
  <c r="J4631" i="2" s="1"/>
  <c r="M4631" i="2"/>
  <c r="K4631" i="2" l="1"/>
  <c r="B4633" i="2"/>
  <c r="K4632" i="2" s="1"/>
  <c r="M4632" i="2"/>
  <c r="J4632" i="2" l="1"/>
  <c r="B4634" i="2"/>
  <c r="K4633" i="2" s="1"/>
  <c r="M4633" i="2"/>
  <c r="J4633" i="2" l="1"/>
  <c r="B4635" i="2"/>
  <c r="J4634" i="2" s="1"/>
  <c r="M4634" i="2"/>
  <c r="K4634" i="2" l="1"/>
  <c r="B4636" i="2"/>
  <c r="K4635" i="2" s="1"/>
  <c r="M4635" i="2"/>
  <c r="J4635" i="2" l="1"/>
  <c r="B4637" i="2"/>
  <c r="K4636" i="2" s="1"/>
  <c r="M4636" i="2"/>
  <c r="J4636" i="2" l="1"/>
  <c r="B4638" i="2"/>
  <c r="K4637" i="2" s="1"/>
  <c r="M4637" i="2"/>
  <c r="J4637" i="2" l="1"/>
  <c r="B4639" i="2"/>
  <c r="K4638" i="2" s="1"/>
  <c r="M4638" i="2"/>
  <c r="J4638" i="2" l="1"/>
  <c r="B4640" i="2"/>
  <c r="K4639" i="2" s="1"/>
  <c r="M4639" i="2"/>
  <c r="J4639" i="2" l="1"/>
  <c r="B4641" i="2"/>
  <c r="J4640" i="2" s="1"/>
  <c r="M4640" i="2"/>
  <c r="K4640" i="2" l="1"/>
  <c r="B4642" i="2"/>
  <c r="K4641" i="2" s="1"/>
  <c r="M4641" i="2"/>
  <c r="J4641" i="2" l="1"/>
  <c r="B4643" i="2"/>
  <c r="K4642" i="2" s="1"/>
  <c r="M4642" i="2"/>
  <c r="J4642" i="2" l="1"/>
  <c r="B4644" i="2"/>
  <c r="J4643" i="2" s="1"/>
  <c r="M4643" i="2"/>
  <c r="K4643" i="2" l="1"/>
  <c r="B4645" i="2"/>
  <c r="K4644" i="2" s="1"/>
  <c r="M4644" i="2"/>
  <c r="J4644" i="2" l="1"/>
  <c r="B4646" i="2"/>
  <c r="K4645" i="2" s="1"/>
  <c r="M4645" i="2"/>
  <c r="J4645" i="2" l="1"/>
  <c r="B4647" i="2"/>
  <c r="J4646" i="2" s="1"/>
  <c r="M4646" i="2"/>
  <c r="K4646" i="2" l="1"/>
  <c r="B4648" i="2"/>
  <c r="K4647" i="2" s="1"/>
  <c r="M4647" i="2"/>
  <c r="J4647" i="2" l="1"/>
  <c r="B4649" i="2"/>
  <c r="K4648" i="2" s="1"/>
  <c r="M4648" i="2"/>
  <c r="J4648" i="2" l="1"/>
  <c r="B4650" i="2"/>
  <c r="K4649" i="2" s="1"/>
  <c r="M4649" i="2"/>
  <c r="J4649" i="2" l="1"/>
  <c r="B4651" i="2"/>
  <c r="K4650" i="2" s="1"/>
  <c r="M4650" i="2"/>
  <c r="J4650" i="2" l="1"/>
  <c r="B4652" i="2"/>
  <c r="J4651" i="2" s="1"/>
  <c r="M4651" i="2"/>
  <c r="K4651" i="2" l="1"/>
  <c r="B4653" i="2"/>
  <c r="J4652" i="2" s="1"/>
  <c r="M4652" i="2"/>
  <c r="K4652" i="2" l="1"/>
  <c r="B4654" i="2"/>
  <c r="K4653" i="2" s="1"/>
  <c r="M4653" i="2"/>
  <c r="J4653" i="2" l="1"/>
  <c r="B4655" i="2"/>
  <c r="J4654" i="2" s="1"/>
  <c r="M4654" i="2"/>
  <c r="K4654" i="2" l="1"/>
  <c r="B4656" i="2"/>
  <c r="K4655" i="2" s="1"/>
  <c r="M4655" i="2"/>
  <c r="J4655" i="2" l="1"/>
  <c r="B4657" i="2"/>
  <c r="K4656" i="2" s="1"/>
  <c r="M4656" i="2"/>
  <c r="J4656" i="2" l="1"/>
  <c r="B4658" i="2"/>
  <c r="J4657" i="2" s="1"/>
  <c r="M4657" i="2"/>
  <c r="K4657" i="2" l="1"/>
  <c r="B4659" i="2"/>
  <c r="J4658" i="2" s="1"/>
  <c r="M4658" i="2"/>
  <c r="K4658" i="2" l="1"/>
  <c r="B4660" i="2"/>
  <c r="K4659" i="2" s="1"/>
  <c r="M4659" i="2"/>
  <c r="J4659" i="2" l="1"/>
  <c r="B4661" i="2"/>
  <c r="J4660" i="2" s="1"/>
  <c r="M4660" i="2"/>
  <c r="K4660" i="2" l="1"/>
  <c r="B4662" i="2"/>
  <c r="J4661" i="2" s="1"/>
  <c r="M4661" i="2"/>
  <c r="K4661" i="2" l="1"/>
  <c r="B4663" i="2"/>
  <c r="K4662" i="2" s="1"/>
  <c r="M4662" i="2"/>
  <c r="J4662" i="2" l="1"/>
  <c r="B4664" i="2"/>
  <c r="K4663" i="2" s="1"/>
  <c r="M4663" i="2"/>
  <c r="J4663" i="2" l="1"/>
  <c r="B4665" i="2"/>
  <c r="J4664" i="2" s="1"/>
  <c r="M4664" i="2"/>
  <c r="K4664" i="2" l="1"/>
  <c r="B4666" i="2"/>
  <c r="K4665" i="2" s="1"/>
  <c r="M4665" i="2"/>
  <c r="J4665" i="2" l="1"/>
  <c r="B4667" i="2"/>
  <c r="J4666" i="2" s="1"/>
  <c r="M4666" i="2"/>
  <c r="K4666" i="2" l="1"/>
  <c r="B4668" i="2"/>
  <c r="J4667" i="2" s="1"/>
  <c r="M4667" i="2"/>
  <c r="K4667" i="2" l="1"/>
  <c r="B4669" i="2"/>
  <c r="K4668" i="2" s="1"/>
  <c r="M4668" i="2"/>
  <c r="J4668" i="2" l="1"/>
  <c r="B4670" i="2"/>
  <c r="J4669" i="2" s="1"/>
  <c r="M4669" i="2"/>
  <c r="K4669" i="2" l="1"/>
  <c r="B4671" i="2"/>
  <c r="J4670" i="2" s="1"/>
  <c r="M4670" i="2"/>
  <c r="K4670" i="2" l="1"/>
  <c r="B4672" i="2"/>
  <c r="K4671" i="2" s="1"/>
  <c r="M4671" i="2"/>
  <c r="J4671" i="2" l="1"/>
  <c r="B4673" i="2"/>
  <c r="K4672" i="2" s="1"/>
  <c r="M4672" i="2"/>
  <c r="J4672" i="2" l="1"/>
  <c r="B4674" i="2"/>
  <c r="J4673" i="2" s="1"/>
  <c r="M4673" i="2"/>
  <c r="K4673" i="2" l="1"/>
  <c r="B4675" i="2"/>
  <c r="K4674" i="2" s="1"/>
  <c r="M4674" i="2"/>
  <c r="J4674" i="2" l="1"/>
  <c r="B4676" i="2"/>
  <c r="J4675" i="2" s="1"/>
  <c r="M4675" i="2"/>
  <c r="K4675" i="2" l="1"/>
  <c r="B4677" i="2"/>
  <c r="K4676" i="2" s="1"/>
  <c r="M4676" i="2"/>
  <c r="J4676" i="2" l="1"/>
  <c r="B4678" i="2"/>
  <c r="K4677" i="2" s="1"/>
  <c r="M4677" i="2"/>
  <c r="J4677" i="2" l="1"/>
  <c r="B4679" i="2"/>
  <c r="K4678" i="2" s="1"/>
  <c r="M4678" i="2"/>
  <c r="J4678" i="2" l="1"/>
  <c r="B4680" i="2"/>
  <c r="J4679" i="2" s="1"/>
  <c r="M4679" i="2"/>
  <c r="K4679" i="2" l="1"/>
  <c r="B4681" i="2"/>
  <c r="K4680" i="2" s="1"/>
  <c r="M4680" i="2"/>
  <c r="J4680" i="2" l="1"/>
  <c r="B4682" i="2"/>
  <c r="J4681" i="2" s="1"/>
  <c r="M4681" i="2"/>
  <c r="K4681" i="2" l="1"/>
  <c r="B4683" i="2"/>
  <c r="J4682" i="2" s="1"/>
  <c r="M4682" i="2"/>
  <c r="K4682" i="2" l="1"/>
  <c r="B4684" i="2"/>
  <c r="K4683" i="2" s="1"/>
  <c r="M4683" i="2"/>
  <c r="J4683" i="2" l="1"/>
  <c r="B4685" i="2"/>
  <c r="J4684" i="2" s="1"/>
  <c r="M4684" i="2"/>
  <c r="K4684" i="2" l="1"/>
  <c r="B4686" i="2"/>
  <c r="K4685" i="2" s="1"/>
  <c r="M4685" i="2"/>
  <c r="J4685" i="2" l="1"/>
  <c r="B4687" i="2"/>
  <c r="K4686" i="2" s="1"/>
  <c r="M4686" i="2"/>
  <c r="J4686" i="2" l="1"/>
  <c r="B4688" i="2"/>
  <c r="J4687" i="2" s="1"/>
  <c r="M4687" i="2"/>
  <c r="K4687" i="2" l="1"/>
  <c r="B4689" i="2"/>
  <c r="J4688" i="2" s="1"/>
  <c r="M4688" i="2"/>
  <c r="K4688" i="2" l="1"/>
  <c r="B4690" i="2"/>
  <c r="K4689" i="2" s="1"/>
  <c r="M4689" i="2"/>
  <c r="J4689" i="2" l="1"/>
  <c r="B4691" i="2"/>
  <c r="J4690" i="2" s="1"/>
  <c r="M4690" i="2"/>
  <c r="K4690" i="2" l="1"/>
  <c r="B4692" i="2"/>
  <c r="K4691" i="2" s="1"/>
  <c r="M4691" i="2"/>
  <c r="J4691" i="2" l="1"/>
  <c r="B4693" i="2"/>
  <c r="K4692" i="2" s="1"/>
  <c r="M4692" i="2"/>
  <c r="J4692" i="2" l="1"/>
  <c r="B4694" i="2"/>
  <c r="J4693" i="2" s="1"/>
  <c r="M4693" i="2"/>
  <c r="K4693" i="2" l="1"/>
  <c r="B4695" i="2"/>
  <c r="J4694" i="2" s="1"/>
  <c r="M4694" i="2"/>
  <c r="K4694" i="2" l="1"/>
  <c r="B4696" i="2"/>
  <c r="K4695" i="2" s="1"/>
  <c r="M4695" i="2"/>
  <c r="J4695" i="2" l="1"/>
  <c r="B4697" i="2"/>
  <c r="J4696" i="2" s="1"/>
  <c r="M4696" i="2"/>
  <c r="K4696" i="2" l="1"/>
  <c r="B4698" i="2"/>
  <c r="K4697" i="2" s="1"/>
  <c r="M4697" i="2"/>
  <c r="J4697" i="2" l="1"/>
  <c r="B4699" i="2"/>
  <c r="K4698" i="2" s="1"/>
  <c r="M4698" i="2"/>
  <c r="J4698" i="2" l="1"/>
  <c r="B4700" i="2"/>
  <c r="K4699" i="2" s="1"/>
  <c r="M4699" i="2"/>
  <c r="J4699" i="2" l="1"/>
  <c r="B4701" i="2"/>
  <c r="J4700" i="2" s="1"/>
  <c r="M4700" i="2"/>
  <c r="K4700" i="2" l="1"/>
  <c r="B4702" i="2"/>
  <c r="K4701" i="2" s="1"/>
  <c r="M4701" i="2"/>
  <c r="J4701" i="2" l="1"/>
  <c r="B4703" i="2"/>
  <c r="J4702" i="2" s="1"/>
  <c r="M4702" i="2"/>
  <c r="K4702" i="2" l="1"/>
  <c r="B4704" i="2"/>
  <c r="J4703" i="2" s="1"/>
  <c r="M4703" i="2"/>
  <c r="K4703" i="2" l="1"/>
  <c r="B4705" i="2"/>
  <c r="K4704" i="2" s="1"/>
  <c r="M4704" i="2"/>
  <c r="J4704" i="2" l="1"/>
  <c r="B4706" i="2"/>
  <c r="J4705" i="2" s="1"/>
  <c r="M4705" i="2"/>
  <c r="K4705" i="2" l="1"/>
  <c r="B4707" i="2"/>
  <c r="J4706" i="2" s="1"/>
  <c r="M4706" i="2"/>
  <c r="K4706" i="2" l="1"/>
  <c r="B4708" i="2"/>
  <c r="K4707" i="2" s="1"/>
  <c r="M4707" i="2"/>
  <c r="J4707" i="2" l="1"/>
  <c r="B4709" i="2"/>
  <c r="K4708" i="2" s="1"/>
  <c r="M4708" i="2"/>
  <c r="J4708" i="2" l="1"/>
  <c r="B4710" i="2"/>
  <c r="J4709" i="2" s="1"/>
  <c r="M4709" i="2"/>
  <c r="K4709" i="2" l="1"/>
  <c r="B4711" i="2"/>
  <c r="J4710" i="2" s="1"/>
  <c r="M4710" i="2"/>
  <c r="K4710" i="2" l="1"/>
  <c r="B4712" i="2"/>
  <c r="K4711" i="2" s="1"/>
  <c r="M4711" i="2"/>
  <c r="J4711" i="2" l="1"/>
  <c r="B4713" i="2"/>
  <c r="J4712" i="2" s="1"/>
  <c r="M4712" i="2"/>
  <c r="K4712" i="2" l="1"/>
  <c r="B4714" i="2"/>
  <c r="J4713" i="2" s="1"/>
  <c r="M4713" i="2"/>
  <c r="K4713" i="2" l="1"/>
  <c r="B4715" i="2"/>
  <c r="K4714" i="2" s="1"/>
  <c r="M4714" i="2"/>
  <c r="J4714" i="2" l="1"/>
  <c r="B4716" i="2"/>
  <c r="J4715" i="2" s="1"/>
  <c r="M4715" i="2"/>
  <c r="K4715" i="2" l="1"/>
  <c r="B4717" i="2"/>
  <c r="K4716" i="2" s="1"/>
  <c r="M4716" i="2"/>
  <c r="J4716" i="2" l="1"/>
  <c r="B4718" i="2"/>
  <c r="K4717" i="2" s="1"/>
  <c r="M4717" i="2"/>
  <c r="J4717" i="2" l="1"/>
  <c r="B4719" i="2"/>
  <c r="J4718" i="2" s="1"/>
  <c r="M4718" i="2"/>
  <c r="K4718" i="2" l="1"/>
  <c r="B4720" i="2"/>
  <c r="J4719" i="2" s="1"/>
  <c r="M4719" i="2"/>
  <c r="K4719" i="2" l="1"/>
  <c r="B4721" i="2"/>
  <c r="K4720" i="2" s="1"/>
  <c r="M4720" i="2"/>
  <c r="J4720" i="2" l="1"/>
  <c r="B4722" i="2"/>
  <c r="J4721" i="2" s="1"/>
  <c r="M4721" i="2"/>
  <c r="K4721" i="2" l="1"/>
  <c r="B4723" i="2"/>
  <c r="J4722" i="2" s="1"/>
  <c r="M4722" i="2"/>
  <c r="K4722" i="2" l="1"/>
  <c r="B4724" i="2"/>
  <c r="K4723" i="2" s="1"/>
  <c r="M4723" i="2"/>
  <c r="J4723" i="2" l="1"/>
  <c r="B4725" i="2"/>
  <c r="J4724" i="2" s="1"/>
  <c r="M4724" i="2"/>
  <c r="K4724" i="2" l="1"/>
  <c r="B4726" i="2"/>
  <c r="K4725" i="2" s="1"/>
  <c r="M4725" i="2"/>
  <c r="J4725" i="2" l="1"/>
  <c r="B4727" i="2"/>
  <c r="K4726" i="2" s="1"/>
  <c r="M4726" i="2"/>
  <c r="J4726" i="2" l="1"/>
  <c r="B4728" i="2"/>
  <c r="J4727" i="2" s="1"/>
  <c r="M4727" i="2"/>
  <c r="K4727" i="2" l="1"/>
  <c r="B4729" i="2"/>
  <c r="J4728" i="2" s="1"/>
  <c r="M4728" i="2"/>
  <c r="K4728" i="2" l="1"/>
  <c r="B4730" i="2"/>
  <c r="K4729" i="2" s="1"/>
  <c r="M4729" i="2"/>
  <c r="J4729" i="2" l="1"/>
  <c r="B4731" i="2"/>
  <c r="J4730" i="2" s="1"/>
  <c r="M4730" i="2"/>
  <c r="K4730" i="2" l="1"/>
  <c r="B4732" i="2"/>
  <c r="J4731" i="2" s="1"/>
  <c r="M4731" i="2"/>
  <c r="K4731" i="2" l="1"/>
  <c r="B4733" i="2"/>
  <c r="J4732" i="2" s="1"/>
  <c r="M4732" i="2"/>
  <c r="K4732" i="2" l="1"/>
  <c r="B4734" i="2"/>
  <c r="J4733" i="2" s="1"/>
  <c r="M4733" i="2"/>
  <c r="K4733" i="2" l="1"/>
  <c r="B4735" i="2"/>
  <c r="K4734" i="2" s="1"/>
  <c r="M4734" i="2"/>
  <c r="J4734" i="2" l="1"/>
  <c r="B4736" i="2"/>
  <c r="K4735" i="2" s="1"/>
  <c r="M4735" i="2"/>
  <c r="J4735" i="2" l="1"/>
  <c r="B4737" i="2"/>
  <c r="J4736" i="2" s="1"/>
  <c r="M4736" i="2"/>
  <c r="K4736" i="2" l="1"/>
  <c r="B4738" i="2"/>
  <c r="J4737" i="2" s="1"/>
  <c r="M4737" i="2"/>
  <c r="K4737" i="2" l="1"/>
  <c r="B4739" i="2"/>
  <c r="K4738" i="2" s="1"/>
  <c r="M4738" i="2"/>
  <c r="J4738" i="2" l="1"/>
  <c r="B4740" i="2"/>
  <c r="J4739" i="2" s="1"/>
  <c r="M4739" i="2"/>
  <c r="K4739" i="2" l="1"/>
  <c r="B4741" i="2"/>
  <c r="J4740" i="2" s="1"/>
  <c r="M4740" i="2"/>
  <c r="K4740" i="2" l="1"/>
  <c r="B4742" i="2"/>
  <c r="K4741" i="2" s="1"/>
  <c r="M4741" i="2"/>
  <c r="J4741" i="2" l="1"/>
  <c r="B4743" i="2"/>
  <c r="J4742" i="2" s="1"/>
  <c r="M4742" i="2"/>
  <c r="K4742" i="2" l="1"/>
  <c r="B4744" i="2"/>
  <c r="K4743" i="2" s="1"/>
  <c r="M4743" i="2"/>
  <c r="J4743" i="2" l="1"/>
  <c r="B4745" i="2"/>
  <c r="K4744" i="2" s="1"/>
  <c r="M4744" i="2"/>
  <c r="J4744" i="2" l="1"/>
  <c r="B4746" i="2"/>
  <c r="J4745" i="2" s="1"/>
  <c r="M4745" i="2"/>
  <c r="K4745" i="2" l="1"/>
  <c r="B4747" i="2"/>
  <c r="J4746" i="2" s="1"/>
  <c r="M4746" i="2"/>
  <c r="K4746" i="2" l="1"/>
  <c r="B4748" i="2"/>
  <c r="K4747" i="2" s="1"/>
  <c r="M4747" i="2"/>
  <c r="J4747" i="2" l="1"/>
  <c r="B4749" i="2"/>
  <c r="J4748" i="2" s="1"/>
  <c r="M4748" i="2"/>
  <c r="K4748" i="2" l="1"/>
  <c r="B4750" i="2"/>
  <c r="K4749" i="2" s="1"/>
  <c r="M4749" i="2"/>
  <c r="J4749" i="2" l="1"/>
  <c r="B4751" i="2"/>
  <c r="K4750" i="2" s="1"/>
  <c r="M4750" i="2"/>
  <c r="J4750" i="2" l="1"/>
  <c r="B4752" i="2"/>
  <c r="J4751" i="2" s="1"/>
  <c r="M4751" i="2"/>
  <c r="K4751" i="2" l="1"/>
  <c r="B4753" i="2"/>
  <c r="J4752" i="2" s="1"/>
  <c r="M4752" i="2"/>
  <c r="K4752" i="2" l="1"/>
  <c r="B4754" i="2"/>
  <c r="K4753" i="2" s="1"/>
  <c r="M4753" i="2"/>
  <c r="J4753" i="2" l="1"/>
  <c r="B4755" i="2"/>
  <c r="J4754" i="2" s="1"/>
  <c r="M4754" i="2"/>
  <c r="K4754" i="2" l="1"/>
  <c r="B4756" i="2"/>
  <c r="J4755" i="2" s="1"/>
  <c r="M4755" i="2"/>
  <c r="K4755" i="2" l="1"/>
  <c r="B4757" i="2"/>
  <c r="K4756" i="2" s="1"/>
  <c r="M4756" i="2"/>
  <c r="J4756" i="2" l="1"/>
  <c r="B4758" i="2"/>
  <c r="J4757" i="2" s="1"/>
  <c r="M4757" i="2"/>
  <c r="K4757" i="2" l="1"/>
  <c r="B4759" i="2"/>
  <c r="J4758" i="2" s="1"/>
  <c r="M4758" i="2"/>
  <c r="K4758" i="2" l="1"/>
  <c r="B4760" i="2"/>
  <c r="K4759" i="2" s="1"/>
  <c r="M4759" i="2"/>
  <c r="J4759" i="2" l="1"/>
  <c r="B4761" i="2"/>
  <c r="J4760" i="2" s="1"/>
  <c r="M4760" i="2"/>
  <c r="K4760" i="2" l="1"/>
  <c r="B4762" i="2"/>
  <c r="J4761" i="2" s="1"/>
  <c r="M4761" i="2"/>
  <c r="K4761" i="2" l="1"/>
  <c r="B4763" i="2"/>
  <c r="K4762" i="2" s="1"/>
  <c r="M4762" i="2"/>
  <c r="J4762" i="2" l="1"/>
  <c r="B4764" i="2"/>
  <c r="J4763" i="2" s="1"/>
  <c r="M4763" i="2"/>
  <c r="K4763" i="2" l="1"/>
  <c r="B4765" i="2"/>
  <c r="J4764" i="2" s="1"/>
  <c r="M4764" i="2"/>
  <c r="K4764" i="2" l="1"/>
  <c r="B4766" i="2"/>
  <c r="K4765" i="2" s="1"/>
  <c r="M4765" i="2"/>
  <c r="J4765" i="2" l="1"/>
  <c r="B4767" i="2"/>
  <c r="J4766" i="2" s="1"/>
  <c r="M4766" i="2"/>
  <c r="K4766" i="2" l="1"/>
  <c r="B4768" i="2"/>
  <c r="J4767" i="2" s="1"/>
  <c r="M4767" i="2"/>
  <c r="K4767" i="2" l="1"/>
  <c r="B4769" i="2"/>
  <c r="K4768" i="2" s="1"/>
  <c r="M4768" i="2"/>
  <c r="J4768" i="2" l="1"/>
  <c r="B4770" i="2"/>
  <c r="J4769" i="2" s="1"/>
  <c r="M4769" i="2"/>
  <c r="K4769" i="2" l="1"/>
  <c r="B4771" i="2"/>
  <c r="J4770" i="2" s="1"/>
  <c r="M4770" i="2"/>
  <c r="K4770" i="2" l="1"/>
  <c r="B4772" i="2"/>
  <c r="K4771" i="2" s="1"/>
  <c r="M4771" i="2"/>
  <c r="J4771" i="2" l="1"/>
  <c r="B4773" i="2"/>
  <c r="J4772" i="2" s="1"/>
  <c r="M4772" i="2"/>
  <c r="K4772" i="2" l="1"/>
  <c r="B4774" i="2"/>
  <c r="J4773" i="2" s="1"/>
  <c r="M4773" i="2"/>
  <c r="K4773" i="2" l="1"/>
  <c r="B4775" i="2"/>
  <c r="K4774" i="2" s="1"/>
  <c r="M4774" i="2"/>
  <c r="J4774" i="2" l="1"/>
  <c r="B4776" i="2"/>
  <c r="J4775" i="2" s="1"/>
  <c r="M4775" i="2"/>
  <c r="K4775" i="2" l="1"/>
  <c r="B4777" i="2"/>
  <c r="J4776" i="2" s="1"/>
  <c r="M4776" i="2"/>
  <c r="K4776" i="2" l="1"/>
  <c r="B4778" i="2"/>
  <c r="K4777" i="2" s="1"/>
  <c r="M4777" i="2"/>
  <c r="J4777" i="2" l="1"/>
  <c r="B4779" i="2"/>
  <c r="K4778" i="2" s="1"/>
  <c r="M4778" i="2"/>
  <c r="J4778" i="2" l="1"/>
  <c r="B4780" i="2"/>
  <c r="K4779" i="2" s="1"/>
  <c r="M4779" i="2"/>
  <c r="J4779" i="2" l="1"/>
  <c r="B4781" i="2"/>
  <c r="K4780" i="2" s="1"/>
  <c r="M4780" i="2"/>
  <c r="J4780" i="2" l="1"/>
  <c r="B4782" i="2"/>
  <c r="J4781" i="2" s="1"/>
  <c r="M4781" i="2"/>
  <c r="K4781" i="2" l="1"/>
  <c r="B4783" i="2"/>
  <c r="K4782" i="2" s="1"/>
  <c r="M4782" i="2"/>
  <c r="J4782" i="2" l="1"/>
  <c r="B4784" i="2"/>
  <c r="K4783" i="2" s="1"/>
  <c r="M4783" i="2"/>
  <c r="J4783" i="2" l="1"/>
  <c r="B4785" i="2"/>
  <c r="J4784" i="2" s="1"/>
  <c r="M4784" i="2"/>
  <c r="K4784" i="2" l="1"/>
  <c r="B4786" i="2"/>
  <c r="J4785" i="2" s="1"/>
  <c r="M4785" i="2"/>
  <c r="K4785" i="2" l="1"/>
  <c r="B4787" i="2"/>
  <c r="K4786" i="2" s="1"/>
  <c r="M4786" i="2"/>
  <c r="J4786" i="2" l="1"/>
  <c r="B4788" i="2"/>
  <c r="K4787" i="2" s="1"/>
  <c r="M4787" i="2"/>
  <c r="J4787" i="2" l="1"/>
  <c r="B4789" i="2"/>
  <c r="J4788" i="2" s="1"/>
  <c r="M4788" i="2"/>
  <c r="K4788" i="2" l="1"/>
  <c r="B4790" i="2"/>
  <c r="K4789" i="2" s="1"/>
  <c r="M4789" i="2"/>
  <c r="J4789" i="2" l="1"/>
  <c r="B4791" i="2"/>
  <c r="K4790" i="2" s="1"/>
  <c r="M4790" i="2"/>
  <c r="J4790" i="2" l="1"/>
  <c r="B4792" i="2"/>
  <c r="K4791" i="2" s="1"/>
  <c r="M4791" i="2"/>
  <c r="J4791" i="2" l="1"/>
  <c r="B4793" i="2"/>
  <c r="K4792" i="2" s="1"/>
  <c r="M4792" i="2"/>
  <c r="J4792" i="2" l="1"/>
  <c r="B4794" i="2"/>
  <c r="K4793" i="2" s="1"/>
  <c r="M4793" i="2"/>
  <c r="J4793" i="2" l="1"/>
  <c r="B4795" i="2"/>
  <c r="J4794" i="2" s="1"/>
  <c r="M4794" i="2"/>
  <c r="K4794" i="2" l="1"/>
  <c r="B4796" i="2"/>
  <c r="K4795" i="2" s="1"/>
  <c r="M4795" i="2"/>
  <c r="J4795" i="2" l="1"/>
  <c r="B4797" i="2"/>
  <c r="K4796" i="2" s="1"/>
  <c r="M4796" i="2"/>
  <c r="J4796" i="2" l="1"/>
  <c r="B4798" i="2"/>
  <c r="J4797" i="2" s="1"/>
  <c r="M4797" i="2"/>
  <c r="K4797" i="2" l="1"/>
  <c r="B4799" i="2"/>
  <c r="K4798" i="2" s="1"/>
  <c r="M4798" i="2"/>
  <c r="J4798" i="2" l="1"/>
  <c r="B4800" i="2"/>
  <c r="K4799" i="2" s="1"/>
  <c r="M4799" i="2"/>
  <c r="J4799" i="2" l="1"/>
  <c r="B4801" i="2"/>
  <c r="J4800" i="2" s="1"/>
  <c r="M4800" i="2"/>
  <c r="K4800" i="2" l="1"/>
  <c r="B4802" i="2"/>
  <c r="K4801" i="2" s="1"/>
  <c r="M4801" i="2"/>
  <c r="J4801" i="2" l="1"/>
  <c r="B4803" i="2"/>
  <c r="K4802" i="2" s="1"/>
  <c r="M4802" i="2"/>
  <c r="J4802" i="2" l="1"/>
  <c r="B4804" i="2"/>
  <c r="J4803" i="2" s="1"/>
  <c r="M4803" i="2"/>
  <c r="K4803" i="2" l="1"/>
  <c r="B4805" i="2"/>
  <c r="K4804" i="2" s="1"/>
  <c r="M4804" i="2"/>
  <c r="J4804" i="2" l="1"/>
  <c r="B4806" i="2"/>
  <c r="K4805" i="2" s="1"/>
  <c r="M4805" i="2"/>
  <c r="J4805" i="2" l="1"/>
  <c r="B4807" i="2"/>
  <c r="J4806" i="2" s="1"/>
  <c r="M4806" i="2"/>
  <c r="K4806" i="2" l="1"/>
  <c r="B4808" i="2"/>
  <c r="K4807" i="2" s="1"/>
  <c r="M4807" i="2"/>
  <c r="J4807" i="2" l="1"/>
  <c r="B4809" i="2"/>
  <c r="K4808" i="2" s="1"/>
  <c r="M4808" i="2"/>
  <c r="J4808" i="2" l="1"/>
  <c r="B4810" i="2"/>
  <c r="J4809" i="2" s="1"/>
  <c r="M4809" i="2"/>
  <c r="K4809" i="2" l="1"/>
  <c r="B4811" i="2"/>
  <c r="K4810" i="2" s="1"/>
  <c r="M4810" i="2"/>
  <c r="J4810" i="2" l="1"/>
  <c r="B4812" i="2"/>
  <c r="K4811" i="2" s="1"/>
  <c r="M4811" i="2"/>
  <c r="J4811" i="2" l="1"/>
  <c r="B4813" i="2"/>
  <c r="J4812" i="2" s="1"/>
  <c r="M4812" i="2"/>
  <c r="K4812" i="2" l="1"/>
  <c r="B4814" i="2"/>
  <c r="K4813" i="2" s="1"/>
  <c r="M4813" i="2"/>
  <c r="J4813" i="2" l="1"/>
  <c r="B4815" i="2"/>
  <c r="K4814" i="2" s="1"/>
  <c r="M4814" i="2"/>
  <c r="J4814" i="2" l="1"/>
  <c r="B4816" i="2"/>
  <c r="J4815" i="2" s="1"/>
  <c r="M4815" i="2"/>
  <c r="K4815" i="2" l="1"/>
  <c r="B4817" i="2"/>
  <c r="K4816" i="2" s="1"/>
  <c r="M4816" i="2"/>
  <c r="J4816" i="2" l="1"/>
  <c r="B4818" i="2"/>
  <c r="K4817" i="2" s="1"/>
  <c r="M4817" i="2"/>
  <c r="J4817" i="2" l="1"/>
  <c r="B4819" i="2"/>
  <c r="J4818" i="2" s="1"/>
  <c r="M4818" i="2"/>
  <c r="K4818" i="2" l="1"/>
  <c r="B4820" i="2"/>
  <c r="K4819" i="2" s="1"/>
  <c r="M4819" i="2"/>
  <c r="J4819" i="2" l="1"/>
  <c r="B4821" i="2"/>
  <c r="J4820" i="2" s="1"/>
  <c r="M4820" i="2"/>
  <c r="K4820" i="2" l="1"/>
  <c r="B4822" i="2"/>
  <c r="J4821" i="2" s="1"/>
  <c r="M4821" i="2"/>
  <c r="K4821" i="2" l="1"/>
  <c r="B4823" i="2"/>
  <c r="K4822" i="2" s="1"/>
  <c r="M4822" i="2"/>
  <c r="J4822" i="2" l="1"/>
  <c r="B4824" i="2"/>
  <c r="J4823" i="2" s="1"/>
  <c r="M4823" i="2"/>
  <c r="K4823" i="2" l="1"/>
  <c r="B4825" i="2"/>
  <c r="J4824" i="2" s="1"/>
  <c r="M4824" i="2"/>
  <c r="K4824" i="2" l="1"/>
  <c r="B4826" i="2"/>
  <c r="K4825" i="2" s="1"/>
  <c r="M4825" i="2"/>
  <c r="J4825" i="2" l="1"/>
  <c r="B4827" i="2"/>
  <c r="J4826" i="2" s="1"/>
  <c r="M4826" i="2"/>
  <c r="K4826" i="2" l="1"/>
  <c r="B4828" i="2"/>
  <c r="J4827" i="2" s="1"/>
  <c r="M4827" i="2"/>
  <c r="K4827" i="2" l="1"/>
  <c r="B4829" i="2"/>
  <c r="K4828" i="2" s="1"/>
  <c r="M4828" i="2"/>
  <c r="J4828" i="2" l="1"/>
  <c r="B4830" i="2"/>
  <c r="J4829" i="2" s="1"/>
  <c r="M4829" i="2"/>
  <c r="K4829" i="2" l="1"/>
  <c r="B4831" i="2"/>
  <c r="J4830" i="2" s="1"/>
  <c r="M4830" i="2"/>
  <c r="K4830" i="2" l="1"/>
  <c r="B4832" i="2"/>
  <c r="K4831" i="2" s="1"/>
  <c r="M4831" i="2"/>
  <c r="J4831" i="2" l="1"/>
  <c r="B4833" i="2"/>
  <c r="J4832" i="2" s="1"/>
  <c r="M4832" i="2"/>
  <c r="K4832" i="2" l="1"/>
  <c r="B4834" i="2"/>
  <c r="J4833" i="2" s="1"/>
  <c r="M4833" i="2"/>
  <c r="K4833" i="2" l="1"/>
  <c r="B4835" i="2"/>
  <c r="K4834" i="2" s="1"/>
  <c r="M4834" i="2"/>
  <c r="J4834" i="2" l="1"/>
  <c r="B4836" i="2"/>
  <c r="J4835" i="2" s="1"/>
  <c r="M4835" i="2"/>
  <c r="K4835" i="2" l="1"/>
  <c r="B4837" i="2"/>
  <c r="J4836" i="2" s="1"/>
  <c r="M4836" i="2"/>
  <c r="K4836" i="2" l="1"/>
  <c r="B4838" i="2"/>
  <c r="K4837" i="2" s="1"/>
  <c r="M4837" i="2"/>
  <c r="J4837" i="2" l="1"/>
  <c r="B4839" i="2"/>
  <c r="J4838" i="2" s="1"/>
  <c r="M4838" i="2"/>
  <c r="K4838" i="2" l="1"/>
  <c r="B4840" i="2"/>
  <c r="J4839" i="2" s="1"/>
  <c r="M4839" i="2"/>
  <c r="K4839" i="2" l="1"/>
  <c r="B4841" i="2"/>
  <c r="K4840" i="2" s="1"/>
  <c r="M4840" i="2"/>
  <c r="J4840" i="2" l="1"/>
  <c r="B4842" i="2"/>
  <c r="J4841" i="2" s="1"/>
  <c r="M4841" i="2"/>
  <c r="K4841" i="2" l="1"/>
  <c r="B4843" i="2"/>
  <c r="J4842" i="2" s="1"/>
  <c r="M4842" i="2"/>
  <c r="K4842" i="2" l="1"/>
  <c r="B4844" i="2"/>
  <c r="K4843" i="2" s="1"/>
  <c r="M4843" i="2"/>
  <c r="J4843" i="2" l="1"/>
  <c r="B4845" i="2"/>
  <c r="J4844" i="2" s="1"/>
  <c r="M4844" i="2"/>
  <c r="K4844" i="2" l="1"/>
  <c r="B4846" i="2"/>
  <c r="J4845" i="2" s="1"/>
  <c r="M4845" i="2"/>
  <c r="K4845" i="2" l="1"/>
  <c r="B4847" i="2"/>
  <c r="K4846" i="2" s="1"/>
  <c r="M4846" i="2"/>
  <c r="J4846" i="2" l="1"/>
  <c r="B4848" i="2"/>
  <c r="K4847" i="2" s="1"/>
  <c r="M4847" i="2"/>
  <c r="J4847" i="2" l="1"/>
  <c r="B4849" i="2"/>
  <c r="J4848" i="2" s="1"/>
  <c r="M4848" i="2"/>
  <c r="K4848" i="2" l="1"/>
  <c r="B4850" i="2"/>
  <c r="K4849" i="2" s="1"/>
  <c r="M4849" i="2"/>
  <c r="J4849" i="2" l="1"/>
  <c r="B4851" i="2"/>
  <c r="J4850" i="2" s="1"/>
  <c r="M4850" i="2"/>
  <c r="K4850" i="2" l="1"/>
  <c r="B4852" i="2"/>
  <c r="J4851" i="2" s="1"/>
  <c r="M4851" i="2"/>
  <c r="K4851" i="2" l="1"/>
  <c r="B4853" i="2"/>
  <c r="K4852" i="2" s="1"/>
  <c r="M4852" i="2"/>
  <c r="J4852" i="2" l="1"/>
  <c r="B4854" i="2"/>
  <c r="J4853" i="2" s="1"/>
  <c r="M4853" i="2"/>
  <c r="K4853" i="2" l="1"/>
  <c r="B4855" i="2"/>
  <c r="K4854" i="2" s="1"/>
  <c r="M4854" i="2"/>
  <c r="J4854" i="2" l="1"/>
  <c r="B4856" i="2"/>
  <c r="K4855" i="2" s="1"/>
  <c r="M4855" i="2"/>
  <c r="J4855" i="2" l="1"/>
  <c r="B4857" i="2"/>
  <c r="J4856" i="2" s="1"/>
  <c r="M4856" i="2"/>
  <c r="K4856" i="2" l="1"/>
  <c r="B4858" i="2"/>
  <c r="J4857" i="2" s="1"/>
  <c r="M4857" i="2"/>
  <c r="K4857" i="2" l="1"/>
  <c r="B4859" i="2"/>
  <c r="K4858" i="2" s="1"/>
  <c r="M4858" i="2"/>
  <c r="J4858" i="2" l="1"/>
  <c r="B4860" i="2"/>
  <c r="J4859" i="2" s="1"/>
  <c r="M4859" i="2"/>
  <c r="K4859" i="2" l="1"/>
  <c r="B4861" i="2"/>
  <c r="K4860" i="2" s="1"/>
  <c r="M4860" i="2"/>
  <c r="J4860" i="2" l="1"/>
  <c r="B4862" i="2"/>
  <c r="K4861" i="2" s="1"/>
  <c r="M4861" i="2"/>
  <c r="J4861" i="2" l="1"/>
  <c r="B4863" i="2"/>
  <c r="J4862" i="2" s="1"/>
  <c r="M4862" i="2"/>
  <c r="K4862" i="2" l="1"/>
  <c r="B4864" i="2"/>
  <c r="J4863" i="2" s="1"/>
  <c r="M4863" i="2"/>
  <c r="K4863" i="2" l="1"/>
  <c r="B4865" i="2"/>
  <c r="K4864" i="2" s="1"/>
  <c r="M4864" i="2"/>
  <c r="J4864" i="2" l="1"/>
  <c r="B4866" i="2"/>
  <c r="K4865" i="2" s="1"/>
  <c r="M4865" i="2"/>
  <c r="J4865" i="2" l="1"/>
  <c r="B4867" i="2"/>
  <c r="J4866" i="2" s="1"/>
  <c r="M4866" i="2"/>
  <c r="K4866" i="2" l="1"/>
  <c r="B4868" i="2"/>
  <c r="K4867" i="2" s="1"/>
  <c r="M4867" i="2"/>
  <c r="J4867" i="2" l="1"/>
  <c r="B4869" i="2"/>
  <c r="J4868" i="2" s="1"/>
  <c r="M4868" i="2"/>
  <c r="K4868" i="2" l="1"/>
  <c r="B4870" i="2"/>
  <c r="J4869" i="2" s="1"/>
  <c r="M4869" i="2"/>
  <c r="K4869" i="2" l="1"/>
  <c r="B4871" i="2"/>
  <c r="K4870" i="2" s="1"/>
  <c r="M4870" i="2"/>
  <c r="J4870" i="2" l="1"/>
  <c r="B4872" i="2"/>
  <c r="J4871" i="2" s="1"/>
  <c r="M4871" i="2"/>
  <c r="K4871" i="2" l="1"/>
  <c r="B4873" i="2"/>
  <c r="K4872" i="2" s="1"/>
  <c r="M4872" i="2"/>
  <c r="J4872" i="2" l="1"/>
  <c r="B4874" i="2"/>
  <c r="K4873" i="2" s="1"/>
  <c r="M4873" i="2"/>
  <c r="J4873" i="2" l="1"/>
  <c r="B4875" i="2"/>
  <c r="J4874" i="2" s="1"/>
  <c r="M4874" i="2"/>
  <c r="K4874" i="2" l="1"/>
  <c r="B4876" i="2"/>
  <c r="J4875" i="2" s="1"/>
  <c r="M4875" i="2"/>
  <c r="K4875" i="2" l="1"/>
  <c r="B4877" i="2"/>
  <c r="K4876" i="2" s="1"/>
  <c r="M4876" i="2"/>
  <c r="J4876" i="2" l="1"/>
  <c r="B4878" i="2"/>
  <c r="J4877" i="2" s="1"/>
  <c r="M4877" i="2"/>
  <c r="K4877" i="2" l="1"/>
  <c r="B4879" i="2"/>
  <c r="J4878" i="2" s="1"/>
  <c r="M4878" i="2"/>
  <c r="K4878" i="2" l="1"/>
  <c r="B4880" i="2"/>
  <c r="K4879" i="2" s="1"/>
  <c r="M4879" i="2"/>
  <c r="J4879" i="2" l="1"/>
  <c r="B4881" i="2"/>
  <c r="J4880" i="2" s="1"/>
  <c r="M4880" i="2"/>
  <c r="K4880" i="2" l="1"/>
  <c r="B4882" i="2"/>
  <c r="J4881" i="2" s="1"/>
  <c r="M4881" i="2"/>
  <c r="K4881" i="2" l="1"/>
  <c r="B4883" i="2"/>
  <c r="K4882" i="2" s="1"/>
  <c r="M4882" i="2"/>
  <c r="J4882" i="2" l="1"/>
  <c r="B4884" i="2"/>
  <c r="K4883" i="2" s="1"/>
  <c r="M4883" i="2"/>
  <c r="J4883" i="2" l="1"/>
  <c r="B4885" i="2"/>
  <c r="J4884" i="2" s="1"/>
  <c r="M4884" i="2"/>
  <c r="K4884" i="2" l="1"/>
  <c r="B4886" i="2"/>
  <c r="K4885" i="2" s="1"/>
  <c r="M4885" i="2"/>
  <c r="J4885" i="2" l="1"/>
  <c r="B4887" i="2"/>
  <c r="J4886" i="2" s="1"/>
  <c r="M4886" i="2"/>
  <c r="K4886" i="2" l="1"/>
  <c r="B4888" i="2"/>
  <c r="J4887" i="2" s="1"/>
  <c r="M4887" i="2"/>
  <c r="K4887" i="2" l="1"/>
  <c r="B4889" i="2"/>
  <c r="K4888" i="2" s="1"/>
  <c r="M4888" i="2"/>
  <c r="J4888" i="2" l="1"/>
  <c r="B4890" i="2"/>
  <c r="J4889" i="2" s="1"/>
  <c r="M4889" i="2"/>
  <c r="K4889" i="2" l="1"/>
  <c r="B4891" i="2"/>
  <c r="K4890" i="2" s="1"/>
  <c r="M4890" i="2"/>
  <c r="J4890" i="2" l="1"/>
  <c r="B4892" i="2"/>
  <c r="K4891" i="2" s="1"/>
  <c r="M4891" i="2"/>
  <c r="J4891" i="2" l="1"/>
  <c r="B4893" i="2"/>
  <c r="J4892" i="2" s="1"/>
  <c r="M4892" i="2"/>
  <c r="K4892" i="2" l="1"/>
  <c r="B4894" i="2"/>
  <c r="J4893" i="2" s="1"/>
  <c r="M4893" i="2"/>
  <c r="K4893" i="2" l="1"/>
  <c r="B4895" i="2"/>
  <c r="K4894" i="2" s="1"/>
  <c r="M4894" i="2"/>
  <c r="J4894" i="2" l="1"/>
  <c r="B4896" i="2"/>
  <c r="J4895" i="2" s="1"/>
  <c r="M4895" i="2"/>
  <c r="K4895" i="2" l="1"/>
  <c r="B4897" i="2"/>
  <c r="K4896" i="2" s="1"/>
  <c r="M4896" i="2"/>
  <c r="J4896" i="2" l="1"/>
  <c r="B4898" i="2"/>
  <c r="K4897" i="2" s="1"/>
  <c r="M4897" i="2"/>
  <c r="J4897" i="2" l="1"/>
  <c r="B4899" i="2"/>
  <c r="J4898" i="2" s="1"/>
  <c r="M4898" i="2"/>
  <c r="K4898" i="2" l="1"/>
  <c r="B4900" i="2"/>
  <c r="K4899" i="2" s="1"/>
  <c r="M4899" i="2"/>
  <c r="J4899" i="2" l="1"/>
  <c r="B4901" i="2"/>
  <c r="J4900" i="2" s="1"/>
  <c r="M4900" i="2"/>
  <c r="K4900" i="2" l="1"/>
  <c r="B4902" i="2"/>
  <c r="J4901" i="2" s="1"/>
  <c r="M4901" i="2"/>
  <c r="K4901" i="2" l="1"/>
  <c r="B4903" i="2"/>
  <c r="J4902" i="2" s="1"/>
  <c r="M4902" i="2"/>
  <c r="K4902" i="2" l="1"/>
  <c r="B4904" i="2"/>
  <c r="J4903" i="2" s="1"/>
  <c r="M4903" i="2"/>
  <c r="K4903" i="2" l="1"/>
  <c r="B4905" i="2"/>
  <c r="J4904" i="2" s="1"/>
  <c r="M4904" i="2"/>
  <c r="K4904" i="2" l="1"/>
  <c r="B4906" i="2"/>
  <c r="J4905" i="2" s="1"/>
  <c r="M4905" i="2"/>
  <c r="K4905" i="2" l="1"/>
  <c r="B4907" i="2"/>
  <c r="J4906" i="2" s="1"/>
  <c r="M4906" i="2"/>
  <c r="K4906" i="2" l="1"/>
  <c r="B4908" i="2"/>
  <c r="J4907" i="2" s="1"/>
  <c r="M4907" i="2"/>
  <c r="K4907" i="2" l="1"/>
  <c r="B4909" i="2"/>
  <c r="J4908" i="2" s="1"/>
  <c r="M4908" i="2"/>
  <c r="K4908" i="2" l="1"/>
  <c r="B4910" i="2"/>
  <c r="J4909" i="2" s="1"/>
  <c r="M4909" i="2"/>
  <c r="K4909" i="2" l="1"/>
  <c r="B4911" i="2"/>
  <c r="J4910" i="2" s="1"/>
  <c r="M4910" i="2"/>
  <c r="K4910" i="2" l="1"/>
  <c r="B4912" i="2"/>
  <c r="J4911" i="2" s="1"/>
  <c r="M4911" i="2"/>
  <c r="K4911" i="2" l="1"/>
  <c r="B4913" i="2"/>
  <c r="J4912" i="2" s="1"/>
  <c r="M4912" i="2"/>
  <c r="K4912" i="2" l="1"/>
  <c r="B4914" i="2"/>
  <c r="J4913" i="2" s="1"/>
  <c r="M4913" i="2"/>
  <c r="K4913" i="2" l="1"/>
  <c r="B4915" i="2"/>
  <c r="J4914" i="2" s="1"/>
  <c r="M4914" i="2"/>
  <c r="K4914" i="2" l="1"/>
  <c r="B4916" i="2"/>
  <c r="J4915" i="2" s="1"/>
  <c r="M4915" i="2"/>
  <c r="K4915" i="2" l="1"/>
  <c r="B4917" i="2"/>
  <c r="J4916" i="2" s="1"/>
  <c r="M4916" i="2"/>
  <c r="K4916" i="2" l="1"/>
  <c r="B4918" i="2"/>
  <c r="K4917" i="2" s="1"/>
  <c r="M4917" i="2"/>
  <c r="J4917" i="2" l="1"/>
  <c r="B4919" i="2"/>
  <c r="J4918" i="2" s="1"/>
  <c r="M4918" i="2"/>
  <c r="K4918" i="2" l="1"/>
  <c r="B4920" i="2"/>
  <c r="J4919" i="2" s="1"/>
  <c r="M4919" i="2"/>
  <c r="K4919" i="2" l="1"/>
  <c r="B4921" i="2"/>
  <c r="J4920" i="2" s="1"/>
  <c r="M4920" i="2"/>
  <c r="K4920" i="2" l="1"/>
  <c r="B4922" i="2"/>
  <c r="J4921" i="2" s="1"/>
  <c r="M4921" i="2"/>
  <c r="K4921" i="2" l="1"/>
  <c r="B4923" i="2"/>
  <c r="J4922" i="2" s="1"/>
  <c r="M4922" i="2"/>
  <c r="K4922" i="2" l="1"/>
  <c r="B4924" i="2"/>
  <c r="J4923" i="2" s="1"/>
  <c r="M4923" i="2"/>
  <c r="K4923" i="2" l="1"/>
  <c r="B4925" i="2"/>
  <c r="J4924" i="2" s="1"/>
  <c r="M4924" i="2"/>
  <c r="K4924" i="2" l="1"/>
  <c r="B4926" i="2"/>
  <c r="J4925" i="2" s="1"/>
  <c r="M4925" i="2"/>
  <c r="K4925" i="2" l="1"/>
  <c r="B4927" i="2"/>
  <c r="J4926" i="2" s="1"/>
  <c r="M4926" i="2"/>
  <c r="K4926" i="2" l="1"/>
  <c r="B4928" i="2"/>
  <c r="J4927" i="2" s="1"/>
  <c r="M4927" i="2"/>
  <c r="K4927" i="2" l="1"/>
  <c r="B4929" i="2"/>
  <c r="J4928" i="2" s="1"/>
  <c r="M4928" i="2"/>
  <c r="K4928" i="2" l="1"/>
  <c r="B4930" i="2"/>
  <c r="J4929" i="2" s="1"/>
  <c r="M4929" i="2"/>
  <c r="K4929" i="2" l="1"/>
  <c r="B4931" i="2"/>
  <c r="J4930" i="2" s="1"/>
  <c r="M4930" i="2"/>
  <c r="K4930" i="2" l="1"/>
  <c r="B4932" i="2"/>
  <c r="J4931" i="2" s="1"/>
  <c r="M4931" i="2"/>
  <c r="K4931" i="2" l="1"/>
  <c r="B4933" i="2"/>
  <c r="J4932" i="2" s="1"/>
  <c r="M4932" i="2"/>
  <c r="K4932" i="2" l="1"/>
  <c r="B4934" i="2"/>
  <c r="J4933" i="2" s="1"/>
  <c r="M4933" i="2"/>
  <c r="K4933" i="2" l="1"/>
  <c r="B4935" i="2"/>
  <c r="J4934" i="2" s="1"/>
  <c r="M4934" i="2"/>
  <c r="K4934" i="2" l="1"/>
  <c r="B4936" i="2"/>
  <c r="J4935" i="2" s="1"/>
  <c r="M4935" i="2"/>
  <c r="K4935" i="2" l="1"/>
  <c r="B4937" i="2"/>
  <c r="J4936" i="2" s="1"/>
  <c r="M4936" i="2"/>
  <c r="K4936" i="2" l="1"/>
  <c r="B4938" i="2"/>
  <c r="J4937" i="2" s="1"/>
  <c r="M4937" i="2"/>
  <c r="K4937" i="2" l="1"/>
  <c r="B4939" i="2"/>
  <c r="J4938" i="2" s="1"/>
  <c r="M4938" i="2"/>
  <c r="K4938" i="2" l="1"/>
  <c r="B4940" i="2"/>
  <c r="J4939" i="2" s="1"/>
  <c r="M4939" i="2"/>
  <c r="K4939" i="2" l="1"/>
  <c r="B4941" i="2"/>
  <c r="J4940" i="2" s="1"/>
  <c r="M4940" i="2"/>
  <c r="K4940" i="2" l="1"/>
  <c r="B4942" i="2"/>
  <c r="J4941" i="2" s="1"/>
  <c r="M4941" i="2"/>
  <c r="K4941" i="2" l="1"/>
  <c r="B4943" i="2"/>
  <c r="J4942" i="2" s="1"/>
  <c r="M4942" i="2"/>
  <c r="K4942" i="2" l="1"/>
  <c r="B4944" i="2"/>
  <c r="J4943" i="2" s="1"/>
  <c r="M4943" i="2"/>
  <c r="K4943" i="2" l="1"/>
  <c r="B4945" i="2"/>
  <c r="J4944" i="2" s="1"/>
  <c r="M4944" i="2"/>
  <c r="K4944" i="2" l="1"/>
  <c r="B4946" i="2"/>
  <c r="J4945" i="2" s="1"/>
  <c r="M4945" i="2"/>
  <c r="K4945" i="2" l="1"/>
  <c r="B4947" i="2"/>
  <c r="J4946" i="2" s="1"/>
  <c r="M4946" i="2"/>
  <c r="K4946" i="2" l="1"/>
  <c r="B4948" i="2"/>
  <c r="J4947" i="2" s="1"/>
  <c r="M4947" i="2"/>
  <c r="K4947" i="2" l="1"/>
  <c r="B4949" i="2"/>
  <c r="J4948" i="2" s="1"/>
  <c r="M4948" i="2"/>
  <c r="K4948" i="2" l="1"/>
  <c r="B4950" i="2"/>
  <c r="J4949" i="2" s="1"/>
  <c r="M4949" i="2"/>
  <c r="K4949" i="2" l="1"/>
  <c r="B4951" i="2"/>
  <c r="J4950" i="2" s="1"/>
  <c r="M4950" i="2"/>
  <c r="K4950" i="2" l="1"/>
  <c r="B4952" i="2"/>
  <c r="J4951" i="2" s="1"/>
  <c r="M4951" i="2"/>
  <c r="K4951" i="2" l="1"/>
  <c r="B4953" i="2"/>
  <c r="J4952" i="2" s="1"/>
  <c r="M4952" i="2"/>
  <c r="K4952" i="2" l="1"/>
  <c r="B4954" i="2"/>
  <c r="J4953" i="2" s="1"/>
  <c r="M4953" i="2"/>
  <c r="K4953" i="2" l="1"/>
  <c r="B4955" i="2"/>
  <c r="J4954" i="2" s="1"/>
  <c r="M4954" i="2"/>
  <c r="K4954" i="2" l="1"/>
  <c r="B4956" i="2"/>
  <c r="J4955" i="2" s="1"/>
  <c r="M4955" i="2"/>
  <c r="K4955" i="2" l="1"/>
  <c r="B4957" i="2"/>
  <c r="J4956" i="2" s="1"/>
  <c r="M4956" i="2"/>
  <c r="K4956" i="2" l="1"/>
  <c r="B4958" i="2"/>
  <c r="J4957" i="2" s="1"/>
  <c r="M4957" i="2"/>
  <c r="K4957" i="2" l="1"/>
  <c r="B4959" i="2"/>
  <c r="J4958" i="2" s="1"/>
  <c r="M4958" i="2"/>
  <c r="K4958" i="2" l="1"/>
  <c r="B4960" i="2"/>
  <c r="J4959" i="2" s="1"/>
  <c r="M4959" i="2"/>
  <c r="K4959" i="2" l="1"/>
  <c r="B4961" i="2"/>
  <c r="J4960" i="2" s="1"/>
  <c r="M4960" i="2"/>
  <c r="K4960" i="2" l="1"/>
  <c r="B4962" i="2"/>
  <c r="J4961" i="2" s="1"/>
  <c r="M4961" i="2"/>
  <c r="K4961" i="2" l="1"/>
  <c r="B4963" i="2"/>
  <c r="J4962" i="2" s="1"/>
  <c r="M4962" i="2"/>
  <c r="K4962" i="2" l="1"/>
  <c r="B4964" i="2"/>
  <c r="J4963" i="2" s="1"/>
  <c r="M4963" i="2"/>
  <c r="K4963" i="2" l="1"/>
  <c r="B4965" i="2"/>
  <c r="K4964" i="2" s="1"/>
  <c r="M4964" i="2"/>
  <c r="J4964" i="2" l="1"/>
  <c r="B4966" i="2"/>
  <c r="J4965" i="2" s="1"/>
  <c r="M4965" i="2"/>
  <c r="K4965" i="2" l="1"/>
  <c r="B4967" i="2"/>
  <c r="J4966" i="2" s="1"/>
  <c r="M4966" i="2"/>
  <c r="K4966" i="2" l="1"/>
  <c r="B4968" i="2"/>
  <c r="J4967" i="2" s="1"/>
  <c r="M4967" i="2"/>
  <c r="K4967" i="2" l="1"/>
  <c r="B4969" i="2"/>
  <c r="J4968" i="2" s="1"/>
  <c r="M4968" i="2"/>
  <c r="K4968" i="2" l="1"/>
  <c r="B4970" i="2"/>
  <c r="J4969" i="2" s="1"/>
  <c r="M4969" i="2"/>
  <c r="K4969" i="2" l="1"/>
  <c r="B4971" i="2"/>
  <c r="J4970" i="2" s="1"/>
  <c r="M4970" i="2"/>
  <c r="K4970" i="2" l="1"/>
  <c r="B4972" i="2"/>
  <c r="J4971" i="2" s="1"/>
  <c r="M4971" i="2"/>
  <c r="K4971" i="2" l="1"/>
  <c r="B4973" i="2"/>
  <c r="J4972" i="2" s="1"/>
  <c r="M4972" i="2"/>
  <c r="K4972" i="2" l="1"/>
  <c r="B4974" i="2"/>
  <c r="J4973" i="2" s="1"/>
  <c r="M4973" i="2"/>
  <c r="K4973" i="2" l="1"/>
  <c r="B4975" i="2"/>
  <c r="J4974" i="2" s="1"/>
  <c r="M4974" i="2"/>
  <c r="K4974" i="2" l="1"/>
  <c r="B4976" i="2"/>
  <c r="J4975" i="2" s="1"/>
  <c r="M4975" i="2"/>
  <c r="K4975" i="2" l="1"/>
  <c r="B4977" i="2"/>
  <c r="J4976" i="2" s="1"/>
  <c r="M4976" i="2"/>
  <c r="K4976" i="2" l="1"/>
  <c r="B4978" i="2"/>
  <c r="J4977" i="2" s="1"/>
  <c r="M4977" i="2"/>
  <c r="K4977" i="2" l="1"/>
  <c r="B4979" i="2"/>
  <c r="J4978" i="2" s="1"/>
  <c r="M4978" i="2"/>
  <c r="K4978" i="2" l="1"/>
  <c r="B4980" i="2"/>
  <c r="J4979" i="2" s="1"/>
  <c r="M4979" i="2"/>
  <c r="K4979" i="2" l="1"/>
  <c r="B4981" i="2"/>
  <c r="J4980" i="2" s="1"/>
  <c r="M4980" i="2"/>
  <c r="K4980" i="2" l="1"/>
  <c r="B4982" i="2"/>
  <c r="J4981" i="2" s="1"/>
  <c r="M4981" i="2"/>
  <c r="K4981" i="2" l="1"/>
  <c r="B4983" i="2"/>
  <c r="J4982" i="2" s="1"/>
  <c r="M4982" i="2"/>
  <c r="K4982" i="2" l="1"/>
  <c r="B4984" i="2"/>
  <c r="J4983" i="2" s="1"/>
  <c r="M4983" i="2"/>
  <c r="K4983" i="2" l="1"/>
  <c r="B4985" i="2"/>
  <c r="J4984" i="2" s="1"/>
  <c r="M4984" i="2"/>
  <c r="K4984" i="2" l="1"/>
  <c r="B4986" i="2"/>
  <c r="J4985" i="2" s="1"/>
  <c r="M4985" i="2"/>
  <c r="K4985" i="2" l="1"/>
  <c r="B4987" i="2"/>
  <c r="J4986" i="2" s="1"/>
  <c r="M4986" i="2"/>
  <c r="K4986" i="2" l="1"/>
  <c r="B4988" i="2"/>
  <c r="J4987" i="2" s="1"/>
  <c r="M4987" i="2"/>
  <c r="K4987" i="2" l="1"/>
  <c r="B4989" i="2"/>
  <c r="J4988" i="2" s="1"/>
  <c r="M4988" i="2"/>
  <c r="K4988" i="2" l="1"/>
  <c r="B4990" i="2"/>
  <c r="J4989" i="2" s="1"/>
  <c r="M4989" i="2"/>
  <c r="K4989" i="2" l="1"/>
  <c r="B4991" i="2"/>
  <c r="J4990" i="2" s="1"/>
  <c r="M4990" i="2"/>
  <c r="K4990" i="2" l="1"/>
  <c r="B4992" i="2"/>
  <c r="K4991" i="2" s="1"/>
  <c r="M4991" i="2"/>
  <c r="J4991" i="2" l="1"/>
  <c r="B4993" i="2"/>
  <c r="J4992" i="2" s="1"/>
  <c r="M4992" i="2"/>
  <c r="K4992" i="2" l="1"/>
  <c r="B4994" i="2"/>
  <c r="J4993" i="2" s="1"/>
  <c r="M4993" i="2"/>
  <c r="K4993" i="2" l="1"/>
  <c r="B4995" i="2"/>
  <c r="J4994" i="2" s="1"/>
  <c r="M4994" i="2"/>
  <c r="K4994" i="2" l="1"/>
  <c r="B4996" i="2"/>
  <c r="J4995" i="2" s="1"/>
  <c r="M4995" i="2"/>
  <c r="K4995" i="2" l="1"/>
  <c r="B4997" i="2"/>
  <c r="J4996" i="2" s="1"/>
  <c r="M4996" i="2"/>
  <c r="K4996" i="2" l="1"/>
  <c r="B4998" i="2"/>
  <c r="J4997" i="2" s="1"/>
  <c r="M4997" i="2"/>
  <c r="K4997" i="2" l="1"/>
  <c r="B4999" i="2"/>
  <c r="J4998" i="2" s="1"/>
  <c r="M4998" i="2"/>
  <c r="K4998" i="2" l="1"/>
  <c r="B5000" i="2"/>
  <c r="J4999" i="2" s="1"/>
  <c r="M4999" i="2"/>
  <c r="K4999" i="2" l="1"/>
  <c r="B5001" i="2"/>
  <c r="J5000" i="2" s="1"/>
  <c r="M5000" i="2"/>
  <c r="K5000" i="2" l="1"/>
  <c r="B5002" i="2"/>
  <c r="J5001" i="2" s="1"/>
  <c r="M5001" i="2"/>
  <c r="K5001" i="2" l="1"/>
  <c r="B5003" i="2"/>
  <c r="J5002" i="2" s="1"/>
  <c r="M5002" i="2"/>
  <c r="K5002" i="2" l="1"/>
  <c r="B5004" i="2"/>
  <c r="J5003" i="2" s="1"/>
  <c r="M5003" i="2"/>
  <c r="K5003" i="2" l="1"/>
  <c r="B5005" i="2"/>
  <c r="J5004" i="2" s="1"/>
  <c r="M5004" i="2"/>
  <c r="K5004" i="2" l="1"/>
  <c r="B5006" i="2"/>
  <c r="J5005" i="2" s="1"/>
  <c r="M5005" i="2"/>
  <c r="K5005" i="2" l="1"/>
  <c r="B5007" i="2"/>
  <c r="J5006" i="2" s="1"/>
  <c r="M5006" i="2"/>
  <c r="K5006" i="2" l="1"/>
  <c r="B5008" i="2"/>
  <c r="J5007" i="2" s="1"/>
  <c r="M5007" i="2"/>
  <c r="K5007" i="2" l="1"/>
  <c r="B5009" i="2"/>
  <c r="J5008" i="2" s="1"/>
  <c r="M5008" i="2"/>
  <c r="K5008" i="2" l="1"/>
  <c r="B5010" i="2"/>
  <c r="J5009" i="2" s="1"/>
  <c r="M5009" i="2"/>
  <c r="K5009" i="2" l="1"/>
  <c r="B5011" i="2"/>
  <c r="J5010" i="2" s="1"/>
  <c r="M5010" i="2"/>
  <c r="K5010" i="2" l="1"/>
  <c r="B5012" i="2"/>
  <c r="J5011" i="2" s="1"/>
  <c r="M5011" i="2"/>
  <c r="K5011" i="2" l="1"/>
  <c r="B5013" i="2"/>
  <c r="J5012" i="2" s="1"/>
  <c r="M5012" i="2"/>
  <c r="K5012" i="2" l="1"/>
  <c r="B5014" i="2"/>
  <c r="J5013" i="2" s="1"/>
  <c r="M5013" i="2"/>
  <c r="K5013" i="2" l="1"/>
  <c r="B5015" i="2"/>
  <c r="J5014" i="2" s="1"/>
  <c r="M5014" i="2"/>
  <c r="K5014" i="2" l="1"/>
  <c r="B5016" i="2"/>
  <c r="J5015" i="2" s="1"/>
  <c r="M5015" i="2"/>
  <c r="K5015" i="2" l="1"/>
  <c r="B5017" i="2"/>
  <c r="J5016" i="2" s="1"/>
  <c r="M5016" i="2"/>
  <c r="K5016" i="2" l="1"/>
  <c r="B5018" i="2"/>
  <c r="J5017" i="2" s="1"/>
  <c r="M5017" i="2"/>
  <c r="K5017" i="2" l="1"/>
  <c r="B5019" i="2"/>
  <c r="J5018" i="2" s="1"/>
  <c r="M5018" i="2"/>
  <c r="K5018" i="2" l="1"/>
  <c r="B5020" i="2"/>
  <c r="J5019" i="2" s="1"/>
  <c r="M5019" i="2"/>
  <c r="K5019" i="2" l="1"/>
  <c r="B5021" i="2"/>
  <c r="J5020" i="2" s="1"/>
  <c r="M5020" i="2"/>
  <c r="K5020" i="2" l="1"/>
  <c r="B5022" i="2"/>
  <c r="J5021" i="2" s="1"/>
  <c r="M5021" i="2"/>
  <c r="K5021" i="2" l="1"/>
  <c r="B5023" i="2"/>
  <c r="J5022" i="2" s="1"/>
  <c r="M5022" i="2"/>
  <c r="K5022" i="2" l="1"/>
  <c r="B5024" i="2"/>
  <c r="J5023" i="2" s="1"/>
  <c r="M5023" i="2"/>
  <c r="K5023" i="2" l="1"/>
  <c r="B5025" i="2"/>
  <c r="J5024" i="2" s="1"/>
  <c r="M5024" i="2"/>
  <c r="K5024" i="2" l="1"/>
  <c r="B5026" i="2"/>
  <c r="J5025" i="2" s="1"/>
  <c r="M5025" i="2"/>
  <c r="K5025" i="2" l="1"/>
  <c r="B5027" i="2"/>
  <c r="J5026" i="2" s="1"/>
  <c r="M5026" i="2"/>
  <c r="K5026" i="2" l="1"/>
  <c r="B5028" i="2"/>
  <c r="J5027" i="2" s="1"/>
  <c r="M5027" i="2"/>
  <c r="K5027" i="2" l="1"/>
  <c r="B5029" i="2"/>
  <c r="J5028" i="2" s="1"/>
  <c r="M5028" i="2"/>
  <c r="K5028" i="2" l="1"/>
  <c r="B5030" i="2"/>
  <c r="J5029" i="2" s="1"/>
  <c r="M5029" i="2"/>
  <c r="K5029" i="2" l="1"/>
  <c r="B5031" i="2"/>
  <c r="J5030" i="2" s="1"/>
  <c r="M5030" i="2"/>
  <c r="K5030" i="2" l="1"/>
  <c r="B5032" i="2"/>
  <c r="J5031" i="2" s="1"/>
  <c r="M5031" i="2"/>
  <c r="K5031" i="2" l="1"/>
  <c r="B5033" i="2"/>
  <c r="J5032" i="2" s="1"/>
  <c r="M5032" i="2"/>
  <c r="K5032" i="2" l="1"/>
  <c r="B5034" i="2"/>
  <c r="J5033" i="2" s="1"/>
  <c r="M5033" i="2"/>
  <c r="K5033" i="2" l="1"/>
  <c r="B5035" i="2"/>
  <c r="J5034" i="2" s="1"/>
  <c r="M5034" i="2"/>
  <c r="K5034" i="2" l="1"/>
  <c r="B5036" i="2"/>
  <c r="J5035" i="2" s="1"/>
  <c r="M5035" i="2"/>
  <c r="K5035" i="2" l="1"/>
  <c r="B5037" i="2"/>
  <c r="J5036" i="2" s="1"/>
  <c r="M5036" i="2"/>
  <c r="K5036" i="2" l="1"/>
  <c r="B5038" i="2"/>
  <c r="J5037" i="2" s="1"/>
  <c r="M5037" i="2"/>
  <c r="K5037" i="2" l="1"/>
  <c r="B5039" i="2"/>
  <c r="J5038" i="2" s="1"/>
  <c r="M5038" i="2"/>
  <c r="K5038" i="2" l="1"/>
  <c r="B5040" i="2"/>
  <c r="J5039" i="2" s="1"/>
  <c r="M5039" i="2"/>
  <c r="K5039" i="2" l="1"/>
  <c r="B5041" i="2"/>
  <c r="J5040" i="2" s="1"/>
  <c r="M5040" i="2"/>
  <c r="K5040" i="2" l="1"/>
  <c r="B5042" i="2"/>
  <c r="J5041" i="2" s="1"/>
  <c r="M5041" i="2"/>
  <c r="K5041" i="2" l="1"/>
  <c r="B5043" i="2"/>
  <c r="J5042" i="2" s="1"/>
  <c r="M5042" i="2"/>
  <c r="K5042" i="2" l="1"/>
  <c r="B5044" i="2"/>
  <c r="J5043" i="2" s="1"/>
  <c r="M5043" i="2"/>
  <c r="K5043" i="2" l="1"/>
  <c r="B5045" i="2"/>
  <c r="J5044" i="2" s="1"/>
  <c r="M5044" i="2"/>
  <c r="K5044" i="2" l="1"/>
  <c r="B5046" i="2"/>
  <c r="J5045" i="2" s="1"/>
  <c r="M5045" i="2"/>
  <c r="K5045" i="2" l="1"/>
  <c r="B5047" i="2"/>
  <c r="J5046" i="2" s="1"/>
  <c r="M5046" i="2"/>
  <c r="K5046" i="2" l="1"/>
  <c r="B5048" i="2"/>
  <c r="J5047" i="2" s="1"/>
  <c r="M5047" i="2"/>
  <c r="K5047" i="2" l="1"/>
  <c r="B5049" i="2"/>
  <c r="J5048" i="2" s="1"/>
  <c r="M5048" i="2"/>
  <c r="K5048" i="2" l="1"/>
  <c r="B5050" i="2"/>
  <c r="J5049" i="2" s="1"/>
  <c r="M5049" i="2"/>
  <c r="K5049" i="2" l="1"/>
  <c r="B5051" i="2"/>
  <c r="J5050" i="2" s="1"/>
  <c r="M5050" i="2"/>
  <c r="K5050" i="2" l="1"/>
  <c r="B5052" i="2"/>
  <c r="J5051" i="2" s="1"/>
  <c r="M5051" i="2"/>
  <c r="K5051" i="2" l="1"/>
  <c r="B5053" i="2"/>
  <c r="K5052" i="2" s="1"/>
  <c r="M5052" i="2"/>
  <c r="J5052" i="2" l="1"/>
  <c r="B5054" i="2"/>
  <c r="J5053" i="2" s="1"/>
  <c r="M5053" i="2"/>
  <c r="K5053" i="2" l="1"/>
  <c r="B5055" i="2"/>
  <c r="J5054" i="2" s="1"/>
  <c r="M5054" i="2"/>
  <c r="K5054" i="2" l="1"/>
  <c r="B5056" i="2"/>
  <c r="J5055" i="2" s="1"/>
  <c r="M5055" i="2"/>
  <c r="K5055" i="2" l="1"/>
  <c r="B5057" i="2"/>
  <c r="J5056" i="2" s="1"/>
  <c r="M5056" i="2"/>
  <c r="K5056" i="2" l="1"/>
  <c r="B5058" i="2"/>
  <c r="K5057" i="2" s="1"/>
  <c r="M5057" i="2"/>
  <c r="J5057" i="2" l="1"/>
  <c r="B5059" i="2"/>
  <c r="J5058" i="2" s="1"/>
  <c r="M5058" i="2"/>
  <c r="K5058" i="2" l="1"/>
  <c r="B5060" i="2"/>
  <c r="J5059" i="2" s="1"/>
  <c r="M5059" i="2"/>
  <c r="K5059" i="2" l="1"/>
  <c r="B5061" i="2"/>
  <c r="J5060" i="2" s="1"/>
  <c r="M5060" i="2"/>
  <c r="K5060" i="2" l="1"/>
  <c r="B5062" i="2"/>
  <c r="J5061" i="2" s="1"/>
  <c r="M5061" i="2"/>
  <c r="K5061" i="2" l="1"/>
  <c r="B5063" i="2"/>
  <c r="J5062" i="2" s="1"/>
  <c r="M5062" i="2"/>
  <c r="K5062" i="2" l="1"/>
  <c r="B5064" i="2"/>
  <c r="J5063" i="2" s="1"/>
  <c r="M5063" i="2"/>
  <c r="K5063" i="2" l="1"/>
  <c r="B5065" i="2"/>
  <c r="J5064" i="2" s="1"/>
  <c r="M5064" i="2"/>
  <c r="K5064" i="2" l="1"/>
  <c r="B5066" i="2"/>
  <c r="J5065" i="2" s="1"/>
  <c r="M5065" i="2"/>
  <c r="K5065" i="2" l="1"/>
  <c r="B5067" i="2"/>
  <c r="J5066" i="2" s="1"/>
  <c r="M5066" i="2"/>
  <c r="K5066" i="2" l="1"/>
  <c r="B5068" i="2"/>
  <c r="J5067" i="2" s="1"/>
  <c r="M5067" i="2"/>
  <c r="K5067" i="2" l="1"/>
  <c r="B5069" i="2"/>
  <c r="J5068" i="2" s="1"/>
  <c r="M5068" i="2"/>
  <c r="K5068" i="2" l="1"/>
  <c r="B5070" i="2"/>
  <c r="J5069" i="2" s="1"/>
  <c r="M5069" i="2"/>
  <c r="K5069" i="2" l="1"/>
  <c r="B5071" i="2"/>
  <c r="J5070" i="2" s="1"/>
  <c r="M5070" i="2"/>
  <c r="K5070" i="2" l="1"/>
  <c r="B5072" i="2"/>
  <c r="J5071" i="2" s="1"/>
  <c r="M5071" i="2"/>
  <c r="K5071" i="2" l="1"/>
  <c r="B5073" i="2"/>
  <c r="J5072" i="2" s="1"/>
  <c r="M5072" i="2"/>
  <c r="K5072" i="2" l="1"/>
  <c r="B5074" i="2"/>
  <c r="J5073" i="2" s="1"/>
  <c r="M5073" i="2"/>
  <c r="K5073" i="2" l="1"/>
  <c r="B5075" i="2"/>
  <c r="J5074" i="2" s="1"/>
  <c r="M5074" i="2"/>
  <c r="K5074" i="2" l="1"/>
  <c r="B5076" i="2"/>
  <c r="J5075" i="2" s="1"/>
  <c r="M5075" i="2"/>
  <c r="K5075" i="2" l="1"/>
  <c r="B5077" i="2"/>
  <c r="J5076" i="2" s="1"/>
  <c r="M5076" i="2"/>
  <c r="K5076" i="2" l="1"/>
  <c r="B5078" i="2"/>
  <c r="J5077" i="2" s="1"/>
  <c r="M5077" i="2"/>
  <c r="K5077" i="2" l="1"/>
  <c r="B5079" i="2"/>
  <c r="J5078" i="2" s="1"/>
  <c r="M5078" i="2"/>
  <c r="K5078" i="2" l="1"/>
  <c r="B5080" i="2"/>
  <c r="J5079" i="2" s="1"/>
  <c r="M5079" i="2"/>
  <c r="K5079" i="2" l="1"/>
  <c r="B5081" i="2"/>
  <c r="J5080" i="2" s="1"/>
  <c r="M5080" i="2"/>
  <c r="K5080" i="2" l="1"/>
  <c r="B5082" i="2"/>
  <c r="J5081" i="2" s="1"/>
  <c r="M5081" i="2"/>
  <c r="K5081" i="2" l="1"/>
  <c r="B5083" i="2"/>
  <c r="J5082" i="2" s="1"/>
  <c r="M5082" i="2"/>
  <c r="K5082" i="2" l="1"/>
  <c r="B5084" i="2"/>
  <c r="J5083" i="2" s="1"/>
  <c r="M5083" i="2"/>
  <c r="K5083" i="2" l="1"/>
  <c r="B5085" i="2"/>
  <c r="J5084" i="2" s="1"/>
  <c r="M5084" i="2"/>
  <c r="K5084" i="2" l="1"/>
  <c r="B5086" i="2"/>
  <c r="J5085" i="2" s="1"/>
  <c r="M5085" i="2"/>
  <c r="K5085" i="2" l="1"/>
  <c r="B5087" i="2"/>
  <c r="J5086" i="2" s="1"/>
  <c r="M5086" i="2"/>
  <c r="K5086" i="2" l="1"/>
  <c r="B5088" i="2"/>
  <c r="J5087" i="2" s="1"/>
  <c r="M5087" i="2"/>
  <c r="K5087" i="2" l="1"/>
  <c r="B5089" i="2"/>
  <c r="J5088" i="2" s="1"/>
  <c r="M5088" i="2"/>
  <c r="K5088" i="2" l="1"/>
  <c r="B5090" i="2"/>
  <c r="J5089" i="2" s="1"/>
  <c r="M5089" i="2"/>
  <c r="K5089" i="2" l="1"/>
  <c r="B5091" i="2"/>
  <c r="J5090" i="2" s="1"/>
  <c r="M5090" i="2"/>
  <c r="K5090" i="2" l="1"/>
  <c r="B5092" i="2"/>
  <c r="J5091" i="2" s="1"/>
  <c r="M5091" i="2"/>
  <c r="K5091" i="2" l="1"/>
  <c r="B5093" i="2"/>
  <c r="J5092" i="2" s="1"/>
  <c r="M5092" i="2"/>
  <c r="K5092" i="2" l="1"/>
  <c r="B5094" i="2"/>
  <c r="J5093" i="2" s="1"/>
  <c r="M5093" i="2"/>
  <c r="K5093" i="2" l="1"/>
  <c r="B5095" i="2"/>
  <c r="J5094" i="2" s="1"/>
  <c r="M5094" i="2"/>
  <c r="K5094" i="2" l="1"/>
  <c r="B5096" i="2"/>
  <c r="J5095" i="2" s="1"/>
  <c r="M5095" i="2"/>
  <c r="K5095" i="2" l="1"/>
  <c r="B5097" i="2"/>
  <c r="J5096" i="2" s="1"/>
  <c r="M5096" i="2"/>
  <c r="K5096" i="2" l="1"/>
  <c r="B5098" i="2"/>
  <c r="J5097" i="2" s="1"/>
  <c r="M5097" i="2"/>
  <c r="K5097" i="2" l="1"/>
  <c r="B5099" i="2"/>
  <c r="J5098" i="2" s="1"/>
  <c r="M5098" i="2"/>
  <c r="K5098" i="2" l="1"/>
  <c r="B5100" i="2"/>
  <c r="J5099" i="2" s="1"/>
  <c r="M5099" i="2"/>
  <c r="K5099" i="2" l="1"/>
  <c r="B5101" i="2"/>
  <c r="J5100" i="2" s="1"/>
  <c r="M5100" i="2"/>
  <c r="K5100" i="2" l="1"/>
  <c r="B5102" i="2"/>
  <c r="J5101" i="2" s="1"/>
  <c r="M5101" i="2"/>
  <c r="K5101" i="2" l="1"/>
  <c r="B5103" i="2"/>
  <c r="J5102" i="2" s="1"/>
  <c r="M5102" i="2"/>
  <c r="K5102" i="2" l="1"/>
  <c r="B5104" i="2"/>
  <c r="J5103" i="2" s="1"/>
  <c r="M5103" i="2"/>
  <c r="K5103" i="2" l="1"/>
  <c r="B5105" i="2"/>
  <c r="J5104" i="2" s="1"/>
  <c r="M5104" i="2"/>
  <c r="K5104" i="2" l="1"/>
  <c r="B5106" i="2"/>
  <c r="J5105" i="2" s="1"/>
  <c r="M5105" i="2"/>
  <c r="K5105" i="2" l="1"/>
  <c r="B5107" i="2"/>
  <c r="J5106" i="2" s="1"/>
  <c r="M5106" i="2"/>
  <c r="K5106" i="2" l="1"/>
  <c r="B5108" i="2"/>
  <c r="J5107" i="2" s="1"/>
  <c r="M5107" i="2"/>
  <c r="K5107" i="2" l="1"/>
  <c r="B5109" i="2"/>
  <c r="J5108" i="2" s="1"/>
  <c r="M5108" i="2"/>
  <c r="K5108" i="2" l="1"/>
  <c r="B5110" i="2"/>
  <c r="J5109" i="2" s="1"/>
  <c r="M5109" i="2"/>
  <c r="K5109" i="2" l="1"/>
  <c r="B5111" i="2"/>
  <c r="J5110" i="2" s="1"/>
  <c r="M5110" i="2"/>
  <c r="K5110" i="2" l="1"/>
  <c r="B5112" i="2"/>
  <c r="J5111" i="2" s="1"/>
  <c r="M5111" i="2"/>
  <c r="K5111" i="2" l="1"/>
  <c r="B5113" i="2"/>
  <c r="J5112" i="2" s="1"/>
  <c r="M5112" i="2"/>
  <c r="K5112" i="2" l="1"/>
  <c r="B5114" i="2"/>
  <c r="J5113" i="2" s="1"/>
  <c r="M5113" i="2"/>
  <c r="K5113" i="2" l="1"/>
  <c r="B5115" i="2"/>
  <c r="J5114" i="2" s="1"/>
  <c r="M5114" i="2"/>
  <c r="K5114" i="2" l="1"/>
  <c r="B5116" i="2"/>
  <c r="J5115" i="2" s="1"/>
  <c r="M5115" i="2"/>
  <c r="K5115" i="2" l="1"/>
  <c r="B5117" i="2"/>
  <c r="J5116" i="2" s="1"/>
  <c r="M5116" i="2"/>
  <c r="K5116" i="2" l="1"/>
  <c r="B5118" i="2"/>
  <c r="J5117" i="2" s="1"/>
  <c r="M5117" i="2"/>
  <c r="K5117" i="2" l="1"/>
  <c r="B5119" i="2"/>
  <c r="J5118" i="2" s="1"/>
  <c r="M5118" i="2"/>
  <c r="K5118" i="2" l="1"/>
  <c r="B5120" i="2"/>
  <c r="J5119" i="2" s="1"/>
  <c r="M5119" i="2"/>
  <c r="K5119" i="2" l="1"/>
  <c r="B5121" i="2"/>
  <c r="J5120" i="2" s="1"/>
  <c r="M5120" i="2"/>
  <c r="K5120" i="2" l="1"/>
  <c r="B5122" i="2"/>
  <c r="J5121" i="2" s="1"/>
  <c r="M5121" i="2"/>
  <c r="K5121" i="2" l="1"/>
  <c r="B5123" i="2"/>
  <c r="J5122" i="2" s="1"/>
  <c r="M5122" i="2"/>
  <c r="K5122" i="2" l="1"/>
  <c r="B5124" i="2"/>
  <c r="J5123" i="2" s="1"/>
  <c r="M5123" i="2"/>
  <c r="K5123" i="2" l="1"/>
  <c r="B5125" i="2"/>
  <c r="J5124" i="2" s="1"/>
  <c r="M5124" i="2"/>
  <c r="K5124" i="2" l="1"/>
  <c r="B5126" i="2"/>
  <c r="J5125" i="2" s="1"/>
  <c r="M5125" i="2"/>
  <c r="K5125" i="2" l="1"/>
  <c r="B5127" i="2"/>
  <c r="K5126" i="2" s="1"/>
  <c r="M5126" i="2"/>
  <c r="J5126" i="2" l="1"/>
  <c r="B5128" i="2"/>
  <c r="K5127" i="2" s="1"/>
  <c r="M5127" i="2"/>
  <c r="J5127" i="2" l="1"/>
  <c r="B5129" i="2"/>
  <c r="K5128" i="2" s="1"/>
  <c r="M5128" i="2"/>
  <c r="J5128" i="2" l="1"/>
  <c r="B5130" i="2"/>
  <c r="K5129" i="2" s="1"/>
  <c r="M5129" i="2"/>
  <c r="J5129" i="2" l="1"/>
  <c r="B5131" i="2"/>
  <c r="J5130" i="2" s="1"/>
  <c r="M5130" i="2"/>
  <c r="K5130" i="2" l="1"/>
  <c r="B5132" i="2"/>
  <c r="K5131" i="2" s="1"/>
  <c r="M5131" i="2"/>
  <c r="J5131" i="2" l="1"/>
  <c r="B5133" i="2"/>
  <c r="K5132" i="2" s="1"/>
  <c r="M5132" i="2"/>
  <c r="J5132" i="2" l="1"/>
  <c r="B5134" i="2"/>
  <c r="K5133" i="2" s="1"/>
  <c r="M5133" i="2"/>
  <c r="J5133" i="2" l="1"/>
  <c r="B5135" i="2"/>
  <c r="K5134" i="2" s="1"/>
  <c r="M5134" i="2"/>
  <c r="J5134" i="2" l="1"/>
  <c r="B5136" i="2"/>
  <c r="K5135" i="2" s="1"/>
  <c r="M5135" i="2"/>
  <c r="J5135" i="2" l="1"/>
  <c r="B5137" i="2"/>
  <c r="J5136" i="2" s="1"/>
  <c r="M5136" i="2"/>
  <c r="K5136" i="2" l="1"/>
  <c r="B5138" i="2"/>
  <c r="K5137" i="2" s="1"/>
  <c r="M5137" i="2"/>
  <c r="J5137" i="2" l="1"/>
  <c r="B5139" i="2"/>
  <c r="K5138" i="2" s="1"/>
  <c r="M5138" i="2"/>
  <c r="J5138" i="2" l="1"/>
  <c r="B5140" i="2"/>
  <c r="K5139" i="2" s="1"/>
  <c r="M5139" i="2"/>
  <c r="J5139" i="2" l="1"/>
  <c r="B5141" i="2"/>
  <c r="K5140" i="2" s="1"/>
  <c r="M5140" i="2"/>
  <c r="J5140" i="2" l="1"/>
  <c r="B5142" i="2"/>
  <c r="K5141" i="2" s="1"/>
  <c r="M5141" i="2"/>
  <c r="J5141" i="2" l="1"/>
  <c r="B5143" i="2"/>
  <c r="J5142" i="2" s="1"/>
  <c r="M5142" i="2"/>
  <c r="K5142" i="2" l="1"/>
  <c r="B5144" i="2"/>
  <c r="K5143" i="2" s="1"/>
  <c r="M5143" i="2"/>
  <c r="J5143" i="2" l="1"/>
  <c r="B5145" i="2"/>
  <c r="K5144" i="2" s="1"/>
  <c r="M5144" i="2"/>
  <c r="J5144" i="2" l="1"/>
  <c r="B5146" i="2"/>
  <c r="K5145" i="2" s="1"/>
  <c r="M5145" i="2"/>
  <c r="J5145" i="2" l="1"/>
  <c r="B5147" i="2"/>
  <c r="K5146" i="2" s="1"/>
  <c r="M5146" i="2"/>
  <c r="J5146" i="2" l="1"/>
  <c r="B5148" i="2"/>
  <c r="K5147" i="2" s="1"/>
  <c r="M5147" i="2"/>
  <c r="J5147" i="2" l="1"/>
  <c r="B5149" i="2"/>
  <c r="J5148" i="2" s="1"/>
  <c r="M5148" i="2"/>
  <c r="K5148" i="2" l="1"/>
  <c r="B5150" i="2"/>
  <c r="K5149" i="2" s="1"/>
  <c r="M5149" i="2"/>
  <c r="J5149" i="2" l="1"/>
  <c r="B5151" i="2"/>
  <c r="K5150" i="2" s="1"/>
  <c r="M5150" i="2"/>
  <c r="J5150" i="2" l="1"/>
  <c r="B5152" i="2"/>
  <c r="K5151" i="2" s="1"/>
  <c r="M5151" i="2"/>
  <c r="J5151" i="2" l="1"/>
  <c r="B5153" i="2"/>
  <c r="K5152" i="2" s="1"/>
  <c r="M5152" i="2"/>
  <c r="J5152" i="2" l="1"/>
  <c r="B5154" i="2"/>
  <c r="K5153" i="2" s="1"/>
  <c r="M5153" i="2"/>
  <c r="J5153" i="2" l="1"/>
  <c r="B5155" i="2"/>
  <c r="J5154" i="2" s="1"/>
  <c r="M5154" i="2"/>
  <c r="K5154" i="2" l="1"/>
  <c r="B5156" i="2"/>
  <c r="K5155" i="2" s="1"/>
  <c r="M5155" i="2"/>
  <c r="J5155" i="2" l="1"/>
  <c r="B5157" i="2"/>
  <c r="K5156" i="2" s="1"/>
  <c r="M5156" i="2"/>
  <c r="J5156" i="2" l="1"/>
  <c r="B5158" i="2"/>
  <c r="K5157" i="2" s="1"/>
  <c r="M5157" i="2"/>
  <c r="J5157" i="2" l="1"/>
  <c r="B5159" i="2"/>
  <c r="K5158" i="2" s="1"/>
  <c r="M5158" i="2"/>
  <c r="J5158" i="2" l="1"/>
  <c r="B5160" i="2"/>
  <c r="K5159" i="2" s="1"/>
  <c r="M5159" i="2"/>
  <c r="J5159" i="2" l="1"/>
  <c r="B5161" i="2"/>
  <c r="J5160" i="2" s="1"/>
  <c r="M5160" i="2"/>
  <c r="K5160" i="2" l="1"/>
  <c r="B5162" i="2"/>
  <c r="K5161" i="2" s="1"/>
  <c r="M5161" i="2"/>
  <c r="J5161" i="2" l="1"/>
  <c r="B5163" i="2"/>
  <c r="K5162" i="2" s="1"/>
  <c r="M5162" i="2"/>
  <c r="J5162" i="2" l="1"/>
  <c r="B5164" i="2"/>
  <c r="K5163" i="2" s="1"/>
  <c r="M5163" i="2"/>
  <c r="J5163" i="2" l="1"/>
  <c r="B5165" i="2"/>
  <c r="K5164" i="2" s="1"/>
  <c r="M5164" i="2"/>
  <c r="J5164" i="2" l="1"/>
  <c r="B5166" i="2"/>
  <c r="K5165" i="2" s="1"/>
  <c r="M5165" i="2"/>
  <c r="J5165" i="2" l="1"/>
  <c r="B5167" i="2"/>
  <c r="J5166" i="2" s="1"/>
  <c r="M5166" i="2"/>
  <c r="K5166" i="2" l="1"/>
  <c r="B5168" i="2"/>
  <c r="K5167" i="2" s="1"/>
  <c r="M5167" i="2"/>
  <c r="J5167" i="2" l="1"/>
  <c r="B5169" i="2"/>
  <c r="K5168" i="2" s="1"/>
  <c r="M5168" i="2"/>
  <c r="J5168" i="2" l="1"/>
  <c r="B5170" i="2"/>
  <c r="K5169" i="2" s="1"/>
  <c r="M5169" i="2"/>
  <c r="J5169" i="2" l="1"/>
  <c r="B5171" i="2"/>
  <c r="K5170" i="2" s="1"/>
  <c r="M5170" i="2"/>
  <c r="J5170" i="2" l="1"/>
  <c r="B5172" i="2"/>
  <c r="K5171" i="2" s="1"/>
  <c r="M5171" i="2"/>
  <c r="J5171" i="2" l="1"/>
  <c r="B5173" i="2"/>
  <c r="J5172" i="2" s="1"/>
  <c r="M5172" i="2"/>
  <c r="K5172" i="2" l="1"/>
  <c r="B5174" i="2"/>
  <c r="K5173" i="2" s="1"/>
  <c r="M5173" i="2"/>
  <c r="J5173" i="2" l="1"/>
  <c r="B5175" i="2"/>
  <c r="K5174" i="2" s="1"/>
  <c r="M5174" i="2"/>
  <c r="J5174" i="2" l="1"/>
  <c r="B5176" i="2"/>
  <c r="K5175" i="2" s="1"/>
  <c r="M5175" i="2"/>
  <c r="J5175" i="2" l="1"/>
  <c r="B5177" i="2"/>
  <c r="K5176" i="2" s="1"/>
  <c r="M5176" i="2"/>
  <c r="J5176" i="2" l="1"/>
  <c r="B5178" i="2"/>
  <c r="K5177" i="2" s="1"/>
  <c r="M5177" i="2"/>
  <c r="J5177" i="2" l="1"/>
  <c r="B5179" i="2"/>
  <c r="J5178" i="2" s="1"/>
  <c r="M5178" i="2"/>
  <c r="K5178" i="2" l="1"/>
  <c r="B5180" i="2"/>
  <c r="K5179" i="2" s="1"/>
  <c r="M5179" i="2"/>
  <c r="J5179" i="2" l="1"/>
  <c r="B5181" i="2"/>
  <c r="K5180" i="2" s="1"/>
  <c r="M5180" i="2"/>
  <c r="J5180" i="2" l="1"/>
  <c r="B5182" i="2"/>
  <c r="J5181" i="2" s="1"/>
  <c r="M5181" i="2"/>
  <c r="K5181" i="2" l="1"/>
  <c r="B5183" i="2"/>
  <c r="K5182" i="2" s="1"/>
  <c r="M5182" i="2"/>
  <c r="J5182" i="2" l="1"/>
  <c r="B5184" i="2"/>
  <c r="K5183" i="2" s="1"/>
  <c r="M5183" i="2"/>
  <c r="J5183" i="2" l="1"/>
  <c r="B5185" i="2"/>
  <c r="J5184" i="2" s="1"/>
  <c r="M5184" i="2"/>
  <c r="K5184" i="2" l="1"/>
  <c r="B5186" i="2"/>
  <c r="K5185" i="2" s="1"/>
  <c r="M5185" i="2"/>
  <c r="J5185" i="2" l="1"/>
  <c r="B5187" i="2"/>
  <c r="K5186" i="2" s="1"/>
  <c r="M5186" i="2"/>
  <c r="J5186" i="2" l="1"/>
  <c r="B5188" i="2"/>
  <c r="K5187" i="2" s="1"/>
  <c r="M5187" i="2"/>
  <c r="J5187" i="2" l="1"/>
  <c r="B5189" i="2"/>
  <c r="K5188" i="2" s="1"/>
  <c r="M5188" i="2"/>
  <c r="J5188" i="2" l="1"/>
  <c r="B5190" i="2"/>
  <c r="K5189" i="2" s="1"/>
  <c r="M5189" i="2"/>
  <c r="J5189" i="2" l="1"/>
  <c r="B5191" i="2"/>
  <c r="J5190" i="2" s="1"/>
  <c r="M5190" i="2"/>
  <c r="K5190" i="2" l="1"/>
  <c r="B5192" i="2"/>
  <c r="K5191" i="2" s="1"/>
  <c r="M5191" i="2"/>
  <c r="J5191" i="2" l="1"/>
  <c r="B5193" i="2"/>
  <c r="K5192" i="2" s="1"/>
  <c r="M5192" i="2"/>
  <c r="J5192" i="2" l="1"/>
  <c r="B5194" i="2"/>
  <c r="K5193" i="2" s="1"/>
  <c r="M5193" i="2"/>
  <c r="J5193" i="2" l="1"/>
  <c r="B5195" i="2"/>
  <c r="K5194" i="2" s="1"/>
  <c r="M5194" i="2"/>
  <c r="J5194" i="2" l="1"/>
  <c r="B5196" i="2"/>
  <c r="K5195" i="2" s="1"/>
  <c r="M5195" i="2"/>
  <c r="J5195" i="2" l="1"/>
  <c r="B5197" i="2"/>
  <c r="J5196" i="2" s="1"/>
  <c r="M5196" i="2"/>
  <c r="K5196" i="2" l="1"/>
  <c r="B5198" i="2"/>
  <c r="K5197" i="2" s="1"/>
  <c r="M5197" i="2"/>
  <c r="J5197" i="2" l="1"/>
  <c r="B5199" i="2"/>
  <c r="K5198" i="2" s="1"/>
  <c r="M5198" i="2"/>
  <c r="J5198" i="2" l="1"/>
  <c r="B5200" i="2"/>
  <c r="K5199" i="2" s="1"/>
  <c r="M5199" i="2"/>
  <c r="J5199" i="2" l="1"/>
  <c r="B5201" i="2"/>
  <c r="K5200" i="2" s="1"/>
  <c r="M5200" i="2"/>
  <c r="J5200" i="2" l="1"/>
  <c r="B5202" i="2"/>
  <c r="K5201" i="2" s="1"/>
  <c r="M5201" i="2"/>
  <c r="J5201" i="2" l="1"/>
  <c r="B5203" i="2"/>
  <c r="J5202" i="2" s="1"/>
  <c r="M5202" i="2"/>
  <c r="K5202" i="2" l="1"/>
  <c r="B5204" i="2"/>
  <c r="K5203" i="2" s="1"/>
  <c r="M5203" i="2"/>
  <c r="J5203" i="2" l="1"/>
  <c r="B5205" i="2"/>
  <c r="K5204" i="2" s="1"/>
  <c r="M5204" i="2"/>
  <c r="J5204" i="2" l="1"/>
  <c r="B5206" i="2"/>
  <c r="K5205" i="2" s="1"/>
  <c r="M5205" i="2"/>
  <c r="J5205" i="2" l="1"/>
  <c r="B5207" i="2"/>
  <c r="K5206" i="2" s="1"/>
  <c r="M5206" i="2"/>
  <c r="J5206" i="2" l="1"/>
  <c r="B5208" i="2"/>
  <c r="K5207" i="2" s="1"/>
  <c r="M5207" i="2"/>
  <c r="J5207" i="2" l="1"/>
  <c r="B5209" i="2"/>
  <c r="J5208" i="2" s="1"/>
  <c r="M5208" i="2"/>
  <c r="K5208" i="2" l="1"/>
  <c r="B5210" i="2"/>
  <c r="K5209" i="2" s="1"/>
  <c r="M5209" i="2"/>
  <c r="J5209" i="2" l="1"/>
  <c r="B5211" i="2"/>
  <c r="K5210" i="2" s="1"/>
  <c r="M5210" i="2"/>
  <c r="J5210" i="2" l="1"/>
  <c r="B5212" i="2"/>
  <c r="K5211" i="2" s="1"/>
  <c r="M5211" i="2"/>
  <c r="J5211" i="2" l="1"/>
  <c r="B5213" i="2"/>
  <c r="K5212" i="2" s="1"/>
  <c r="M5212" i="2"/>
  <c r="J5212" i="2" l="1"/>
  <c r="B5214" i="2"/>
  <c r="K5213" i="2" s="1"/>
  <c r="M5213" i="2"/>
  <c r="J5213" i="2" l="1"/>
  <c r="B5215" i="2"/>
  <c r="J5214" i="2" s="1"/>
  <c r="M5214" i="2"/>
  <c r="K5214" i="2" l="1"/>
  <c r="B5216" i="2"/>
  <c r="K5215" i="2" s="1"/>
  <c r="M5215" i="2"/>
  <c r="J5215" i="2" l="1"/>
  <c r="B5217" i="2"/>
  <c r="K5216" i="2" s="1"/>
  <c r="M5216" i="2"/>
  <c r="J5216" i="2" l="1"/>
  <c r="B5218" i="2"/>
  <c r="K5217" i="2" s="1"/>
  <c r="M5217" i="2"/>
  <c r="J5217" i="2" l="1"/>
  <c r="B5219" i="2"/>
  <c r="K5218" i="2" s="1"/>
  <c r="M5218" i="2"/>
  <c r="J5218" i="2" l="1"/>
  <c r="B5220" i="2"/>
  <c r="K5219" i="2" s="1"/>
  <c r="M5219" i="2"/>
  <c r="J5219" i="2" l="1"/>
  <c r="B5221" i="2"/>
  <c r="J5220" i="2" s="1"/>
  <c r="M5220" i="2"/>
  <c r="K5220" i="2" l="1"/>
  <c r="B5222" i="2"/>
  <c r="K5221" i="2" s="1"/>
  <c r="M5221" i="2"/>
  <c r="J5221" i="2" l="1"/>
  <c r="B5223" i="2"/>
  <c r="K5222" i="2" s="1"/>
  <c r="M5222" i="2"/>
  <c r="J5222" i="2" l="1"/>
  <c r="B5224" i="2"/>
  <c r="K5223" i="2" s="1"/>
  <c r="M5223" i="2"/>
  <c r="J5223" i="2" l="1"/>
  <c r="B5225" i="2"/>
  <c r="K5224" i="2" s="1"/>
  <c r="M5224" i="2"/>
  <c r="J5224" i="2" l="1"/>
  <c r="B5226" i="2"/>
  <c r="K5225" i="2" s="1"/>
  <c r="M5225" i="2"/>
  <c r="J5225" i="2" l="1"/>
  <c r="B5227" i="2"/>
  <c r="J5226" i="2" s="1"/>
  <c r="M5226" i="2"/>
  <c r="K5226" i="2" l="1"/>
  <c r="B5228" i="2"/>
  <c r="K5227" i="2" s="1"/>
  <c r="M5227" i="2"/>
  <c r="J5227" i="2" l="1"/>
  <c r="B5229" i="2"/>
  <c r="K5228" i="2" s="1"/>
  <c r="M5228" i="2"/>
  <c r="J5228" i="2" l="1"/>
  <c r="B5230" i="2"/>
  <c r="K5229" i="2" s="1"/>
  <c r="M5229" i="2"/>
  <c r="J5229" i="2" l="1"/>
  <c r="B5231" i="2"/>
  <c r="K5230" i="2" s="1"/>
  <c r="M5230" i="2"/>
  <c r="J5230" i="2" l="1"/>
  <c r="B5232" i="2"/>
  <c r="K5231" i="2" s="1"/>
  <c r="M5231" i="2"/>
  <c r="J5231" i="2" l="1"/>
  <c r="B5233" i="2"/>
  <c r="J5232" i="2" s="1"/>
  <c r="M5232" i="2"/>
  <c r="K5232" i="2" l="1"/>
  <c r="B5234" i="2"/>
  <c r="K5233" i="2" s="1"/>
  <c r="M5233" i="2"/>
  <c r="J5233" i="2" l="1"/>
  <c r="B5235" i="2"/>
  <c r="J5234" i="2" s="1"/>
  <c r="M5234" i="2"/>
  <c r="K5234" i="2" l="1"/>
  <c r="B5236" i="2"/>
  <c r="J5235" i="2" s="1"/>
  <c r="M5235" i="2"/>
  <c r="K5235" i="2" l="1"/>
  <c r="B5237" i="2"/>
  <c r="K5236" i="2" s="1"/>
  <c r="M5236" i="2"/>
  <c r="J5236" i="2" l="1"/>
  <c r="B5238" i="2"/>
  <c r="J5237" i="2" s="1"/>
  <c r="M5237" i="2"/>
  <c r="K5237" i="2" l="1"/>
  <c r="B5239" i="2"/>
  <c r="K5238" i="2" s="1"/>
  <c r="M5238" i="2"/>
  <c r="J5238" i="2" l="1"/>
  <c r="B5240" i="2"/>
  <c r="K5239" i="2" s="1"/>
  <c r="M5239" i="2"/>
  <c r="J5239" i="2" l="1"/>
  <c r="B5241" i="2"/>
  <c r="J5240" i="2" s="1"/>
  <c r="M5240" i="2"/>
  <c r="K5240" i="2" l="1"/>
  <c r="B5242" i="2"/>
  <c r="J5241" i="2" s="1"/>
  <c r="M5241" i="2"/>
  <c r="K5241" i="2" l="1"/>
  <c r="B5243" i="2"/>
  <c r="J5242" i="2" s="1"/>
  <c r="M5242" i="2"/>
  <c r="K5242" i="2" l="1"/>
  <c r="B5244" i="2"/>
  <c r="J5243" i="2" s="1"/>
  <c r="M5243" i="2"/>
  <c r="K5243" i="2" l="1"/>
  <c r="B5245" i="2"/>
  <c r="J5244" i="2" s="1"/>
  <c r="M5244" i="2"/>
  <c r="K5244" i="2" l="1"/>
  <c r="B5246" i="2"/>
  <c r="J5245" i="2" s="1"/>
  <c r="M5245" i="2"/>
  <c r="K5245" i="2" l="1"/>
  <c r="B5247" i="2"/>
  <c r="J5246" i="2" s="1"/>
  <c r="M5246" i="2"/>
  <c r="K5246" i="2" l="1"/>
  <c r="B5248" i="2"/>
  <c r="J5247" i="2" s="1"/>
  <c r="M5247" i="2"/>
  <c r="K5247" i="2" l="1"/>
  <c r="B5249" i="2"/>
  <c r="J5248" i="2" s="1"/>
  <c r="M5248" i="2"/>
  <c r="K5248" i="2" l="1"/>
  <c r="B5250" i="2"/>
  <c r="K5249" i="2" s="1"/>
  <c r="M5249" i="2"/>
  <c r="J5249" i="2" l="1"/>
  <c r="B5251" i="2"/>
  <c r="J5250" i="2" s="1"/>
  <c r="M5250" i="2"/>
  <c r="K5250" i="2" l="1"/>
  <c r="B5252" i="2"/>
  <c r="J5251" i="2" s="1"/>
  <c r="M5251" i="2"/>
  <c r="K5251" i="2" l="1"/>
  <c r="B5253" i="2"/>
  <c r="J5252" i="2" s="1"/>
  <c r="M5252" i="2"/>
  <c r="K5252" i="2" l="1"/>
  <c r="B5254" i="2"/>
  <c r="J5253" i="2" s="1"/>
  <c r="M5253" i="2"/>
  <c r="K5253" i="2" l="1"/>
  <c r="B5255" i="2"/>
  <c r="J5254" i="2" s="1"/>
  <c r="M5254" i="2"/>
  <c r="K5254" i="2" l="1"/>
  <c r="B5256" i="2"/>
  <c r="J5255" i="2" s="1"/>
  <c r="M5255" i="2"/>
  <c r="K5255" i="2" l="1"/>
  <c r="B5257" i="2"/>
  <c r="J5256" i="2" s="1"/>
  <c r="M5256" i="2"/>
  <c r="K5256" i="2" l="1"/>
  <c r="B5258" i="2"/>
  <c r="J5257" i="2" s="1"/>
  <c r="M5257" i="2"/>
  <c r="K5257" i="2" l="1"/>
  <c r="B5259" i="2"/>
  <c r="K5258" i="2" s="1"/>
  <c r="M5258" i="2"/>
  <c r="J5258" i="2" l="1"/>
  <c r="B5260" i="2"/>
  <c r="J5259" i="2" s="1"/>
  <c r="M5259" i="2"/>
  <c r="K5259" i="2" l="1"/>
  <c r="B5261" i="2"/>
  <c r="J5260" i="2" s="1"/>
  <c r="M5260" i="2"/>
  <c r="K5260" i="2" l="1"/>
  <c r="B5262" i="2"/>
  <c r="K5261" i="2" s="1"/>
  <c r="M5261" i="2"/>
  <c r="J5261" i="2" l="1"/>
  <c r="B5263" i="2"/>
  <c r="J5262" i="2" s="1"/>
  <c r="M5262" i="2"/>
  <c r="K5262" i="2" l="1"/>
  <c r="B5264" i="2"/>
  <c r="J5263" i="2" s="1"/>
  <c r="M5263" i="2"/>
  <c r="K5263" i="2" l="1"/>
  <c r="B5265" i="2"/>
  <c r="J5264" i="2" s="1"/>
  <c r="M5264" i="2"/>
  <c r="K5264" i="2" l="1"/>
  <c r="B5266" i="2"/>
  <c r="J5265" i="2" s="1"/>
  <c r="M5265" i="2"/>
  <c r="K5265" i="2" l="1"/>
  <c r="B5267" i="2"/>
  <c r="J5266" i="2" s="1"/>
  <c r="M5266" i="2"/>
  <c r="K5266" i="2" l="1"/>
  <c r="B5268" i="2"/>
  <c r="K5267" i="2" s="1"/>
  <c r="M5267" i="2"/>
  <c r="J5267" i="2" l="1"/>
  <c r="B5269" i="2"/>
  <c r="J5268" i="2" s="1"/>
  <c r="M5268" i="2"/>
  <c r="K5268" i="2" l="1"/>
  <c r="B5270" i="2"/>
  <c r="J5269" i="2" s="1"/>
  <c r="M5269" i="2"/>
  <c r="K5269" i="2" l="1"/>
  <c r="B5271" i="2"/>
  <c r="J5270" i="2" s="1"/>
  <c r="M5270" i="2"/>
  <c r="K5270" i="2" l="1"/>
  <c r="B5272" i="2"/>
  <c r="J5271" i="2" s="1"/>
  <c r="M5271" i="2"/>
  <c r="K5271" i="2" l="1"/>
  <c r="B5273" i="2"/>
  <c r="J5272" i="2" s="1"/>
  <c r="M5272" i="2"/>
  <c r="K5272" i="2" l="1"/>
  <c r="B5274" i="2"/>
  <c r="J5273" i="2" s="1"/>
  <c r="M5273" i="2"/>
  <c r="K5273" i="2" l="1"/>
  <c r="B5275" i="2"/>
  <c r="J5274" i="2" s="1"/>
  <c r="M5274" i="2"/>
  <c r="K5274" i="2" l="1"/>
  <c r="B5276" i="2"/>
  <c r="J5275" i="2" s="1"/>
  <c r="M5275" i="2"/>
  <c r="K5275" i="2" l="1"/>
  <c r="B5277" i="2"/>
  <c r="K5276" i="2" s="1"/>
  <c r="M5276" i="2"/>
  <c r="J5276" i="2" l="1"/>
  <c r="B5278" i="2"/>
  <c r="J5277" i="2" s="1"/>
  <c r="M5277" i="2"/>
  <c r="K5277" i="2" l="1"/>
  <c r="B5279" i="2"/>
  <c r="J5278" i="2" s="1"/>
  <c r="M5278" i="2"/>
  <c r="K5278" i="2" l="1"/>
  <c r="B5280" i="2"/>
  <c r="J5279" i="2" s="1"/>
  <c r="M5279" i="2"/>
  <c r="K5279" i="2" l="1"/>
  <c r="B5281" i="2"/>
  <c r="J5280" i="2" s="1"/>
  <c r="M5280" i="2"/>
  <c r="K5280" i="2" l="1"/>
  <c r="B5282" i="2"/>
  <c r="J5281" i="2" s="1"/>
  <c r="M5281" i="2"/>
  <c r="K5281" i="2" l="1"/>
  <c r="B5283" i="2"/>
  <c r="J5282" i="2" s="1"/>
  <c r="M5282" i="2"/>
  <c r="K5282" i="2" l="1"/>
  <c r="B5284" i="2"/>
  <c r="J5283" i="2" s="1"/>
  <c r="M5283" i="2"/>
  <c r="K5283" i="2" l="1"/>
  <c r="B5285" i="2"/>
  <c r="J5284" i="2" s="1"/>
  <c r="M5284" i="2"/>
  <c r="K5284" i="2" l="1"/>
  <c r="B5286" i="2"/>
  <c r="K5285" i="2" s="1"/>
  <c r="M5285" i="2"/>
  <c r="J5285" i="2" l="1"/>
  <c r="B5287" i="2"/>
  <c r="J5286" i="2" s="1"/>
  <c r="M5286" i="2"/>
  <c r="K5286" i="2" l="1"/>
  <c r="B5288" i="2"/>
  <c r="J5287" i="2" s="1"/>
  <c r="M5287" i="2"/>
  <c r="K5287" i="2" l="1"/>
  <c r="B5289" i="2"/>
  <c r="K5288" i="2" s="1"/>
  <c r="M5288" i="2"/>
  <c r="J5288" i="2" l="1"/>
  <c r="B5290" i="2"/>
  <c r="J5289" i="2" s="1"/>
  <c r="M5289" i="2"/>
  <c r="K5289" i="2" l="1"/>
  <c r="B5291" i="2"/>
  <c r="J5290" i="2" s="1"/>
  <c r="M5290" i="2"/>
  <c r="K5290" i="2" l="1"/>
  <c r="B5292" i="2"/>
  <c r="J5291" i="2" s="1"/>
  <c r="M5291" i="2"/>
  <c r="K5291" i="2" l="1"/>
  <c r="B5293" i="2"/>
  <c r="J5292" i="2" s="1"/>
  <c r="M5292" i="2"/>
  <c r="K5292" i="2" l="1"/>
  <c r="B5294" i="2"/>
  <c r="J5293" i="2" s="1"/>
  <c r="M5293" i="2"/>
  <c r="K5293" i="2" l="1"/>
  <c r="B5295" i="2"/>
  <c r="K5294" i="2" s="1"/>
  <c r="M5294" i="2"/>
  <c r="J5294" i="2" l="1"/>
  <c r="B5296" i="2"/>
  <c r="J5295" i="2" s="1"/>
  <c r="M5295" i="2"/>
  <c r="K5295" i="2" l="1"/>
  <c r="B5297" i="2"/>
  <c r="J5296" i="2" s="1"/>
  <c r="M5296" i="2"/>
  <c r="K5296" i="2" l="1"/>
  <c r="B5298" i="2"/>
  <c r="J5297" i="2" s="1"/>
  <c r="M5297" i="2"/>
  <c r="K5297" i="2" l="1"/>
  <c r="B5299" i="2"/>
  <c r="J5298" i="2" s="1"/>
  <c r="M5298" i="2"/>
  <c r="K5298" i="2" l="1"/>
  <c r="B5300" i="2"/>
  <c r="J5299" i="2" s="1"/>
  <c r="M5299" i="2"/>
  <c r="K5299" i="2" l="1"/>
  <c r="B5301" i="2"/>
  <c r="J5300" i="2" s="1"/>
  <c r="M5300" i="2"/>
  <c r="K5300" i="2" l="1"/>
  <c r="B5302" i="2"/>
  <c r="J5301" i="2" s="1"/>
  <c r="M5301" i="2"/>
  <c r="K5301" i="2" l="1"/>
  <c r="B5303" i="2"/>
  <c r="J5302" i="2" s="1"/>
  <c r="M5302" i="2"/>
  <c r="K5302" i="2" l="1"/>
  <c r="B5304" i="2"/>
  <c r="K5303" i="2" s="1"/>
  <c r="M5303" i="2"/>
  <c r="J5303" i="2" l="1"/>
  <c r="B5305" i="2"/>
  <c r="J5304" i="2" s="1"/>
  <c r="M5304" i="2"/>
  <c r="K5304" i="2" l="1"/>
  <c r="B5306" i="2"/>
  <c r="J5305" i="2" s="1"/>
  <c r="M5305" i="2"/>
  <c r="K5305" i="2" l="1"/>
  <c r="B5307" i="2"/>
  <c r="J5306" i="2" s="1"/>
  <c r="M5306" i="2"/>
  <c r="K5306" i="2" l="1"/>
  <c r="B5308" i="2"/>
  <c r="J5307" i="2" s="1"/>
  <c r="M5307" i="2"/>
  <c r="K5307" i="2" l="1"/>
  <c r="B5309" i="2"/>
  <c r="K5308" i="2" s="1"/>
  <c r="M5308" i="2"/>
  <c r="J5308" i="2" l="1"/>
  <c r="B5310" i="2"/>
  <c r="K5309" i="2" s="1"/>
  <c r="M5309" i="2"/>
  <c r="J5309" i="2" l="1"/>
  <c r="B5311" i="2"/>
  <c r="J5310" i="2" s="1"/>
  <c r="M5310" i="2"/>
  <c r="K5310" i="2" l="1"/>
  <c r="B5312" i="2"/>
  <c r="K5311" i="2" s="1"/>
  <c r="M5311" i="2"/>
  <c r="J5311" i="2" l="1"/>
  <c r="B5313" i="2"/>
  <c r="J5312" i="2" s="1"/>
  <c r="M5312" i="2"/>
  <c r="K5312" i="2" l="1"/>
  <c r="B5314" i="2"/>
  <c r="J5313" i="2" s="1"/>
  <c r="M5313" i="2"/>
  <c r="K5313" i="2" l="1"/>
  <c r="B5315" i="2"/>
  <c r="K5314" i="2" s="1"/>
  <c r="M5314" i="2"/>
  <c r="J5314" i="2" l="1"/>
  <c r="B5316" i="2"/>
  <c r="J5315" i="2" s="1"/>
  <c r="M5315" i="2"/>
  <c r="K5315" i="2" l="1"/>
  <c r="B5317" i="2"/>
  <c r="J5316" i="2" s="1"/>
  <c r="M5316" i="2"/>
  <c r="K5316" i="2" l="1"/>
  <c r="B5318" i="2"/>
  <c r="K5317" i="2" s="1"/>
  <c r="M5317" i="2"/>
  <c r="J5317" i="2" l="1"/>
  <c r="B5319" i="2"/>
  <c r="J5318" i="2" s="1"/>
  <c r="M5318" i="2"/>
  <c r="K5318" i="2" l="1"/>
  <c r="B5320" i="2"/>
  <c r="J5319" i="2" s="1"/>
  <c r="M5319" i="2"/>
  <c r="K5319" i="2" l="1"/>
  <c r="B5321" i="2"/>
  <c r="J5320" i="2" s="1"/>
  <c r="M5320" i="2"/>
  <c r="K5320" i="2" l="1"/>
  <c r="B5322" i="2"/>
  <c r="K5321" i="2" s="1"/>
  <c r="M5321" i="2"/>
  <c r="J5321" i="2" l="1"/>
  <c r="B5323" i="2"/>
  <c r="J5322" i="2" s="1"/>
  <c r="M5322" i="2"/>
  <c r="K5322" i="2" l="1"/>
  <c r="B5324" i="2"/>
  <c r="J5323" i="2" s="1"/>
  <c r="M5323" i="2"/>
  <c r="K5323" i="2" l="1"/>
  <c r="B5325" i="2"/>
  <c r="J5324" i="2" s="1"/>
  <c r="M5324" i="2"/>
  <c r="K5324" i="2" l="1"/>
  <c r="B5326" i="2"/>
  <c r="J5325" i="2" s="1"/>
  <c r="M5325" i="2"/>
  <c r="K5325" i="2" l="1"/>
  <c r="B5327" i="2"/>
  <c r="J5326" i="2" s="1"/>
  <c r="M5326" i="2"/>
  <c r="K5326" i="2" l="1"/>
  <c r="B5328" i="2"/>
  <c r="J5327" i="2" s="1"/>
  <c r="M5327" i="2"/>
  <c r="K5327" i="2" l="1"/>
  <c r="B5329" i="2"/>
  <c r="J5328" i="2" s="1"/>
  <c r="M5328" i="2"/>
  <c r="K5328" i="2" l="1"/>
  <c r="B5330" i="2"/>
  <c r="J5329" i="2" s="1"/>
  <c r="M5329" i="2"/>
  <c r="K5329" i="2" l="1"/>
  <c r="B5331" i="2"/>
  <c r="J5330" i="2" s="1"/>
  <c r="M5330" i="2"/>
  <c r="K5330" i="2" l="1"/>
  <c r="B5332" i="2"/>
  <c r="J5331" i="2" s="1"/>
  <c r="M5331" i="2"/>
  <c r="K5331" i="2" l="1"/>
  <c r="B5333" i="2"/>
  <c r="J5332" i="2" s="1"/>
  <c r="M5332" i="2"/>
  <c r="K5332" i="2" l="1"/>
  <c r="B5334" i="2"/>
  <c r="K5333" i="2" s="1"/>
  <c r="M5333" i="2"/>
  <c r="J5333" i="2" l="1"/>
  <c r="B5335" i="2"/>
  <c r="J5334" i="2" s="1"/>
  <c r="M5334" i="2"/>
  <c r="K5334" i="2" l="1"/>
  <c r="B5336" i="2"/>
  <c r="J5335" i="2" s="1"/>
  <c r="M5335" i="2"/>
  <c r="K5335" i="2" l="1"/>
  <c r="B5337" i="2"/>
  <c r="K5336" i="2" s="1"/>
  <c r="M5336" i="2"/>
  <c r="J5336" i="2" l="1"/>
  <c r="B5338" i="2"/>
  <c r="J5337" i="2" s="1"/>
  <c r="M5337" i="2"/>
  <c r="K5337" i="2" l="1"/>
  <c r="B5339" i="2"/>
  <c r="J5338" i="2" s="1"/>
  <c r="M5338" i="2"/>
  <c r="K5338" i="2" l="1"/>
  <c r="B5340" i="2"/>
  <c r="J5339" i="2" s="1"/>
  <c r="M5339" i="2"/>
  <c r="K5339" i="2" l="1"/>
  <c r="B5341" i="2"/>
  <c r="J5340" i="2" s="1"/>
  <c r="M5340" i="2"/>
  <c r="K5340" i="2" l="1"/>
  <c r="B5342" i="2"/>
  <c r="J5341" i="2" s="1"/>
  <c r="M5341" i="2"/>
  <c r="K5341" i="2" l="1"/>
  <c r="B5343" i="2"/>
  <c r="J5342" i="2" s="1"/>
  <c r="M5342" i="2"/>
  <c r="K5342" i="2" l="1"/>
  <c r="B5344" i="2"/>
  <c r="J5343" i="2" s="1"/>
  <c r="M5343" i="2"/>
  <c r="K5343" i="2" l="1"/>
  <c r="B5345" i="2"/>
  <c r="K5344" i="2" s="1"/>
  <c r="M5344" i="2"/>
  <c r="J5344" i="2" l="1"/>
  <c r="B5346" i="2"/>
  <c r="J5345" i="2" s="1"/>
  <c r="M5345" i="2"/>
  <c r="K5345" i="2" l="1"/>
  <c r="B5347" i="2"/>
  <c r="J5346" i="2" s="1"/>
  <c r="M5346" i="2"/>
  <c r="K5346" i="2" l="1"/>
  <c r="B5348" i="2"/>
  <c r="J5347" i="2" s="1"/>
  <c r="M5347" i="2"/>
  <c r="K5347" i="2" l="1"/>
  <c r="B5349" i="2"/>
  <c r="K5348" i="2" s="1"/>
  <c r="M5348" i="2"/>
  <c r="J5348" i="2" l="1"/>
  <c r="B5350" i="2"/>
  <c r="J5349" i="2" s="1"/>
  <c r="M5349" i="2"/>
  <c r="K5349" i="2" l="1"/>
  <c r="B5351" i="2"/>
  <c r="J5350" i="2" s="1"/>
  <c r="M5350" i="2"/>
  <c r="K5350" i="2" l="1"/>
  <c r="B5352" i="2"/>
  <c r="J5351" i="2" s="1"/>
  <c r="M5351" i="2"/>
  <c r="K5351" i="2" l="1"/>
  <c r="B5353" i="2"/>
  <c r="J5352" i="2" s="1"/>
  <c r="M5352" i="2"/>
  <c r="K5352" i="2" l="1"/>
  <c r="B5354" i="2"/>
  <c r="J5353" i="2" s="1"/>
  <c r="M5353" i="2"/>
  <c r="K5353" i="2" l="1"/>
  <c r="B5355" i="2"/>
  <c r="J5354" i="2" s="1"/>
  <c r="M5354" i="2"/>
  <c r="K5354" i="2" l="1"/>
  <c r="B5356" i="2"/>
  <c r="J5355" i="2" s="1"/>
  <c r="M5355" i="2"/>
  <c r="K5355" i="2" l="1"/>
  <c r="B5357" i="2"/>
  <c r="J5356" i="2" s="1"/>
  <c r="M5356" i="2"/>
  <c r="K5356" i="2" l="1"/>
  <c r="B5358" i="2"/>
  <c r="K5357" i="2" s="1"/>
  <c r="M5357" i="2"/>
  <c r="J5357" i="2" l="1"/>
  <c r="B5359" i="2"/>
  <c r="J5358" i="2" s="1"/>
  <c r="M5358" i="2"/>
  <c r="K5358" i="2" l="1"/>
  <c r="B5360" i="2"/>
  <c r="J5359" i="2" s="1"/>
  <c r="M5359" i="2"/>
  <c r="K5359" i="2" l="1"/>
  <c r="B5361" i="2"/>
  <c r="J5360" i="2" s="1"/>
  <c r="M5360" i="2"/>
  <c r="K5360" i="2" l="1"/>
  <c r="B5362" i="2"/>
  <c r="J5361" i="2" s="1"/>
  <c r="M5361" i="2"/>
  <c r="K5361" i="2" l="1"/>
  <c r="B5363" i="2"/>
  <c r="J5362" i="2" s="1"/>
  <c r="M5362" i="2"/>
  <c r="K5362" i="2" l="1"/>
  <c r="B5364" i="2"/>
  <c r="J5363" i="2" s="1"/>
  <c r="M5363" i="2"/>
  <c r="K5363" i="2" l="1"/>
  <c r="B5365" i="2"/>
  <c r="J5364" i="2" s="1"/>
  <c r="M5364" i="2"/>
  <c r="K5364" i="2" l="1"/>
  <c r="B5366" i="2"/>
  <c r="J5365" i="2" s="1"/>
  <c r="M5365" i="2"/>
  <c r="K5365" i="2" l="1"/>
  <c r="B5367" i="2"/>
  <c r="J5366" i="2" s="1"/>
  <c r="M5366" i="2"/>
  <c r="K5366" i="2" l="1"/>
  <c r="B5368" i="2"/>
  <c r="J5367" i="2" s="1"/>
  <c r="M5367" i="2"/>
  <c r="K5367" i="2" l="1"/>
  <c r="B5369" i="2"/>
  <c r="J5368" i="2" s="1"/>
  <c r="M5368" i="2"/>
  <c r="K5368" i="2" l="1"/>
  <c r="B5370" i="2"/>
  <c r="J5369" i="2" s="1"/>
  <c r="M5369" i="2"/>
  <c r="K5369" i="2" l="1"/>
  <c r="B5371" i="2"/>
  <c r="J5370" i="2" s="1"/>
  <c r="M5370" i="2"/>
  <c r="K5370" i="2" l="1"/>
  <c r="B5372" i="2"/>
  <c r="J5371" i="2" s="1"/>
  <c r="M5371" i="2"/>
  <c r="K5371" i="2" l="1"/>
  <c r="B5373" i="2"/>
  <c r="J5372" i="2" s="1"/>
  <c r="M5372" i="2"/>
  <c r="K5372" i="2" l="1"/>
  <c r="B5374" i="2"/>
  <c r="J5373" i="2" s="1"/>
  <c r="M5373" i="2"/>
  <c r="K5373" i="2" l="1"/>
  <c r="B5375" i="2"/>
  <c r="J5374" i="2" s="1"/>
  <c r="M5374" i="2"/>
  <c r="K5374" i="2" l="1"/>
  <c r="B5376" i="2"/>
  <c r="J5375" i="2" s="1"/>
  <c r="M5375" i="2"/>
  <c r="K5375" i="2" l="1"/>
  <c r="B5377" i="2"/>
  <c r="J5376" i="2" s="1"/>
  <c r="M5376" i="2"/>
  <c r="K5376" i="2" l="1"/>
  <c r="B5378" i="2"/>
  <c r="J5377" i="2" s="1"/>
  <c r="M5377" i="2"/>
  <c r="K5377" i="2" l="1"/>
  <c r="B5379" i="2"/>
  <c r="J5378" i="2" s="1"/>
  <c r="M5378" i="2"/>
  <c r="K5378" i="2" l="1"/>
  <c r="B5380" i="2"/>
  <c r="J5379" i="2" s="1"/>
  <c r="M5379" i="2"/>
  <c r="K5379" i="2" l="1"/>
  <c r="B5381" i="2"/>
  <c r="J5380" i="2" s="1"/>
  <c r="M5380" i="2"/>
  <c r="K5380" i="2" l="1"/>
  <c r="B5382" i="2"/>
  <c r="J5381" i="2" s="1"/>
  <c r="M5381" i="2"/>
  <c r="K5381" i="2" l="1"/>
  <c r="B5383" i="2"/>
  <c r="J5382" i="2" s="1"/>
  <c r="M5382" i="2"/>
  <c r="K5382" i="2" l="1"/>
  <c r="B5384" i="2"/>
  <c r="J5383" i="2" s="1"/>
  <c r="M5383" i="2"/>
  <c r="K5383" i="2" l="1"/>
  <c r="B5385" i="2"/>
  <c r="J5384" i="2" s="1"/>
  <c r="M5384" i="2"/>
  <c r="K5384" i="2" l="1"/>
  <c r="B5386" i="2"/>
  <c r="J5385" i="2" s="1"/>
  <c r="M5385" i="2"/>
  <c r="K5385" i="2" l="1"/>
  <c r="B5387" i="2"/>
  <c r="K5386" i="2" s="1"/>
  <c r="M5386" i="2"/>
  <c r="J5386" i="2" l="1"/>
  <c r="B5388" i="2"/>
  <c r="J5387" i="2" s="1"/>
  <c r="M5387" i="2"/>
  <c r="K5387" i="2" l="1"/>
  <c r="B5389" i="2"/>
  <c r="J5388" i="2" s="1"/>
  <c r="M5388" i="2"/>
  <c r="K5388" i="2" l="1"/>
  <c r="B5390" i="2"/>
  <c r="J5389" i="2" s="1"/>
  <c r="M5389" i="2"/>
  <c r="K5389" i="2" l="1"/>
  <c r="B5391" i="2"/>
  <c r="J5390" i="2" s="1"/>
  <c r="M5390" i="2"/>
  <c r="K5390" i="2" l="1"/>
  <c r="B5392" i="2"/>
  <c r="J5391" i="2" s="1"/>
  <c r="M5391" i="2"/>
  <c r="K5391" i="2" l="1"/>
  <c r="B5393" i="2"/>
  <c r="J5392" i="2" s="1"/>
  <c r="M5392" i="2"/>
  <c r="K5392" i="2" l="1"/>
  <c r="B5394" i="2"/>
  <c r="J5393" i="2" s="1"/>
  <c r="M5393" i="2"/>
  <c r="K5393" i="2" l="1"/>
  <c r="B5395" i="2"/>
  <c r="J5394" i="2" s="1"/>
  <c r="M5394" i="2"/>
  <c r="K5394" i="2" l="1"/>
  <c r="B5396" i="2"/>
  <c r="J5395" i="2" s="1"/>
  <c r="M5395" i="2"/>
  <c r="K5395" i="2" l="1"/>
  <c r="B5397" i="2"/>
  <c r="J5396" i="2" s="1"/>
  <c r="M5396" i="2"/>
  <c r="K5396" i="2" l="1"/>
  <c r="B5398" i="2"/>
  <c r="J5397" i="2" s="1"/>
  <c r="M5397" i="2"/>
  <c r="K5397" i="2" l="1"/>
  <c r="B5399" i="2"/>
  <c r="J5398" i="2" s="1"/>
  <c r="M5398" i="2"/>
  <c r="K5398" i="2" l="1"/>
  <c r="B5400" i="2"/>
  <c r="K5399" i="2" s="1"/>
  <c r="M5399" i="2"/>
  <c r="J5399" i="2" l="1"/>
  <c r="B5401" i="2"/>
  <c r="J5400" i="2" s="1"/>
  <c r="M5400" i="2"/>
  <c r="K5400" i="2" l="1"/>
  <c r="B5402" i="2"/>
  <c r="J5401" i="2" s="1"/>
  <c r="M5401" i="2"/>
  <c r="K5401" i="2" l="1"/>
  <c r="B5403" i="2"/>
  <c r="J5402" i="2" s="1"/>
  <c r="M5402" i="2"/>
  <c r="K5402" i="2" l="1"/>
  <c r="B5404" i="2"/>
  <c r="J5403" i="2" s="1"/>
  <c r="M5403" i="2"/>
  <c r="K5403" i="2" l="1"/>
  <c r="B5405" i="2"/>
  <c r="J5404" i="2" s="1"/>
  <c r="M5404" i="2"/>
  <c r="K5404" i="2" l="1"/>
  <c r="B5406" i="2"/>
  <c r="J5405" i="2" s="1"/>
  <c r="M5405" i="2"/>
  <c r="K5405" i="2" l="1"/>
  <c r="B5407" i="2"/>
  <c r="J5406" i="2" s="1"/>
  <c r="M5406" i="2"/>
  <c r="K5406" i="2" l="1"/>
  <c r="B5408" i="2"/>
  <c r="J5407" i="2" s="1"/>
  <c r="M5407" i="2"/>
  <c r="K5407" i="2" l="1"/>
  <c r="B5409" i="2"/>
  <c r="J5408" i="2" s="1"/>
  <c r="M5408" i="2"/>
  <c r="K5408" i="2" l="1"/>
  <c r="B5410" i="2"/>
  <c r="J5409" i="2" s="1"/>
  <c r="M5409" i="2"/>
  <c r="K5409" i="2" l="1"/>
  <c r="B5411" i="2"/>
  <c r="J5410" i="2" s="1"/>
  <c r="M5410" i="2"/>
  <c r="K5410" i="2" l="1"/>
  <c r="B5412" i="2"/>
  <c r="J5411" i="2" s="1"/>
  <c r="M5411" i="2"/>
  <c r="K5411" i="2" l="1"/>
  <c r="B5413" i="2"/>
  <c r="J5412" i="2" s="1"/>
  <c r="M5412" i="2"/>
  <c r="K5412" i="2" l="1"/>
  <c r="B5414" i="2"/>
  <c r="J5413" i="2" s="1"/>
  <c r="M5413" i="2"/>
  <c r="K5413" i="2" l="1"/>
  <c r="B5415" i="2"/>
  <c r="K5414" i="2" s="1"/>
  <c r="M5414" i="2"/>
  <c r="J5414" i="2" l="1"/>
  <c r="B5416" i="2"/>
  <c r="J5415" i="2" s="1"/>
  <c r="M5415" i="2"/>
  <c r="K5415" i="2" l="1"/>
  <c r="B5417" i="2"/>
  <c r="J5416" i="2" s="1"/>
  <c r="M5416" i="2"/>
  <c r="K5416" i="2" l="1"/>
  <c r="B5418" i="2"/>
  <c r="J5417" i="2" s="1"/>
  <c r="M5417" i="2"/>
  <c r="K5417" i="2" l="1"/>
  <c r="B5419" i="2"/>
  <c r="J5418" i="2" s="1"/>
  <c r="M5418" i="2"/>
  <c r="K5418" i="2" l="1"/>
  <c r="B5420" i="2"/>
  <c r="J5419" i="2" s="1"/>
  <c r="M5419" i="2"/>
  <c r="K5419" i="2" l="1"/>
  <c r="B5421" i="2"/>
  <c r="J5420" i="2" s="1"/>
  <c r="M5420" i="2"/>
  <c r="K5420" i="2" l="1"/>
  <c r="B5422" i="2"/>
  <c r="J5421" i="2" s="1"/>
  <c r="M5421" i="2"/>
  <c r="K5421" i="2" l="1"/>
  <c r="B5423" i="2"/>
  <c r="J5422" i="2" s="1"/>
  <c r="M5422" i="2"/>
  <c r="K5422" i="2" l="1"/>
  <c r="B5424" i="2"/>
  <c r="K5423" i="2" s="1"/>
  <c r="M5423" i="2"/>
  <c r="J5423" i="2" l="1"/>
  <c r="B5425" i="2"/>
  <c r="J5424" i="2" s="1"/>
  <c r="M5424" i="2"/>
  <c r="K5424" i="2" l="1"/>
  <c r="B5426" i="2"/>
  <c r="J5425" i="2" s="1"/>
  <c r="M5425" i="2"/>
  <c r="K5425" i="2" l="1"/>
  <c r="B5427" i="2"/>
  <c r="J5426" i="2" s="1"/>
  <c r="M5426" i="2"/>
  <c r="K5426" i="2" l="1"/>
  <c r="B5428" i="2"/>
  <c r="J5427" i="2" s="1"/>
  <c r="M5427" i="2"/>
  <c r="K5427" i="2" l="1"/>
  <c r="B5429" i="2"/>
  <c r="J5428" i="2" s="1"/>
  <c r="M5428" i="2"/>
  <c r="K5428" i="2" l="1"/>
  <c r="B5430" i="2"/>
  <c r="J5429" i="2" s="1"/>
  <c r="M5429" i="2"/>
  <c r="K5429" i="2" l="1"/>
  <c r="B5431" i="2"/>
  <c r="J5430" i="2" s="1"/>
  <c r="M5430" i="2"/>
  <c r="K5430" i="2" l="1"/>
  <c r="B5432" i="2"/>
  <c r="J5431" i="2" s="1"/>
  <c r="M5431" i="2"/>
  <c r="K5431" i="2" l="1"/>
  <c r="B5433" i="2"/>
  <c r="K5432" i="2" s="1"/>
  <c r="M5432" i="2"/>
  <c r="J5432" i="2" l="1"/>
  <c r="B5434" i="2"/>
  <c r="J5433" i="2" s="1"/>
  <c r="M5433" i="2"/>
  <c r="K5433" i="2" l="1"/>
  <c r="B5435" i="2"/>
  <c r="J5434" i="2" s="1"/>
  <c r="M5434" i="2"/>
  <c r="K5434" i="2" l="1"/>
  <c r="B5436" i="2"/>
  <c r="K5435" i="2" s="1"/>
  <c r="M5435" i="2"/>
  <c r="J5435" i="2" l="1"/>
  <c r="B5437" i="2"/>
  <c r="J5436" i="2" s="1"/>
  <c r="M5436" i="2"/>
  <c r="K5436" i="2" l="1"/>
  <c r="B5438" i="2"/>
  <c r="J5437" i="2" s="1"/>
  <c r="M5437" i="2"/>
  <c r="K5437" i="2" l="1"/>
  <c r="B5439" i="2"/>
  <c r="J5438" i="2" s="1"/>
  <c r="M5438" i="2"/>
  <c r="K5438" i="2" l="1"/>
  <c r="B5440" i="2"/>
  <c r="K5439" i="2" s="1"/>
  <c r="M5439" i="2"/>
  <c r="J5439" i="2" l="1"/>
  <c r="B5441" i="2"/>
  <c r="J5440" i="2" s="1"/>
  <c r="M5440" i="2"/>
  <c r="K5440" i="2" l="1"/>
  <c r="B5442" i="2"/>
  <c r="J5441" i="2" s="1"/>
  <c r="M5441" i="2"/>
  <c r="K5441" i="2" l="1"/>
  <c r="B5443" i="2"/>
  <c r="K5442" i="2" s="1"/>
  <c r="M5442" i="2"/>
  <c r="J5442" i="2" l="1"/>
  <c r="B5444" i="2"/>
  <c r="J5443" i="2" s="1"/>
  <c r="M5443" i="2"/>
  <c r="K5443" i="2" l="1"/>
  <c r="B5445" i="2"/>
  <c r="J5444" i="2" s="1"/>
  <c r="M5444" i="2"/>
  <c r="K5444" i="2" l="1"/>
  <c r="B5446" i="2"/>
  <c r="K5445" i="2" s="1"/>
  <c r="M5445" i="2"/>
  <c r="J5445" i="2" l="1"/>
  <c r="B5447" i="2"/>
  <c r="J5446" i="2" s="1"/>
  <c r="M5446" i="2"/>
  <c r="K5446" i="2" l="1"/>
  <c r="B5448" i="2"/>
  <c r="J5447" i="2" s="1"/>
  <c r="M5447" i="2"/>
  <c r="K5447" i="2" l="1"/>
  <c r="B5449" i="2"/>
  <c r="K5448" i="2" s="1"/>
  <c r="M5448" i="2"/>
  <c r="J5448" i="2" l="1"/>
  <c r="B5450" i="2"/>
  <c r="J5449" i="2" s="1"/>
  <c r="M5449" i="2"/>
  <c r="K5449" i="2" l="1"/>
  <c r="B5451" i="2"/>
  <c r="J5450" i="2" s="1"/>
  <c r="M5450" i="2"/>
  <c r="K5450" i="2" l="1"/>
  <c r="B5452" i="2"/>
  <c r="K5451" i="2" s="1"/>
  <c r="M5451" i="2"/>
  <c r="J5451" i="2" l="1"/>
  <c r="B5453" i="2"/>
  <c r="J5452" i="2" s="1"/>
  <c r="M5452" i="2"/>
  <c r="K5452" i="2" l="1"/>
  <c r="B5454" i="2"/>
  <c r="K5453" i="2" s="1"/>
  <c r="M5453" i="2"/>
  <c r="J5453" i="2" l="1"/>
  <c r="B5455" i="2"/>
  <c r="K5454" i="2" s="1"/>
  <c r="M5454" i="2"/>
  <c r="J5454" i="2" l="1"/>
  <c r="B5456" i="2"/>
  <c r="J5455" i="2" s="1"/>
  <c r="M5455" i="2"/>
  <c r="K5455" i="2" l="1"/>
  <c r="B5457" i="2"/>
  <c r="K5456" i="2" s="1"/>
  <c r="M5456" i="2"/>
  <c r="J5456" i="2" l="1"/>
  <c r="B5458" i="2"/>
  <c r="K5457" i="2" s="1"/>
  <c r="M5457" i="2"/>
  <c r="J5457" i="2" l="1"/>
  <c r="B5459" i="2"/>
  <c r="J5458" i="2" s="1"/>
  <c r="M5458" i="2"/>
  <c r="K5458" i="2" l="1"/>
  <c r="B5460" i="2"/>
  <c r="K5459" i="2" s="1"/>
  <c r="M5459" i="2"/>
  <c r="J5459" i="2" l="1"/>
  <c r="B5461" i="2"/>
  <c r="K5460" i="2" s="1"/>
  <c r="M5460" i="2"/>
  <c r="J5460" i="2" l="1"/>
  <c r="B5462" i="2"/>
  <c r="J5461" i="2" s="1"/>
  <c r="M5461" i="2"/>
  <c r="K5461" i="2" l="1"/>
  <c r="B5463" i="2"/>
  <c r="K5462" i="2" s="1"/>
  <c r="M5462" i="2"/>
  <c r="J5462" i="2" l="1"/>
  <c r="B5464" i="2"/>
  <c r="K5463" i="2" s="1"/>
  <c r="M5463" i="2"/>
  <c r="J5463" i="2" l="1"/>
  <c r="B5465" i="2"/>
  <c r="J5464" i="2" s="1"/>
  <c r="M5464" i="2"/>
  <c r="K5464" i="2" l="1"/>
  <c r="B5466" i="2"/>
  <c r="K5465" i="2" s="1"/>
  <c r="M5465" i="2"/>
  <c r="J5465" i="2" l="1"/>
  <c r="B5467" i="2"/>
  <c r="K5466" i="2" s="1"/>
  <c r="M5466" i="2"/>
  <c r="J5466" i="2" l="1"/>
  <c r="B5468" i="2"/>
  <c r="J5467" i="2" s="1"/>
  <c r="M5467" i="2"/>
  <c r="K5467" i="2" l="1"/>
  <c r="B5469" i="2"/>
  <c r="K5468" i="2" s="1"/>
  <c r="M5468" i="2"/>
  <c r="J5468" i="2" l="1"/>
  <c r="B5470" i="2"/>
  <c r="K5469" i="2" s="1"/>
  <c r="M5469" i="2"/>
  <c r="J5469" i="2" l="1"/>
  <c r="B5471" i="2"/>
  <c r="J5470" i="2" s="1"/>
  <c r="M5470" i="2"/>
  <c r="K5470" i="2" l="1"/>
  <c r="B5472" i="2"/>
  <c r="K5471" i="2" s="1"/>
  <c r="M5471" i="2"/>
  <c r="J5471" i="2" l="1"/>
  <c r="B5473" i="2"/>
  <c r="K5472" i="2" s="1"/>
  <c r="M5472" i="2"/>
  <c r="J5472" i="2" l="1"/>
  <c r="B5474" i="2"/>
  <c r="J5473" i="2" s="1"/>
  <c r="M5473" i="2"/>
  <c r="K5473" i="2" l="1"/>
  <c r="B5475" i="2"/>
  <c r="K5474" i="2" s="1"/>
  <c r="M5474" i="2"/>
  <c r="J5474" i="2" l="1"/>
  <c r="B5476" i="2"/>
  <c r="K5475" i="2" s="1"/>
  <c r="M5475" i="2"/>
  <c r="J5475" i="2" l="1"/>
  <c r="B5477" i="2"/>
  <c r="J5476" i="2" s="1"/>
  <c r="M5476" i="2"/>
  <c r="K5476" i="2" l="1"/>
  <c r="B5478" i="2"/>
  <c r="K5477" i="2" s="1"/>
  <c r="M5477" i="2"/>
  <c r="J5477" i="2" l="1"/>
  <c r="B5479" i="2"/>
  <c r="K5478" i="2" s="1"/>
  <c r="M5478" i="2"/>
  <c r="J5478" i="2" l="1"/>
  <c r="B5480" i="2"/>
  <c r="J5479" i="2" s="1"/>
  <c r="M5479" i="2"/>
  <c r="K5479" i="2" l="1"/>
  <c r="B5481" i="2"/>
  <c r="K5480" i="2" s="1"/>
  <c r="M5480" i="2"/>
  <c r="J5480" i="2" l="1"/>
  <c r="B5482" i="2"/>
  <c r="K5481" i="2" s="1"/>
  <c r="M5481" i="2"/>
  <c r="J5481" i="2" l="1"/>
  <c r="B5483" i="2"/>
  <c r="J5482" i="2" s="1"/>
  <c r="M5482" i="2"/>
  <c r="K5482" i="2" l="1"/>
  <c r="B5484" i="2"/>
  <c r="J5483" i="2" s="1"/>
  <c r="M5483" i="2"/>
  <c r="K5483" i="2" l="1"/>
  <c r="B5485" i="2"/>
  <c r="K5484" i="2" s="1"/>
  <c r="M5484" i="2"/>
  <c r="J5484" i="2" l="1"/>
  <c r="B5486" i="2"/>
  <c r="J5485" i="2" s="1"/>
  <c r="M5485" i="2"/>
  <c r="K5485" i="2" l="1"/>
  <c r="B5487" i="2"/>
  <c r="K5486" i="2" s="1"/>
  <c r="M5486" i="2"/>
  <c r="J5486" i="2" l="1"/>
  <c r="B5488" i="2"/>
  <c r="K5487" i="2" s="1"/>
  <c r="M5487" i="2"/>
  <c r="J5487" i="2" l="1"/>
  <c r="B5489" i="2"/>
  <c r="J5488" i="2" s="1"/>
  <c r="M5488" i="2"/>
  <c r="K5488" i="2" l="1"/>
  <c r="B5490" i="2"/>
  <c r="K5489" i="2" s="1"/>
  <c r="M5489" i="2"/>
  <c r="J5489" i="2" l="1"/>
  <c r="B5491" i="2"/>
  <c r="K5490" i="2" s="1"/>
  <c r="M5490" i="2"/>
  <c r="J5490" i="2" l="1"/>
  <c r="B5492" i="2"/>
  <c r="J5491" i="2" s="1"/>
  <c r="M5491" i="2"/>
  <c r="K5491" i="2" l="1"/>
  <c r="B5493" i="2"/>
  <c r="K5492" i="2" s="1"/>
  <c r="M5492" i="2"/>
  <c r="J5492" i="2" l="1"/>
  <c r="B5494" i="2"/>
  <c r="K5493" i="2" s="1"/>
  <c r="M5493" i="2"/>
  <c r="J5493" i="2" l="1"/>
  <c r="B5495" i="2"/>
  <c r="J5494" i="2" s="1"/>
  <c r="M5494" i="2"/>
  <c r="K5494" i="2" l="1"/>
  <c r="B5496" i="2"/>
  <c r="K5495" i="2" s="1"/>
  <c r="M5495" i="2"/>
  <c r="J5495" i="2" l="1"/>
  <c r="B5497" i="2"/>
  <c r="K5496" i="2" s="1"/>
  <c r="M5496" i="2"/>
  <c r="J5496" i="2" l="1"/>
  <c r="B5498" i="2"/>
  <c r="J5497" i="2" s="1"/>
  <c r="M5497" i="2"/>
  <c r="K5497" i="2" l="1"/>
  <c r="B5499" i="2"/>
  <c r="K5498" i="2" s="1"/>
  <c r="M5498" i="2"/>
  <c r="J5498" i="2" l="1"/>
  <c r="B5500" i="2"/>
  <c r="K5499" i="2" s="1"/>
  <c r="M5499" i="2"/>
  <c r="J5499" i="2" l="1"/>
  <c r="B5501" i="2"/>
  <c r="J5500" i="2" s="1"/>
  <c r="M5500" i="2"/>
  <c r="K5500" i="2" l="1"/>
  <c r="B5502" i="2"/>
  <c r="K5501" i="2" s="1"/>
  <c r="M5501" i="2"/>
  <c r="J5501" i="2" l="1"/>
  <c r="B5503" i="2"/>
  <c r="K5502" i="2" s="1"/>
  <c r="M5502" i="2"/>
  <c r="J5502" i="2" l="1"/>
  <c r="B5504" i="2"/>
  <c r="J5503" i="2" s="1"/>
  <c r="M5503" i="2"/>
  <c r="K5503" i="2" l="1"/>
  <c r="B5505" i="2"/>
  <c r="K5504" i="2" s="1"/>
  <c r="M5504" i="2"/>
  <c r="J5504" i="2" l="1"/>
  <c r="B5506" i="2"/>
  <c r="K5505" i="2" s="1"/>
  <c r="M5505" i="2"/>
  <c r="J5505" i="2" l="1"/>
  <c r="B5507" i="2"/>
  <c r="J5506" i="2" s="1"/>
  <c r="M5506" i="2"/>
  <c r="K5506" i="2" l="1"/>
  <c r="B5508" i="2"/>
  <c r="K5507" i="2" s="1"/>
  <c r="M5507" i="2"/>
  <c r="J5507" i="2" l="1"/>
  <c r="B5509" i="2"/>
  <c r="K5508" i="2" s="1"/>
  <c r="M5508" i="2"/>
  <c r="J5508" i="2" l="1"/>
  <c r="B5510" i="2"/>
  <c r="J5509" i="2" s="1"/>
  <c r="M5509" i="2"/>
  <c r="K5509" i="2" l="1"/>
  <c r="B5511" i="2"/>
  <c r="K5510" i="2" s="1"/>
  <c r="M5510" i="2"/>
  <c r="J5510" i="2" l="1"/>
  <c r="B5512" i="2"/>
  <c r="K5511" i="2" s="1"/>
  <c r="M5511" i="2"/>
  <c r="J5511" i="2" l="1"/>
  <c r="B5513" i="2"/>
  <c r="J5512" i="2" s="1"/>
  <c r="M5512" i="2"/>
  <c r="K5512" i="2" l="1"/>
  <c r="B5514" i="2"/>
  <c r="K5513" i="2" s="1"/>
  <c r="M5513" i="2"/>
  <c r="J5513" i="2" l="1"/>
  <c r="B5515" i="2"/>
  <c r="K5514" i="2" s="1"/>
  <c r="M5514" i="2"/>
  <c r="J5514" i="2" l="1"/>
  <c r="B5516" i="2"/>
  <c r="J5515" i="2" s="1"/>
  <c r="M5515" i="2"/>
  <c r="K5515" i="2" l="1"/>
  <c r="B5517" i="2"/>
  <c r="K5516" i="2" s="1"/>
  <c r="M5516" i="2"/>
  <c r="J5516" i="2" l="1"/>
  <c r="B5518" i="2"/>
  <c r="K5517" i="2" s="1"/>
  <c r="M5517" i="2"/>
  <c r="J5517" i="2" l="1"/>
  <c r="B5519" i="2"/>
  <c r="J5518" i="2" s="1"/>
  <c r="M5518" i="2"/>
  <c r="K5518" i="2" l="1"/>
  <c r="B5520" i="2"/>
  <c r="K5519" i="2" s="1"/>
  <c r="M5519" i="2"/>
  <c r="J5519" i="2" l="1"/>
  <c r="B5521" i="2"/>
  <c r="K5520" i="2" s="1"/>
  <c r="M5520" i="2"/>
  <c r="J5520" i="2" l="1"/>
  <c r="B5522" i="2"/>
  <c r="J5521" i="2" s="1"/>
  <c r="M5521" i="2"/>
  <c r="K5521" i="2" l="1"/>
  <c r="B5523" i="2"/>
  <c r="K5522" i="2" s="1"/>
  <c r="M5522" i="2"/>
  <c r="J5522" i="2" l="1"/>
  <c r="B5524" i="2"/>
  <c r="K5523" i="2" s="1"/>
  <c r="M5523" i="2"/>
  <c r="J5523" i="2" l="1"/>
  <c r="B5525" i="2"/>
  <c r="J5524" i="2" s="1"/>
  <c r="M5524" i="2"/>
  <c r="K5524" i="2" l="1"/>
  <c r="B5526" i="2"/>
  <c r="K5525" i="2" s="1"/>
  <c r="M5525" i="2"/>
  <c r="J5525" i="2" l="1"/>
  <c r="B5527" i="2"/>
  <c r="K5526" i="2" s="1"/>
  <c r="M5526" i="2"/>
  <c r="J5526" i="2" l="1"/>
  <c r="B5528" i="2"/>
  <c r="K5527" i="2" s="1"/>
  <c r="M5527" i="2"/>
  <c r="J5527" i="2" l="1"/>
  <c r="B5529" i="2"/>
  <c r="K5528" i="2" s="1"/>
  <c r="M5528" i="2"/>
  <c r="J5528" i="2" l="1"/>
  <c r="B5530" i="2"/>
  <c r="K5529" i="2" s="1"/>
  <c r="M5529" i="2"/>
  <c r="J5529" i="2" l="1"/>
  <c r="B5531" i="2"/>
  <c r="J5530" i="2" s="1"/>
  <c r="M5530" i="2"/>
  <c r="K5530" i="2" l="1"/>
  <c r="B5532" i="2"/>
  <c r="K5531" i="2" s="1"/>
  <c r="M5531" i="2"/>
  <c r="J5531" i="2" l="1"/>
  <c r="B5533" i="2"/>
  <c r="K5532" i="2" s="1"/>
  <c r="M5532" i="2"/>
  <c r="J5532" i="2" l="1"/>
  <c r="B5534" i="2"/>
  <c r="J5533" i="2" s="1"/>
  <c r="M5533" i="2"/>
  <c r="K5533" i="2" l="1"/>
  <c r="B5535" i="2"/>
  <c r="K5534" i="2" s="1"/>
  <c r="M5534" i="2"/>
  <c r="J5534" i="2" l="1"/>
  <c r="B5536" i="2"/>
  <c r="K5535" i="2" s="1"/>
  <c r="M5535" i="2"/>
  <c r="J5535" i="2" l="1"/>
  <c r="B5537" i="2"/>
  <c r="J5536" i="2" s="1"/>
  <c r="M5536" i="2"/>
  <c r="K5536" i="2" l="1"/>
  <c r="B5538" i="2"/>
  <c r="K5537" i="2" s="1"/>
  <c r="M5537" i="2"/>
  <c r="J5537" i="2" l="1"/>
  <c r="B5539" i="2"/>
  <c r="K5538" i="2" s="1"/>
  <c r="M5538" i="2"/>
  <c r="J5538" i="2" l="1"/>
  <c r="B5540" i="2"/>
  <c r="J5539" i="2" s="1"/>
  <c r="M5539" i="2"/>
  <c r="K5539" i="2" l="1"/>
  <c r="B5541" i="2"/>
  <c r="K5540" i="2" s="1"/>
  <c r="M5540" i="2"/>
  <c r="J5540" i="2" l="1"/>
  <c r="B5542" i="2"/>
  <c r="K5541" i="2" s="1"/>
  <c r="M5541" i="2"/>
  <c r="J5541" i="2" l="1"/>
  <c r="B5543" i="2"/>
  <c r="J5542" i="2" s="1"/>
  <c r="M5542" i="2"/>
  <c r="K5542" i="2" l="1"/>
  <c r="B5544" i="2"/>
  <c r="K5543" i="2" s="1"/>
  <c r="M5543" i="2"/>
  <c r="J5543" i="2" l="1"/>
  <c r="B5545" i="2"/>
  <c r="K5544" i="2" s="1"/>
  <c r="M5544" i="2"/>
  <c r="J5544" i="2" l="1"/>
  <c r="B5546" i="2"/>
  <c r="J5545" i="2" s="1"/>
  <c r="M5545" i="2"/>
  <c r="K5545" i="2" l="1"/>
  <c r="B5547" i="2"/>
  <c r="K5546" i="2" s="1"/>
  <c r="M5546" i="2"/>
  <c r="J5546" i="2" l="1"/>
  <c r="B5548" i="2"/>
  <c r="K5547" i="2" s="1"/>
  <c r="M5547" i="2"/>
  <c r="J5547" i="2" l="1"/>
  <c r="B5549" i="2"/>
  <c r="J5548" i="2" s="1"/>
  <c r="M5548" i="2"/>
  <c r="K5548" i="2" l="1"/>
  <c r="B5550" i="2"/>
  <c r="K5549" i="2" s="1"/>
  <c r="M5549" i="2"/>
  <c r="J5549" i="2" l="1"/>
  <c r="B5551" i="2"/>
  <c r="K5550" i="2" s="1"/>
  <c r="M5550" i="2"/>
  <c r="J5550" i="2" l="1"/>
  <c r="B5552" i="2"/>
  <c r="J5551" i="2" s="1"/>
  <c r="M5551" i="2"/>
  <c r="K5551" i="2" l="1"/>
  <c r="B5553" i="2"/>
  <c r="K5552" i="2" s="1"/>
  <c r="M5552" i="2"/>
  <c r="J5552" i="2" l="1"/>
  <c r="B5554" i="2"/>
  <c r="K5553" i="2" s="1"/>
  <c r="M5553" i="2"/>
  <c r="J5553" i="2" l="1"/>
  <c r="B5555" i="2"/>
  <c r="J5554" i="2" s="1"/>
  <c r="M5554" i="2"/>
  <c r="K5554" i="2" l="1"/>
  <c r="B5556" i="2"/>
  <c r="K5555" i="2" s="1"/>
  <c r="M5555" i="2"/>
  <c r="J5555" i="2" l="1"/>
  <c r="B5557" i="2"/>
  <c r="K5556" i="2" s="1"/>
  <c r="M5556" i="2"/>
  <c r="J5556" i="2" l="1"/>
  <c r="B5558" i="2"/>
  <c r="J5557" i="2" s="1"/>
  <c r="M5557" i="2"/>
  <c r="K5557" i="2" l="1"/>
  <c r="B5559" i="2"/>
  <c r="K5558" i="2" s="1"/>
  <c r="M5558" i="2"/>
  <c r="J5558" i="2" l="1"/>
  <c r="B5560" i="2"/>
  <c r="K5559" i="2" s="1"/>
  <c r="M5559" i="2"/>
  <c r="J5559" i="2" l="1"/>
  <c r="B5561" i="2"/>
  <c r="J5560" i="2" s="1"/>
  <c r="M5560" i="2"/>
  <c r="K5560" i="2" l="1"/>
  <c r="B5562" i="2"/>
  <c r="K5561" i="2" s="1"/>
  <c r="M5561" i="2"/>
  <c r="J5561" i="2" l="1"/>
  <c r="B5563" i="2"/>
  <c r="K5562" i="2" s="1"/>
  <c r="M5562" i="2"/>
  <c r="J5562" i="2" l="1"/>
  <c r="B5564" i="2"/>
  <c r="J5563" i="2" s="1"/>
  <c r="M5563" i="2"/>
  <c r="K5563" i="2" l="1"/>
  <c r="B5565" i="2"/>
  <c r="K5564" i="2" s="1"/>
  <c r="M5564" i="2"/>
  <c r="J5564" i="2" l="1"/>
  <c r="B5566" i="2"/>
  <c r="K5565" i="2" s="1"/>
  <c r="M5565" i="2"/>
  <c r="J5565" i="2" l="1"/>
  <c r="B5567" i="2"/>
  <c r="J5566" i="2" s="1"/>
  <c r="M5566" i="2"/>
  <c r="K5566" i="2" l="1"/>
  <c r="B5568" i="2"/>
  <c r="K5567" i="2" s="1"/>
  <c r="M5567" i="2"/>
  <c r="J5567" i="2" l="1"/>
  <c r="B5569" i="2"/>
  <c r="K5568" i="2" s="1"/>
  <c r="M5568" i="2"/>
  <c r="J5568" i="2" l="1"/>
  <c r="B5570" i="2"/>
  <c r="J5569" i="2" s="1"/>
  <c r="M5569" i="2"/>
  <c r="K5569" i="2" l="1"/>
  <c r="B5571" i="2"/>
  <c r="K5570" i="2" s="1"/>
  <c r="M5570" i="2"/>
  <c r="J5570" i="2" l="1"/>
  <c r="B5572" i="2"/>
  <c r="K5571" i="2" s="1"/>
  <c r="M5571" i="2"/>
  <c r="J5571" i="2" l="1"/>
  <c r="B5573" i="2"/>
  <c r="J5572" i="2" s="1"/>
  <c r="M5572" i="2"/>
  <c r="K5572" i="2" l="1"/>
  <c r="B5574" i="2"/>
  <c r="K5573" i="2" s="1"/>
  <c r="M5573" i="2"/>
  <c r="J5573" i="2" l="1"/>
  <c r="B5575" i="2"/>
  <c r="K5574" i="2" s="1"/>
  <c r="M5574" i="2"/>
  <c r="J5574" i="2" l="1"/>
  <c r="B5576" i="2"/>
  <c r="J5575" i="2" s="1"/>
  <c r="M5575" i="2"/>
  <c r="K5575" i="2" l="1"/>
  <c r="B5577" i="2"/>
  <c r="K5576" i="2" s="1"/>
  <c r="M5576" i="2"/>
  <c r="J5576" i="2" l="1"/>
  <c r="B5578" i="2"/>
  <c r="K5577" i="2" s="1"/>
  <c r="M5577" i="2"/>
  <c r="J5577" i="2" l="1"/>
  <c r="B5579" i="2"/>
  <c r="J5578" i="2" s="1"/>
  <c r="M5578" i="2"/>
  <c r="K5578" i="2" l="1"/>
  <c r="B5580" i="2"/>
  <c r="K5579" i="2" s="1"/>
  <c r="M5579" i="2"/>
  <c r="J5579" i="2" l="1"/>
  <c r="B5581" i="2"/>
  <c r="K5580" i="2" s="1"/>
  <c r="M5580" i="2"/>
  <c r="J5580" i="2" l="1"/>
  <c r="B5582" i="2"/>
  <c r="J5581" i="2" s="1"/>
  <c r="M5581" i="2"/>
  <c r="K5581" i="2" l="1"/>
  <c r="B5583" i="2"/>
  <c r="K5582" i="2" s="1"/>
  <c r="M5582" i="2"/>
  <c r="J5582" i="2" l="1"/>
  <c r="B5584" i="2"/>
  <c r="K5583" i="2" s="1"/>
  <c r="M5583" i="2"/>
  <c r="J5583" i="2" l="1"/>
  <c r="B5585" i="2"/>
  <c r="J5584" i="2" s="1"/>
  <c r="M5584" i="2"/>
  <c r="K5584" i="2" l="1"/>
  <c r="B5586" i="2"/>
  <c r="K5585" i="2" s="1"/>
  <c r="M5585" i="2"/>
  <c r="J5585" i="2" l="1"/>
  <c r="B5587" i="2"/>
  <c r="K5586" i="2" s="1"/>
  <c r="M5586" i="2"/>
  <c r="J5586" i="2" l="1"/>
  <c r="B5588" i="2"/>
  <c r="J5587" i="2" s="1"/>
  <c r="M5587" i="2"/>
  <c r="K5587" i="2" l="1"/>
  <c r="B5589" i="2"/>
  <c r="K5588" i="2" s="1"/>
  <c r="M5588" i="2"/>
  <c r="J5588" i="2" l="1"/>
  <c r="B5590" i="2"/>
  <c r="K5589" i="2" s="1"/>
  <c r="M5589" i="2"/>
  <c r="J5589" i="2" l="1"/>
  <c r="B5591" i="2"/>
  <c r="J5590" i="2" s="1"/>
  <c r="M5590" i="2"/>
  <c r="K5590" i="2" l="1"/>
  <c r="B5592" i="2"/>
  <c r="K5591" i="2" s="1"/>
  <c r="M5591" i="2"/>
  <c r="J5591" i="2" l="1"/>
  <c r="B5593" i="2"/>
  <c r="K5592" i="2" s="1"/>
  <c r="M5592" i="2"/>
  <c r="J5592" i="2" l="1"/>
  <c r="B5594" i="2"/>
  <c r="J5593" i="2" s="1"/>
  <c r="M5593" i="2"/>
  <c r="K5593" i="2" l="1"/>
  <c r="B5595" i="2"/>
  <c r="K5594" i="2" s="1"/>
  <c r="M5594" i="2"/>
  <c r="J5594" i="2" l="1"/>
  <c r="B5596" i="2"/>
  <c r="K5595" i="2" s="1"/>
  <c r="M5595" i="2"/>
  <c r="J5595" i="2" l="1"/>
  <c r="B5597" i="2"/>
  <c r="J5596" i="2" s="1"/>
  <c r="M5596" i="2"/>
  <c r="K5596" i="2" l="1"/>
  <c r="B5598" i="2"/>
  <c r="K5597" i="2" s="1"/>
  <c r="M5597" i="2"/>
  <c r="J5597" i="2" l="1"/>
  <c r="B5599" i="2"/>
  <c r="K5598" i="2" s="1"/>
  <c r="M5598" i="2"/>
  <c r="J5598" i="2" l="1"/>
  <c r="B5600" i="2"/>
  <c r="J5599" i="2" s="1"/>
  <c r="M5599" i="2"/>
  <c r="K5599" i="2" l="1"/>
  <c r="B5601" i="2"/>
  <c r="K5600" i="2" s="1"/>
  <c r="M5600" i="2"/>
  <c r="J5600" i="2" l="1"/>
  <c r="B5602" i="2"/>
  <c r="K5601" i="2" s="1"/>
  <c r="M5601" i="2"/>
  <c r="J5601" i="2" l="1"/>
  <c r="B5603" i="2"/>
  <c r="J5602" i="2" s="1"/>
  <c r="M5602" i="2"/>
  <c r="K5602" i="2" l="1"/>
  <c r="B5604" i="2"/>
  <c r="K5603" i="2" s="1"/>
  <c r="M5603" i="2"/>
  <c r="J5603" i="2" l="1"/>
  <c r="B5605" i="2"/>
  <c r="K5604" i="2" s="1"/>
  <c r="M5604" i="2"/>
  <c r="J5604" i="2" l="1"/>
  <c r="B5606" i="2"/>
  <c r="J5605" i="2" s="1"/>
  <c r="M5605" i="2"/>
  <c r="K5605" i="2" l="1"/>
  <c r="B5607" i="2"/>
  <c r="K5606" i="2" s="1"/>
  <c r="M5606" i="2"/>
  <c r="J5606" i="2" l="1"/>
  <c r="B5608" i="2"/>
  <c r="K5607" i="2" s="1"/>
  <c r="M5607" i="2"/>
  <c r="J5607" i="2" l="1"/>
  <c r="B5609" i="2"/>
  <c r="J5608" i="2" s="1"/>
  <c r="M5608" i="2"/>
  <c r="K5608" i="2" l="1"/>
  <c r="B5610" i="2"/>
  <c r="K5609" i="2" s="1"/>
  <c r="M5609" i="2"/>
  <c r="J5609" i="2" l="1"/>
  <c r="B5611" i="2"/>
  <c r="K5610" i="2" s="1"/>
  <c r="M5610" i="2"/>
  <c r="J5610" i="2" l="1"/>
  <c r="B5612" i="2"/>
  <c r="J5611" i="2" s="1"/>
  <c r="M5611" i="2"/>
  <c r="K5611" i="2" l="1"/>
  <c r="B5613" i="2"/>
  <c r="K5612" i="2" s="1"/>
  <c r="M5612" i="2"/>
  <c r="J5612" i="2" l="1"/>
  <c r="B5614" i="2"/>
  <c r="K5613" i="2" s="1"/>
  <c r="M5613" i="2"/>
  <c r="J5613" i="2" l="1"/>
  <c r="B5615" i="2"/>
  <c r="J5614" i="2" s="1"/>
  <c r="M5614" i="2"/>
  <c r="K5614" i="2" l="1"/>
  <c r="B5616" i="2"/>
  <c r="K5615" i="2" s="1"/>
  <c r="M5615" i="2"/>
  <c r="J5615" i="2" l="1"/>
  <c r="B5617" i="2"/>
  <c r="K5616" i="2" s="1"/>
  <c r="M5616" i="2"/>
  <c r="J5616" i="2" l="1"/>
  <c r="B5618" i="2"/>
  <c r="J5617" i="2" s="1"/>
  <c r="M5617" i="2"/>
  <c r="K5617" i="2" l="1"/>
  <c r="B5619" i="2"/>
  <c r="K5618" i="2" s="1"/>
  <c r="M5618" i="2"/>
  <c r="J5618" i="2" l="1"/>
  <c r="B5620" i="2"/>
  <c r="K5619" i="2" s="1"/>
  <c r="M5619" i="2"/>
  <c r="J5619" i="2" l="1"/>
  <c r="B5621" i="2"/>
  <c r="J5620" i="2" s="1"/>
  <c r="M5620" i="2"/>
  <c r="K5620" i="2" l="1"/>
  <c r="B5622" i="2"/>
  <c r="K5621" i="2" s="1"/>
  <c r="M5621" i="2"/>
  <c r="J5621" i="2" l="1"/>
  <c r="B5623" i="2"/>
  <c r="K5622" i="2" s="1"/>
  <c r="M5622" i="2"/>
  <c r="J5622" i="2" l="1"/>
  <c r="B5624" i="2"/>
  <c r="J5623" i="2" s="1"/>
  <c r="M5623" i="2"/>
  <c r="K5623" i="2" l="1"/>
  <c r="B5625" i="2"/>
  <c r="K5624" i="2" s="1"/>
  <c r="M5624" i="2"/>
  <c r="J5624" i="2" l="1"/>
  <c r="B5626" i="2"/>
  <c r="K5625" i="2" s="1"/>
  <c r="M5625" i="2"/>
  <c r="J5625" i="2" l="1"/>
  <c r="B5627" i="2"/>
  <c r="J5626" i="2" s="1"/>
  <c r="M5626" i="2"/>
  <c r="K5626" i="2" l="1"/>
  <c r="B5628" i="2"/>
  <c r="K5627" i="2" s="1"/>
  <c r="M5627" i="2"/>
  <c r="J5627" i="2" l="1"/>
  <c r="B5629" i="2"/>
  <c r="K5628" i="2" s="1"/>
  <c r="M5628" i="2"/>
  <c r="J5628" i="2" l="1"/>
  <c r="B5630" i="2"/>
  <c r="J5629" i="2" s="1"/>
  <c r="M5629" i="2"/>
  <c r="K5629" i="2" l="1"/>
  <c r="B5631" i="2"/>
  <c r="K5630" i="2" s="1"/>
  <c r="M5630" i="2"/>
  <c r="J5630" i="2" l="1"/>
  <c r="B5632" i="2"/>
  <c r="K5631" i="2" s="1"/>
  <c r="M5631" i="2"/>
  <c r="J5631" i="2" l="1"/>
  <c r="B5633" i="2"/>
  <c r="J5632" i="2" s="1"/>
  <c r="M5632" i="2"/>
  <c r="K5632" i="2" l="1"/>
  <c r="B5634" i="2"/>
  <c r="K5633" i="2" s="1"/>
  <c r="M5633" i="2"/>
  <c r="J5633" i="2" l="1"/>
  <c r="B5635" i="2"/>
  <c r="K5634" i="2" s="1"/>
  <c r="M5634" i="2"/>
  <c r="J5634" i="2" l="1"/>
  <c r="B5636" i="2"/>
  <c r="J5635" i="2" s="1"/>
  <c r="M5635" i="2"/>
  <c r="K5635" i="2" l="1"/>
  <c r="B5637" i="2"/>
  <c r="K5636" i="2" s="1"/>
  <c r="M5636" i="2"/>
  <c r="J5636" i="2" l="1"/>
  <c r="B5638" i="2"/>
  <c r="K5637" i="2" s="1"/>
  <c r="M5637" i="2"/>
  <c r="J5637" i="2" l="1"/>
  <c r="B5639" i="2"/>
  <c r="J5638" i="2" s="1"/>
  <c r="M5638" i="2"/>
  <c r="K5638" i="2" l="1"/>
  <c r="B5640" i="2"/>
  <c r="K5639" i="2" s="1"/>
  <c r="M5639" i="2"/>
  <c r="J5639" i="2" l="1"/>
  <c r="B5641" i="2"/>
  <c r="K5640" i="2" s="1"/>
  <c r="M5640" i="2"/>
  <c r="J5640" i="2" l="1"/>
  <c r="B5642" i="2"/>
  <c r="J5641" i="2" s="1"/>
  <c r="M5641" i="2"/>
  <c r="K5641" i="2" l="1"/>
  <c r="B5643" i="2"/>
  <c r="K5642" i="2" s="1"/>
  <c r="M5642" i="2"/>
  <c r="J5642" i="2" l="1"/>
  <c r="B5644" i="2"/>
  <c r="K5643" i="2" s="1"/>
  <c r="M5643" i="2"/>
  <c r="J5643" i="2" l="1"/>
  <c r="B5645" i="2"/>
  <c r="J5644" i="2" s="1"/>
  <c r="M5644" i="2"/>
  <c r="K5644" i="2" l="1"/>
  <c r="B5646" i="2"/>
  <c r="K5645" i="2" s="1"/>
  <c r="M5645" i="2"/>
  <c r="J5645" i="2" l="1"/>
  <c r="B5647" i="2"/>
  <c r="K5646" i="2" s="1"/>
  <c r="M5646" i="2"/>
  <c r="J5646" i="2" l="1"/>
  <c r="B5648" i="2"/>
  <c r="J5647" i="2" s="1"/>
  <c r="M5647" i="2"/>
  <c r="K5647" i="2" l="1"/>
  <c r="B5649" i="2"/>
  <c r="K5648" i="2" s="1"/>
  <c r="M5648" i="2"/>
  <c r="J5648" i="2" l="1"/>
  <c r="B5650" i="2"/>
  <c r="K5649" i="2" s="1"/>
  <c r="M5649" i="2"/>
  <c r="J5649" i="2" l="1"/>
  <c r="B5651" i="2"/>
  <c r="J5650" i="2" s="1"/>
  <c r="M5650" i="2"/>
  <c r="K5650" i="2" l="1"/>
  <c r="B5652" i="2"/>
  <c r="K5651" i="2" s="1"/>
  <c r="M5651" i="2"/>
  <c r="J5651" i="2" l="1"/>
  <c r="B5653" i="2"/>
  <c r="K5652" i="2" s="1"/>
  <c r="M5652" i="2"/>
  <c r="J5652" i="2" l="1"/>
  <c r="B5654" i="2"/>
  <c r="J5653" i="2" s="1"/>
  <c r="M5653" i="2"/>
  <c r="K5653" i="2" l="1"/>
  <c r="B5655" i="2"/>
  <c r="K5654" i="2" s="1"/>
  <c r="M5654" i="2"/>
  <c r="J5654" i="2" l="1"/>
  <c r="B5656" i="2"/>
  <c r="K5655" i="2" s="1"/>
  <c r="M5655" i="2"/>
  <c r="J5655" i="2" l="1"/>
  <c r="B5657" i="2"/>
  <c r="J5656" i="2" s="1"/>
  <c r="M5656" i="2"/>
  <c r="K5656" i="2" l="1"/>
  <c r="B5658" i="2"/>
  <c r="K5657" i="2" s="1"/>
  <c r="M5657" i="2"/>
  <c r="J5657" i="2" l="1"/>
  <c r="B5659" i="2"/>
  <c r="K5658" i="2" s="1"/>
  <c r="M5658" i="2"/>
  <c r="J5658" i="2" l="1"/>
  <c r="B5660" i="2"/>
  <c r="J5659" i="2" s="1"/>
  <c r="M5659" i="2"/>
  <c r="K5659" i="2" l="1"/>
  <c r="B5661" i="2"/>
  <c r="K5660" i="2" s="1"/>
  <c r="M5660" i="2"/>
  <c r="J5660" i="2" l="1"/>
  <c r="B5662" i="2"/>
  <c r="K5661" i="2" s="1"/>
  <c r="M5661" i="2"/>
  <c r="J5661" i="2" l="1"/>
  <c r="B5663" i="2"/>
  <c r="J5662" i="2" s="1"/>
  <c r="M5662" i="2"/>
  <c r="K5662" i="2" l="1"/>
  <c r="B5664" i="2"/>
  <c r="K5663" i="2" s="1"/>
  <c r="M5663" i="2"/>
  <c r="J5663" i="2" l="1"/>
  <c r="B5665" i="2"/>
  <c r="K5664" i="2" s="1"/>
  <c r="M5664" i="2"/>
  <c r="J5664" i="2" l="1"/>
  <c r="B5666" i="2"/>
  <c r="J5665" i="2" s="1"/>
  <c r="M5665" i="2"/>
  <c r="K5665" i="2" l="1"/>
  <c r="B5667" i="2"/>
  <c r="K5666" i="2" s="1"/>
  <c r="M5666" i="2"/>
  <c r="J5666" i="2" l="1"/>
  <c r="B5668" i="2"/>
  <c r="K5667" i="2" s="1"/>
  <c r="M5667" i="2"/>
  <c r="J5667" i="2" l="1"/>
  <c r="B5669" i="2"/>
  <c r="J5668" i="2" s="1"/>
  <c r="M5668" i="2"/>
  <c r="K5668" i="2" l="1"/>
  <c r="B5670" i="2"/>
  <c r="J5669" i="2" s="1"/>
  <c r="M5669" i="2"/>
  <c r="K5669" i="2" l="1"/>
  <c r="B5671" i="2"/>
  <c r="K5670" i="2" s="1"/>
  <c r="M5670" i="2"/>
  <c r="J5670" i="2" l="1"/>
  <c r="B5672" i="2"/>
  <c r="J5671" i="2" s="1"/>
  <c r="M5671" i="2"/>
  <c r="K5671" i="2" l="1"/>
  <c r="B5673" i="2"/>
  <c r="J5672" i="2" s="1"/>
  <c r="M5672" i="2"/>
  <c r="K5672" i="2" l="1"/>
  <c r="B5674" i="2"/>
  <c r="K5673" i="2" s="1"/>
  <c r="M5673" i="2"/>
  <c r="J5673" i="2" l="1"/>
  <c r="B5675" i="2"/>
  <c r="J5674" i="2" s="1"/>
  <c r="M5674" i="2"/>
  <c r="K5674" i="2" l="1"/>
  <c r="B5676" i="2"/>
  <c r="J5675" i="2" s="1"/>
  <c r="M5675" i="2"/>
  <c r="K5675" i="2" l="1"/>
  <c r="B5677" i="2"/>
  <c r="K5676" i="2" s="1"/>
  <c r="M5676" i="2"/>
  <c r="J5676" i="2" l="1"/>
  <c r="B5678" i="2"/>
  <c r="J5677" i="2" s="1"/>
  <c r="M5677" i="2"/>
  <c r="K5677" i="2" l="1"/>
  <c r="B5679" i="2"/>
  <c r="J5678" i="2" s="1"/>
  <c r="M5678" i="2"/>
  <c r="K5678" i="2" l="1"/>
  <c r="B5680" i="2"/>
  <c r="K5679" i="2" s="1"/>
  <c r="M5679" i="2"/>
  <c r="J5679" i="2" l="1"/>
  <c r="B5681" i="2"/>
  <c r="J5680" i="2" s="1"/>
  <c r="M5680" i="2"/>
  <c r="K5680" i="2" l="1"/>
  <c r="B5682" i="2"/>
  <c r="J5681" i="2" s="1"/>
  <c r="M5681" i="2"/>
  <c r="K5681" i="2" l="1"/>
  <c r="B5683" i="2"/>
  <c r="K5682" i="2" s="1"/>
  <c r="M5682" i="2"/>
  <c r="J5682" i="2" l="1"/>
  <c r="B5684" i="2"/>
  <c r="J5683" i="2" s="1"/>
  <c r="M5683" i="2"/>
  <c r="K5683" i="2" l="1"/>
  <c r="B5685" i="2"/>
  <c r="J5684" i="2" s="1"/>
  <c r="M5684" i="2"/>
  <c r="K5684" i="2" l="1"/>
  <c r="B5686" i="2"/>
  <c r="K5685" i="2" s="1"/>
  <c r="M5685" i="2"/>
  <c r="J5685" i="2" l="1"/>
  <c r="B5687" i="2"/>
  <c r="J5686" i="2" s="1"/>
  <c r="M5686" i="2"/>
  <c r="K5686" i="2" l="1"/>
  <c r="B5688" i="2"/>
  <c r="J5687" i="2" s="1"/>
  <c r="M5687" i="2"/>
  <c r="K5687" i="2" l="1"/>
  <c r="B5689" i="2"/>
  <c r="K5688" i="2" s="1"/>
  <c r="M5688" i="2"/>
  <c r="J5688" i="2" l="1"/>
  <c r="B5690" i="2"/>
  <c r="J5689" i="2" s="1"/>
  <c r="M5689" i="2"/>
  <c r="K5689" i="2" l="1"/>
  <c r="B5691" i="2"/>
  <c r="J5690" i="2" s="1"/>
  <c r="M5690" i="2"/>
  <c r="K5690" i="2" l="1"/>
  <c r="B5692" i="2"/>
  <c r="K5691" i="2" s="1"/>
  <c r="M5691" i="2"/>
  <c r="J5691" i="2" l="1"/>
  <c r="B5693" i="2"/>
  <c r="J5692" i="2" s="1"/>
  <c r="M5692" i="2"/>
  <c r="K5692" i="2" l="1"/>
  <c r="B5694" i="2"/>
  <c r="J5693" i="2" s="1"/>
  <c r="M5693" i="2"/>
  <c r="K5693" i="2" l="1"/>
  <c r="B5695" i="2"/>
  <c r="K5694" i="2" s="1"/>
  <c r="M5694" i="2"/>
  <c r="J5694" i="2" l="1"/>
  <c r="B5696" i="2"/>
  <c r="J5695" i="2" s="1"/>
  <c r="M5695" i="2"/>
  <c r="K5695" i="2" l="1"/>
  <c r="B5697" i="2"/>
  <c r="J5696" i="2" s="1"/>
  <c r="M5696" i="2"/>
  <c r="K5696" i="2" l="1"/>
  <c r="B5698" i="2"/>
  <c r="K5697" i="2" s="1"/>
  <c r="M5697" i="2"/>
  <c r="J5697" i="2" l="1"/>
  <c r="B5699" i="2"/>
  <c r="J5698" i="2" s="1"/>
  <c r="M5698" i="2"/>
  <c r="K5698" i="2" l="1"/>
  <c r="B5700" i="2"/>
  <c r="J5699" i="2" s="1"/>
  <c r="M5699" i="2"/>
  <c r="K5699" i="2" l="1"/>
  <c r="B5701" i="2"/>
  <c r="K5700" i="2" s="1"/>
  <c r="M5700" i="2"/>
  <c r="J5700" i="2" l="1"/>
  <c r="B5702" i="2"/>
  <c r="J5701" i="2" s="1"/>
  <c r="M5701" i="2"/>
  <c r="K5701" i="2" l="1"/>
  <c r="B5703" i="2"/>
  <c r="J5702" i="2" s="1"/>
  <c r="M5702" i="2"/>
  <c r="K5702" i="2" l="1"/>
  <c r="B5704" i="2"/>
  <c r="K5703" i="2" s="1"/>
  <c r="M5703" i="2"/>
  <c r="J5703" i="2" l="1"/>
  <c r="B5705" i="2"/>
  <c r="J5704" i="2" s="1"/>
  <c r="M5704" i="2"/>
  <c r="K5704" i="2" l="1"/>
  <c r="B5706" i="2"/>
  <c r="J5705" i="2" s="1"/>
  <c r="M5705" i="2"/>
  <c r="K5705" i="2" l="1"/>
  <c r="B5707" i="2"/>
  <c r="K5706" i="2" s="1"/>
  <c r="M5706" i="2"/>
  <c r="J5706" i="2" l="1"/>
  <c r="B5708" i="2"/>
  <c r="J5707" i="2" s="1"/>
  <c r="M5707" i="2"/>
  <c r="K5707" i="2" l="1"/>
  <c r="B5709" i="2"/>
  <c r="J5708" i="2" s="1"/>
  <c r="M5708" i="2"/>
  <c r="K5708" i="2" l="1"/>
  <c r="B5710" i="2"/>
  <c r="K5709" i="2" s="1"/>
  <c r="M5709" i="2"/>
  <c r="J5709" i="2" l="1"/>
  <c r="B5711" i="2"/>
  <c r="J5710" i="2" s="1"/>
  <c r="M5710" i="2"/>
  <c r="K5710" i="2" l="1"/>
  <c r="B5712" i="2"/>
  <c r="J5711" i="2" s="1"/>
  <c r="M5711" i="2"/>
  <c r="K5711" i="2" l="1"/>
  <c r="B5713" i="2"/>
  <c r="K5712" i="2" s="1"/>
  <c r="M5712" i="2"/>
  <c r="J5712" i="2" l="1"/>
  <c r="B5714" i="2"/>
  <c r="J5713" i="2" s="1"/>
  <c r="M5713" i="2"/>
  <c r="K5713" i="2" l="1"/>
  <c r="B5715" i="2"/>
  <c r="J5714" i="2" s="1"/>
  <c r="M5714" i="2"/>
  <c r="K5714" i="2" l="1"/>
  <c r="B5716" i="2"/>
  <c r="K5715" i="2" s="1"/>
  <c r="M5715" i="2"/>
  <c r="J5715" i="2" l="1"/>
  <c r="B5717" i="2"/>
  <c r="J5716" i="2" s="1"/>
  <c r="M5716" i="2"/>
  <c r="K5716" i="2" l="1"/>
  <c r="B5718" i="2"/>
  <c r="J5717" i="2" s="1"/>
  <c r="M5717" i="2"/>
  <c r="K5717" i="2" l="1"/>
  <c r="B5719" i="2"/>
  <c r="K5718" i="2" s="1"/>
  <c r="M5718" i="2"/>
  <c r="J5718" i="2" l="1"/>
  <c r="B5720" i="2"/>
  <c r="J5719" i="2" s="1"/>
  <c r="M5719" i="2"/>
  <c r="K5719" i="2" l="1"/>
  <c r="B5721" i="2"/>
  <c r="J5720" i="2" s="1"/>
  <c r="M5720" i="2"/>
  <c r="K5720" i="2" l="1"/>
  <c r="B5722" i="2"/>
  <c r="K5721" i="2" s="1"/>
  <c r="M5721" i="2"/>
  <c r="J5721" i="2" l="1"/>
  <c r="B5723" i="2"/>
  <c r="J5722" i="2" s="1"/>
  <c r="M5722" i="2"/>
  <c r="K5722" i="2" l="1"/>
  <c r="B5724" i="2"/>
  <c r="J5723" i="2" s="1"/>
  <c r="M5723" i="2"/>
  <c r="K5723" i="2" l="1"/>
  <c r="B5725" i="2"/>
  <c r="K5724" i="2" s="1"/>
  <c r="M5724" i="2"/>
  <c r="J5724" i="2" l="1"/>
  <c r="B5726" i="2"/>
  <c r="J5725" i="2" s="1"/>
  <c r="M5725" i="2"/>
  <c r="K5725" i="2" l="1"/>
  <c r="B5727" i="2"/>
  <c r="J5726" i="2" s="1"/>
  <c r="M5726" i="2"/>
  <c r="K5726" i="2" l="1"/>
  <c r="B5728" i="2"/>
  <c r="K5727" i="2" s="1"/>
  <c r="M5727" i="2"/>
  <c r="J5727" i="2" l="1"/>
  <c r="B5729" i="2"/>
  <c r="J5728" i="2" s="1"/>
  <c r="M5728" i="2"/>
  <c r="K5728" i="2" l="1"/>
  <c r="B5730" i="2"/>
  <c r="J5729" i="2" s="1"/>
  <c r="M5729" i="2"/>
  <c r="K5729" i="2" l="1"/>
  <c r="B5731" i="2"/>
  <c r="K5730" i="2" s="1"/>
  <c r="M5730" i="2"/>
  <c r="J5730" i="2" l="1"/>
  <c r="B5732" i="2"/>
  <c r="J5731" i="2" s="1"/>
  <c r="M5731" i="2"/>
  <c r="K5731" i="2" l="1"/>
  <c r="B5733" i="2"/>
  <c r="J5732" i="2" s="1"/>
  <c r="M5732" i="2"/>
  <c r="K5732" i="2" l="1"/>
  <c r="B5734" i="2"/>
  <c r="K5733" i="2" s="1"/>
  <c r="M5733" i="2"/>
  <c r="J5733" i="2" l="1"/>
  <c r="B5735" i="2"/>
  <c r="J5734" i="2" s="1"/>
  <c r="M5734" i="2"/>
  <c r="K5734" i="2" l="1"/>
  <c r="B5736" i="2"/>
  <c r="J5735" i="2" s="1"/>
  <c r="M5735" i="2"/>
  <c r="K5735" i="2" l="1"/>
  <c r="B5737" i="2"/>
  <c r="K5736" i="2" s="1"/>
  <c r="M5736" i="2"/>
  <c r="J5736" i="2" l="1"/>
  <c r="B5738" i="2"/>
  <c r="J5737" i="2" s="1"/>
  <c r="M5737" i="2"/>
  <c r="K5737" i="2" l="1"/>
  <c r="B5739" i="2"/>
  <c r="J5738" i="2" s="1"/>
  <c r="M5738" i="2"/>
  <c r="K5738" i="2" l="1"/>
  <c r="B5740" i="2"/>
  <c r="K5739" i="2" s="1"/>
  <c r="M5739" i="2"/>
  <c r="J5739" i="2" l="1"/>
  <c r="B5741" i="2"/>
  <c r="J5740" i="2" s="1"/>
  <c r="M5740" i="2"/>
  <c r="K5740" i="2" l="1"/>
  <c r="B5742" i="2"/>
  <c r="J5741" i="2" s="1"/>
  <c r="M5741" i="2"/>
  <c r="K5741" i="2" l="1"/>
  <c r="B5743" i="2"/>
  <c r="K5742" i="2" s="1"/>
  <c r="M5742" i="2"/>
  <c r="J5742" i="2" l="1"/>
  <c r="B5744" i="2"/>
  <c r="K5743" i="2" s="1"/>
  <c r="M5743" i="2"/>
  <c r="J5743" i="2" l="1"/>
  <c r="B5745" i="2"/>
  <c r="J5744" i="2" s="1"/>
  <c r="M5744" i="2"/>
  <c r="K5744" i="2" l="1"/>
  <c r="B5746" i="2"/>
  <c r="K5745" i="2" s="1"/>
  <c r="M5745" i="2"/>
  <c r="J5745" i="2" l="1"/>
  <c r="B5747" i="2"/>
  <c r="J5746" i="2" s="1"/>
  <c r="M5746" i="2"/>
  <c r="K5746" i="2" l="1"/>
  <c r="B5748" i="2"/>
  <c r="J5747" i="2" s="1"/>
  <c r="M5747" i="2"/>
  <c r="K5747" i="2" l="1"/>
  <c r="B5749" i="2"/>
  <c r="K5748" i="2" s="1"/>
  <c r="M5748" i="2"/>
  <c r="J5748" i="2" l="1"/>
  <c r="B5750" i="2"/>
  <c r="J5749" i="2" s="1"/>
  <c r="M5749" i="2"/>
  <c r="K5749" i="2" l="1"/>
  <c r="B5751" i="2"/>
  <c r="J5750" i="2" s="1"/>
  <c r="M5750" i="2"/>
  <c r="K5750" i="2" l="1"/>
  <c r="B5752" i="2"/>
  <c r="K5751" i="2" s="1"/>
  <c r="M5751" i="2"/>
  <c r="J5751" i="2" l="1"/>
  <c r="B5753" i="2"/>
  <c r="J5752" i="2" s="1"/>
  <c r="M5752" i="2"/>
  <c r="K5752" i="2" l="1"/>
  <c r="B5754" i="2"/>
  <c r="J5753" i="2" s="1"/>
  <c r="M5753" i="2"/>
  <c r="K5753" i="2" l="1"/>
  <c r="B5755" i="2"/>
  <c r="K5754" i="2" s="1"/>
  <c r="M5754" i="2"/>
  <c r="J5754" i="2" l="1"/>
  <c r="B5756" i="2"/>
  <c r="J5755" i="2" s="1"/>
  <c r="M5755" i="2"/>
  <c r="K5755" i="2" l="1"/>
  <c r="B5757" i="2"/>
  <c r="J5756" i="2" s="1"/>
  <c r="M5756" i="2"/>
  <c r="K5756" i="2" l="1"/>
  <c r="B5758" i="2"/>
  <c r="J5757" i="2" s="1"/>
  <c r="M5757" i="2"/>
  <c r="K5757" i="2" l="1"/>
  <c r="B5759" i="2"/>
  <c r="K5758" i="2" s="1"/>
  <c r="M5758" i="2"/>
  <c r="J5758" i="2" l="1"/>
  <c r="B5760" i="2"/>
  <c r="J5759" i="2" s="1"/>
  <c r="M5759" i="2"/>
  <c r="K5759" i="2" l="1"/>
  <c r="B5761" i="2"/>
  <c r="J5760" i="2" s="1"/>
  <c r="M5760" i="2"/>
  <c r="K5760" i="2" l="1"/>
  <c r="B5762" i="2"/>
  <c r="J5761" i="2" s="1"/>
  <c r="M5761" i="2"/>
  <c r="K5761" i="2" l="1"/>
  <c r="B5763" i="2"/>
  <c r="J5762" i="2" s="1"/>
  <c r="M5762" i="2"/>
  <c r="K5762" i="2" l="1"/>
  <c r="B5764" i="2"/>
  <c r="J5763" i="2" s="1"/>
  <c r="M5763" i="2"/>
  <c r="K5763" i="2" l="1"/>
  <c r="B5765" i="2"/>
  <c r="J5764" i="2" s="1"/>
  <c r="M5764" i="2"/>
  <c r="K5764" i="2" l="1"/>
  <c r="B5766" i="2"/>
  <c r="J5765" i="2" s="1"/>
  <c r="M5765" i="2"/>
  <c r="K5765" i="2" l="1"/>
  <c r="B5767" i="2"/>
  <c r="J5766" i="2" s="1"/>
  <c r="M5766" i="2"/>
  <c r="K5766" i="2" l="1"/>
  <c r="B5768" i="2"/>
  <c r="J5767" i="2" s="1"/>
  <c r="M5767" i="2"/>
  <c r="K5767" i="2" l="1"/>
  <c r="B5769" i="2"/>
  <c r="J5768" i="2" s="1"/>
  <c r="M5768" i="2"/>
  <c r="K5768" i="2" l="1"/>
  <c r="B5770" i="2"/>
  <c r="J5769" i="2" s="1"/>
  <c r="M5769" i="2"/>
  <c r="K5769" i="2" l="1"/>
  <c r="B5771" i="2"/>
  <c r="J5770" i="2" s="1"/>
  <c r="M5770" i="2"/>
  <c r="K5770" i="2" l="1"/>
  <c r="B5772" i="2"/>
  <c r="K5771" i="2" s="1"/>
  <c r="M5771" i="2"/>
  <c r="J5771" i="2" l="1"/>
  <c r="B5773" i="2"/>
  <c r="J5772" i="2" s="1"/>
  <c r="M5772" i="2"/>
  <c r="K5772" i="2" l="1"/>
  <c r="B5774" i="2"/>
  <c r="J5773" i="2" s="1"/>
  <c r="M5773" i="2"/>
  <c r="K5773" i="2" l="1"/>
  <c r="B5775" i="2"/>
  <c r="J5774" i="2" s="1"/>
  <c r="M5774" i="2"/>
  <c r="K5774" i="2" l="1"/>
  <c r="B5776" i="2"/>
  <c r="J5775" i="2" s="1"/>
  <c r="M5775" i="2"/>
  <c r="K5775" i="2" l="1"/>
  <c r="B5777" i="2"/>
  <c r="J5776" i="2" s="1"/>
  <c r="M5776" i="2"/>
  <c r="K5776" i="2" l="1"/>
  <c r="B5778" i="2"/>
  <c r="J5777" i="2" s="1"/>
  <c r="M5777" i="2"/>
  <c r="K5777" i="2" l="1"/>
  <c r="B5779" i="2"/>
  <c r="J5778" i="2" s="1"/>
  <c r="M5778" i="2"/>
  <c r="K5778" i="2" l="1"/>
  <c r="B5780" i="2"/>
  <c r="J5779" i="2" s="1"/>
  <c r="M5779" i="2"/>
  <c r="K5779" i="2" l="1"/>
  <c r="B5781" i="2"/>
  <c r="J5780" i="2" s="1"/>
  <c r="M5780" i="2"/>
  <c r="K5780" i="2" l="1"/>
  <c r="B5782" i="2"/>
  <c r="J5781" i="2" s="1"/>
  <c r="M5781" i="2"/>
  <c r="K5781" i="2" l="1"/>
  <c r="B5783" i="2"/>
  <c r="J5782" i="2" s="1"/>
  <c r="M5782" i="2"/>
  <c r="K5782" i="2" l="1"/>
  <c r="B5784" i="2"/>
  <c r="J5783" i="2" s="1"/>
  <c r="M5783" i="2"/>
  <c r="K5783" i="2" l="1"/>
  <c r="B5785" i="2"/>
  <c r="K5784" i="2" s="1"/>
  <c r="M5784" i="2"/>
  <c r="J5784" i="2" l="1"/>
  <c r="B5786" i="2"/>
  <c r="J5785" i="2" s="1"/>
  <c r="M5785" i="2"/>
  <c r="K5785" i="2" l="1"/>
  <c r="B5787" i="2"/>
  <c r="J5786" i="2" s="1"/>
  <c r="M5786" i="2"/>
  <c r="K5786" i="2" l="1"/>
  <c r="B5788" i="2"/>
  <c r="J5787" i="2" s="1"/>
  <c r="M5787" i="2"/>
  <c r="K5787" i="2" l="1"/>
  <c r="B5789" i="2"/>
  <c r="J5788" i="2" s="1"/>
  <c r="M5788" i="2"/>
  <c r="K5788" i="2" l="1"/>
  <c r="B5790" i="2"/>
  <c r="J5789" i="2" s="1"/>
  <c r="M5789" i="2"/>
  <c r="K5789" i="2" l="1"/>
  <c r="B5791" i="2"/>
  <c r="J5790" i="2" s="1"/>
  <c r="M5790" i="2"/>
  <c r="K5790" i="2" l="1"/>
  <c r="B5792" i="2"/>
  <c r="J5791" i="2" s="1"/>
  <c r="M5791" i="2"/>
  <c r="K5791" i="2" l="1"/>
  <c r="B5793" i="2"/>
  <c r="J5792" i="2" s="1"/>
  <c r="M5792" i="2"/>
  <c r="K5792" i="2" l="1"/>
  <c r="B5794" i="2"/>
  <c r="J5793" i="2" s="1"/>
  <c r="M5793" i="2"/>
  <c r="K5793" i="2" l="1"/>
  <c r="B5795" i="2"/>
  <c r="K5794" i="2" s="1"/>
  <c r="M5794" i="2"/>
  <c r="J5794" i="2" l="1"/>
  <c r="B5796" i="2"/>
  <c r="J5795" i="2" s="1"/>
  <c r="M5795" i="2"/>
  <c r="K5795" i="2" l="1"/>
  <c r="B5797" i="2"/>
  <c r="J5796" i="2" s="1"/>
  <c r="M5796" i="2"/>
  <c r="K5796" i="2" l="1"/>
  <c r="B5798" i="2"/>
  <c r="K5797" i="2" s="1"/>
  <c r="M5797" i="2"/>
  <c r="J5797" i="2" l="1"/>
  <c r="B5799" i="2"/>
  <c r="J5798" i="2" s="1"/>
  <c r="M5798" i="2"/>
  <c r="K5798" i="2" l="1"/>
  <c r="B5800" i="2"/>
  <c r="J5799" i="2" s="1"/>
  <c r="M5799" i="2"/>
  <c r="K5799" i="2" l="1"/>
  <c r="B5801" i="2"/>
  <c r="K5800" i="2" s="1"/>
  <c r="M5800" i="2"/>
  <c r="J5800" i="2" l="1"/>
  <c r="B5802" i="2"/>
  <c r="J5801" i="2" s="1"/>
  <c r="M5801" i="2"/>
  <c r="K5801" i="2" l="1"/>
  <c r="B5803" i="2"/>
  <c r="J5802" i="2" s="1"/>
  <c r="M5802" i="2"/>
  <c r="K5802" i="2" l="1"/>
  <c r="B5804" i="2"/>
  <c r="K5803" i="2" s="1"/>
  <c r="M5803" i="2"/>
  <c r="J5803" i="2" l="1"/>
  <c r="B5805" i="2"/>
  <c r="J5804" i="2" s="1"/>
  <c r="M5804" i="2"/>
  <c r="K5804" i="2" l="1"/>
  <c r="B5806" i="2"/>
  <c r="J5805" i="2" s="1"/>
  <c r="M5805" i="2"/>
  <c r="K5805" i="2" l="1"/>
  <c r="B5807" i="2"/>
  <c r="K5806" i="2" s="1"/>
  <c r="M5806" i="2"/>
  <c r="J5806" i="2" l="1"/>
  <c r="B5808" i="2"/>
  <c r="J5807" i="2" s="1"/>
  <c r="M5807" i="2"/>
  <c r="K5807" i="2" l="1"/>
  <c r="B5809" i="2"/>
  <c r="J5808" i="2" s="1"/>
  <c r="M5808" i="2"/>
  <c r="K5808" i="2" l="1"/>
  <c r="B5810" i="2"/>
  <c r="K5809" i="2" s="1"/>
  <c r="M5809" i="2"/>
  <c r="J5809" i="2" l="1"/>
  <c r="B5811" i="2"/>
  <c r="J5810" i="2" s="1"/>
  <c r="M5810" i="2"/>
  <c r="K5810" i="2" l="1"/>
  <c r="B5812" i="2"/>
  <c r="K5811" i="2" s="1"/>
  <c r="M5811" i="2"/>
  <c r="J5811" i="2" l="1"/>
  <c r="B5813" i="2"/>
  <c r="K5812" i="2" s="1"/>
  <c r="M5812" i="2"/>
  <c r="J5812" i="2" l="1"/>
  <c r="B5814" i="2"/>
  <c r="J5813" i="2" s="1"/>
  <c r="M5813" i="2"/>
  <c r="K5813" i="2" l="1"/>
  <c r="B5815" i="2"/>
  <c r="J5814" i="2" s="1"/>
  <c r="M5814" i="2"/>
  <c r="K5814" i="2" l="1"/>
  <c r="B5816" i="2"/>
  <c r="K5815" i="2" s="1"/>
  <c r="M5815" i="2"/>
  <c r="J5815" i="2" l="1"/>
  <c r="B5817" i="2"/>
  <c r="J5816" i="2" s="1"/>
  <c r="M5816" i="2"/>
  <c r="K5816" i="2" l="1"/>
  <c r="B5818" i="2"/>
  <c r="J5817" i="2" s="1"/>
  <c r="M5817" i="2"/>
  <c r="K5817" i="2" l="1"/>
  <c r="B5819" i="2"/>
  <c r="K5818" i="2" s="1"/>
  <c r="M5818" i="2"/>
  <c r="J5818" i="2" l="1"/>
  <c r="B5820" i="2"/>
  <c r="J5819" i="2" s="1"/>
  <c r="M5819" i="2"/>
  <c r="K5819" i="2" l="1"/>
  <c r="B5821" i="2"/>
  <c r="J5820" i="2" s="1"/>
  <c r="M5820" i="2"/>
  <c r="K5820" i="2" l="1"/>
  <c r="B5822" i="2"/>
  <c r="K5821" i="2" s="1"/>
  <c r="M5821" i="2"/>
  <c r="J5821" i="2" l="1"/>
  <c r="B5823" i="2"/>
  <c r="J5822" i="2" s="1"/>
  <c r="M5822" i="2"/>
  <c r="K5822" i="2" l="1"/>
  <c r="B5824" i="2"/>
  <c r="J5823" i="2" s="1"/>
  <c r="M5823" i="2"/>
  <c r="K5823" i="2" l="1"/>
  <c r="B5825" i="2"/>
  <c r="K5824" i="2" s="1"/>
  <c r="M5824" i="2"/>
  <c r="J5824" i="2" l="1"/>
  <c r="B5826" i="2"/>
  <c r="J5825" i="2" s="1"/>
  <c r="M5825" i="2"/>
  <c r="K5825" i="2" l="1"/>
  <c r="B5827" i="2"/>
  <c r="J5826" i="2" s="1"/>
  <c r="M5826" i="2"/>
  <c r="K5826" i="2" l="1"/>
  <c r="B5828" i="2"/>
  <c r="K5827" i="2" s="1"/>
  <c r="M5827" i="2"/>
  <c r="J5827" i="2" l="1"/>
  <c r="B5829" i="2"/>
  <c r="J5828" i="2" s="1"/>
  <c r="M5828" i="2"/>
  <c r="K5828" i="2" l="1"/>
  <c r="B5830" i="2"/>
  <c r="J5829" i="2" s="1"/>
  <c r="M5829" i="2"/>
  <c r="K5829" i="2" l="1"/>
  <c r="B5831" i="2"/>
  <c r="K5830" i="2" s="1"/>
  <c r="M5830" i="2"/>
  <c r="J5830" i="2" l="1"/>
  <c r="B5832" i="2"/>
  <c r="J5831" i="2" s="1"/>
  <c r="M5831" i="2"/>
  <c r="K5831" i="2" l="1"/>
  <c r="B5833" i="2"/>
  <c r="J5832" i="2" s="1"/>
  <c r="M5832" i="2"/>
  <c r="K5832" i="2" l="1"/>
  <c r="B5834" i="2"/>
  <c r="K5833" i="2" s="1"/>
  <c r="M5833" i="2"/>
  <c r="J5833" i="2" l="1"/>
  <c r="B5835" i="2"/>
  <c r="J5834" i="2" s="1"/>
  <c r="M5834" i="2"/>
  <c r="K5834" i="2" l="1"/>
  <c r="B5836" i="2"/>
  <c r="J5835" i="2" s="1"/>
  <c r="M5835" i="2"/>
  <c r="K5835" i="2" l="1"/>
  <c r="B5837" i="2"/>
  <c r="K5836" i="2" s="1"/>
  <c r="M5836" i="2"/>
  <c r="J5836" i="2" l="1"/>
  <c r="B5838" i="2"/>
  <c r="J5837" i="2" s="1"/>
  <c r="M5837" i="2"/>
  <c r="K5837" i="2" l="1"/>
  <c r="B5839" i="2"/>
  <c r="J5838" i="2" s="1"/>
  <c r="M5838" i="2"/>
  <c r="K5838" i="2" l="1"/>
  <c r="B5840" i="2"/>
  <c r="K5839" i="2" s="1"/>
  <c r="M5839" i="2"/>
  <c r="J5839" i="2" l="1"/>
  <c r="B5841" i="2"/>
  <c r="J5840" i="2" s="1"/>
  <c r="M5840" i="2"/>
  <c r="K5840" i="2" l="1"/>
  <c r="B5842" i="2"/>
  <c r="J5841" i="2" s="1"/>
  <c r="M5841" i="2"/>
  <c r="K5841" i="2" l="1"/>
  <c r="B5843" i="2"/>
  <c r="K5842" i="2" s="1"/>
  <c r="M5842" i="2"/>
  <c r="J5842" i="2" l="1"/>
  <c r="B5844" i="2"/>
  <c r="J5843" i="2" s="1"/>
  <c r="M5843" i="2"/>
  <c r="K5843" i="2" l="1"/>
  <c r="B5845" i="2"/>
  <c r="J5844" i="2" s="1"/>
  <c r="M5844" i="2"/>
  <c r="K5844" i="2" l="1"/>
  <c r="B5846" i="2"/>
  <c r="K5845" i="2" s="1"/>
  <c r="M5845" i="2"/>
  <c r="J5845" i="2" l="1"/>
  <c r="B5847" i="2"/>
  <c r="J5846" i="2" s="1"/>
  <c r="M5846" i="2"/>
  <c r="K5846" i="2" l="1"/>
  <c r="B5848" i="2"/>
  <c r="J5847" i="2" s="1"/>
  <c r="M5847" i="2"/>
  <c r="K5847" i="2" l="1"/>
  <c r="B5849" i="2"/>
  <c r="M5848" i="2"/>
  <c r="K5848" i="2" l="1"/>
  <c r="P34" i="2"/>
  <c r="J5848" i="2"/>
  <c r="J5849" i="2"/>
  <c r="K5849" i="2"/>
  <c r="M5849" i="2"/>
  <c r="Q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sharedStrings.xml><?xml version="1.0" encoding="utf-8"?>
<sst xmlns="http://schemas.openxmlformats.org/spreadsheetml/2006/main" count="219" uniqueCount="155">
  <si>
    <t xml:space="preserve">Rainfall model - for Newcastle </t>
  </si>
  <si>
    <t xml:space="preserve">This spreadsheet provides rainfall series for input to rain water harvesting analysis or flood risk analysis. </t>
  </si>
  <si>
    <t>The Markov model approach is to be used for wet and dry day sequences, with wet day amounts generated from an exponential distribution.</t>
  </si>
  <si>
    <t>This is a stochastic model so the outputs will change when re-calculated. To force a re-calculation, press F9</t>
  </si>
  <si>
    <t xml:space="preserve">The observed data set which this is based on (Col A on Calc Transition matrix tab) is from 4 rain gauge records from north of Newcastle (Wansbeck catchment), but can be taken as representative of Newcastle. </t>
  </si>
  <si>
    <t xml:space="preserve">If adjustment is required, the mean annual rainfall could be changed. </t>
  </si>
  <si>
    <t>Objectives</t>
  </si>
  <si>
    <t>First :  need to set up the model to reproduce the observed rainfall behaviour.</t>
  </si>
  <si>
    <t xml:space="preserve">Second, we will modify the stats to change the daily mean rainfall (to represent cliamte change) by plus and minus 20%. </t>
  </si>
  <si>
    <t>Statistics to match</t>
  </si>
  <si>
    <t>10 years of daily data for area-weighted average for the catchment are given</t>
  </si>
  <si>
    <t>Daily observed stats to match</t>
  </si>
  <si>
    <t xml:space="preserve">Assume that all months are the same - i.e. no seasonal variation in rainfall. </t>
  </si>
  <si>
    <t>pdry</t>
  </si>
  <si>
    <t>pww</t>
  </si>
  <si>
    <t>pdd</t>
  </si>
  <si>
    <t>The model is in two parts : (a) occurrence (wet or dry) and (b) Amounts on wet days</t>
  </si>
  <si>
    <t>Mean wet day  (mm)</t>
  </si>
  <si>
    <t>(a) Occurrence model (Markov)</t>
  </si>
  <si>
    <t>Annual rainfall (mm)</t>
  </si>
  <si>
    <t xml:space="preserve">The transition probabilities pww and pdd of the target rainfall regime are given below. </t>
  </si>
  <si>
    <t xml:space="preserve">You should use these to calculate the whole transition matrix and use in the Markov model which has already been coded for you. </t>
  </si>
  <si>
    <t xml:space="preserve">Check the model performance by comparing the transitions and the pdry (probability of  dry day) with the observed  </t>
  </si>
  <si>
    <t>(b) Amount model (Exponential)</t>
  </si>
  <si>
    <t xml:space="preserve">The mean rainfall is given: you should use an exponential distribution to model the amount of rainfall. </t>
  </si>
  <si>
    <t xml:space="preserve">You can do this by selecting an appropriate lambda value </t>
  </si>
  <si>
    <t>Future statistics</t>
  </si>
  <si>
    <t>You will learn how to estimate future climate change in later modules.</t>
  </si>
  <si>
    <t xml:space="preserve">Here, we suggets you carry out a sensitivity analysis: </t>
  </si>
  <si>
    <t>Keeping the transition matrix the same,  try increasing (and decreasing) the mean wet day amount by a factor of 1.2</t>
  </si>
  <si>
    <t>Markov model</t>
  </si>
  <si>
    <t>Observed stats to match</t>
  </si>
  <si>
    <t>Occurrence model</t>
  </si>
  <si>
    <t xml:space="preserve">Statistics </t>
  </si>
  <si>
    <t>Amounts model</t>
  </si>
  <si>
    <t>IF(Xt&gt;0,IF(R&lt;pww,1,0),IF(R&lt;pdw,1,0))</t>
  </si>
  <si>
    <t xml:space="preserve">Exponential </t>
  </si>
  <si>
    <t>w wet</t>
  </si>
  <si>
    <t>From observed data</t>
  </si>
  <si>
    <t>From model output</t>
  </si>
  <si>
    <t>lambda</t>
  </si>
  <si>
    <t>1/mm</t>
  </si>
  <si>
    <t>d dry</t>
  </si>
  <si>
    <t>Transition matrix</t>
  </si>
  <si>
    <t>Stats of model output</t>
  </si>
  <si>
    <t>pdw</t>
  </si>
  <si>
    <t>1/lambda</t>
  </si>
  <si>
    <t>Day</t>
  </si>
  <si>
    <t>State</t>
  </si>
  <si>
    <t>Random No: R 0:1</t>
  </si>
  <si>
    <t>Pww</t>
  </si>
  <si>
    <t>Pwd</t>
  </si>
  <si>
    <t>Sum=1</t>
  </si>
  <si>
    <t>pwet</t>
  </si>
  <si>
    <t>Amount</t>
  </si>
  <si>
    <t>Pdw</t>
  </si>
  <si>
    <t>Pdd</t>
  </si>
  <si>
    <t>raindays</t>
  </si>
  <si>
    <t>mean daily rainfall  (mm)</t>
  </si>
  <si>
    <t>Mean daily rainfall</t>
  </si>
  <si>
    <t xml:space="preserve">Annual rainfall </t>
  </si>
  <si>
    <t>mm</t>
  </si>
  <si>
    <t>Check this!!</t>
  </si>
  <si>
    <t xml:space="preserve">Max </t>
  </si>
  <si>
    <t>Obs</t>
  </si>
  <si>
    <t>Model</t>
  </si>
  <si>
    <t>Inverse cumulative distribution function</t>
  </si>
  <si>
    <t>Seasonal</t>
  </si>
  <si>
    <t>Annual</t>
  </si>
  <si>
    <t>Model monthly analysis</t>
  </si>
  <si>
    <t>Row Labels</t>
  </si>
  <si>
    <t xml:space="preserve">Sum of Obs rainfall (mm) </t>
  </si>
  <si>
    <t>Months</t>
  </si>
  <si>
    <t>SD</t>
  </si>
  <si>
    <t>Month</t>
  </si>
  <si>
    <t>OBS</t>
  </si>
  <si>
    <t>MOD</t>
  </si>
  <si>
    <t>year</t>
  </si>
  <si>
    <t>model</t>
  </si>
  <si>
    <t>Monthly</t>
  </si>
  <si>
    <t>Cumulative</t>
  </si>
  <si>
    <t>Total monthly</t>
  </si>
  <si>
    <t>Mean monthly</t>
  </si>
  <si>
    <t>SD monthly</t>
  </si>
  <si>
    <t>Max + Min</t>
  </si>
  <si>
    <t>Histogram</t>
  </si>
  <si>
    <t>count</t>
  </si>
  <si>
    <t>max (mm)</t>
  </si>
  <si>
    <t>Amount(mm)</t>
  </si>
  <si>
    <t>SD obs</t>
  </si>
  <si>
    <t>SD model</t>
  </si>
  <si>
    <t>Grand Total</t>
  </si>
  <si>
    <t>Date</t>
  </si>
  <si>
    <t>Month cumul</t>
  </si>
  <si>
    <t>Year</t>
  </si>
  <si>
    <t xml:space="preserve">Obs rainfall (mm) </t>
  </si>
  <si>
    <t>WetOrDry</t>
  </si>
  <si>
    <t>Sum</t>
  </si>
  <si>
    <t>code-n</t>
  </si>
  <si>
    <t>code-t</t>
  </si>
  <si>
    <t>Codes</t>
  </si>
  <si>
    <t>No of days</t>
  </si>
  <si>
    <t>dw</t>
  </si>
  <si>
    <t>No of wet days</t>
  </si>
  <si>
    <t>dd</t>
  </si>
  <si>
    <t>No of dry days</t>
  </si>
  <si>
    <t>wd</t>
  </si>
  <si>
    <t>Propwet days pwet</t>
  </si>
  <si>
    <t>ww</t>
  </si>
  <si>
    <t>Propdry pdry</t>
  </si>
  <si>
    <t>NB definition of dry is 0.0 mm: all values 0&lt;p&lt;0.2 have been set to 0.0</t>
  </si>
  <si>
    <t>pwd</t>
  </si>
  <si>
    <t>Days less than 0.5 mm</t>
  </si>
  <si>
    <t>Prop less than 0.5 mm</t>
  </si>
  <si>
    <t>Days less than 1.0 mm</t>
  </si>
  <si>
    <t>Prop less than 1.0 mm</t>
  </si>
  <si>
    <t>Days less than 2.0 mm</t>
  </si>
  <si>
    <t>Prop less than 2.0 mm</t>
  </si>
  <si>
    <t>Days less than 5.0 mm</t>
  </si>
  <si>
    <t>Prop less than 5.0 mm</t>
  </si>
  <si>
    <t>Original figures</t>
  </si>
  <si>
    <t>Newbiggin</t>
  </si>
  <si>
    <t>Harwood</t>
  </si>
  <si>
    <t>Font</t>
  </si>
  <si>
    <t>Wallington</t>
  </si>
  <si>
    <t>AW</t>
  </si>
  <si>
    <t>She</t>
  </si>
  <si>
    <t>Mean wet day amt</t>
  </si>
  <si>
    <t>For exp model</t>
  </si>
  <si>
    <t xml:space="preserve">Markov </t>
  </si>
  <si>
    <t xml:space="preserve">The transition matrix should be </t>
  </si>
  <si>
    <t>Where rows sum to 1</t>
  </si>
  <si>
    <t xml:space="preserve"> This gives a pdry of 0.42 or so, close to the observed 0.43</t>
  </si>
  <si>
    <t xml:space="preserve">For amounts:  lambda is simply 1/mean. </t>
  </si>
  <si>
    <t xml:space="preserve">The mean is the mean daily amount * for wet days* </t>
  </si>
  <si>
    <t xml:space="preserve">The number of wet days per year is (1-pdry)*365 = </t>
  </si>
  <si>
    <t>days</t>
  </si>
  <si>
    <t xml:space="preserve">So mean rain day amount is </t>
  </si>
  <si>
    <t>817/208=</t>
  </si>
  <si>
    <t xml:space="preserve">And so lambda = </t>
  </si>
  <si>
    <t>You can check the mean on the spreadsheet</t>
  </si>
  <si>
    <t>5842 days</t>
  </si>
  <si>
    <t>average</t>
  </si>
  <si>
    <t>75 year (1.3) T Alt</t>
  </si>
  <si>
    <t>transition matrix's for June-sept</t>
  </si>
  <si>
    <t>transition matrix's for Oct-Jan</t>
  </si>
  <si>
    <t xml:space="preserve">transition matrix's for Feb-May </t>
  </si>
  <si>
    <t>1/lamda=3.1</t>
  </si>
  <si>
    <t>1/lamda=2.5</t>
  </si>
  <si>
    <t>UKCP RCP6 30% increase</t>
  </si>
  <si>
    <t>25 year (1.1) T alt</t>
  </si>
  <si>
    <t>50 year (1.2) T Alt</t>
  </si>
  <si>
    <t>current</t>
  </si>
  <si>
    <t>wet day rainfall(mm)</t>
  </si>
  <si>
    <t>seasonal rainfall(mm)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</si>
</sst>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6" fillId="3" borderId="0" xfId="0" applyFont="1" applyFill="1"/>
    <xf numFmtId="0" fontId="4" fillId="3" borderId="0" xfId="0" applyFont="1" applyFill="1"/>
    <xf numFmtId="0" fontId="8" fillId="4" borderId="0" xfId="0" applyFont="1" applyFill="1"/>
    <xf numFmtId="0" fontId="10" fillId="2" borderId="0" xfId="0" applyFont="1" applyFill="1"/>
    <xf numFmtId="0" fontId="2" fillId="2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6" borderId="5" xfId="0" applyFon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0" xfId="0" applyNumberFormat="1"/>
    <xf numFmtId="2" fontId="1" fillId="6" borderId="1" xfId="0" applyNumberFormat="1" applyFont="1" applyFill="1" applyBorder="1" applyAlignment="1">
      <alignment horizontal="center"/>
    </xf>
    <xf numFmtId="0" fontId="14" fillId="4" borderId="0" xfId="0" applyFont="1" applyFill="1"/>
    <xf numFmtId="0" fontId="0" fillId="5" borderId="0" xfId="0" applyFill="1"/>
    <xf numFmtId="0" fontId="3" fillId="0" borderId="0" xfId="0" applyFont="1"/>
    <xf numFmtId="0" fontId="15" fillId="3" borderId="6" xfId="0" applyFont="1" applyFill="1" applyBorder="1"/>
    <xf numFmtId="0" fontId="15" fillId="3" borderId="10" xfId="0" applyFont="1" applyFill="1" applyBorder="1"/>
    <xf numFmtId="0" fontId="9" fillId="0" borderId="7" xfId="0" applyFont="1" applyBorder="1"/>
    <xf numFmtId="2" fontId="15" fillId="3" borderId="11" xfId="0" applyNumberFormat="1" applyFont="1" applyFill="1" applyBorder="1"/>
    <xf numFmtId="0" fontId="15" fillId="3" borderId="0" xfId="0" applyFont="1" applyFill="1"/>
    <xf numFmtId="1" fontId="15" fillId="3" borderId="0" xfId="0" applyNumberFormat="1" applyFont="1" applyFill="1"/>
    <xf numFmtId="0" fontId="9" fillId="0" borderId="12" xfId="0" applyFont="1" applyBorder="1"/>
    <xf numFmtId="0" fontId="9" fillId="0" borderId="8" xfId="0" applyFont="1" applyBorder="1"/>
    <xf numFmtId="0" fontId="9" fillId="0" borderId="13" xfId="0" applyFont="1" applyBorder="1"/>
    <xf numFmtId="0" fontId="15" fillId="2" borderId="13" xfId="0" applyFont="1" applyFill="1" applyBorder="1"/>
    <xf numFmtId="0" fontId="9" fillId="0" borderId="9" xfId="0" applyFont="1" applyBorder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7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7" borderId="0" xfId="0" applyFont="1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4" fontId="0" fillId="8" borderId="0" xfId="0" applyNumberFormat="1" applyFill="1"/>
    <xf numFmtId="164" fontId="0" fillId="7" borderId="0" xfId="0" applyNumberFormat="1" applyFill="1"/>
    <xf numFmtId="0" fontId="8" fillId="9" borderId="0" xfId="0" applyFont="1" applyFill="1"/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11" fillId="9" borderId="0" xfId="0" applyFont="1" applyFill="1"/>
    <xf numFmtId="0" fontId="1" fillId="9" borderId="0" xfId="0" applyFont="1" applyFill="1"/>
    <xf numFmtId="164" fontId="1" fillId="9" borderId="0" xfId="0" applyNumberFormat="1" applyFont="1" applyFill="1"/>
    <xf numFmtId="164" fontId="0" fillId="9" borderId="0" xfId="0" applyNumberFormat="1" applyFill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9" borderId="0" xfId="0" applyNumberFormat="1" applyFill="1"/>
    <xf numFmtId="1" fontId="0" fillId="10" borderId="0" xfId="0" applyNumberFormat="1" applyFill="1"/>
    <xf numFmtId="14" fontId="1" fillId="0" borderId="0" xfId="0" applyNumberFormat="1" applyFont="1"/>
    <xf numFmtId="1" fontId="1" fillId="8" borderId="0" xfId="0" applyNumberFormat="1" applyFont="1" applyFill="1"/>
    <xf numFmtId="14" fontId="0" fillId="0" borderId="0" xfId="0" applyNumberFormat="1" applyAlignment="1">
      <alignment wrapText="1"/>
    </xf>
    <xf numFmtId="1" fontId="0" fillId="3" borderId="0" xfId="0" applyNumberForma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" fontId="1" fillId="3" borderId="0" xfId="0" applyNumberFormat="1" applyFont="1" applyFill="1"/>
    <xf numFmtId="0" fontId="1" fillId="3" borderId="0" xfId="0" applyFont="1" applyFill="1" applyAlignment="1">
      <alignment horizontal="right"/>
    </xf>
    <xf numFmtId="2" fontId="20" fillId="9" borderId="3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2" fontId="3" fillId="2" borderId="0" xfId="0" applyNumberFormat="1" applyFont="1" applyFill="1"/>
    <xf numFmtId="0" fontId="0" fillId="0" borderId="0" xfId="0" quotePrefix="1"/>
    <xf numFmtId="0" fontId="3" fillId="5" borderId="0" xfId="0" applyFont="1" applyFill="1"/>
    <xf numFmtId="0" fontId="7" fillId="5" borderId="0" xfId="0" applyFont="1" applyFill="1"/>
    <xf numFmtId="22" fontId="0" fillId="0" borderId="0" xfId="0" applyNumberFormat="1"/>
    <xf numFmtId="164" fontId="1" fillId="7" borderId="0" xfId="0" applyNumberFormat="1" applyFont="1" applyFill="1" applyAlignment="1">
      <alignment horizontal="center" wrapText="1"/>
    </xf>
    <xf numFmtId="0" fontId="0" fillId="11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1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1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0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0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6-4C40-82D1-4EB8274B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'markov model'!$M$7:$M$106</c:f>
              <c:numCache>
                <c:formatCode>0.0</c:formatCode>
                <c:ptCount val="100"/>
                <c:pt idx="0">
                  <c:v>8.1898891058724903</c:v>
                </c:pt>
                <c:pt idx="1">
                  <c:v>0</c:v>
                </c:pt>
                <c:pt idx="2">
                  <c:v>2.4604874312804794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1.7816568011206015</c:v>
                </c:pt>
                <c:pt idx="7">
                  <c:v>10.5496138161019</c:v>
                </c:pt>
                <c:pt idx="8">
                  <c:v>15.603611473820237</c:v>
                </c:pt>
                <c:pt idx="9">
                  <c:v>0</c:v>
                </c:pt>
                <c:pt idx="10">
                  <c:v>0.49891767110575469</c:v>
                </c:pt>
                <c:pt idx="11">
                  <c:v>1.443927105771206</c:v>
                </c:pt>
                <c:pt idx="12">
                  <c:v>3.4494593081498071</c:v>
                </c:pt>
                <c:pt idx="13">
                  <c:v>1.2414449703577193</c:v>
                </c:pt>
                <c:pt idx="14">
                  <c:v>17.104533568510696</c:v>
                </c:pt>
                <c:pt idx="15">
                  <c:v>0.70339318830662145</c:v>
                </c:pt>
                <c:pt idx="16">
                  <c:v>4.1042887278860007</c:v>
                </c:pt>
                <c:pt idx="17">
                  <c:v>5.4301209657189835</c:v>
                </c:pt>
                <c:pt idx="18">
                  <c:v>3.6754854637116443</c:v>
                </c:pt>
                <c:pt idx="19">
                  <c:v>6.5828417956825902</c:v>
                </c:pt>
                <c:pt idx="20">
                  <c:v>0</c:v>
                </c:pt>
                <c:pt idx="21">
                  <c:v>2.8427425667842545</c:v>
                </c:pt>
                <c:pt idx="22">
                  <c:v>1.9391068848516868</c:v>
                </c:pt>
                <c:pt idx="23">
                  <c:v>4.0078765307066053</c:v>
                </c:pt>
                <c:pt idx="24">
                  <c:v>6.2072686438407203</c:v>
                </c:pt>
                <c:pt idx="25">
                  <c:v>3.888039335476999E-2</c:v>
                </c:pt>
                <c:pt idx="26">
                  <c:v>0.32201253390339946</c:v>
                </c:pt>
                <c:pt idx="27">
                  <c:v>2.6055024309256458</c:v>
                </c:pt>
                <c:pt idx="28">
                  <c:v>4.1775427734507087</c:v>
                </c:pt>
                <c:pt idx="29">
                  <c:v>2.3914600798256846</c:v>
                </c:pt>
                <c:pt idx="30">
                  <c:v>0.77990450960057645</c:v>
                </c:pt>
                <c:pt idx="31">
                  <c:v>6.0104807900283896</c:v>
                </c:pt>
                <c:pt idx="32">
                  <c:v>2.0022570681372036</c:v>
                </c:pt>
                <c:pt idx="33">
                  <c:v>0</c:v>
                </c:pt>
                <c:pt idx="34">
                  <c:v>0.23837409910982416</c:v>
                </c:pt>
                <c:pt idx="35">
                  <c:v>3.9237350474682056</c:v>
                </c:pt>
                <c:pt idx="36">
                  <c:v>10.802158282580297</c:v>
                </c:pt>
                <c:pt idx="37">
                  <c:v>0</c:v>
                </c:pt>
                <c:pt idx="38">
                  <c:v>5.3048876384846402</c:v>
                </c:pt>
                <c:pt idx="39">
                  <c:v>7.1240981867990234</c:v>
                </c:pt>
                <c:pt idx="40">
                  <c:v>9.2607035321851239</c:v>
                </c:pt>
                <c:pt idx="41">
                  <c:v>1.1086754780762988</c:v>
                </c:pt>
                <c:pt idx="42">
                  <c:v>9.1155662558228308</c:v>
                </c:pt>
                <c:pt idx="43">
                  <c:v>3.5655673909424985</c:v>
                </c:pt>
                <c:pt idx="44">
                  <c:v>0</c:v>
                </c:pt>
                <c:pt idx="45">
                  <c:v>0.99013366798868374</c:v>
                </c:pt>
                <c:pt idx="46">
                  <c:v>0.58004325469108975</c:v>
                </c:pt>
                <c:pt idx="47">
                  <c:v>10.407144997321147</c:v>
                </c:pt>
                <c:pt idx="48">
                  <c:v>3.7517853300397119</c:v>
                </c:pt>
                <c:pt idx="49">
                  <c:v>3.9257506506423696</c:v>
                </c:pt>
                <c:pt idx="50">
                  <c:v>1.939302431586331</c:v>
                </c:pt>
                <c:pt idx="51">
                  <c:v>0</c:v>
                </c:pt>
                <c:pt idx="52">
                  <c:v>1.3551240077791848</c:v>
                </c:pt>
                <c:pt idx="53">
                  <c:v>2.4948859111330037</c:v>
                </c:pt>
                <c:pt idx="54">
                  <c:v>4.1054292351373016</c:v>
                </c:pt>
                <c:pt idx="55">
                  <c:v>7.1593550275281963</c:v>
                </c:pt>
                <c:pt idx="56">
                  <c:v>0</c:v>
                </c:pt>
                <c:pt idx="57">
                  <c:v>1.8774912539211792</c:v>
                </c:pt>
                <c:pt idx="58">
                  <c:v>0</c:v>
                </c:pt>
                <c:pt idx="59">
                  <c:v>0.90664687446164804</c:v>
                </c:pt>
                <c:pt idx="60">
                  <c:v>0.74416027706650623</c:v>
                </c:pt>
                <c:pt idx="61">
                  <c:v>0</c:v>
                </c:pt>
                <c:pt idx="62">
                  <c:v>1.5119758834526256</c:v>
                </c:pt>
                <c:pt idx="63">
                  <c:v>4.6805055516628622</c:v>
                </c:pt>
                <c:pt idx="64">
                  <c:v>3.5426999664389669</c:v>
                </c:pt>
                <c:pt idx="65">
                  <c:v>2.013043500089315</c:v>
                </c:pt>
                <c:pt idx="66">
                  <c:v>16.276330907285764</c:v>
                </c:pt>
                <c:pt idx="67">
                  <c:v>5.1741847349697032</c:v>
                </c:pt>
                <c:pt idx="68">
                  <c:v>0.30544106102477453</c:v>
                </c:pt>
                <c:pt idx="69">
                  <c:v>0</c:v>
                </c:pt>
                <c:pt idx="70">
                  <c:v>7.5280115948209945</c:v>
                </c:pt>
                <c:pt idx="71">
                  <c:v>1.1085434210225922</c:v>
                </c:pt>
                <c:pt idx="72">
                  <c:v>7.9948041593430155</c:v>
                </c:pt>
                <c:pt idx="73">
                  <c:v>2.3608469668720988</c:v>
                </c:pt>
                <c:pt idx="74">
                  <c:v>0.37942520862859197</c:v>
                </c:pt>
                <c:pt idx="75">
                  <c:v>5.631655836979097</c:v>
                </c:pt>
                <c:pt idx="76">
                  <c:v>0</c:v>
                </c:pt>
                <c:pt idx="77">
                  <c:v>2.4476768755053646</c:v>
                </c:pt>
                <c:pt idx="78">
                  <c:v>2.9367601560341381</c:v>
                </c:pt>
                <c:pt idx="79">
                  <c:v>0.33617052966207422</c:v>
                </c:pt>
                <c:pt idx="80">
                  <c:v>0.37159316012322408</c:v>
                </c:pt>
                <c:pt idx="81">
                  <c:v>0</c:v>
                </c:pt>
                <c:pt idx="82">
                  <c:v>3.7821437271099905</c:v>
                </c:pt>
                <c:pt idx="83">
                  <c:v>0.6192112181420738</c:v>
                </c:pt>
                <c:pt idx="84">
                  <c:v>3.9381064474774194</c:v>
                </c:pt>
                <c:pt idx="85">
                  <c:v>0</c:v>
                </c:pt>
                <c:pt idx="86">
                  <c:v>1.9822803690430844</c:v>
                </c:pt>
                <c:pt idx="87">
                  <c:v>3.8051696393309999</c:v>
                </c:pt>
                <c:pt idx="88">
                  <c:v>0.74554269185843391</c:v>
                </c:pt>
                <c:pt idx="89">
                  <c:v>0.15921726953965956</c:v>
                </c:pt>
                <c:pt idx="90">
                  <c:v>0.83527558377985101</c:v>
                </c:pt>
                <c:pt idx="91">
                  <c:v>2.6877689798026254</c:v>
                </c:pt>
                <c:pt idx="92">
                  <c:v>1.9260230199807615</c:v>
                </c:pt>
                <c:pt idx="93">
                  <c:v>0</c:v>
                </c:pt>
                <c:pt idx="94">
                  <c:v>2.7545289883503785</c:v>
                </c:pt>
                <c:pt idx="95">
                  <c:v>0.18821566510011081</c:v>
                </c:pt>
                <c:pt idx="96">
                  <c:v>0.38421825630413442</c:v>
                </c:pt>
                <c:pt idx="97">
                  <c:v>8.2184503494015591</c:v>
                </c:pt>
                <c:pt idx="98">
                  <c:v>0.81740370486106084</c:v>
                </c:pt>
                <c:pt idx="99">
                  <c:v>8.6233052352503208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1-4A1C-8812-B5193AC7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mean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</c:v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'Output analysis'!$C$3:$C$14</c:f>
              <c:numCache>
                <c:formatCode>0</c:formatCode>
                <c:ptCount val="12"/>
                <c:pt idx="0">
                  <c:v>77.280899653979219</c:v>
                </c:pt>
                <c:pt idx="1">
                  <c:v>52.237370242214539</c:v>
                </c:pt>
                <c:pt idx="2">
                  <c:v>55.498961937716253</c:v>
                </c:pt>
                <c:pt idx="3">
                  <c:v>54.071141868512122</c:v>
                </c:pt>
                <c:pt idx="4">
                  <c:v>49.716401384083028</c:v>
                </c:pt>
                <c:pt idx="5">
                  <c:v>78.112249134948115</c:v>
                </c:pt>
                <c:pt idx="6">
                  <c:v>77.90380622837371</c:v>
                </c:pt>
                <c:pt idx="7">
                  <c:v>82.782837370242191</c:v>
                </c:pt>
                <c:pt idx="8">
                  <c:v>68.414186851211056</c:v>
                </c:pt>
                <c:pt idx="9">
                  <c:v>71.734394463667826</c:v>
                </c:pt>
                <c:pt idx="10">
                  <c:v>78.420207612456807</c:v>
                </c:pt>
                <c:pt idx="11">
                  <c:v>71.555155709342571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1-4A02-8A2A-6A99A24BB033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analysis'!$Q$3:$Q$14</c:f>
              <c:numCache>
                <c:formatCode>General</c:formatCode>
                <c:ptCount val="12"/>
                <c:pt idx="0">
                  <c:v>85.216765442984425</c:v>
                </c:pt>
                <c:pt idx="1">
                  <c:v>85.878023504685601</c:v>
                </c:pt>
                <c:pt idx="2">
                  <c:v>93.687579780662404</c:v>
                </c:pt>
                <c:pt idx="3">
                  <c:v>76.12494344593226</c:v>
                </c:pt>
                <c:pt idx="4">
                  <c:v>96.106646070797808</c:v>
                </c:pt>
                <c:pt idx="5">
                  <c:v>89.441806265685415</c:v>
                </c:pt>
                <c:pt idx="6">
                  <c:v>102.54722533199154</c:v>
                </c:pt>
                <c:pt idx="7">
                  <c:v>88.95790166339809</c:v>
                </c:pt>
                <c:pt idx="8">
                  <c:v>89.964427074722948</c:v>
                </c:pt>
                <c:pt idx="9">
                  <c:v>79.772650282398885</c:v>
                </c:pt>
                <c:pt idx="10">
                  <c:v>92.59198581185214</c:v>
                </c:pt>
                <c:pt idx="11">
                  <c:v>89.261476660493329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1-4A02-8A2A-6A99A24B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079672"/>
        <c:axId val="342080064"/>
      </c:barChart>
      <c:catAx>
        <c:axId val="34207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0064"/>
        <c:crosses val="autoZero"/>
        <c:auto val="1"/>
        <c:lblAlgn val="ctr"/>
        <c:lblOffset val="100"/>
        <c:noMultiLvlLbl val="0"/>
      </c:catAx>
      <c:valAx>
        <c:axId val="3420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79672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</a:t>
            </a:r>
            <a:r>
              <a:rPr lang="en-GB" baseline="0"/>
              <a:t>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analysis'!$G$2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analysis'!$F$3:$F$12</c:f>
              <c:numCache>
                <c:formatCode>General</c:formatCode>
                <c:ptCount val="1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</c:numCache>
            </c:numRef>
          </c:cat>
          <c:val>
            <c:numRef>
              <c:f>'Output analysis'!$G$3:$G$12</c:f>
              <c:numCache>
                <c:formatCode>0</c:formatCode>
                <c:ptCount val="10"/>
                <c:pt idx="0">
                  <c:v>587.88027681660935</c:v>
                </c:pt>
                <c:pt idx="1">
                  <c:v>898.94325259515597</c:v>
                </c:pt>
                <c:pt idx="2">
                  <c:v>819.81038062283722</c:v>
                </c:pt>
                <c:pt idx="3">
                  <c:v>700.90795847750837</c:v>
                </c:pt>
                <c:pt idx="4">
                  <c:v>697.16470588235291</c:v>
                </c:pt>
                <c:pt idx="5">
                  <c:v>1007.3577854671282</c:v>
                </c:pt>
                <c:pt idx="6">
                  <c:v>818.31833910034618</c:v>
                </c:pt>
                <c:pt idx="7">
                  <c:v>842.67889273356388</c:v>
                </c:pt>
                <c:pt idx="8">
                  <c:v>763.56124567474001</c:v>
                </c:pt>
                <c:pt idx="9">
                  <c:v>1040.6532871972315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EDD-8CEC-AC4FBAC11126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analysis'!$H$3:$H$12</c:f>
              <c:numCache>
                <c:formatCode>0</c:formatCode>
                <c:ptCount val="10"/>
                <c:pt idx="0">
                  <c:v>1117.979266563573</c:v>
                </c:pt>
                <c:pt idx="1">
                  <c:v>1100.9633505470481</c:v>
                </c:pt>
                <c:pt idx="2">
                  <c:v>982.74047713014909</c:v>
                </c:pt>
                <c:pt idx="3">
                  <c:v>906.24398290387728</c:v>
                </c:pt>
                <c:pt idx="4">
                  <c:v>1069.5924426234312</c:v>
                </c:pt>
                <c:pt idx="5">
                  <c:v>1034.2585382610857</c:v>
                </c:pt>
                <c:pt idx="6">
                  <c:v>1149.4816767184143</c:v>
                </c:pt>
                <c:pt idx="7">
                  <c:v>1116.3338653885778</c:v>
                </c:pt>
                <c:pt idx="8">
                  <c:v>1030.2306240249595</c:v>
                </c:pt>
                <c:pt idx="9">
                  <c:v>1192.7888189768255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EDD-8CEC-AC4FBAC1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98144"/>
        <c:axId val="341397752"/>
      </c:barChart>
      <c:catAx>
        <c:axId val="3413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7752"/>
        <c:crosses val="autoZero"/>
        <c:auto val="1"/>
        <c:lblAlgn val="ctr"/>
        <c:lblOffset val="100"/>
        <c:noMultiLvlLbl val="0"/>
      </c:catAx>
      <c:valAx>
        <c:axId val="34139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814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 of daily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'Output analysis'!$T$19</c:f>
              <c:strCache>
                <c:ptCount val="1"/>
                <c:pt idx="0">
                  <c:v>Obs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'Output analysis'!$S$20:$S$51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analysis'!$T$20:$T$51</c:f>
              <c:numCache>
                <c:formatCode>General</c:formatCode>
                <c:ptCount val="32"/>
                <c:pt idx="0">
                  <c:v>351</c:v>
                </c:pt>
                <c:pt idx="1">
                  <c:v>484</c:v>
                </c:pt>
                <c:pt idx="2">
                  <c:v>176</c:v>
                </c:pt>
                <c:pt idx="3">
                  <c:v>117</c:v>
                </c:pt>
                <c:pt idx="4">
                  <c:v>73</c:v>
                </c:pt>
                <c:pt idx="5">
                  <c:v>48</c:v>
                </c:pt>
                <c:pt idx="6">
                  <c:v>32</c:v>
                </c:pt>
                <c:pt idx="7">
                  <c:v>29</c:v>
                </c:pt>
                <c:pt idx="8">
                  <c:v>29</c:v>
                </c:pt>
                <c:pt idx="9">
                  <c:v>18</c:v>
                </c:pt>
                <c:pt idx="10">
                  <c:v>22</c:v>
                </c:pt>
                <c:pt idx="11">
                  <c:v>14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9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4-4A9F-9685-307FA17CAC15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'Output analysis'!$S$20:$S$48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analysis'!$U$20:$U$48</c:f>
              <c:numCache>
                <c:formatCode>General</c:formatCode>
                <c:ptCount val="29"/>
                <c:pt idx="0">
                  <c:v>795</c:v>
                </c:pt>
                <c:pt idx="1">
                  <c:v>666</c:v>
                </c:pt>
                <c:pt idx="2">
                  <c:v>512</c:v>
                </c:pt>
                <c:pt idx="3">
                  <c:v>396</c:v>
                </c:pt>
                <c:pt idx="4">
                  <c:v>313</c:v>
                </c:pt>
                <c:pt idx="5">
                  <c:v>221</c:v>
                </c:pt>
                <c:pt idx="6">
                  <c:v>156</c:v>
                </c:pt>
                <c:pt idx="7">
                  <c:v>150</c:v>
                </c:pt>
                <c:pt idx="8">
                  <c:v>95</c:v>
                </c:pt>
                <c:pt idx="9">
                  <c:v>84</c:v>
                </c:pt>
                <c:pt idx="10">
                  <c:v>61</c:v>
                </c:pt>
                <c:pt idx="11">
                  <c:v>53</c:v>
                </c:pt>
                <c:pt idx="12">
                  <c:v>36</c:v>
                </c:pt>
                <c:pt idx="13">
                  <c:v>29</c:v>
                </c:pt>
                <c:pt idx="14">
                  <c:v>19</c:v>
                </c:pt>
                <c:pt idx="15">
                  <c:v>12</c:v>
                </c:pt>
                <c:pt idx="16">
                  <c:v>16</c:v>
                </c:pt>
                <c:pt idx="17">
                  <c:v>8</c:v>
                </c:pt>
                <c:pt idx="18">
                  <c:v>8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7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4-4A9F-9685-307FA17C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30896"/>
        <c:axId val="347270592"/>
      </c:scatterChart>
      <c:valAx>
        <c:axId val="223730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0592"/>
        <c:crosses val="autoZero"/>
        <c:crossBetween val="midCat"/>
      </c:valAx>
      <c:valAx>
        <c:axId val="347270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3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180975</xdr:rowOff>
    </xdr:from>
    <xdr:to>
      <xdr:col>10</xdr:col>
      <xdr:colOff>209549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18</xdr:row>
      <xdr:rowOff>152400</xdr:rowOff>
    </xdr:from>
    <xdr:to>
      <xdr:col>17</xdr:col>
      <xdr:colOff>428625</xdr:colOff>
      <xdr:row>25</xdr:row>
      <xdr:rowOff>47625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1953" t="60840" r="63359" b="26563"/>
        <a:stretch>
          <a:fillRect/>
        </a:stretch>
      </xdr:blipFill>
      <xdr:spPr bwMode="auto">
        <a:xfrm>
          <a:off x="8867775" y="4095750"/>
          <a:ext cx="30099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26</xdr:row>
      <xdr:rowOff>180975</xdr:rowOff>
    </xdr:from>
    <xdr:to>
      <xdr:col>16</xdr:col>
      <xdr:colOff>771525</xdr:colOff>
      <xdr:row>29</xdr:row>
      <xdr:rowOff>19050</xdr:rowOff>
    </xdr:to>
    <xdr:pic>
      <xdr:nvPicPr>
        <xdr:cNvPr id="2049" name="Picture 1" descr="F^{-1}(p;\lambda) = \frac{-\ln(1-p)}{\lambda}, \!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53525" y="577215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28576</xdr:colOff>
      <xdr:row>24</xdr:row>
      <xdr:rowOff>85725</xdr:rowOff>
    </xdr:from>
    <xdr:to>
      <xdr:col>10</xdr:col>
      <xdr:colOff>219076</xdr:colOff>
      <xdr:row>38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13</xdr:row>
      <xdr:rowOff>161925</xdr:rowOff>
    </xdr:from>
    <xdr:to>
      <xdr:col>7</xdr:col>
      <xdr:colOff>47625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0</xdr:row>
      <xdr:rowOff>161925</xdr:rowOff>
    </xdr:from>
    <xdr:to>
      <xdr:col>12</xdr:col>
      <xdr:colOff>561975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366711</xdr:colOff>
      <xdr:row>15</xdr:row>
      <xdr:rowOff>9525</xdr:rowOff>
    </xdr:from>
    <xdr:to>
      <xdr:col>12</xdr:col>
      <xdr:colOff>638175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gk" refreshedDate="42682.600670717591" createdVersion="5" refreshedVersion="5" minRefreshableVersion="3" recordCount="3653" xr:uid="{00000000-000A-0000-FFFF-FFFF00000000}">
  <cacheSource type="worksheet">
    <worksheetSource ref="B1:E1458" sheet="Calc transition matrix"/>
  </cacheSource>
  <cacheFields count="4">
    <cacheField name="Month cumul" numFmtId="1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Month" numFmtId="1">
      <sharedItems containsSemiMixedTypes="0" containsString="0" containsNumber="1" containsInteger="1" minValue="1" maxValue="12"/>
    </cacheField>
    <cacheField name="Year" numFmtId="1">
      <sharedItems containsSemiMixedTypes="0" containsString="0" containsNumber="1" containsInteger="1" minValue="2003" maxValue="2012"/>
    </cacheField>
    <cacheField name="Obs rainfall (mm) " numFmtId="164">
      <sharedItems containsSemiMixedTypes="0" containsString="0" containsNumber="1" minValue="0" maxValue="79.879584775086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1"/>
    <n v="2003"/>
    <n v="12.408304498269894"/>
  </r>
  <r>
    <x v="0"/>
    <n v="1"/>
    <n v="2003"/>
    <n v="9.9294117647058826"/>
  </r>
  <r>
    <x v="0"/>
    <n v="1"/>
    <n v="2003"/>
    <n v="1.0567474048442906"/>
  </r>
  <r>
    <x v="0"/>
    <n v="1"/>
    <n v="2003"/>
    <n v="0.29688581314878892"/>
  </r>
  <r>
    <x v="0"/>
    <n v="1"/>
    <n v="2003"/>
    <n v="1.6380622837370242"/>
  </r>
  <r>
    <x v="0"/>
    <n v="1"/>
    <n v="2003"/>
    <n v="0"/>
  </r>
  <r>
    <x v="0"/>
    <n v="1"/>
    <n v="2003"/>
    <n v="0"/>
  </r>
  <r>
    <x v="0"/>
    <n v="1"/>
    <n v="2003"/>
    <n v="7.7294117647058815"/>
  </r>
  <r>
    <x v="0"/>
    <n v="1"/>
    <n v="2003"/>
    <n v="9.9564013840830441"/>
  </r>
  <r>
    <x v="0"/>
    <n v="1"/>
    <n v="2003"/>
    <n v="0.53979238754325265"/>
  </r>
  <r>
    <x v="0"/>
    <n v="1"/>
    <n v="2003"/>
    <n v="0"/>
  </r>
  <r>
    <x v="0"/>
    <n v="1"/>
    <n v="2003"/>
    <n v="0.66782006920415227"/>
  </r>
  <r>
    <x v="0"/>
    <n v="1"/>
    <n v="2003"/>
    <n v="0"/>
  </r>
  <r>
    <x v="0"/>
    <n v="1"/>
    <n v="2003"/>
    <n v="1.0269896193771628"/>
  </r>
  <r>
    <x v="0"/>
    <n v="1"/>
    <n v="2003"/>
    <n v="10.494809688581313"/>
  </r>
  <r>
    <x v="0"/>
    <n v="1"/>
    <n v="2003"/>
    <n v="0"/>
  </r>
  <r>
    <x v="0"/>
    <n v="1"/>
    <n v="2003"/>
    <n v="2.2802768166089962"/>
  </r>
  <r>
    <x v="0"/>
    <n v="1"/>
    <n v="2003"/>
    <n v="1.8878892733564014"/>
  </r>
  <r>
    <x v="0"/>
    <n v="1"/>
    <n v="2003"/>
    <n v="3.8318339100346019"/>
  </r>
  <r>
    <x v="0"/>
    <n v="1"/>
    <n v="2003"/>
    <n v="6.3564013840830444"/>
  </r>
  <r>
    <x v="0"/>
    <n v="1"/>
    <n v="2003"/>
    <n v="8.5806228373702425"/>
  </r>
  <r>
    <x v="0"/>
    <n v="1"/>
    <n v="2003"/>
    <n v="11.397923875432525"/>
  </r>
  <r>
    <x v="0"/>
    <n v="1"/>
    <n v="2003"/>
    <n v="0.44705882352941179"/>
  </r>
  <r>
    <x v="0"/>
    <n v="1"/>
    <n v="2003"/>
    <n v="0"/>
  </r>
  <r>
    <x v="0"/>
    <n v="1"/>
    <n v="2003"/>
    <n v="2.3577854671280272"/>
  </r>
  <r>
    <x v="0"/>
    <n v="1"/>
    <n v="2003"/>
    <n v="1.7349480968858133"/>
  </r>
  <r>
    <x v="0"/>
    <n v="1"/>
    <n v="2003"/>
    <n v="2.1785467128027682"/>
  </r>
  <r>
    <x v="0"/>
    <n v="1"/>
    <n v="2003"/>
    <n v="4.37923875432526"/>
  </r>
  <r>
    <x v="0"/>
    <n v="1"/>
    <n v="2003"/>
    <n v="0"/>
  </r>
  <r>
    <x v="0"/>
    <n v="1"/>
    <n v="2003"/>
    <n v="0"/>
  </r>
  <r>
    <x v="0"/>
    <n v="1"/>
    <n v="2003"/>
    <n v="0.34809688581314879"/>
  </r>
  <r>
    <x v="1"/>
    <n v="2"/>
    <n v="2003"/>
    <n v="2.142560553633218"/>
  </r>
  <r>
    <x v="1"/>
    <n v="2"/>
    <n v="2003"/>
    <n v="6.5965397923875431"/>
  </r>
  <r>
    <x v="1"/>
    <n v="2"/>
    <n v="2003"/>
    <n v="0.61522491349480957"/>
  </r>
  <r>
    <x v="1"/>
    <n v="2"/>
    <n v="2003"/>
    <n v="0.22006920415224912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.69204152249134954"/>
  </r>
  <r>
    <x v="1"/>
    <n v="2"/>
    <n v="2003"/>
    <n v="4.9612456747404838"/>
  </r>
  <r>
    <x v="1"/>
    <n v="2"/>
    <n v="2003"/>
    <n v="3.6975778546712803"/>
  </r>
  <r>
    <x v="1"/>
    <n v="2"/>
    <n v="2003"/>
    <n v="0.41591695501730108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2.7391003460207615"/>
  </r>
  <r>
    <x v="2"/>
    <n v="3"/>
    <n v="2003"/>
    <n v="8.6505190311418687"/>
  </r>
  <r>
    <x v="2"/>
    <n v="3"/>
    <n v="2003"/>
    <n v="0"/>
  </r>
  <r>
    <x v="2"/>
    <n v="3"/>
    <n v="2003"/>
    <n v="0"/>
  </r>
  <r>
    <x v="2"/>
    <n v="3"/>
    <n v="2003"/>
    <n v="2.7570934256055364"/>
  </r>
  <r>
    <x v="2"/>
    <n v="3"/>
    <n v="2003"/>
    <n v="0.44982698961937717"/>
  </r>
  <r>
    <x v="2"/>
    <n v="3"/>
    <n v="2003"/>
    <n v="0"/>
  </r>
  <r>
    <x v="2"/>
    <n v="3"/>
    <n v="2003"/>
    <n v="2.6975778546712803"/>
  </r>
  <r>
    <x v="2"/>
    <n v="3"/>
    <n v="2003"/>
    <n v="0.93702422145328712"/>
  </r>
  <r>
    <x v="2"/>
    <n v="3"/>
    <n v="2003"/>
    <n v="0"/>
  </r>
  <r>
    <x v="2"/>
    <n v="3"/>
    <n v="2003"/>
    <n v="3.1231833910034599"/>
  </r>
  <r>
    <x v="2"/>
    <n v="3"/>
    <n v="2003"/>
    <n v="2.4249134948096884"/>
  </r>
  <r>
    <x v="2"/>
    <n v="3"/>
    <n v="2003"/>
    <n v="2.5903114186851206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3"/>
    <n v="4"/>
    <n v="2003"/>
    <n v="4.0975778546712807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.2179930795847751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4.1134948096885813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6.2062283737024213"/>
  </r>
  <r>
    <x v="3"/>
    <n v="4"/>
    <n v="2003"/>
    <n v="0.89896193771626287"/>
  </r>
  <r>
    <x v="3"/>
    <n v="4"/>
    <n v="2003"/>
    <n v="1.6408304498269897"/>
  </r>
  <r>
    <x v="3"/>
    <n v="4"/>
    <n v="2003"/>
    <n v="7.2588235294117656"/>
  </r>
  <r>
    <x v="3"/>
    <n v="4"/>
    <n v="2003"/>
    <n v="0.85190311418685116"/>
  </r>
  <r>
    <x v="3"/>
    <n v="4"/>
    <n v="2003"/>
    <n v="6.2657439446366778"/>
  </r>
  <r>
    <x v="4"/>
    <n v="5"/>
    <n v="2003"/>
    <n v="6.8968858131487876"/>
  </r>
  <r>
    <x v="4"/>
    <n v="5"/>
    <n v="2003"/>
    <n v="6.8055363321799316"/>
  </r>
  <r>
    <x v="4"/>
    <n v="5"/>
    <n v="2003"/>
    <n v="3.7529411764705882"/>
  </r>
  <r>
    <x v="4"/>
    <n v="5"/>
    <n v="2003"/>
    <n v="0.3370242214532872"/>
  </r>
  <r>
    <x v="4"/>
    <n v="5"/>
    <n v="2003"/>
    <n v="1.2000000000000002"/>
  </r>
  <r>
    <x v="4"/>
    <n v="5"/>
    <n v="2003"/>
    <n v="0.55086505190311419"/>
  </r>
  <r>
    <x v="4"/>
    <n v="5"/>
    <n v="2003"/>
    <n v="0.31695501730103803"/>
  </r>
  <r>
    <x v="4"/>
    <n v="5"/>
    <n v="2003"/>
    <n v="0"/>
  </r>
  <r>
    <x v="4"/>
    <n v="5"/>
    <n v="2003"/>
    <n v="0.33287197231833915"/>
  </r>
  <r>
    <x v="4"/>
    <n v="5"/>
    <n v="2003"/>
    <n v="0"/>
  </r>
  <r>
    <x v="4"/>
    <n v="5"/>
    <n v="2003"/>
    <n v="0.25605536332179929"/>
  </r>
  <r>
    <x v="4"/>
    <n v="5"/>
    <n v="2003"/>
    <n v="1.8470588235294116"/>
  </r>
  <r>
    <x v="4"/>
    <n v="5"/>
    <n v="2003"/>
    <n v="0.51280276816608994"/>
  </r>
  <r>
    <x v="4"/>
    <n v="5"/>
    <n v="2003"/>
    <n v="7.7079584775086509"/>
  </r>
  <r>
    <x v="4"/>
    <n v="5"/>
    <n v="2003"/>
    <n v="0.39792387543252594"/>
  </r>
  <r>
    <x v="4"/>
    <n v="5"/>
    <n v="2003"/>
    <n v="12.409688581314876"/>
  </r>
  <r>
    <x v="4"/>
    <n v="5"/>
    <n v="2003"/>
    <n v="11.182698961937717"/>
  </r>
  <r>
    <x v="4"/>
    <n v="5"/>
    <n v="2003"/>
    <n v="1.2602076124567474"/>
  </r>
  <r>
    <x v="4"/>
    <n v="5"/>
    <n v="2003"/>
    <n v="3.1979238754325259"/>
  </r>
  <r>
    <x v="4"/>
    <n v="5"/>
    <n v="2003"/>
    <n v="2.0076124567474052"/>
  </r>
  <r>
    <x v="4"/>
    <n v="5"/>
    <n v="2003"/>
    <n v="2.2830449826989616"/>
  </r>
  <r>
    <x v="4"/>
    <n v="5"/>
    <n v="2003"/>
    <n v="0.95294117647058807"/>
  </r>
  <r>
    <x v="4"/>
    <n v="5"/>
    <n v="2003"/>
    <n v="3.5128027681660896"/>
  </r>
  <r>
    <x v="4"/>
    <n v="5"/>
    <n v="2003"/>
    <n v="1.2519031141868513"/>
  </r>
  <r>
    <x v="4"/>
    <n v="5"/>
    <n v="2003"/>
    <n v="4.9674740484429067"/>
  </r>
  <r>
    <x v="4"/>
    <n v="5"/>
    <n v="2003"/>
    <n v="0"/>
  </r>
  <r>
    <x v="4"/>
    <n v="5"/>
    <n v="2003"/>
    <n v="0.298961937716263"/>
  </r>
  <r>
    <x v="4"/>
    <n v="5"/>
    <n v="2003"/>
    <n v="0"/>
  </r>
  <r>
    <x v="4"/>
    <n v="5"/>
    <n v="2003"/>
    <n v="0.42006920415224913"/>
  </r>
  <r>
    <x v="4"/>
    <n v="5"/>
    <n v="2003"/>
    <n v="4.9681660899653979"/>
  </r>
  <r>
    <x v="4"/>
    <n v="5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1.215916955017301"/>
  </r>
  <r>
    <x v="5"/>
    <n v="6"/>
    <n v="2003"/>
    <n v="0"/>
  </r>
  <r>
    <x v="5"/>
    <n v="6"/>
    <n v="2003"/>
    <n v="21.767474048442907"/>
  </r>
  <r>
    <x v="5"/>
    <n v="6"/>
    <n v="2003"/>
    <n v="0"/>
  </r>
  <r>
    <x v="5"/>
    <n v="6"/>
    <n v="2003"/>
    <n v="1.3653979238754326"/>
  </r>
  <r>
    <x v="5"/>
    <n v="6"/>
    <n v="2003"/>
    <n v="2.8519031141868512"/>
  </r>
  <r>
    <x v="5"/>
    <n v="6"/>
    <n v="2003"/>
    <n v="0.31695501730103803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887889273356401"/>
  </r>
  <r>
    <x v="5"/>
    <n v="6"/>
    <n v="2003"/>
    <n v="0.49688581314878894"/>
  </r>
  <r>
    <x v="5"/>
    <n v="6"/>
    <n v="2003"/>
    <n v="0.51280276816608994"/>
  </r>
  <r>
    <x v="5"/>
    <n v="6"/>
    <n v="2003"/>
    <n v="0"/>
  </r>
  <r>
    <x v="5"/>
    <n v="6"/>
    <n v="2003"/>
    <n v="0.76885813148788928"/>
  </r>
  <r>
    <x v="5"/>
    <n v="6"/>
    <n v="2003"/>
    <n v="2.344636678200692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1363321799307959"/>
  </r>
  <r>
    <x v="5"/>
    <n v="6"/>
    <n v="2003"/>
    <n v="18.164013840830453"/>
  </r>
  <r>
    <x v="5"/>
    <n v="6"/>
    <n v="2003"/>
    <n v="0"/>
  </r>
  <r>
    <x v="5"/>
    <n v="6"/>
    <n v="2003"/>
    <n v="8.9681660899653988"/>
  </r>
  <r>
    <x v="6"/>
    <n v="7"/>
    <n v="2003"/>
    <n v="12.861591695501732"/>
  </r>
  <r>
    <x v="6"/>
    <n v="7"/>
    <n v="2003"/>
    <n v="0.4"/>
  </r>
  <r>
    <x v="6"/>
    <n v="7"/>
    <n v="2003"/>
    <n v="0.77993079584775082"/>
  </r>
  <r>
    <x v="6"/>
    <n v="7"/>
    <n v="2003"/>
    <n v="0"/>
  </r>
  <r>
    <x v="6"/>
    <n v="7"/>
    <n v="2003"/>
    <n v="0.43183391003460209"/>
  </r>
  <r>
    <x v="6"/>
    <n v="7"/>
    <n v="2003"/>
    <n v="0"/>
  </r>
  <r>
    <x v="6"/>
    <n v="7"/>
    <n v="2003"/>
    <n v="0"/>
  </r>
  <r>
    <x v="6"/>
    <n v="7"/>
    <n v="2003"/>
    <n v="0.53287197231833905"/>
  </r>
  <r>
    <x v="6"/>
    <n v="7"/>
    <n v="2003"/>
    <n v="0"/>
  </r>
  <r>
    <x v="6"/>
    <n v="7"/>
    <n v="2003"/>
    <n v="0.23598615916955018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1.294809688581315"/>
  </r>
  <r>
    <x v="6"/>
    <n v="7"/>
    <n v="2003"/>
    <n v="0.87404844290657424"/>
  </r>
  <r>
    <x v="6"/>
    <n v="7"/>
    <n v="2003"/>
    <n v="0.28304498269896194"/>
  </r>
  <r>
    <x v="6"/>
    <n v="7"/>
    <n v="2003"/>
    <n v="0"/>
  </r>
  <r>
    <x v="6"/>
    <n v="7"/>
    <n v="2003"/>
    <n v="1.8865051903114185"/>
  </r>
  <r>
    <x v="6"/>
    <n v="7"/>
    <n v="2003"/>
    <n v="0"/>
  </r>
  <r>
    <x v="6"/>
    <n v="7"/>
    <n v="2003"/>
    <n v="0.72595155709342551"/>
  </r>
  <r>
    <x v="6"/>
    <n v="7"/>
    <n v="2003"/>
    <n v="0.33494809688581312"/>
  </r>
  <r>
    <x v="6"/>
    <n v="7"/>
    <n v="2003"/>
    <n v="4.850519031141868"/>
  </r>
  <r>
    <x v="6"/>
    <n v="7"/>
    <n v="2003"/>
    <n v="4.6636678200692039"/>
  </r>
  <r>
    <x v="6"/>
    <n v="7"/>
    <n v="2003"/>
    <n v="0"/>
  </r>
  <r>
    <x v="6"/>
    <n v="7"/>
    <n v="2003"/>
    <n v="2.6927335640138415"/>
  </r>
  <r>
    <x v="6"/>
    <n v="7"/>
    <n v="2003"/>
    <n v="4.1889273356401384"/>
  </r>
  <r>
    <x v="6"/>
    <n v="7"/>
    <n v="2003"/>
    <n v="0.49896193771626296"/>
  </r>
  <r>
    <x v="6"/>
    <n v="7"/>
    <n v="2003"/>
    <n v="0.30103806228373703"/>
  </r>
  <r>
    <x v="7"/>
    <n v="8"/>
    <n v="2003"/>
    <n v="2.3224913494809689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39584775086505192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7619377162629759"/>
  </r>
  <r>
    <x v="7"/>
    <n v="8"/>
    <n v="2003"/>
    <n v="0"/>
  </r>
  <r>
    <x v="7"/>
    <n v="8"/>
    <n v="2003"/>
    <n v="0"/>
  </r>
  <r>
    <x v="7"/>
    <n v="8"/>
    <n v="2003"/>
    <n v="0.51487889273356413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114878892733564"/>
  </r>
  <r>
    <x v="7"/>
    <n v="8"/>
    <n v="2003"/>
    <n v="0"/>
  </r>
  <r>
    <x v="7"/>
    <n v="8"/>
    <n v="2003"/>
    <n v="0"/>
  </r>
  <r>
    <x v="7"/>
    <n v="8"/>
    <n v="2003"/>
    <n v="2.4269896193771627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58408304498269903"/>
  </r>
  <r>
    <x v="7"/>
    <n v="8"/>
    <n v="2003"/>
    <n v="1.6491349480968858"/>
  </r>
  <r>
    <x v="7"/>
    <n v="8"/>
    <n v="2003"/>
    <n v="0"/>
  </r>
  <r>
    <x v="7"/>
    <n v="8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25190311418685124"/>
  </r>
  <r>
    <x v="8"/>
    <n v="9"/>
    <n v="2003"/>
    <n v="8.7377162629757787"/>
  </r>
  <r>
    <x v="8"/>
    <n v="9"/>
    <n v="2003"/>
    <n v="0.2179930795847751"/>
  </r>
  <r>
    <x v="8"/>
    <n v="9"/>
    <n v="2003"/>
    <n v="1.607612456747405"/>
  </r>
  <r>
    <x v="8"/>
    <n v="9"/>
    <n v="2003"/>
    <n v="1.8685121107266436"/>
  </r>
  <r>
    <x v="8"/>
    <n v="9"/>
    <n v="2003"/>
    <n v="0"/>
  </r>
  <r>
    <x v="8"/>
    <n v="9"/>
    <n v="2003"/>
    <n v="0.43598615916955019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1.2719723183391003"/>
  </r>
  <r>
    <x v="8"/>
    <n v="9"/>
    <n v="2003"/>
    <n v="9.6754325259515586"/>
  </r>
  <r>
    <x v="8"/>
    <n v="9"/>
    <n v="2003"/>
    <n v="0.51695501730103799"/>
  </r>
  <r>
    <x v="8"/>
    <n v="9"/>
    <n v="2003"/>
    <n v="19.368858131487894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98200692041522486"/>
  </r>
  <r>
    <x v="8"/>
    <n v="9"/>
    <n v="2003"/>
    <n v="1.0429065743944637"/>
  </r>
  <r>
    <x v="8"/>
    <n v="9"/>
    <n v="2003"/>
    <n v="0.49204152249134947"/>
  </r>
  <r>
    <x v="8"/>
    <n v="9"/>
    <n v="2003"/>
    <n v="0.62906574394463677"/>
  </r>
  <r>
    <x v="8"/>
    <n v="9"/>
    <n v="2003"/>
    <n v="0.71903114186851225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.93287197231833918"/>
  </r>
  <r>
    <x v="9"/>
    <n v="10"/>
    <n v="2003"/>
    <n v="0.88304498269896192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4.590311418685121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1.604152249134948"/>
  </r>
  <r>
    <x v="9"/>
    <n v="10"/>
    <n v="2003"/>
    <n v="4.0449826989619382"/>
  </r>
  <r>
    <x v="9"/>
    <n v="10"/>
    <n v="2003"/>
    <n v="2.0512110726643602"/>
  </r>
  <r>
    <x v="9"/>
    <n v="10"/>
    <n v="2003"/>
    <n v="9.6179930795847746"/>
  </r>
  <r>
    <x v="9"/>
    <n v="10"/>
    <n v="2003"/>
    <n v="1.9411764705882353"/>
  </r>
  <r>
    <x v="9"/>
    <n v="10"/>
    <n v="2003"/>
    <n v="0"/>
  </r>
  <r>
    <x v="9"/>
    <n v="10"/>
    <n v="2003"/>
    <n v="2.341868512110727"/>
  </r>
  <r>
    <x v="9"/>
    <n v="10"/>
    <n v="2003"/>
    <n v="0"/>
  </r>
  <r>
    <x v="9"/>
    <n v="10"/>
    <n v="2003"/>
    <n v="0"/>
  </r>
  <r>
    <x v="9"/>
    <n v="10"/>
    <n v="2003"/>
    <n v="3.0339100346020755"/>
  </r>
  <r>
    <x v="9"/>
    <n v="10"/>
    <n v="2003"/>
    <n v="1.6650519031141868"/>
  </r>
  <r>
    <x v="9"/>
    <n v="10"/>
    <n v="2003"/>
    <n v="2.7577854671280275"/>
  </r>
  <r>
    <x v="9"/>
    <n v="10"/>
    <n v="2003"/>
    <n v="4.3882352941176466"/>
  </r>
  <r>
    <x v="10"/>
    <n v="11"/>
    <n v="2003"/>
    <n v="2.3121107266435983"/>
  </r>
  <r>
    <x v="10"/>
    <n v="11"/>
    <n v="2003"/>
    <n v="6.6394463667820069"/>
  </r>
  <r>
    <x v="10"/>
    <n v="11"/>
    <n v="2003"/>
    <n v="1.2519031141868513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.33494809688581317"/>
  </r>
  <r>
    <x v="10"/>
    <n v="11"/>
    <n v="2003"/>
    <n v="0.61730103806228376"/>
  </r>
  <r>
    <x v="10"/>
    <n v="11"/>
    <n v="2003"/>
    <n v="0"/>
  </r>
  <r>
    <x v="10"/>
    <n v="11"/>
    <n v="2003"/>
    <n v="0.58200692041522495"/>
  </r>
  <r>
    <x v="10"/>
    <n v="11"/>
    <n v="2003"/>
    <n v="7.5889273356401379"/>
  </r>
  <r>
    <x v="10"/>
    <n v="11"/>
    <n v="2003"/>
    <n v="5.4020761245674729"/>
  </r>
  <r>
    <x v="10"/>
    <n v="11"/>
    <n v="2003"/>
    <n v="0.77093425605536348"/>
  </r>
  <r>
    <x v="10"/>
    <n v="11"/>
    <n v="2003"/>
    <n v="0"/>
  </r>
  <r>
    <x v="10"/>
    <n v="11"/>
    <n v="2003"/>
    <n v="0"/>
  </r>
  <r>
    <x v="10"/>
    <n v="11"/>
    <n v="2003"/>
    <n v="0.65397923875432529"/>
  </r>
  <r>
    <x v="10"/>
    <n v="11"/>
    <n v="2003"/>
    <n v="2.1820069204152248"/>
  </r>
  <r>
    <x v="10"/>
    <n v="11"/>
    <n v="2003"/>
    <n v="2.4408304498269899"/>
  </r>
  <r>
    <x v="10"/>
    <n v="11"/>
    <n v="2003"/>
    <n v="2.7038062283737023"/>
  </r>
  <r>
    <x v="10"/>
    <n v="11"/>
    <n v="2003"/>
    <n v="0.2179930795847751"/>
  </r>
  <r>
    <x v="10"/>
    <n v="11"/>
    <n v="2003"/>
    <n v="0.21799307958477507"/>
  </r>
  <r>
    <x v="10"/>
    <n v="11"/>
    <n v="2003"/>
    <n v="0"/>
  </r>
  <r>
    <x v="10"/>
    <n v="11"/>
    <n v="2003"/>
    <n v="0"/>
  </r>
  <r>
    <x v="10"/>
    <n v="11"/>
    <n v="2003"/>
    <n v="1.8858131487889271"/>
  </r>
  <r>
    <x v="10"/>
    <n v="11"/>
    <n v="2003"/>
    <n v="1.1910034602076125"/>
  </r>
  <r>
    <x v="10"/>
    <n v="11"/>
    <n v="2003"/>
    <n v="0.93287197231833929"/>
  </r>
  <r>
    <x v="10"/>
    <n v="11"/>
    <n v="2003"/>
    <n v="1.1529411764705881"/>
  </r>
  <r>
    <x v="10"/>
    <n v="11"/>
    <n v="2003"/>
    <n v="3.0422145328719723"/>
  </r>
  <r>
    <x v="10"/>
    <n v="11"/>
    <n v="2003"/>
    <n v="0.41799307958477516"/>
  </r>
  <r>
    <x v="11"/>
    <n v="12"/>
    <n v="2003"/>
    <n v="18.821453287197233"/>
  </r>
  <r>
    <x v="11"/>
    <n v="12"/>
    <n v="2003"/>
    <n v="4.1363321799307959"/>
  </r>
  <r>
    <x v="11"/>
    <n v="12"/>
    <n v="2003"/>
    <n v="2.5010380622837367"/>
  </r>
  <r>
    <x v="11"/>
    <n v="12"/>
    <n v="2003"/>
    <n v="0"/>
  </r>
  <r>
    <x v="11"/>
    <n v="12"/>
    <n v="2003"/>
    <n v="0"/>
  </r>
  <r>
    <x v="11"/>
    <n v="12"/>
    <n v="2003"/>
    <n v="0.65397923875432551"/>
  </r>
  <r>
    <x v="11"/>
    <n v="12"/>
    <n v="2003"/>
    <n v="0"/>
  </r>
  <r>
    <x v="11"/>
    <n v="12"/>
    <n v="2003"/>
    <n v="0"/>
  </r>
  <r>
    <x v="11"/>
    <n v="12"/>
    <n v="2003"/>
    <n v="0.20207612456747404"/>
  </r>
  <r>
    <x v="11"/>
    <n v="12"/>
    <n v="2003"/>
    <n v="0"/>
  </r>
  <r>
    <x v="11"/>
    <n v="12"/>
    <n v="2003"/>
    <n v="5.5176470588235293"/>
  </r>
  <r>
    <x v="11"/>
    <n v="12"/>
    <n v="2003"/>
    <n v="1.4719723183391005"/>
  </r>
  <r>
    <x v="11"/>
    <n v="12"/>
    <n v="2003"/>
    <n v="1.5508650519031142"/>
  </r>
  <r>
    <x v="11"/>
    <n v="12"/>
    <n v="2003"/>
    <n v="0"/>
  </r>
  <r>
    <x v="11"/>
    <n v="12"/>
    <n v="2003"/>
    <n v="0"/>
  </r>
  <r>
    <x v="11"/>
    <n v="12"/>
    <n v="2003"/>
    <n v="0.63321799307958471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25.065743944636679"/>
  </r>
  <r>
    <x v="11"/>
    <n v="12"/>
    <n v="2003"/>
    <n v="10.341868512110723"/>
  </r>
  <r>
    <x v="11"/>
    <n v="12"/>
    <n v="2003"/>
    <n v="0.72318339100346019"/>
  </r>
  <r>
    <x v="11"/>
    <n v="12"/>
    <n v="2003"/>
    <n v="3.6948096885813149"/>
  </r>
  <r>
    <x v="11"/>
    <n v="12"/>
    <n v="2003"/>
    <n v="0"/>
  </r>
  <r>
    <x v="11"/>
    <n v="12"/>
    <n v="2003"/>
    <n v="0.51903114186851207"/>
  </r>
  <r>
    <x v="11"/>
    <n v="12"/>
    <n v="2003"/>
    <n v="4.2249134948096883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.79169550173010383"/>
  </r>
  <r>
    <x v="12"/>
    <n v="1"/>
    <n v="2004"/>
    <n v="8.5280276816608982"/>
  </r>
  <r>
    <x v="12"/>
    <n v="1"/>
    <n v="2004"/>
    <n v="0"/>
  </r>
  <r>
    <x v="12"/>
    <n v="1"/>
    <n v="2004"/>
    <n v="1.1259515570934258"/>
  </r>
  <r>
    <x v="12"/>
    <n v="1"/>
    <n v="2004"/>
    <n v="1.9397923875432528"/>
  </r>
  <r>
    <x v="12"/>
    <n v="1"/>
    <n v="2004"/>
    <n v="1.7550173010380625"/>
  </r>
  <r>
    <x v="12"/>
    <n v="1"/>
    <n v="2004"/>
    <n v="1.8020761245674739"/>
  </r>
  <r>
    <x v="12"/>
    <n v="1"/>
    <n v="2004"/>
    <n v="0"/>
  </r>
  <r>
    <x v="12"/>
    <n v="1"/>
    <n v="2004"/>
    <n v="3.7051903114186855"/>
  </r>
  <r>
    <x v="12"/>
    <n v="1"/>
    <n v="2004"/>
    <n v="1.2"/>
  </r>
  <r>
    <x v="12"/>
    <n v="1"/>
    <n v="2004"/>
    <n v="0"/>
  </r>
  <r>
    <x v="12"/>
    <n v="1"/>
    <n v="2004"/>
    <n v="9.006228373702422"/>
  </r>
  <r>
    <x v="12"/>
    <n v="1"/>
    <n v="2004"/>
    <n v="0"/>
  </r>
  <r>
    <x v="12"/>
    <n v="1"/>
    <n v="2004"/>
    <n v="4.7660899653979234"/>
  </r>
  <r>
    <x v="12"/>
    <n v="1"/>
    <n v="2004"/>
    <n v="0"/>
  </r>
  <r>
    <x v="12"/>
    <n v="1"/>
    <n v="2004"/>
    <n v="5.428373702422145"/>
  </r>
  <r>
    <x v="12"/>
    <n v="1"/>
    <n v="2004"/>
    <n v="9.7107266435986155"/>
  </r>
  <r>
    <x v="12"/>
    <n v="1"/>
    <n v="2004"/>
    <n v="4.6269896193771629"/>
  </r>
  <r>
    <x v="12"/>
    <n v="1"/>
    <n v="2004"/>
    <n v="4.5474048442906572"/>
  </r>
  <r>
    <x v="12"/>
    <n v="1"/>
    <n v="2004"/>
    <n v="2.5176470588235293"/>
  </r>
  <r>
    <x v="12"/>
    <n v="1"/>
    <n v="2004"/>
    <n v="4.3335640138408307"/>
  </r>
  <r>
    <x v="12"/>
    <n v="1"/>
    <n v="2004"/>
    <n v="0"/>
  </r>
  <r>
    <x v="12"/>
    <n v="1"/>
    <n v="2004"/>
    <n v="0"/>
  </r>
  <r>
    <x v="12"/>
    <n v="1"/>
    <n v="2004"/>
    <n v="2.0491349480968859"/>
  </r>
  <r>
    <x v="12"/>
    <n v="1"/>
    <n v="2004"/>
    <n v="0.23391003460207616"/>
  </r>
  <r>
    <x v="12"/>
    <n v="1"/>
    <n v="2004"/>
    <n v="0"/>
  </r>
  <r>
    <x v="12"/>
    <n v="1"/>
    <n v="2004"/>
    <n v="3.5591695501730101"/>
  </r>
  <r>
    <x v="12"/>
    <n v="1"/>
    <n v="2004"/>
    <n v="0.36608996539792393"/>
  </r>
  <r>
    <x v="12"/>
    <n v="1"/>
    <n v="2004"/>
    <n v="0"/>
  </r>
  <r>
    <x v="12"/>
    <n v="1"/>
    <n v="2004"/>
    <n v="2.9522491349480968"/>
  </r>
  <r>
    <x v="12"/>
    <n v="1"/>
    <n v="2004"/>
    <n v="5.8484429065743946"/>
  </r>
  <r>
    <x v="12"/>
    <n v="1"/>
    <n v="2004"/>
    <n v="35.755709342560557"/>
  </r>
  <r>
    <x v="13"/>
    <n v="2"/>
    <n v="2004"/>
    <n v="12.725259515570935"/>
  </r>
  <r>
    <x v="13"/>
    <n v="2"/>
    <n v="2004"/>
    <n v="0.68996539792387557"/>
  </r>
  <r>
    <x v="13"/>
    <n v="2"/>
    <n v="2004"/>
    <n v="4.6581314878892739"/>
  </r>
  <r>
    <x v="13"/>
    <n v="2"/>
    <n v="2004"/>
    <n v="1.8269896193771626"/>
  </r>
  <r>
    <x v="13"/>
    <n v="2"/>
    <n v="2004"/>
    <n v="2.4705882352941178"/>
  </r>
  <r>
    <x v="13"/>
    <n v="2"/>
    <n v="2004"/>
    <n v="0.52110726643598615"/>
  </r>
  <r>
    <x v="13"/>
    <n v="2"/>
    <n v="2004"/>
    <n v="1.0823529411764705"/>
  </r>
  <r>
    <x v="13"/>
    <n v="2"/>
    <n v="2004"/>
    <n v="1.7522491349480971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1.4249134948096889"/>
  </r>
  <r>
    <x v="13"/>
    <n v="2"/>
    <n v="2004"/>
    <n v="0.2179930795847751"/>
  </r>
  <r>
    <x v="13"/>
    <n v="2"/>
    <n v="2004"/>
    <n v="0"/>
  </r>
  <r>
    <x v="13"/>
    <n v="2"/>
    <n v="2004"/>
    <n v="0.88788927335640144"/>
  </r>
  <r>
    <x v="13"/>
    <n v="2"/>
    <n v="2004"/>
    <n v="2.6089965397923875"/>
  </r>
  <r>
    <x v="13"/>
    <n v="2"/>
    <n v="2004"/>
    <n v="0"/>
  </r>
  <r>
    <x v="13"/>
    <n v="2"/>
    <n v="2004"/>
    <n v="0.40415224913494807"/>
  </r>
  <r>
    <x v="13"/>
    <n v="2"/>
    <n v="2004"/>
    <n v="0.23598615916955018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4.4290657439446361"/>
  </r>
  <r>
    <x v="13"/>
    <n v="2"/>
    <n v="2004"/>
    <n v="0"/>
  </r>
  <r>
    <x v="13"/>
    <n v="2"/>
    <n v="2004"/>
    <n v="0"/>
  </r>
  <r>
    <x v="13"/>
    <n v="2"/>
    <n v="2004"/>
    <n v="4.372318339100346"/>
  </r>
  <r>
    <x v="13"/>
    <n v="2"/>
    <n v="2004"/>
    <n v="5.1328719723183394"/>
  </r>
  <r>
    <x v="13"/>
    <n v="2"/>
    <n v="2004"/>
    <n v="7.2221453287197219"/>
  </r>
  <r>
    <x v="14"/>
    <n v="3"/>
    <n v="2004"/>
    <n v="2.9910034602076125"/>
  </r>
  <r>
    <x v="14"/>
    <n v="3"/>
    <n v="2004"/>
    <n v="0"/>
  </r>
  <r>
    <x v="14"/>
    <n v="3"/>
    <n v="2004"/>
    <n v="4.1577854671280283"/>
  </r>
  <r>
    <x v="14"/>
    <n v="3"/>
    <n v="2004"/>
    <n v="0"/>
  </r>
  <r>
    <x v="14"/>
    <n v="3"/>
    <n v="2004"/>
    <n v="6.5093425605536321"/>
  </r>
  <r>
    <x v="14"/>
    <n v="3"/>
    <n v="2004"/>
    <n v="1.1522491349480968"/>
  </r>
  <r>
    <x v="14"/>
    <n v="3"/>
    <n v="2004"/>
    <n v="2.5882352941176472"/>
  </r>
  <r>
    <x v="14"/>
    <n v="3"/>
    <n v="2004"/>
    <n v="0"/>
  </r>
  <r>
    <x v="14"/>
    <n v="3"/>
    <n v="2004"/>
    <n v="0"/>
  </r>
  <r>
    <x v="14"/>
    <n v="3"/>
    <n v="2004"/>
    <n v="0.50103806228373693"/>
  </r>
  <r>
    <x v="14"/>
    <n v="3"/>
    <n v="2004"/>
    <n v="1.3391003460207613"/>
  </r>
  <r>
    <x v="14"/>
    <n v="3"/>
    <n v="2004"/>
    <n v="0"/>
  </r>
  <r>
    <x v="14"/>
    <n v="3"/>
    <n v="2004"/>
    <n v="0"/>
  </r>
  <r>
    <x v="14"/>
    <n v="3"/>
    <n v="2004"/>
    <n v="3.6692041522491348"/>
  </r>
  <r>
    <x v="14"/>
    <n v="3"/>
    <n v="2004"/>
    <n v="0.73702422145328716"/>
  </r>
  <r>
    <x v="14"/>
    <n v="3"/>
    <n v="2004"/>
    <n v="0"/>
  </r>
  <r>
    <x v="14"/>
    <n v="3"/>
    <n v="2004"/>
    <n v="0"/>
  </r>
  <r>
    <x v="14"/>
    <n v="3"/>
    <n v="2004"/>
    <n v="1.6442906574394462"/>
  </r>
  <r>
    <x v="14"/>
    <n v="3"/>
    <n v="2004"/>
    <n v="7.478892733564015"/>
  </r>
  <r>
    <x v="14"/>
    <n v="3"/>
    <n v="2004"/>
    <n v="17.36678200692041"/>
  </r>
  <r>
    <x v="14"/>
    <n v="3"/>
    <n v="2004"/>
    <n v="0.827681660899654"/>
  </r>
  <r>
    <x v="14"/>
    <n v="3"/>
    <n v="2004"/>
    <n v="2.4685121107266434"/>
  </r>
  <r>
    <x v="14"/>
    <n v="3"/>
    <n v="2004"/>
    <n v="0.99100346020761232"/>
  </r>
  <r>
    <x v="14"/>
    <n v="3"/>
    <n v="2004"/>
    <n v="1.2982698961937715"/>
  </r>
  <r>
    <x v="14"/>
    <n v="3"/>
    <n v="2004"/>
    <n v="3.1882352941176477"/>
  </r>
  <r>
    <x v="14"/>
    <n v="3"/>
    <n v="2004"/>
    <n v="0.47197231833910036"/>
  </r>
  <r>
    <x v="14"/>
    <n v="3"/>
    <n v="2004"/>
    <n v="0"/>
  </r>
  <r>
    <x v="14"/>
    <n v="3"/>
    <n v="2004"/>
    <n v="0.61799307958477501"/>
  </r>
  <r>
    <x v="14"/>
    <n v="3"/>
    <n v="2004"/>
    <n v="0"/>
  </r>
  <r>
    <x v="14"/>
    <n v="3"/>
    <n v="2004"/>
    <n v="0"/>
  </r>
  <r>
    <x v="14"/>
    <n v="3"/>
    <n v="2004"/>
    <n v="0"/>
  </r>
  <r>
    <x v="15"/>
    <n v="4"/>
    <n v="2004"/>
    <n v="1.7169550173010379"/>
  </r>
  <r>
    <x v="15"/>
    <n v="4"/>
    <n v="2004"/>
    <n v="6.2948096885813145"/>
  </r>
  <r>
    <x v="15"/>
    <n v="4"/>
    <n v="2004"/>
    <n v="0.9730103806228374"/>
  </r>
  <r>
    <x v="15"/>
    <n v="4"/>
    <n v="2004"/>
    <n v="0.53494809688581313"/>
  </r>
  <r>
    <x v="15"/>
    <n v="4"/>
    <n v="2004"/>
    <n v="4.1619377162629752"/>
  </r>
  <r>
    <x v="15"/>
    <n v="4"/>
    <n v="2004"/>
    <n v="2.4297577854671282"/>
  </r>
  <r>
    <x v="15"/>
    <n v="4"/>
    <n v="2004"/>
    <n v="0.61799307958477501"/>
  </r>
  <r>
    <x v="15"/>
    <n v="4"/>
    <n v="2004"/>
    <n v="0"/>
  </r>
  <r>
    <x v="15"/>
    <n v="4"/>
    <n v="2004"/>
    <n v="1.1162629757785469"/>
  </r>
  <r>
    <x v="15"/>
    <n v="4"/>
    <n v="2004"/>
    <n v="0.25190311418685124"/>
  </r>
  <r>
    <x v="15"/>
    <n v="4"/>
    <n v="2004"/>
    <n v="0.34809688581314879"/>
  </r>
  <r>
    <x v="15"/>
    <n v="4"/>
    <n v="2004"/>
    <n v="0.33287197231833915"/>
  </r>
  <r>
    <x v="15"/>
    <n v="4"/>
    <n v="2004"/>
    <n v="0"/>
  </r>
  <r>
    <x v="15"/>
    <n v="4"/>
    <n v="2004"/>
    <n v="0"/>
  </r>
  <r>
    <x v="15"/>
    <n v="4"/>
    <n v="2004"/>
    <n v="0.51903114186851218"/>
  </r>
  <r>
    <x v="15"/>
    <n v="4"/>
    <n v="2004"/>
    <n v="0.23391003460207616"/>
  </r>
  <r>
    <x v="15"/>
    <n v="4"/>
    <n v="2004"/>
    <n v="0.76401384083044988"/>
  </r>
  <r>
    <x v="15"/>
    <n v="4"/>
    <n v="2004"/>
    <n v="15.828373702422146"/>
  </r>
  <r>
    <x v="15"/>
    <n v="4"/>
    <n v="2004"/>
    <n v="8.7584775086505182"/>
  </r>
  <r>
    <x v="15"/>
    <n v="4"/>
    <n v="2004"/>
    <n v="0.68788927335640149"/>
  </r>
  <r>
    <x v="15"/>
    <n v="4"/>
    <n v="2004"/>
    <n v="1.9134948096885815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2.9231833910034601"/>
  </r>
  <r>
    <x v="15"/>
    <n v="4"/>
    <n v="2004"/>
    <n v="0.63598615916955015"/>
  </r>
  <r>
    <x v="15"/>
    <n v="4"/>
    <n v="2004"/>
    <n v="2.1411764705882352"/>
  </r>
  <r>
    <x v="15"/>
    <n v="4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9.9771626297577853"/>
  </r>
  <r>
    <x v="16"/>
    <n v="5"/>
    <n v="2004"/>
    <n v="0.76539792387543248"/>
  </r>
  <r>
    <x v="16"/>
    <n v="5"/>
    <n v="2004"/>
    <n v="0.90173010380622842"/>
  </r>
  <r>
    <x v="16"/>
    <n v="5"/>
    <n v="2004"/>
    <n v="1.8519031141868512"/>
  </r>
  <r>
    <x v="16"/>
    <n v="5"/>
    <n v="2004"/>
    <n v="1.3501730103806229"/>
  </r>
  <r>
    <x v="16"/>
    <n v="5"/>
    <n v="2004"/>
    <n v="0.48304498269896196"/>
  </r>
  <r>
    <x v="16"/>
    <n v="5"/>
    <n v="2004"/>
    <n v="0"/>
  </r>
  <r>
    <x v="16"/>
    <n v="5"/>
    <n v="2004"/>
    <n v="0.28304498269896194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3.1128027681660897"/>
  </r>
  <r>
    <x v="16"/>
    <n v="5"/>
    <n v="2004"/>
    <n v="1.6152249134948096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.21591695501730107"/>
  </r>
  <r>
    <x v="16"/>
    <n v="5"/>
    <n v="2004"/>
    <n v="3.8207612456747406"/>
  </r>
  <r>
    <x v="16"/>
    <n v="5"/>
    <n v="2004"/>
    <n v="1.172318339100346"/>
  </r>
  <r>
    <x v="16"/>
    <n v="5"/>
    <n v="2004"/>
    <n v="0"/>
  </r>
  <r>
    <x v="17"/>
    <n v="6"/>
    <n v="2004"/>
    <n v="9.8844290657439462"/>
  </r>
  <r>
    <x v="17"/>
    <n v="6"/>
    <n v="2004"/>
    <n v="0"/>
  </r>
  <r>
    <x v="17"/>
    <n v="6"/>
    <n v="2004"/>
    <n v="6.236678200692042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.3370242214532872"/>
  </r>
  <r>
    <x v="17"/>
    <n v="6"/>
    <n v="2004"/>
    <n v="1.1806228373702423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1.1307958477508651"/>
  </r>
  <r>
    <x v="17"/>
    <n v="6"/>
    <n v="2004"/>
    <n v="9.2103806228373681"/>
  </r>
  <r>
    <x v="17"/>
    <n v="6"/>
    <n v="2004"/>
    <n v="2.9321799307958476"/>
  </r>
  <r>
    <x v="17"/>
    <n v="6"/>
    <n v="2004"/>
    <n v="7.91833910034602"/>
  </r>
  <r>
    <x v="17"/>
    <n v="6"/>
    <n v="2004"/>
    <n v="7.2858131487889288"/>
  </r>
  <r>
    <x v="17"/>
    <n v="6"/>
    <n v="2004"/>
    <n v="0"/>
  </r>
  <r>
    <x v="17"/>
    <n v="6"/>
    <n v="2004"/>
    <n v="33.125259515570939"/>
  </r>
  <r>
    <x v="17"/>
    <n v="6"/>
    <n v="2004"/>
    <n v="21.000692041522495"/>
  </r>
  <r>
    <x v="17"/>
    <n v="6"/>
    <n v="2004"/>
    <n v="0"/>
  </r>
  <r>
    <x v="17"/>
    <n v="6"/>
    <n v="2004"/>
    <n v="6.429065743944637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5.7660899653979234"/>
  </r>
  <r>
    <x v="18"/>
    <n v="7"/>
    <n v="2004"/>
    <n v="0.28512110726643597"/>
  </r>
  <r>
    <x v="18"/>
    <n v="7"/>
    <n v="2004"/>
    <n v="1.1363321799307959"/>
  </r>
  <r>
    <x v="18"/>
    <n v="7"/>
    <n v="2004"/>
    <n v="16.079584775086506"/>
  </r>
  <r>
    <x v="18"/>
    <n v="7"/>
    <n v="2004"/>
    <n v="15.036678200692041"/>
  </r>
  <r>
    <x v="18"/>
    <n v="7"/>
    <n v="2004"/>
    <n v="4.1910034602076118"/>
  </r>
  <r>
    <x v="18"/>
    <n v="7"/>
    <n v="2004"/>
    <n v="0.31695501730103803"/>
  </r>
  <r>
    <x v="18"/>
    <n v="7"/>
    <n v="2004"/>
    <n v="0"/>
  </r>
  <r>
    <x v="18"/>
    <n v="7"/>
    <n v="2004"/>
    <n v="2.3176470588235296"/>
  </r>
  <r>
    <x v="18"/>
    <n v="7"/>
    <n v="2004"/>
    <n v="0.51903114186851218"/>
  </r>
  <r>
    <x v="18"/>
    <n v="7"/>
    <n v="2004"/>
    <n v="0.81799307958477518"/>
  </r>
  <r>
    <x v="18"/>
    <n v="7"/>
    <n v="2004"/>
    <n v="0.83667820069204168"/>
  </r>
  <r>
    <x v="18"/>
    <n v="7"/>
    <n v="2004"/>
    <n v="0.68373702422145333"/>
  </r>
  <r>
    <x v="18"/>
    <n v="7"/>
    <n v="2004"/>
    <n v="0"/>
  </r>
  <r>
    <x v="18"/>
    <n v="7"/>
    <n v="2004"/>
    <n v="0.71072664359861593"/>
  </r>
  <r>
    <x v="18"/>
    <n v="7"/>
    <n v="2004"/>
    <n v="0"/>
  </r>
  <r>
    <x v="18"/>
    <n v="7"/>
    <n v="2004"/>
    <n v="0"/>
  </r>
  <r>
    <x v="18"/>
    <n v="7"/>
    <n v="2004"/>
    <n v="3.8955017301038057"/>
  </r>
  <r>
    <x v="18"/>
    <n v="7"/>
    <n v="2004"/>
    <n v="1.4117647058823528"/>
  </r>
  <r>
    <x v="18"/>
    <n v="7"/>
    <n v="2004"/>
    <n v="0"/>
  </r>
  <r>
    <x v="18"/>
    <n v="7"/>
    <n v="2004"/>
    <n v="3.9757785467128026"/>
  </r>
  <r>
    <x v="18"/>
    <n v="7"/>
    <n v="2004"/>
    <n v="1.5951557093425606"/>
  </r>
  <r>
    <x v="18"/>
    <n v="7"/>
    <n v="2004"/>
    <n v="2.5100346020761246"/>
  </r>
  <r>
    <x v="18"/>
    <n v="7"/>
    <n v="2004"/>
    <n v="0.23391003460207616"/>
  </r>
  <r>
    <x v="18"/>
    <n v="7"/>
    <n v="2004"/>
    <n v="0"/>
  </r>
  <r>
    <x v="18"/>
    <n v="7"/>
    <n v="2004"/>
    <n v="3.049826989619377"/>
  </r>
  <r>
    <x v="18"/>
    <n v="7"/>
    <n v="2004"/>
    <n v="0"/>
  </r>
  <r>
    <x v="18"/>
    <n v="7"/>
    <n v="2004"/>
    <n v="0"/>
  </r>
  <r>
    <x v="18"/>
    <n v="7"/>
    <n v="2004"/>
    <n v="0"/>
  </r>
  <r>
    <x v="18"/>
    <n v="7"/>
    <n v="2004"/>
    <n v="9.4823529411764707"/>
  </r>
  <r>
    <x v="18"/>
    <n v="7"/>
    <n v="2004"/>
    <n v="2.8643598615916956"/>
  </r>
  <r>
    <x v="18"/>
    <n v="7"/>
    <n v="2004"/>
    <n v="0.35294117647058826"/>
  </r>
  <r>
    <x v="19"/>
    <n v="8"/>
    <n v="2004"/>
    <n v="0"/>
  </r>
  <r>
    <x v="19"/>
    <n v="8"/>
    <n v="2004"/>
    <n v="0"/>
  </r>
  <r>
    <x v="19"/>
    <n v="8"/>
    <n v="2004"/>
    <n v="9.647058823529413"/>
  </r>
  <r>
    <x v="19"/>
    <n v="8"/>
    <n v="2004"/>
    <n v="4.3245674740484432"/>
  </r>
  <r>
    <x v="19"/>
    <n v="8"/>
    <n v="2004"/>
    <n v="0"/>
  </r>
  <r>
    <x v="19"/>
    <n v="8"/>
    <n v="2004"/>
    <n v="2.5370242214532874"/>
  </r>
  <r>
    <x v="19"/>
    <n v="8"/>
    <n v="2004"/>
    <n v="0"/>
  </r>
  <r>
    <x v="19"/>
    <n v="8"/>
    <n v="2004"/>
    <n v="0"/>
  </r>
  <r>
    <x v="19"/>
    <n v="8"/>
    <n v="2004"/>
    <n v="35.968166089965401"/>
  </r>
  <r>
    <x v="19"/>
    <n v="8"/>
    <n v="2004"/>
    <n v="27.140484429065754"/>
  </r>
  <r>
    <x v="19"/>
    <n v="8"/>
    <n v="2004"/>
    <n v="1.3688581314878894"/>
  </r>
  <r>
    <x v="19"/>
    <n v="8"/>
    <n v="2004"/>
    <n v="29.172318339100343"/>
  </r>
  <r>
    <x v="19"/>
    <n v="8"/>
    <n v="2004"/>
    <n v="6.1404844290657437"/>
  </r>
  <r>
    <x v="19"/>
    <n v="8"/>
    <n v="2004"/>
    <n v="0"/>
  </r>
  <r>
    <x v="19"/>
    <n v="8"/>
    <n v="2004"/>
    <n v="0.30103806228373703"/>
  </r>
  <r>
    <x v="19"/>
    <n v="8"/>
    <n v="2004"/>
    <n v="3.0809688581314876"/>
  </r>
  <r>
    <x v="19"/>
    <n v="8"/>
    <n v="2004"/>
    <n v="11.946712802768168"/>
  </r>
  <r>
    <x v="19"/>
    <n v="8"/>
    <n v="2004"/>
    <n v="13.06228373702422"/>
  </r>
  <r>
    <x v="19"/>
    <n v="8"/>
    <n v="2004"/>
    <n v="6.5183391003460205"/>
  </r>
  <r>
    <x v="19"/>
    <n v="8"/>
    <n v="2004"/>
    <n v="0.22006920415224912"/>
  </r>
  <r>
    <x v="19"/>
    <n v="8"/>
    <n v="2004"/>
    <n v="0"/>
  </r>
  <r>
    <x v="19"/>
    <n v="8"/>
    <n v="2004"/>
    <n v="0"/>
  </r>
  <r>
    <x v="19"/>
    <n v="8"/>
    <n v="2004"/>
    <n v="10.227681660899652"/>
  </r>
  <r>
    <x v="19"/>
    <n v="8"/>
    <n v="2004"/>
    <n v="12.57439446366782"/>
  </r>
  <r>
    <x v="19"/>
    <n v="8"/>
    <n v="2004"/>
    <n v="0.26712802768166088"/>
  </r>
  <r>
    <x v="19"/>
    <n v="8"/>
    <n v="2004"/>
    <n v="1.6159169550173011"/>
  </r>
  <r>
    <x v="19"/>
    <n v="8"/>
    <n v="2004"/>
    <n v="1.3190311418685121"/>
  </r>
  <r>
    <x v="19"/>
    <n v="8"/>
    <n v="2004"/>
    <n v="0"/>
  </r>
  <r>
    <x v="19"/>
    <n v="8"/>
    <n v="2004"/>
    <n v="1.091349480968858"/>
  </r>
  <r>
    <x v="19"/>
    <n v="8"/>
    <n v="2004"/>
    <n v="1.2982698961937718"/>
  </r>
  <r>
    <x v="19"/>
    <n v="8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2.350865051903114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1.4269896193771625"/>
  </r>
  <r>
    <x v="20"/>
    <n v="9"/>
    <n v="2004"/>
    <n v="0.91626297577854676"/>
  </r>
  <r>
    <x v="20"/>
    <n v="9"/>
    <n v="2004"/>
    <n v="2.3480968858131486"/>
  </r>
  <r>
    <x v="20"/>
    <n v="9"/>
    <n v="2004"/>
    <n v="1.9750865051903115"/>
  </r>
  <r>
    <x v="20"/>
    <n v="9"/>
    <n v="2004"/>
    <n v="4.8858131487889267"/>
  </r>
  <r>
    <x v="20"/>
    <n v="9"/>
    <n v="2004"/>
    <n v="0"/>
  </r>
  <r>
    <x v="20"/>
    <n v="9"/>
    <n v="2004"/>
    <n v="0"/>
  </r>
  <r>
    <x v="20"/>
    <n v="9"/>
    <n v="2004"/>
    <n v="0.60484429065743939"/>
  </r>
  <r>
    <x v="20"/>
    <n v="9"/>
    <n v="2004"/>
    <n v="1.1349480968858132"/>
  </r>
  <r>
    <x v="20"/>
    <n v="9"/>
    <n v="2004"/>
    <n v="0.46989619377162634"/>
  </r>
  <r>
    <x v="20"/>
    <n v="9"/>
    <n v="2004"/>
    <n v="1.0519031141868513"/>
  </r>
  <r>
    <x v="20"/>
    <n v="9"/>
    <n v="2004"/>
    <n v="0.586159169550173"/>
  </r>
  <r>
    <x v="20"/>
    <n v="9"/>
    <n v="2004"/>
    <n v="1.013840830449827"/>
  </r>
  <r>
    <x v="20"/>
    <n v="9"/>
    <n v="2004"/>
    <n v="0.69688581314878895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3.8449826989619376"/>
  </r>
  <r>
    <x v="20"/>
    <n v="9"/>
    <n v="2004"/>
    <n v="0"/>
  </r>
  <r>
    <x v="20"/>
    <n v="9"/>
    <n v="2004"/>
    <n v="4.3010380622837365"/>
  </r>
  <r>
    <x v="21"/>
    <n v="10"/>
    <n v="2004"/>
    <n v="0.65397923875432518"/>
  </r>
  <r>
    <x v="21"/>
    <n v="10"/>
    <n v="2004"/>
    <n v="2.4608996539792392"/>
  </r>
  <r>
    <x v="21"/>
    <n v="10"/>
    <n v="2004"/>
    <n v="2.4470588235294115"/>
  </r>
  <r>
    <x v="21"/>
    <n v="10"/>
    <n v="2004"/>
    <n v="4.5730103806228373"/>
  </r>
  <r>
    <x v="21"/>
    <n v="10"/>
    <n v="2004"/>
    <n v="3.1079584775086508"/>
  </r>
  <r>
    <x v="21"/>
    <n v="10"/>
    <n v="2004"/>
    <n v="0.65397923875432529"/>
  </r>
  <r>
    <x v="21"/>
    <n v="10"/>
    <n v="2004"/>
    <n v="0"/>
  </r>
  <r>
    <x v="21"/>
    <n v="10"/>
    <n v="2004"/>
    <n v="0.38408304498269896"/>
  </r>
  <r>
    <x v="21"/>
    <n v="10"/>
    <n v="2004"/>
    <n v="0.69204152249134943"/>
  </r>
  <r>
    <x v="21"/>
    <n v="10"/>
    <n v="2004"/>
    <n v="0"/>
  </r>
  <r>
    <x v="21"/>
    <n v="10"/>
    <n v="2004"/>
    <n v="0"/>
  </r>
  <r>
    <x v="21"/>
    <n v="10"/>
    <n v="2004"/>
    <n v="1.6020761245674739"/>
  </r>
  <r>
    <x v="21"/>
    <n v="10"/>
    <n v="2004"/>
    <n v="11.664359861591695"/>
  </r>
  <r>
    <x v="21"/>
    <n v="10"/>
    <n v="2004"/>
    <n v="6.7252595155709338"/>
  </r>
  <r>
    <x v="21"/>
    <n v="10"/>
    <n v="2004"/>
    <n v="2.705190311418685"/>
  </r>
  <r>
    <x v="21"/>
    <n v="10"/>
    <n v="2004"/>
    <n v="12.665743944636677"/>
  </r>
  <r>
    <x v="21"/>
    <n v="10"/>
    <n v="2004"/>
    <n v="9.034602076124564"/>
  </r>
  <r>
    <x v="21"/>
    <n v="10"/>
    <n v="2004"/>
    <n v="0"/>
  </r>
  <r>
    <x v="21"/>
    <n v="10"/>
    <n v="2004"/>
    <n v="1.0788927335640139"/>
  </r>
  <r>
    <x v="21"/>
    <n v="10"/>
    <n v="2004"/>
    <n v="10.710726643598614"/>
  </r>
  <r>
    <x v="21"/>
    <n v="10"/>
    <n v="2004"/>
    <n v="9.9480968858131487"/>
  </r>
  <r>
    <x v="21"/>
    <n v="10"/>
    <n v="2004"/>
    <n v="1.2698961937716262"/>
  </r>
  <r>
    <x v="21"/>
    <n v="10"/>
    <n v="2004"/>
    <n v="2.7211072664359861"/>
  </r>
  <r>
    <x v="21"/>
    <n v="10"/>
    <n v="2004"/>
    <n v="9.6096885813148791"/>
  </r>
  <r>
    <x v="21"/>
    <n v="10"/>
    <n v="2004"/>
    <n v="4.1086505190311424"/>
  </r>
  <r>
    <x v="21"/>
    <n v="10"/>
    <n v="2004"/>
    <n v="3.1640138408304503"/>
  </r>
  <r>
    <x v="21"/>
    <n v="10"/>
    <n v="2004"/>
    <n v="0.61591695501730115"/>
  </r>
  <r>
    <x v="21"/>
    <n v="10"/>
    <n v="2004"/>
    <n v="5.0463667820069205"/>
  </r>
  <r>
    <x v="21"/>
    <n v="10"/>
    <n v="2004"/>
    <n v="17.60138408304498"/>
  </r>
  <r>
    <x v="21"/>
    <n v="10"/>
    <n v="2004"/>
    <n v="0"/>
  </r>
  <r>
    <x v="21"/>
    <n v="10"/>
    <n v="2004"/>
    <n v="0"/>
  </r>
  <r>
    <x v="22"/>
    <n v="11"/>
    <n v="2004"/>
    <n v="0"/>
  </r>
  <r>
    <x v="22"/>
    <n v="11"/>
    <n v="2004"/>
    <n v="1.4"/>
  </r>
  <r>
    <x v="22"/>
    <n v="11"/>
    <n v="2004"/>
    <n v="0"/>
  </r>
  <r>
    <x v="22"/>
    <n v="11"/>
    <n v="2004"/>
    <n v="0.53702422145328721"/>
  </r>
  <r>
    <x v="22"/>
    <n v="11"/>
    <n v="2004"/>
    <n v="0.30103806228373697"/>
  </r>
  <r>
    <x v="22"/>
    <n v="11"/>
    <n v="2004"/>
    <n v="1.7480968858131489"/>
  </r>
  <r>
    <x v="22"/>
    <n v="11"/>
    <n v="2004"/>
    <n v="0.50103806228373715"/>
  </r>
  <r>
    <x v="22"/>
    <n v="11"/>
    <n v="2004"/>
    <n v="0.20207612456747404"/>
  </r>
  <r>
    <x v="22"/>
    <n v="11"/>
    <n v="2004"/>
    <n v="0.8159169550173011"/>
  </r>
  <r>
    <x v="22"/>
    <n v="11"/>
    <n v="2004"/>
    <n v="0.26505190311418686"/>
  </r>
  <r>
    <x v="22"/>
    <n v="11"/>
    <n v="2004"/>
    <n v="0"/>
  </r>
  <r>
    <x v="22"/>
    <n v="11"/>
    <n v="2004"/>
    <n v="1.8657439446366781"/>
  </r>
  <r>
    <x v="22"/>
    <n v="11"/>
    <n v="2004"/>
    <n v="0"/>
  </r>
  <r>
    <x v="22"/>
    <n v="11"/>
    <n v="2004"/>
    <n v="0"/>
  </r>
  <r>
    <x v="22"/>
    <n v="11"/>
    <n v="2004"/>
    <n v="4.6311418685121115"/>
  </r>
  <r>
    <x v="22"/>
    <n v="11"/>
    <n v="2004"/>
    <n v="4.6795847750865045"/>
  </r>
  <r>
    <x v="22"/>
    <n v="11"/>
    <n v="2004"/>
    <n v="0.33287197231833904"/>
  </r>
  <r>
    <x v="22"/>
    <n v="11"/>
    <n v="2004"/>
    <n v="0.46505190311418687"/>
  </r>
  <r>
    <x v="22"/>
    <n v="11"/>
    <n v="2004"/>
    <n v="0"/>
  </r>
  <r>
    <x v="22"/>
    <n v="11"/>
    <n v="2004"/>
    <n v="0"/>
  </r>
  <r>
    <x v="22"/>
    <n v="11"/>
    <n v="2004"/>
    <n v="2.4830449826989618"/>
  </r>
  <r>
    <x v="22"/>
    <n v="11"/>
    <n v="2004"/>
    <n v="0.31695501730103809"/>
  </r>
  <r>
    <x v="22"/>
    <n v="11"/>
    <n v="2004"/>
    <n v="1.9231833910034604"/>
  </r>
  <r>
    <x v="22"/>
    <n v="11"/>
    <n v="2004"/>
    <n v="0"/>
  </r>
  <r>
    <x v="22"/>
    <n v="11"/>
    <n v="2004"/>
    <n v="0"/>
  </r>
  <r>
    <x v="22"/>
    <n v="11"/>
    <n v="2004"/>
    <n v="0"/>
  </r>
  <r>
    <x v="22"/>
    <n v="11"/>
    <n v="2004"/>
    <n v="0.43598615916955019"/>
  </r>
  <r>
    <x v="22"/>
    <n v="11"/>
    <n v="2004"/>
    <n v="7.3460207612456747"/>
  </r>
  <r>
    <x v="22"/>
    <n v="11"/>
    <n v="2004"/>
    <n v="0"/>
  </r>
  <r>
    <x v="22"/>
    <n v="11"/>
    <n v="2004"/>
    <n v="0"/>
  </r>
  <r>
    <x v="23"/>
    <n v="12"/>
    <n v="2004"/>
    <n v="0.31695501730103803"/>
  </r>
  <r>
    <x v="23"/>
    <n v="12"/>
    <n v="2004"/>
    <n v="0"/>
  </r>
  <r>
    <x v="23"/>
    <n v="12"/>
    <n v="2004"/>
    <n v="0.4"/>
  </r>
  <r>
    <x v="23"/>
    <n v="12"/>
    <n v="2004"/>
    <n v="0"/>
  </r>
  <r>
    <x v="23"/>
    <n v="12"/>
    <n v="2004"/>
    <n v="0"/>
  </r>
  <r>
    <x v="23"/>
    <n v="12"/>
    <n v="2004"/>
    <n v="0.93633217993079576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.31695501730103809"/>
  </r>
  <r>
    <x v="23"/>
    <n v="12"/>
    <n v="2004"/>
    <n v="0"/>
  </r>
  <r>
    <x v="23"/>
    <n v="12"/>
    <n v="2004"/>
    <n v="0"/>
  </r>
  <r>
    <x v="23"/>
    <n v="12"/>
    <n v="2004"/>
    <n v="4.3031141868512126"/>
  </r>
  <r>
    <x v="23"/>
    <n v="12"/>
    <n v="2004"/>
    <n v="2.2470588235294118"/>
  </r>
  <r>
    <x v="23"/>
    <n v="12"/>
    <n v="2004"/>
    <n v="4.7916955017301044"/>
  </r>
  <r>
    <x v="23"/>
    <n v="12"/>
    <n v="2004"/>
    <n v="0"/>
  </r>
  <r>
    <x v="23"/>
    <n v="12"/>
    <n v="2004"/>
    <n v="0.9307958477508651"/>
  </r>
  <r>
    <x v="23"/>
    <n v="12"/>
    <n v="2004"/>
    <n v="0"/>
  </r>
  <r>
    <x v="23"/>
    <n v="12"/>
    <n v="2004"/>
    <n v="0.45121107266435984"/>
  </r>
  <r>
    <x v="23"/>
    <n v="12"/>
    <n v="2004"/>
    <n v="0.6"/>
  </r>
  <r>
    <x v="23"/>
    <n v="12"/>
    <n v="2004"/>
    <n v="0.35086505190311412"/>
  </r>
  <r>
    <x v="23"/>
    <n v="12"/>
    <n v="2004"/>
    <n v="4.1349480968858137"/>
  </r>
  <r>
    <x v="23"/>
    <n v="12"/>
    <n v="2004"/>
    <n v="4.7349480968858133"/>
  </r>
  <r>
    <x v="23"/>
    <n v="12"/>
    <n v="2004"/>
    <n v="0"/>
  </r>
  <r>
    <x v="23"/>
    <n v="12"/>
    <n v="2004"/>
    <n v="0"/>
  </r>
  <r>
    <x v="23"/>
    <n v="12"/>
    <n v="2004"/>
    <n v="2.5619377162629755"/>
  </r>
  <r>
    <x v="23"/>
    <n v="12"/>
    <n v="2004"/>
    <n v="1.6179930795847752"/>
  </r>
  <r>
    <x v="23"/>
    <n v="12"/>
    <n v="2004"/>
    <n v="0.63598615916955015"/>
  </r>
  <r>
    <x v="23"/>
    <n v="12"/>
    <n v="2004"/>
    <n v="11.612456747404844"/>
  </r>
  <r>
    <x v="23"/>
    <n v="12"/>
    <n v="2004"/>
    <n v="3.1820069204152244"/>
  </r>
  <r>
    <x v="24"/>
    <n v="1"/>
    <n v="2005"/>
    <n v="9.4498269896193765"/>
  </r>
  <r>
    <x v="24"/>
    <n v="1"/>
    <n v="2005"/>
    <n v="1.2899653979238754"/>
  </r>
  <r>
    <x v="24"/>
    <n v="1"/>
    <n v="2005"/>
    <n v="0"/>
  </r>
  <r>
    <x v="24"/>
    <n v="1"/>
    <n v="2005"/>
    <n v="1.3460207612456747"/>
  </r>
  <r>
    <x v="24"/>
    <n v="1"/>
    <n v="2005"/>
    <n v="3.5148788927335639"/>
  </r>
  <r>
    <x v="24"/>
    <n v="1"/>
    <n v="2005"/>
    <n v="0"/>
  </r>
  <r>
    <x v="24"/>
    <n v="1"/>
    <n v="2005"/>
    <n v="20.162629757785467"/>
  </r>
  <r>
    <x v="24"/>
    <n v="1"/>
    <n v="2005"/>
    <n v="15.743944636678201"/>
  </r>
  <r>
    <x v="24"/>
    <n v="1"/>
    <n v="2005"/>
    <n v="4.1280276816608996"/>
  </r>
  <r>
    <x v="24"/>
    <n v="1"/>
    <n v="2005"/>
    <n v="0.31903114186851211"/>
  </r>
  <r>
    <x v="24"/>
    <n v="1"/>
    <n v="2005"/>
    <n v="1.5882352941176472"/>
  </r>
  <r>
    <x v="24"/>
    <n v="1"/>
    <n v="2005"/>
    <n v="2.3640138408304496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3.8747404844290658"/>
  </r>
  <r>
    <x v="24"/>
    <n v="1"/>
    <n v="2005"/>
    <n v="1.2069204152249133"/>
  </r>
  <r>
    <x v="24"/>
    <n v="1"/>
    <n v="2005"/>
    <n v="1.0332179930795848"/>
  </r>
  <r>
    <x v="24"/>
    <n v="1"/>
    <n v="2005"/>
    <n v="2.5882352941176467"/>
  </r>
  <r>
    <x v="24"/>
    <n v="1"/>
    <n v="2005"/>
    <n v="0"/>
  </r>
  <r>
    <x v="24"/>
    <n v="1"/>
    <n v="2005"/>
    <n v="0"/>
  </r>
  <r>
    <x v="24"/>
    <n v="1"/>
    <n v="2005"/>
    <n v="1.9418685121107266"/>
  </r>
  <r>
    <x v="24"/>
    <n v="1"/>
    <n v="2005"/>
    <n v="1.2041522491349481"/>
  </r>
  <r>
    <x v="24"/>
    <n v="1"/>
    <n v="2005"/>
    <n v="1"/>
  </r>
  <r>
    <x v="24"/>
    <n v="1"/>
    <n v="2005"/>
    <n v="1.9591695501730104"/>
  </r>
  <r>
    <x v="24"/>
    <n v="1"/>
    <n v="2005"/>
    <n v="0.88512110726643589"/>
  </r>
  <r>
    <x v="24"/>
    <n v="1"/>
    <n v="2005"/>
    <n v="0.75709342560553639"/>
  </r>
  <r>
    <x v="24"/>
    <n v="1"/>
    <n v="2005"/>
    <n v="0.88304498269896214"/>
  </r>
  <r>
    <x v="24"/>
    <n v="1"/>
    <n v="2005"/>
    <n v="0.2179930795847751"/>
  </r>
  <r>
    <x v="24"/>
    <n v="1"/>
    <n v="2005"/>
    <n v="0.71695501730103817"/>
  </r>
  <r>
    <x v="25"/>
    <n v="2"/>
    <n v="2005"/>
    <n v="1.0179930795847751"/>
  </r>
  <r>
    <x v="25"/>
    <n v="2"/>
    <n v="2005"/>
    <n v="0.64705882352941169"/>
  </r>
  <r>
    <x v="25"/>
    <n v="2"/>
    <n v="2005"/>
    <n v="0"/>
  </r>
  <r>
    <x v="25"/>
    <n v="2"/>
    <n v="2005"/>
    <n v="0"/>
  </r>
  <r>
    <x v="25"/>
    <n v="2"/>
    <n v="2005"/>
    <n v="0.28096885813148792"/>
  </r>
  <r>
    <x v="25"/>
    <n v="2"/>
    <n v="2005"/>
    <n v="0.48996539792387539"/>
  </r>
  <r>
    <x v="25"/>
    <n v="2"/>
    <n v="2005"/>
    <n v="0"/>
  </r>
  <r>
    <x v="25"/>
    <n v="2"/>
    <n v="2005"/>
    <n v="0.37301038062283737"/>
  </r>
  <r>
    <x v="25"/>
    <n v="2"/>
    <n v="2005"/>
    <n v="0.99100346020761254"/>
  </r>
  <r>
    <x v="25"/>
    <n v="2"/>
    <n v="2005"/>
    <n v="0.58200692041522484"/>
  </r>
  <r>
    <x v="25"/>
    <n v="2"/>
    <n v="2005"/>
    <n v="5.8871972318339099"/>
  </r>
  <r>
    <x v="25"/>
    <n v="2"/>
    <n v="2005"/>
    <n v="4.4968858131487899"/>
  </r>
  <r>
    <x v="25"/>
    <n v="2"/>
    <n v="2005"/>
    <n v="3.2588235294117647"/>
  </r>
  <r>
    <x v="25"/>
    <n v="2"/>
    <n v="2005"/>
    <n v="0"/>
  </r>
  <r>
    <x v="25"/>
    <n v="2"/>
    <n v="2005"/>
    <n v="2.1640138408304495"/>
  </r>
  <r>
    <x v="25"/>
    <n v="2"/>
    <n v="2005"/>
    <n v="0"/>
  </r>
  <r>
    <x v="25"/>
    <n v="2"/>
    <n v="2005"/>
    <n v="0"/>
  </r>
  <r>
    <x v="25"/>
    <n v="2"/>
    <n v="2005"/>
    <n v="0.56608996539792378"/>
  </r>
  <r>
    <x v="25"/>
    <n v="2"/>
    <n v="2005"/>
    <n v="0"/>
  </r>
  <r>
    <x v="25"/>
    <n v="2"/>
    <n v="2005"/>
    <n v="3.1702422145328724"/>
  </r>
  <r>
    <x v="25"/>
    <n v="2"/>
    <n v="2005"/>
    <n v="5.8352941176470594"/>
  </r>
  <r>
    <x v="25"/>
    <n v="2"/>
    <n v="2005"/>
    <n v="7.8166089965397916"/>
  </r>
  <r>
    <x v="25"/>
    <n v="2"/>
    <n v="2005"/>
    <n v="3.2034602076124568"/>
  </r>
  <r>
    <x v="25"/>
    <n v="2"/>
    <n v="2005"/>
    <n v="3.3584775086505183"/>
  </r>
  <r>
    <x v="25"/>
    <n v="2"/>
    <n v="2005"/>
    <n v="13.190311418685123"/>
  </r>
  <r>
    <x v="25"/>
    <n v="2"/>
    <n v="2005"/>
    <n v="2.0262975778546708"/>
  </r>
  <r>
    <x v="25"/>
    <n v="2"/>
    <n v="2005"/>
    <n v="0.58892733564013833"/>
  </r>
  <r>
    <x v="25"/>
    <n v="2"/>
    <n v="2005"/>
    <n v="0"/>
  </r>
  <r>
    <x v="26"/>
    <n v="3"/>
    <n v="2005"/>
    <n v="5.404152249134949"/>
  </r>
  <r>
    <x v="26"/>
    <n v="3"/>
    <n v="2005"/>
    <n v="2.7833910034602072"/>
  </r>
  <r>
    <x v="26"/>
    <n v="3"/>
    <n v="2005"/>
    <n v="5.3418685121107261"/>
  </r>
  <r>
    <x v="26"/>
    <n v="3"/>
    <n v="2005"/>
    <n v="1.7273356401384083"/>
  </r>
  <r>
    <x v="26"/>
    <n v="3"/>
    <n v="2005"/>
    <n v="3.8373702422145333"/>
  </r>
  <r>
    <x v="26"/>
    <n v="3"/>
    <n v="2005"/>
    <n v="0.20207612456747404"/>
  </r>
  <r>
    <x v="26"/>
    <n v="3"/>
    <n v="2005"/>
    <n v="0"/>
  </r>
  <r>
    <x v="26"/>
    <n v="3"/>
    <n v="2005"/>
    <n v="0"/>
  </r>
  <r>
    <x v="26"/>
    <n v="3"/>
    <n v="2005"/>
    <n v="0.2179930795847751"/>
  </r>
  <r>
    <x v="26"/>
    <n v="3"/>
    <n v="2005"/>
    <n v="0"/>
  </r>
  <r>
    <x v="26"/>
    <n v="3"/>
    <n v="2005"/>
    <n v="2.4816608996539791"/>
  </r>
  <r>
    <x v="26"/>
    <n v="3"/>
    <n v="2005"/>
    <n v="0"/>
  </r>
  <r>
    <x v="26"/>
    <n v="3"/>
    <n v="2005"/>
    <n v="0"/>
  </r>
  <r>
    <x v="26"/>
    <n v="3"/>
    <n v="2005"/>
    <n v="7.9709342560553642"/>
  </r>
  <r>
    <x v="26"/>
    <n v="3"/>
    <n v="2005"/>
    <n v="4.9328719723183392"/>
  </r>
  <r>
    <x v="26"/>
    <n v="3"/>
    <n v="2005"/>
    <n v="0.48512110726643592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3.7785467128027679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13.694117647058823"/>
  </r>
  <r>
    <x v="26"/>
    <n v="3"/>
    <n v="2005"/>
    <n v="11.892041522491347"/>
  </r>
  <r>
    <x v="26"/>
    <n v="3"/>
    <n v="2005"/>
    <n v="0.98200692041522497"/>
  </r>
  <r>
    <x v="26"/>
    <n v="3"/>
    <n v="2005"/>
    <n v="1"/>
  </r>
  <r>
    <x v="26"/>
    <n v="3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1.2906574394463668"/>
  </r>
  <r>
    <x v="27"/>
    <n v="4"/>
    <n v="2005"/>
    <n v="11.139100346020756"/>
  </r>
  <r>
    <x v="27"/>
    <n v="4"/>
    <n v="2005"/>
    <n v="0.75224913494809686"/>
  </r>
  <r>
    <x v="27"/>
    <n v="4"/>
    <n v="2005"/>
    <n v="0.56608996539792389"/>
  </r>
  <r>
    <x v="27"/>
    <n v="4"/>
    <n v="2005"/>
    <n v="0.45397923875432522"/>
  </r>
  <r>
    <x v="27"/>
    <n v="4"/>
    <n v="2005"/>
    <n v="0"/>
  </r>
  <r>
    <x v="27"/>
    <n v="4"/>
    <n v="2005"/>
    <n v="0"/>
  </r>
  <r>
    <x v="27"/>
    <n v="4"/>
    <n v="2005"/>
    <n v="0.64913494809688577"/>
  </r>
  <r>
    <x v="27"/>
    <n v="4"/>
    <n v="2005"/>
    <n v="0"/>
  </r>
  <r>
    <x v="27"/>
    <n v="4"/>
    <n v="2005"/>
    <n v="18.42076124567474"/>
  </r>
  <r>
    <x v="27"/>
    <n v="4"/>
    <n v="2005"/>
    <n v="29.610380622837372"/>
  </r>
  <r>
    <x v="27"/>
    <n v="4"/>
    <n v="2005"/>
    <n v="11.797923875432526"/>
  </r>
  <r>
    <x v="27"/>
    <n v="4"/>
    <n v="2005"/>
    <n v="6.9010380622837362"/>
  </r>
  <r>
    <x v="27"/>
    <n v="4"/>
    <n v="2005"/>
    <n v="10.829065743944636"/>
  </r>
  <r>
    <x v="27"/>
    <n v="4"/>
    <n v="2005"/>
    <n v="0.6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3.8159169550173013"/>
  </r>
  <r>
    <x v="27"/>
    <n v="4"/>
    <n v="2005"/>
    <n v="7.5916955017301042"/>
  </r>
  <r>
    <x v="27"/>
    <n v="4"/>
    <n v="2005"/>
    <n v="3.7301038062283731"/>
  </r>
  <r>
    <x v="27"/>
    <n v="4"/>
    <n v="2005"/>
    <n v="0"/>
  </r>
  <r>
    <x v="27"/>
    <n v="4"/>
    <n v="2005"/>
    <n v="0"/>
  </r>
  <r>
    <x v="28"/>
    <n v="5"/>
    <n v="2005"/>
    <n v="4.5363321799307954"/>
  </r>
  <r>
    <x v="28"/>
    <n v="5"/>
    <n v="2005"/>
    <n v="2.0809688581314876"/>
  </r>
  <r>
    <x v="28"/>
    <n v="5"/>
    <n v="2005"/>
    <n v="3.1605536332179933"/>
  </r>
  <r>
    <x v="28"/>
    <n v="5"/>
    <n v="2005"/>
    <n v="0.36608996539792388"/>
  </r>
  <r>
    <x v="28"/>
    <n v="5"/>
    <n v="2005"/>
    <n v="0"/>
  </r>
  <r>
    <x v="28"/>
    <n v="5"/>
    <n v="2005"/>
    <n v="0.61591695501730104"/>
  </r>
  <r>
    <x v="28"/>
    <n v="5"/>
    <n v="2005"/>
    <n v="1.7813148788927333"/>
  </r>
  <r>
    <x v="28"/>
    <n v="5"/>
    <n v="2005"/>
    <n v="1.6186851211072661"/>
  </r>
  <r>
    <x v="28"/>
    <n v="5"/>
    <n v="2005"/>
    <n v="0.29204152249134946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.298961937716263"/>
  </r>
  <r>
    <x v="28"/>
    <n v="5"/>
    <n v="2005"/>
    <n v="1.7058823529411766"/>
  </r>
  <r>
    <x v="28"/>
    <n v="5"/>
    <n v="2005"/>
    <n v="4.4768166089965398"/>
  </r>
  <r>
    <x v="28"/>
    <n v="5"/>
    <n v="2005"/>
    <n v="2.1937716262975782"/>
  </r>
  <r>
    <x v="28"/>
    <n v="5"/>
    <n v="2005"/>
    <n v="2.3294117647058825"/>
  </r>
  <r>
    <x v="28"/>
    <n v="5"/>
    <n v="2005"/>
    <n v="2.2519031141868511"/>
  </r>
  <r>
    <x v="28"/>
    <n v="5"/>
    <n v="2005"/>
    <n v="5.3833910034602077"/>
  </r>
  <r>
    <x v="28"/>
    <n v="5"/>
    <n v="2005"/>
    <n v="1.1730103806228374"/>
  </r>
  <r>
    <x v="28"/>
    <n v="5"/>
    <n v="2005"/>
    <n v="2.2941176470588238"/>
  </r>
  <r>
    <x v="28"/>
    <n v="5"/>
    <n v="2005"/>
    <n v="0"/>
  </r>
  <r>
    <x v="28"/>
    <n v="5"/>
    <n v="2005"/>
    <n v="0"/>
  </r>
  <r>
    <x v="28"/>
    <n v="5"/>
    <n v="2005"/>
    <n v="1.2539792387543252"/>
  </r>
  <r>
    <x v="28"/>
    <n v="5"/>
    <n v="2005"/>
    <n v="0"/>
  </r>
  <r>
    <x v="28"/>
    <n v="5"/>
    <n v="2005"/>
    <n v="0"/>
  </r>
  <r>
    <x v="28"/>
    <n v="5"/>
    <n v="2005"/>
    <n v="1.2622837370242213"/>
  </r>
  <r>
    <x v="28"/>
    <n v="5"/>
    <n v="2005"/>
    <n v="0.36885813148788926"/>
  </r>
  <r>
    <x v="29"/>
    <n v="6"/>
    <n v="2005"/>
    <n v="6.3328719723183395"/>
  </r>
  <r>
    <x v="29"/>
    <n v="6"/>
    <n v="2005"/>
    <n v="0.61799307958477501"/>
  </r>
  <r>
    <x v="29"/>
    <n v="6"/>
    <n v="2005"/>
    <n v="0"/>
  </r>
  <r>
    <x v="29"/>
    <n v="6"/>
    <n v="2005"/>
    <n v="1.1404844290657441"/>
  </r>
  <r>
    <x v="29"/>
    <n v="6"/>
    <n v="2005"/>
    <n v="1.6055363321799307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.34809688581314879"/>
  </r>
  <r>
    <x v="29"/>
    <n v="6"/>
    <n v="2005"/>
    <n v="3.9204152249134947"/>
  </r>
  <r>
    <x v="29"/>
    <n v="6"/>
    <n v="2005"/>
    <n v="9.6858131487889292"/>
  </r>
  <r>
    <x v="29"/>
    <n v="6"/>
    <n v="2005"/>
    <n v="0.51903114186851218"/>
  </r>
  <r>
    <x v="29"/>
    <n v="6"/>
    <n v="2005"/>
    <n v="0"/>
  </r>
  <r>
    <x v="29"/>
    <n v="6"/>
    <n v="2005"/>
    <n v="3.8173010380622836"/>
  </r>
  <r>
    <x v="29"/>
    <n v="6"/>
    <n v="2005"/>
    <n v="0.4878892733564014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1169550173010379"/>
  </r>
  <r>
    <x v="29"/>
    <n v="6"/>
    <n v="2005"/>
    <n v="0"/>
  </r>
  <r>
    <x v="29"/>
    <n v="6"/>
    <n v="2005"/>
    <n v="0"/>
  </r>
  <r>
    <x v="29"/>
    <n v="6"/>
    <n v="2005"/>
    <n v="2.1287197231833912"/>
  </r>
  <r>
    <x v="29"/>
    <n v="6"/>
    <n v="2005"/>
    <n v="0.4989619377162630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0332179930795848"/>
  </r>
  <r>
    <x v="29"/>
    <n v="6"/>
    <n v="2005"/>
    <n v="4.8352941176470594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9480968858131489"/>
  </r>
  <r>
    <x v="30"/>
    <n v="7"/>
    <n v="2005"/>
    <n v="27.75501730103807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8.9404844290657426"/>
  </r>
  <r>
    <x v="30"/>
    <n v="7"/>
    <n v="2005"/>
    <n v="0"/>
  </r>
  <r>
    <x v="30"/>
    <n v="7"/>
    <n v="2005"/>
    <n v="3.1875432525951561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2927335640138409"/>
  </r>
  <r>
    <x v="30"/>
    <n v="7"/>
    <n v="2005"/>
    <n v="1.0948096885813148"/>
  </r>
  <r>
    <x v="30"/>
    <n v="7"/>
    <n v="2005"/>
    <n v="0.50519031141868509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.40207612456747405"/>
  </r>
  <r>
    <x v="30"/>
    <n v="7"/>
    <n v="2005"/>
    <n v="0"/>
  </r>
  <r>
    <x v="30"/>
    <n v="7"/>
    <n v="2005"/>
    <n v="0"/>
  </r>
  <r>
    <x v="30"/>
    <n v="7"/>
    <n v="2005"/>
    <n v="12.593771626297576"/>
  </r>
  <r>
    <x v="30"/>
    <n v="7"/>
    <n v="2005"/>
    <n v="10.344636678200688"/>
  </r>
  <r>
    <x v="30"/>
    <n v="7"/>
    <n v="2005"/>
    <n v="7.1404844290657445"/>
  </r>
  <r>
    <x v="30"/>
    <n v="7"/>
    <n v="2005"/>
    <n v="0.30103806228373703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3.2013840830449829"/>
  </r>
  <r>
    <x v="31"/>
    <n v="8"/>
    <n v="2005"/>
    <n v="2.2325259515570934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2.1730103806228374"/>
  </r>
  <r>
    <x v="31"/>
    <n v="8"/>
    <n v="2005"/>
    <n v="1.0747404844290658"/>
  </r>
  <r>
    <x v="31"/>
    <n v="8"/>
    <n v="2005"/>
    <n v="5.6553633217993076"/>
  </r>
  <r>
    <x v="31"/>
    <n v="8"/>
    <n v="2005"/>
    <n v="4.9224913494809694"/>
  </r>
  <r>
    <x v="31"/>
    <n v="8"/>
    <n v="2005"/>
    <n v="4.2505190311418684"/>
  </r>
  <r>
    <x v="31"/>
    <n v="8"/>
    <n v="2005"/>
    <n v="0.78892733564013851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.87128027681660902"/>
  </r>
  <r>
    <x v="31"/>
    <n v="8"/>
    <n v="2005"/>
    <n v="0.84498269896193756"/>
  </r>
  <r>
    <x v="31"/>
    <n v="8"/>
    <n v="2005"/>
    <n v="1.1944636678200693"/>
  </r>
  <r>
    <x v="31"/>
    <n v="8"/>
    <n v="2005"/>
    <n v="5.341868512110727"/>
  </r>
  <r>
    <x v="31"/>
    <n v="8"/>
    <n v="2005"/>
    <n v="2.0484429065743948"/>
  </r>
  <r>
    <x v="31"/>
    <n v="8"/>
    <n v="2005"/>
    <n v="1.3204152249134951"/>
  </r>
  <r>
    <x v="31"/>
    <n v="8"/>
    <n v="2005"/>
    <n v="0"/>
  </r>
  <r>
    <x v="31"/>
    <n v="8"/>
    <n v="2005"/>
    <n v="0.41107266435986162"/>
  </r>
  <r>
    <x v="31"/>
    <n v="8"/>
    <n v="2005"/>
    <n v="0.59723183391003465"/>
  </r>
  <r>
    <x v="31"/>
    <n v="8"/>
    <n v="2005"/>
    <n v="0"/>
  </r>
  <r>
    <x v="31"/>
    <n v="8"/>
    <n v="2005"/>
    <n v="4.5605536332179932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.88927335640138405"/>
  </r>
  <r>
    <x v="32"/>
    <n v="9"/>
    <n v="2005"/>
    <n v="33.130103806228369"/>
  </r>
  <r>
    <x v="32"/>
    <n v="9"/>
    <n v="2005"/>
    <n v="3.3280276816608998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1.6546712802768164"/>
  </r>
  <r>
    <x v="32"/>
    <n v="9"/>
    <n v="2005"/>
    <n v="8.2242214532871962"/>
  </r>
  <r>
    <x v="32"/>
    <n v="9"/>
    <n v="2005"/>
    <n v="1.2865051903114189"/>
  </r>
  <r>
    <x v="32"/>
    <n v="9"/>
    <n v="2005"/>
    <n v="2.586851211072664"/>
  </r>
  <r>
    <x v="32"/>
    <n v="9"/>
    <n v="2005"/>
    <n v="0"/>
  </r>
  <r>
    <x v="32"/>
    <n v="9"/>
    <n v="2005"/>
    <n v="0"/>
  </r>
  <r>
    <x v="32"/>
    <n v="9"/>
    <n v="2005"/>
    <n v="0.22006920415224912"/>
  </r>
  <r>
    <x v="32"/>
    <n v="9"/>
    <n v="2005"/>
    <n v="0"/>
  </r>
  <r>
    <x v="32"/>
    <n v="9"/>
    <n v="2005"/>
    <n v="0"/>
  </r>
  <r>
    <x v="32"/>
    <n v="9"/>
    <n v="2005"/>
    <n v="0.86643598615916961"/>
  </r>
  <r>
    <x v="32"/>
    <n v="9"/>
    <n v="2005"/>
    <n v="0"/>
  </r>
  <r>
    <x v="32"/>
    <n v="9"/>
    <n v="2005"/>
    <n v="0.98131487889273361"/>
  </r>
  <r>
    <x v="32"/>
    <n v="9"/>
    <n v="2005"/>
    <n v="2.4878892733564011"/>
  </r>
  <r>
    <x v="32"/>
    <n v="9"/>
    <n v="2005"/>
    <n v="0.67820069204152245"/>
  </r>
  <r>
    <x v="32"/>
    <n v="9"/>
    <n v="2005"/>
    <n v="7.155017301038062"/>
  </r>
  <r>
    <x v="32"/>
    <n v="9"/>
    <n v="2005"/>
    <n v="1.3474048442906574"/>
  </r>
  <r>
    <x v="32"/>
    <n v="9"/>
    <n v="2005"/>
    <n v="1.4871972318339104"/>
  </r>
  <r>
    <x v="33"/>
    <n v="10"/>
    <n v="2005"/>
    <n v="1.2415224913494809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.33010380622837371"/>
  </r>
  <r>
    <x v="33"/>
    <n v="10"/>
    <n v="2005"/>
    <n v="0"/>
  </r>
  <r>
    <x v="33"/>
    <n v="10"/>
    <n v="2005"/>
    <n v="0.43114186851211073"/>
  </r>
  <r>
    <x v="33"/>
    <n v="10"/>
    <n v="2005"/>
    <n v="11.889965397923877"/>
  </r>
  <r>
    <x v="33"/>
    <n v="10"/>
    <n v="2005"/>
    <n v="21.100346020761247"/>
  </r>
  <r>
    <x v="33"/>
    <n v="10"/>
    <n v="2005"/>
    <n v="0.33494809688581317"/>
  </r>
  <r>
    <x v="33"/>
    <n v="10"/>
    <n v="2005"/>
    <n v="0"/>
  </r>
  <r>
    <x v="33"/>
    <n v="10"/>
    <n v="2005"/>
    <n v="0.37716262975778547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4.0989619377162629"/>
  </r>
  <r>
    <x v="33"/>
    <n v="10"/>
    <n v="2005"/>
    <n v="0.2179930795847751"/>
  </r>
  <r>
    <x v="33"/>
    <n v="10"/>
    <n v="2005"/>
    <n v="12.186159169550171"/>
  </r>
  <r>
    <x v="33"/>
    <n v="10"/>
    <n v="2005"/>
    <n v="11.166782006920414"/>
  </r>
  <r>
    <x v="33"/>
    <n v="10"/>
    <n v="2005"/>
    <n v="0"/>
  </r>
  <r>
    <x v="33"/>
    <n v="10"/>
    <n v="2005"/>
    <n v="31.042906574394465"/>
  </r>
  <r>
    <x v="33"/>
    <n v="10"/>
    <n v="2005"/>
    <n v="11.143252595155708"/>
  </r>
  <r>
    <x v="33"/>
    <n v="10"/>
    <n v="2005"/>
    <n v="2.9930795847750868"/>
  </r>
  <r>
    <x v="33"/>
    <n v="10"/>
    <n v="2005"/>
    <n v="0"/>
  </r>
  <r>
    <x v="33"/>
    <n v="10"/>
    <n v="2005"/>
    <n v="0.4830449826989619"/>
  </r>
  <r>
    <x v="33"/>
    <n v="10"/>
    <n v="2005"/>
    <n v="0.29411764705882348"/>
  </r>
  <r>
    <x v="33"/>
    <n v="10"/>
    <n v="2005"/>
    <n v="3.1100346020761247"/>
  </r>
  <r>
    <x v="33"/>
    <n v="10"/>
    <n v="2005"/>
    <n v="0.51211072664359858"/>
  </r>
  <r>
    <x v="34"/>
    <n v="11"/>
    <n v="2005"/>
    <n v="0.87404844290657457"/>
  </r>
  <r>
    <x v="34"/>
    <n v="11"/>
    <n v="2005"/>
    <n v="11.366089965397926"/>
  </r>
  <r>
    <x v="34"/>
    <n v="11"/>
    <n v="2005"/>
    <n v="3.7418685121107269"/>
  </r>
  <r>
    <x v="34"/>
    <n v="11"/>
    <n v="2005"/>
    <n v="3.5930795847750865"/>
  </r>
  <r>
    <x v="34"/>
    <n v="11"/>
    <n v="2005"/>
    <n v="0.86920415224913494"/>
  </r>
  <r>
    <x v="34"/>
    <n v="11"/>
    <n v="2005"/>
    <n v="6.2221453287197228"/>
  </r>
  <r>
    <x v="34"/>
    <n v="11"/>
    <n v="2005"/>
    <n v="1.3813148788927336"/>
  </r>
  <r>
    <x v="34"/>
    <n v="11"/>
    <n v="2005"/>
    <n v="12.206920415224912"/>
  </r>
  <r>
    <x v="34"/>
    <n v="11"/>
    <n v="2005"/>
    <n v="0"/>
  </r>
  <r>
    <x v="34"/>
    <n v="11"/>
    <n v="2005"/>
    <n v="2.2048442906574395"/>
  </r>
  <r>
    <x v="34"/>
    <n v="11"/>
    <n v="2005"/>
    <n v="4.0394463667820073"/>
  </r>
  <r>
    <x v="34"/>
    <n v="11"/>
    <n v="2005"/>
    <n v="1.3972318339100345"/>
  </r>
  <r>
    <x v="34"/>
    <n v="11"/>
    <n v="2005"/>
    <n v="0"/>
  </r>
  <r>
    <x v="34"/>
    <n v="11"/>
    <n v="2005"/>
    <n v="0"/>
  </r>
  <r>
    <x v="34"/>
    <n v="11"/>
    <n v="2005"/>
    <n v="0.33010380622837371"/>
  </r>
  <r>
    <x v="34"/>
    <n v="11"/>
    <n v="2005"/>
    <n v="1.7619377162629757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.25813148788927337"/>
  </r>
  <r>
    <x v="34"/>
    <n v="11"/>
    <n v="2005"/>
    <n v="0"/>
  </r>
  <r>
    <x v="34"/>
    <n v="11"/>
    <n v="2005"/>
    <n v="4.1564013840830452"/>
  </r>
  <r>
    <x v="34"/>
    <n v="11"/>
    <n v="2005"/>
    <n v="8.1785467128027669"/>
  </r>
  <r>
    <x v="34"/>
    <n v="11"/>
    <n v="2005"/>
    <n v="20.596539792387542"/>
  </r>
  <r>
    <x v="34"/>
    <n v="11"/>
    <n v="2005"/>
    <n v="2.2249134948096883"/>
  </r>
  <r>
    <x v="34"/>
    <n v="11"/>
    <n v="2005"/>
    <n v="0"/>
  </r>
  <r>
    <x v="34"/>
    <n v="11"/>
    <n v="2005"/>
    <n v="0.38615916955017304"/>
  </r>
  <r>
    <x v="35"/>
    <n v="12"/>
    <n v="2005"/>
    <n v="0"/>
  </r>
  <r>
    <x v="35"/>
    <n v="12"/>
    <n v="2005"/>
    <n v="3.0539792387543252"/>
  </r>
  <r>
    <x v="35"/>
    <n v="12"/>
    <n v="2005"/>
    <n v="9.8290657439446356"/>
  </r>
  <r>
    <x v="35"/>
    <n v="12"/>
    <n v="2005"/>
    <n v="1.5564013840830451"/>
  </r>
  <r>
    <x v="35"/>
    <n v="12"/>
    <n v="2005"/>
    <n v="0.65259515570934257"/>
  </r>
  <r>
    <x v="35"/>
    <n v="12"/>
    <n v="2005"/>
    <n v="8.1162629757785467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.3217993079584775"/>
  </r>
  <r>
    <x v="35"/>
    <n v="12"/>
    <n v="2005"/>
    <n v="1.0692041522491351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2.2131487889273358"/>
  </r>
  <r>
    <x v="35"/>
    <n v="12"/>
    <n v="2005"/>
    <n v="0.5321799307958478"/>
  </r>
  <r>
    <x v="35"/>
    <n v="12"/>
    <n v="2005"/>
    <n v="0"/>
  </r>
  <r>
    <x v="35"/>
    <n v="12"/>
    <n v="2005"/>
    <n v="0.43183391003460203"/>
  </r>
  <r>
    <x v="35"/>
    <n v="12"/>
    <n v="2005"/>
    <n v="1.6110726643598616"/>
  </r>
  <r>
    <x v="35"/>
    <n v="12"/>
    <n v="2005"/>
    <n v="0.82629757785467128"/>
  </r>
  <r>
    <x v="35"/>
    <n v="12"/>
    <n v="2005"/>
    <n v="0"/>
  </r>
  <r>
    <x v="35"/>
    <n v="12"/>
    <n v="2005"/>
    <n v="0"/>
  </r>
  <r>
    <x v="35"/>
    <n v="12"/>
    <n v="2005"/>
    <n v="4.0463667820069205"/>
  </r>
  <r>
    <x v="35"/>
    <n v="12"/>
    <n v="2005"/>
    <n v="12.957093425605537"/>
  </r>
  <r>
    <x v="36"/>
    <n v="1"/>
    <n v="2006"/>
    <n v="0.24982698961937716"/>
  </r>
  <r>
    <x v="36"/>
    <n v="1"/>
    <n v="2006"/>
    <n v="0"/>
  </r>
  <r>
    <x v="36"/>
    <n v="1"/>
    <n v="2006"/>
    <n v="0.42214532871972321"/>
  </r>
  <r>
    <x v="36"/>
    <n v="1"/>
    <n v="2006"/>
    <n v="0"/>
  </r>
  <r>
    <x v="36"/>
    <n v="1"/>
    <n v="2006"/>
    <n v="0.33148788927335637"/>
  </r>
  <r>
    <x v="36"/>
    <n v="1"/>
    <n v="2006"/>
    <n v="1.6200692041522489"/>
  </r>
  <r>
    <x v="36"/>
    <n v="1"/>
    <n v="2006"/>
    <n v="1.597923875432526"/>
  </r>
  <r>
    <x v="36"/>
    <n v="1"/>
    <n v="2006"/>
    <n v="0.31695501730103809"/>
  </r>
  <r>
    <x v="36"/>
    <n v="1"/>
    <n v="2006"/>
    <n v="0"/>
  </r>
  <r>
    <x v="36"/>
    <n v="1"/>
    <n v="2006"/>
    <n v="1.2782006920415228"/>
  </r>
  <r>
    <x v="36"/>
    <n v="1"/>
    <n v="2006"/>
    <n v="4.800692041522491"/>
  </r>
  <r>
    <x v="36"/>
    <n v="1"/>
    <n v="2006"/>
    <n v="0"/>
  </r>
  <r>
    <x v="36"/>
    <n v="1"/>
    <n v="2006"/>
    <n v="0"/>
  </r>
  <r>
    <x v="36"/>
    <n v="1"/>
    <n v="2006"/>
    <n v="0.53010380622837383"/>
  </r>
  <r>
    <x v="36"/>
    <n v="1"/>
    <n v="2006"/>
    <n v="0.72318339100346019"/>
  </r>
  <r>
    <x v="36"/>
    <n v="1"/>
    <n v="2006"/>
    <n v="1.1051903114186852"/>
  </r>
  <r>
    <x v="36"/>
    <n v="1"/>
    <n v="2006"/>
    <n v="0.31903114186851211"/>
  </r>
  <r>
    <x v="36"/>
    <n v="1"/>
    <n v="2006"/>
    <n v="5.4228373702422141"/>
  </r>
  <r>
    <x v="36"/>
    <n v="1"/>
    <n v="2006"/>
    <n v="1.2242214532871973"/>
  </r>
  <r>
    <x v="36"/>
    <n v="1"/>
    <n v="2006"/>
    <n v="3.0899653979238755"/>
  </r>
  <r>
    <x v="36"/>
    <n v="1"/>
    <n v="2006"/>
    <n v="0"/>
  </r>
  <r>
    <x v="36"/>
    <n v="1"/>
    <n v="2006"/>
    <n v="0"/>
  </r>
  <r>
    <x v="36"/>
    <n v="1"/>
    <n v="2006"/>
    <n v="0"/>
  </r>
  <r>
    <x v="36"/>
    <n v="1"/>
    <n v="2006"/>
    <n v="0.21107266435986161"/>
  </r>
  <r>
    <x v="36"/>
    <n v="1"/>
    <n v="2006"/>
    <n v="0.56608996539792389"/>
  </r>
  <r>
    <x v="36"/>
    <n v="1"/>
    <n v="2006"/>
    <n v="0"/>
  </r>
  <r>
    <x v="36"/>
    <n v="1"/>
    <n v="2006"/>
    <n v="2.1501730103806231"/>
  </r>
  <r>
    <x v="36"/>
    <n v="1"/>
    <n v="2006"/>
    <n v="0.43183391003460209"/>
  </r>
  <r>
    <x v="36"/>
    <n v="1"/>
    <n v="2006"/>
    <n v="0"/>
  </r>
  <r>
    <x v="36"/>
    <n v="1"/>
    <n v="2006"/>
    <n v="0"/>
  </r>
  <r>
    <x v="36"/>
    <n v="1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2.1536332179930797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1.47681660899654"/>
  </r>
  <r>
    <x v="37"/>
    <n v="2"/>
    <n v="2006"/>
    <n v="0"/>
  </r>
  <r>
    <x v="37"/>
    <n v="2"/>
    <n v="2006"/>
    <n v="4.8643598615916952"/>
  </r>
  <r>
    <x v="37"/>
    <n v="2"/>
    <n v="2006"/>
    <n v="5.8782006920415224"/>
  </r>
  <r>
    <x v="37"/>
    <n v="2"/>
    <n v="2006"/>
    <n v="1.8671280276816613"/>
  </r>
  <r>
    <x v="37"/>
    <n v="2"/>
    <n v="2006"/>
    <n v="0.55294117647058816"/>
  </r>
  <r>
    <x v="37"/>
    <n v="2"/>
    <n v="2006"/>
    <n v="0.21107266435986161"/>
  </r>
  <r>
    <x v="37"/>
    <n v="2"/>
    <n v="2006"/>
    <n v="0.82006920415224904"/>
  </r>
  <r>
    <x v="37"/>
    <n v="2"/>
    <n v="2006"/>
    <n v="3.4173010380622846"/>
  </r>
  <r>
    <x v="37"/>
    <n v="2"/>
    <n v="2006"/>
    <n v="5.8055363321799316"/>
  </r>
  <r>
    <x v="37"/>
    <n v="2"/>
    <n v="2006"/>
    <n v="0.36608996539792388"/>
  </r>
  <r>
    <x v="37"/>
    <n v="2"/>
    <n v="2006"/>
    <n v="7.5183391003460205"/>
  </r>
  <r>
    <x v="37"/>
    <n v="2"/>
    <n v="2006"/>
    <n v="1.8955017301038062"/>
  </r>
  <r>
    <x v="37"/>
    <n v="2"/>
    <n v="2006"/>
    <n v="0.91211072664359849"/>
  </r>
  <r>
    <x v="37"/>
    <n v="2"/>
    <n v="2006"/>
    <n v="0.9916955017301039"/>
  </r>
  <r>
    <x v="37"/>
    <n v="2"/>
    <n v="2006"/>
    <n v="2.4463667820069204"/>
  </r>
  <r>
    <x v="37"/>
    <n v="2"/>
    <n v="2006"/>
    <n v="0"/>
  </r>
  <r>
    <x v="38"/>
    <n v="3"/>
    <n v="2006"/>
    <n v="0"/>
  </r>
  <r>
    <x v="38"/>
    <n v="3"/>
    <n v="2006"/>
    <n v="0"/>
  </r>
  <r>
    <x v="38"/>
    <n v="3"/>
    <n v="2006"/>
    <n v="0"/>
  </r>
  <r>
    <x v="38"/>
    <n v="3"/>
    <n v="2006"/>
    <n v="1.5301038062283736"/>
  </r>
  <r>
    <x v="38"/>
    <n v="3"/>
    <n v="2006"/>
    <n v="0"/>
  </r>
  <r>
    <x v="38"/>
    <n v="3"/>
    <n v="2006"/>
    <n v="0"/>
  </r>
  <r>
    <x v="38"/>
    <n v="3"/>
    <n v="2006"/>
    <n v="2.1391003460207614"/>
  </r>
  <r>
    <x v="38"/>
    <n v="3"/>
    <n v="2006"/>
    <n v="2.071280276816609"/>
  </r>
  <r>
    <x v="38"/>
    <n v="3"/>
    <n v="2006"/>
    <n v="4.8145328719723182"/>
  </r>
  <r>
    <x v="38"/>
    <n v="3"/>
    <n v="2006"/>
    <n v="8.5003460207612438"/>
  </r>
  <r>
    <x v="38"/>
    <n v="3"/>
    <n v="2006"/>
    <n v="1.5356401384083047"/>
  </r>
  <r>
    <x v="38"/>
    <n v="3"/>
    <n v="2006"/>
    <n v="1.8498269896193773"/>
  </r>
  <r>
    <x v="38"/>
    <n v="3"/>
    <n v="2006"/>
    <n v="6.6359861591695495"/>
  </r>
  <r>
    <x v="38"/>
    <n v="3"/>
    <n v="2006"/>
    <n v="9.98892733564014"/>
  </r>
  <r>
    <x v="38"/>
    <n v="3"/>
    <n v="2006"/>
    <n v="2.8837370242214533"/>
  </r>
  <r>
    <x v="38"/>
    <n v="3"/>
    <n v="2006"/>
    <n v="3.3307958477508652"/>
  </r>
  <r>
    <x v="38"/>
    <n v="3"/>
    <n v="2006"/>
    <n v="0"/>
  </r>
  <r>
    <x v="38"/>
    <n v="3"/>
    <n v="2006"/>
    <n v="0"/>
  </r>
  <r>
    <x v="38"/>
    <n v="3"/>
    <n v="2006"/>
    <n v="0.43598615916955019"/>
  </r>
  <r>
    <x v="38"/>
    <n v="3"/>
    <n v="2006"/>
    <n v="2.3474048442906579"/>
  </r>
  <r>
    <x v="38"/>
    <n v="3"/>
    <n v="2006"/>
    <n v="0.40899653979238748"/>
  </r>
  <r>
    <x v="38"/>
    <n v="3"/>
    <n v="2006"/>
    <n v="0"/>
  </r>
  <r>
    <x v="38"/>
    <n v="3"/>
    <n v="2006"/>
    <n v="0"/>
  </r>
  <r>
    <x v="38"/>
    <n v="3"/>
    <n v="2006"/>
    <n v="6.6089965397923871"/>
  </r>
  <r>
    <x v="38"/>
    <n v="3"/>
    <n v="2006"/>
    <n v="11.016608996539791"/>
  </r>
  <r>
    <x v="38"/>
    <n v="3"/>
    <n v="2006"/>
    <n v="10.323875432525949"/>
  </r>
  <r>
    <x v="38"/>
    <n v="3"/>
    <n v="2006"/>
    <n v="1.9038062283737025"/>
  </r>
  <r>
    <x v="38"/>
    <n v="3"/>
    <n v="2006"/>
    <n v="4.5384083044982706"/>
  </r>
  <r>
    <x v="38"/>
    <n v="3"/>
    <n v="2006"/>
    <n v="0"/>
  </r>
  <r>
    <x v="38"/>
    <n v="3"/>
    <n v="2006"/>
    <n v="14.319723183391003"/>
  </r>
  <r>
    <x v="38"/>
    <n v="3"/>
    <n v="2006"/>
    <n v="11.602768166089964"/>
  </r>
  <r>
    <x v="39"/>
    <n v="4"/>
    <n v="2006"/>
    <n v="5.9453287197231841"/>
  </r>
  <r>
    <x v="39"/>
    <n v="4"/>
    <n v="2006"/>
    <n v="2.0262975778546717"/>
  </r>
  <r>
    <x v="39"/>
    <n v="4"/>
    <n v="2006"/>
    <n v="3.4304498269896193"/>
  </r>
  <r>
    <x v="39"/>
    <n v="4"/>
    <n v="2006"/>
    <n v="0"/>
  </r>
  <r>
    <x v="39"/>
    <n v="4"/>
    <n v="2006"/>
    <n v="0"/>
  </r>
  <r>
    <x v="39"/>
    <n v="4"/>
    <n v="2006"/>
    <n v="0.33010380622837371"/>
  </r>
  <r>
    <x v="39"/>
    <n v="4"/>
    <n v="2006"/>
    <n v="3.0851211072664362"/>
  </r>
  <r>
    <x v="39"/>
    <n v="4"/>
    <n v="2006"/>
    <n v="3.3245674740484428"/>
  </r>
  <r>
    <x v="39"/>
    <n v="4"/>
    <n v="2006"/>
    <n v="0.76124567474048432"/>
  </r>
  <r>
    <x v="39"/>
    <n v="4"/>
    <n v="2006"/>
    <n v="0"/>
  </r>
  <r>
    <x v="39"/>
    <n v="4"/>
    <n v="2006"/>
    <n v="1.3771626297577859"/>
  </r>
  <r>
    <x v="39"/>
    <n v="4"/>
    <n v="2006"/>
    <n v="0.97716262975778556"/>
  </r>
  <r>
    <x v="39"/>
    <n v="4"/>
    <n v="2006"/>
    <n v="0.67820069204152245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4809688581314879"/>
  </r>
  <r>
    <x v="39"/>
    <n v="4"/>
    <n v="2006"/>
    <n v="0.61522491349480968"/>
  </r>
  <r>
    <x v="39"/>
    <n v="4"/>
    <n v="2006"/>
    <n v="1.2705882352941176"/>
  </r>
  <r>
    <x v="39"/>
    <n v="4"/>
    <n v="2006"/>
    <n v="0.64221453287197239"/>
  </r>
  <r>
    <x v="39"/>
    <n v="4"/>
    <n v="2006"/>
    <n v="0.48373702422145332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43598615916955014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259515570934256"/>
  </r>
  <r>
    <x v="40"/>
    <n v="5"/>
    <n v="2006"/>
    <n v="4.415916955017301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7.0934256055363321"/>
  </r>
  <r>
    <x v="40"/>
    <n v="5"/>
    <n v="2006"/>
    <n v="4.6484429065743953"/>
  </r>
  <r>
    <x v="40"/>
    <n v="5"/>
    <n v="2006"/>
    <n v="0.48996539792387539"/>
  </r>
  <r>
    <x v="40"/>
    <n v="5"/>
    <n v="2006"/>
    <n v="0"/>
  </r>
  <r>
    <x v="40"/>
    <n v="5"/>
    <n v="2006"/>
    <n v="0"/>
  </r>
  <r>
    <x v="40"/>
    <n v="5"/>
    <n v="2006"/>
    <n v="2.0858131487889273"/>
  </r>
  <r>
    <x v="40"/>
    <n v="5"/>
    <n v="2006"/>
    <n v="3.9197231833910031"/>
  </r>
  <r>
    <x v="40"/>
    <n v="5"/>
    <n v="2006"/>
    <n v="0"/>
  </r>
  <r>
    <x v="40"/>
    <n v="5"/>
    <n v="2006"/>
    <n v="10.022145328719724"/>
  </r>
  <r>
    <x v="40"/>
    <n v="5"/>
    <n v="2006"/>
    <n v="12.029065743944637"/>
  </r>
  <r>
    <x v="40"/>
    <n v="5"/>
    <n v="2006"/>
    <n v="1.3529411764705885"/>
  </r>
  <r>
    <x v="40"/>
    <n v="5"/>
    <n v="2006"/>
    <n v="9.181314878892735"/>
  </r>
  <r>
    <x v="40"/>
    <n v="5"/>
    <n v="2006"/>
    <n v="0.25813148788927337"/>
  </r>
  <r>
    <x v="40"/>
    <n v="5"/>
    <n v="2006"/>
    <n v="1.4415224913494811"/>
  </r>
  <r>
    <x v="40"/>
    <n v="5"/>
    <n v="2006"/>
    <n v="0.75224913494809698"/>
  </r>
  <r>
    <x v="40"/>
    <n v="5"/>
    <n v="2006"/>
    <n v="14.226989619377163"/>
  </r>
  <r>
    <x v="40"/>
    <n v="5"/>
    <n v="2006"/>
    <n v="3.2276816608996546"/>
  </r>
  <r>
    <x v="40"/>
    <n v="5"/>
    <n v="2006"/>
    <n v="0.52595155709342567"/>
  </r>
  <r>
    <x v="40"/>
    <n v="5"/>
    <n v="2006"/>
    <n v="0.9813148788927335"/>
  </r>
  <r>
    <x v="40"/>
    <n v="5"/>
    <n v="2006"/>
    <n v="0"/>
  </r>
  <r>
    <x v="40"/>
    <n v="5"/>
    <n v="2006"/>
    <n v="3.0657439446366777"/>
  </r>
  <r>
    <x v="40"/>
    <n v="5"/>
    <n v="2006"/>
    <n v="0"/>
  </r>
  <r>
    <x v="40"/>
    <n v="5"/>
    <n v="2006"/>
    <n v="0"/>
  </r>
  <r>
    <x v="40"/>
    <n v="5"/>
    <n v="2006"/>
    <n v="0.52318339100346023"/>
  </r>
  <r>
    <x v="40"/>
    <n v="5"/>
    <n v="2006"/>
    <n v="0"/>
  </r>
  <r>
    <x v="40"/>
    <n v="5"/>
    <n v="2006"/>
    <n v="0"/>
  </r>
  <r>
    <x v="41"/>
    <n v="6"/>
    <n v="2006"/>
    <n v="1.8913494809688582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4.4885813148788936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1.3058823529411765"/>
  </r>
  <r>
    <x v="41"/>
    <n v="6"/>
    <n v="2006"/>
    <n v="5.5273356401384088"/>
  </r>
  <r>
    <x v="41"/>
    <n v="6"/>
    <n v="2006"/>
    <n v="0.59515570934256068"/>
  </r>
  <r>
    <x v="41"/>
    <n v="6"/>
    <n v="2006"/>
    <n v="2.5536332179930796"/>
  </r>
  <r>
    <x v="41"/>
    <n v="6"/>
    <n v="2006"/>
    <n v="0.39515570934256061"/>
  </r>
  <r>
    <x v="41"/>
    <n v="6"/>
    <n v="2006"/>
    <n v="0.2491349480968858"/>
  </r>
  <r>
    <x v="41"/>
    <n v="6"/>
    <n v="2006"/>
    <n v="0"/>
  </r>
  <r>
    <x v="41"/>
    <n v="6"/>
    <n v="2006"/>
    <n v="1.1515570934256054"/>
  </r>
  <r>
    <x v="41"/>
    <n v="6"/>
    <n v="2006"/>
    <n v="2.4581314878892733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.20207612456747406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.20207612456747404"/>
  </r>
  <r>
    <x v="42"/>
    <n v="7"/>
    <n v="2006"/>
    <n v="1.9965397923875434"/>
  </r>
  <r>
    <x v="42"/>
    <n v="7"/>
    <n v="2006"/>
    <n v="3.307266435986159"/>
  </r>
  <r>
    <x v="42"/>
    <n v="7"/>
    <n v="2006"/>
    <n v="0.2941176470588235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4.139100346020761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2.3128027681660899"/>
  </r>
  <r>
    <x v="42"/>
    <n v="7"/>
    <n v="2006"/>
    <n v="1.5086505190311419"/>
  </r>
  <r>
    <x v="42"/>
    <n v="7"/>
    <n v="2006"/>
    <n v="4.6629757785467127"/>
  </r>
  <r>
    <x v="43"/>
    <n v="8"/>
    <n v="2006"/>
    <n v="6.460207612456748"/>
  </r>
  <r>
    <x v="43"/>
    <n v="8"/>
    <n v="2006"/>
    <n v="13.073356401384082"/>
  </r>
  <r>
    <x v="43"/>
    <n v="8"/>
    <n v="2006"/>
    <n v="0"/>
  </r>
  <r>
    <x v="43"/>
    <n v="8"/>
    <n v="2006"/>
    <n v="0"/>
  </r>
  <r>
    <x v="43"/>
    <n v="8"/>
    <n v="2006"/>
    <n v="0"/>
  </r>
  <r>
    <x v="43"/>
    <n v="8"/>
    <n v="2006"/>
    <n v="2.5709342560553634"/>
  </r>
  <r>
    <x v="43"/>
    <n v="8"/>
    <n v="2006"/>
    <n v="0"/>
  </r>
  <r>
    <x v="43"/>
    <n v="8"/>
    <n v="2006"/>
    <n v="1.1979238754325259"/>
  </r>
  <r>
    <x v="43"/>
    <n v="8"/>
    <n v="2006"/>
    <n v="0"/>
  </r>
  <r>
    <x v="43"/>
    <n v="8"/>
    <n v="2006"/>
    <n v="0.21591695501730104"/>
  </r>
  <r>
    <x v="43"/>
    <n v="8"/>
    <n v="2006"/>
    <n v="0.93010380622837374"/>
  </r>
  <r>
    <x v="43"/>
    <n v="8"/>
    <n v="2006"/>
    <n v="2.2359861591695505"/>
  </r>
  <r>
    <x v="43"/>
    <n v="8"/>
    <n v="2006"/>
    <n v="9.743944636678199"/>
  </r>
  <r>
    <x v="43"/>
    <n v="8"/>
    <n v="2006"/>
    <n v="0.99792387543252592"/>
  </r>
  <r>
    <x v="43"/>
    <n v="8"/>
    <n v="2006"/>
    <n v="0.40415224913494807"/>
  </r>
  <r>
    <x v="43"/>
    <n v="8"/>
    <n v="2006"/>
    <n v="0.80968858131487897"/>
  </r>
  <r>
    <x v="43"/>
    <n v="8"/>
    <n v="2006"/>
    <n v="0.83114186851211069"/>
  </r>
  <r>
    <x v="43"/>
    <n v="8"/>
    <n v="2006"/>
    <n v="23.437370242214534"/>
  </r>
  <r>
    <x v="43"/>
    <n v="8"/>
    <n v="2006"/>
    <n v="1.5854671280276817"/>
  </r>
  <r>
    <x v="43"/>
    <n v="8"/>
    <n v="2006"/>
    <n v="1.0989619377162629"/>
  </r>
  <r>
    <x v="43"/>
    <n v="8"/>
    <n v="2006"/>
    <n v="1.1633217993079585"/>
  </r>
  <r>
    <x v="43"/>
    <n v="8"/>
    <n v="2006"/>
    <n v="0"/>
  </r>
  <r>
    <x v="43"/>
    <n v="8"/>
    <n v="2006"/>
    <n v="3.2311418685121107"/>
  </r>
  <r>
    <x v="43"/>
    <n v="8"/>
    <n v="2006"/>
    <n v="1.4844290657439445"/>
  </r>
  <r>
    <x v="43"/>
    <n v="8"/>
    <n v="2006"/>
    <n v="2.0076124567474047"/>
  </r>
  <r>
    <x v="43"/>
    <n v="8"/>
    <n v="2006"/>
    <n v="0"/>
  </r>
  <r>
    <x v="43"/>
    <n v="8"/>
    <n v="2006"/>
    <n v="0.31903114186851211"/>
  </r>
  <r>
    <x v="43"/>
    <n v="8"/>
    <n v="2006"/>
    <n v="1.0989619377162629"/>
  </r>
  <r>
    <x v="43"/>
    <n v="8"/>
    <n v="2006"/>
    <n v="0.413840830449827"/>
  </r>
  <r>
    <x v="43"/>
    <n v="8"/>
    <n v="2006"/>
    <n v="0"/>
  </r>
  <r>
    <x v="43"/>
    <n v="8"/>
    <n v="2006"/>
    <n v="4.1460207612456754"/>
  </r>
  <r>
    <x v="44"/>
    <n v="9"/>
    <n v="2006"/>
    <n v="2.2698961937716264"/>
  </r>
  <r>
    <x v="44"/>
    <n v="9"/>
    <n v="2006"/>
    <n v="20.175778546712806"/>
  </r>
  <r>
    <x v="44"/>
    <n v="9"/>
    <n v="2006"/>
    <n v="6.1044982698961938"/>
  </r>
  <r>
    <x v="44"/>
    <n v="9"/>
    <n v="2006"/>
    <n v="0"/>
  </r>
  <r>
    <x v="44"/>
    <n v="9"/>
    <n v="2006"/>
    <n v="2.2110726643598619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1.0352941176470589"/>
  </r>
  <r>
    <x v="44"/>
    <n v="9"/>
    <n v="2006"/>
    <n v="0"/>
  </r>
  <r>
    <x v="44"/>
    <n v="9"/>
    <n v="2006"/>
    <n v="0"/>
  </r>
  <r>
    <x v="44"/>
    <n v="9"/>
    <n v="2006"/>
    <n v="14.834602076124568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3.962629757785467"/>
  </r>
  <r>
    <x v="44"/>
    <n v="9"/>
    <n v="2006"/>
    <n v="0.22006920415224915"/>
  </r>
  <r>
    <x v="44"/>
    <n v="9"/>
    <n v="2006"/>
    <n v="0"/>
  </r>
  <r>
    <x v="44"/>
    <n v="9"/>
    <n v="2006"/>
    <n v="0"/>
  </r>
  <r>
    <x v="44"/>
    <n v="9"/>
    <n v="2006"/>
    <n v="4.7301038062283736"/>
  </r>
  <r>
    <x v="44"/>
    <n v="9"/>
    <n v="2006"/>
    <n v="0"/>
  </r>
  <r>
    <x v="44"/>
    <n v="9"/>
    <n v="2006"/>
    <n v="8.9217993079584765"/>
  </r>
  <r>
    <x v="44"/>
    <n v="9"/>
    <n v="2006"/>
    <n v="0"/>
  </r>
  <r>
    <x v="44"/>
    <n v="9"/>
    <n v="2006"/>
    <n v="0"/>
  </r>
  <r>
    <x v="44"/>
    <n v="9"/>
    <n v="2006"/>
    <n v="1.9647058823529413"/>
  </r>
  <r>
    <x v="44"/>
    <n v="9"/>
    <n v="2006"/>
    <n v="0.61107266435986163"/>
  </r>
  <r>
    <x v="44"/>
    <n v="9"/>
    <n v="2006"/>
    <n v="2.1640138408304495"/>
  </r>
  <r>
    <x v="44"/>
    <n v="9"/>
    <n v="2006"/>
    <n v="0"/>
  </r>
  <r>
    <x v="45"/>
    <n v="10"/>
    <n v="2006"/>
    <n v="4.6339100346020752"/>
  </r>
  <r>
    <x v="45"/>
    <n v="10"/>
    <n v="2006"/>
    <n v="2.2519031141868515"/>
  </r>
  <r>
    <x v="45"/>
    <n v="10"/>
    <n v="2006"/>
    <n v="2.1702422145328719"/>
  </r>
  <r>
    <x v="45"/>
    <n v="10"/>
    <n v="2006"/>
    <n v="0"/>
  </r>
  <r>
    <x v="45"/>
    <n v="10"/>
    <n v="2006"/>
    <n v="3.1577854671280279"/>
  </r>
  <r>
    <x v="45"/>
    <n v="10"/>
    <n v="2006"/>
    <n v="4.1141868512110733"/>
  </r>
  <r>
    <x v="45"/>
    <n v="10"/>
    <n v="2006"/>
    <n v="0.37716262975778547"/>
  </r>
  <r>
    <x v="45"/>
    <n v="10"/>
    <n v="2006"/>
    <n v="1.986159169550173"/>
  </r>
  <r>
    <x v="45"/>
    <n v="10"/>
    <n v="2006"/>
    <n v="0.73979238754325261"/>
  </r>
  <r>
    <x v="45"/>
    <n v="10"/>
    <n v="2006"/>
    <n v="0.65467128027681654"/>
  </r>
  <r>
    <x v="45"/>
    <n v="10"/>
    <n v="2006"/>
    <n v="4.0242214532871978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4.8871972318339107"/>
  </r>
  <r>
    <x v="45"/>
    <n v="10"/>
    <n v="2006"/>
    <n v="0"/>
  </r>
  <r>
    <x v="45"/>
    <n v="10"/>
    <n v="2006"/>
    <n v="12.551557093425606"/>
  </r>
  <r>
    <x v="45"/>
    <n v="10"/>
    <n v="2006"/>
    <n v="17.47474048442907"/>
  </r>
  <r>
    <x v="45"/>
    <n v="10"/>
    <n v="2006"/>
    <n v="2.6525951557093421"/>
  </r>
  <r>
    <x v="45"/>
    <n v="10"/>
    <n v="2006"/>
    <n v="4.968858131487889"/>
  </r>
  <r>
    <x v="45"/>
    <n v="10"/>
    <n v="2006"/>
    <n v="1.2885813148788927"/>
  </r>
  <r>
    <x v="45"/>
    <n v="10"/>
    <n v="2006"/>
    <n v="3.8193771626297579"/>
  </r>
  <r>
    <x v="45"/>
    <n v="10"/>
    <n v="2006"/>
    <n v="22.966782006920418"/>
  </r>
  <r>
    <x v="45"/>
    <n v="10"/>
    <n v="2006"/>
    <n v="1.3923875432525952"/>
  </r>
  <r>
    <x v="45"/>
    <n v="10"/>
    <n v="2006"/>
    <n v="4.428373702422145"/>
  </r>
  <r>
    <x v="45"/>
    <n v="10"/>
    <n v="2006"/>
    <n v="0"/>
  </r>
  <r>
    <x v="45"/>
    <n v="10"/>
    <n v="2006"/>
    <n v="0.62006920415224909"/>
  </r>
  <r>
    <x v="45"/>
    <n v="10"/>
    <n v="2006"/>
    <n v="2.689273356401384"/>
  </r>
  <r>
    <x v="45"/>
    <n v="10"/>
    <n v="2006"/>
    <n v="0.42076124567474055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2.6671280276816609"/>
  </r>
  <r>
    <x v="46"/>
    <n v="11"/>
    <n v="2006"/>
    <n v="0"/>
  </r>
  <r>
    <x v="46"/>
    <n v="11"/>
    <n v="2006"/>
    <n v="1.453287197231834"/>
  </r>
  <r>
    <x v="46"/>
    <n v="11"/>
    <n v="2006"/>
    <n v="4.6283737024221452"/>
  </r>
  <r>
    <x v="46"/>
    <n v="11"/>
    <n v="2006"/>
    <n v="0.28304498269896194"/>
  </r>
  <r>
    <x v="46"/>
    <n v="11"/>
    <n v="2006"/>
    <n v="0.59515570934256046"/>
  </r>
  <r>
    <x v="46"/>
    <n v="11"/>
    <n v="2006"/>
    <n v="0.89411764705882368"/>
  </r>
  <r>
    <x v="46"/>
    <n v="11"/>
    <n v="2006"/>
    <n v="5.8865051903114196"/>
  </r>
  <r>
    <x v="46"/>
    <n v="11"/>
    <n v="2006"/>
    <n v="0"/>
  </r>
  <r>
    <x v="46"/>
    <n v="11"/>
    <n v="2006"/>
    <n v="1.6816608996539792"/>
  </r>
  <r>
    <x v="46"/>
    <n v="11"/>
    <n v="2006"/>
    <n v="1.1993079584775086"/>
  </r>
  <r>
    <x v="46"/>
    <n v="11"/>
    <n v="2006"/>
    <n v="2.5238754325259518"/>
  </r>
  <r>
    <x v="46"/>
    <n v="11"/>
    <n v="2006"/>
    <n v="5.2816608996539793"/>
  </r>
  <r>
    <x v="46"/>
    <n v="11"/>
    <n v="2006"/>
    <n v="0"/>
  </r>
  <r>
    <x v="46"/>
    <n v="11"/>
    <n v="2006"/>
    <n v="1.0256055363321799"/>
  </r>
  <r>
    <x v="46"/>
    <n v="11"/>
    <n v="2006"/>
    <n v="6.4692041522491364"/>
  </r>
  <r>
    <x v="46"/>
    <n v="11"/>
    <n v="2006"/>
    <n v="5.7944636678200689"/>
  </r>
  <r>
    <x v="46"/>
    <n v="11"/>
    <n v="2006"/>
    <n v="1.9598615916955018"/>
  </r>
  <r>
    <x v="46"/>
    <n v="11"/>
    <n v="2006"/>
    <n v="6.149480968858132"/>
  </r>
  <r>
    <x v="46"/>
    <n v="11"/>
    <n v="2006"/>
    <n v="0.40207612456747405"/>
  </r>
  <r>
    <x v="46"/>
    <n v="11"/>
    <n v="2006"/>
    <n v="5.242214532871972"/>
  </r>
  <r>
    <x v="46"/>
    <n v="11"/>
    <n v="2006"/>
    <n v="0.29204152249134946"/>
  </r>
  <r>
    <x v="46"/>
    <n v="11"/>
    <n v="2006"/>
    <n v="0.38615916955017299"/>
  </r>
  <r>
    <x v="47"/>
    <n v="12"/>
    <n v="2006"/>
    <n v="2.1916955017301039"/>
  </r>
  <r>
    <x v="47"/>
    <n v="12"/>
    <n v="2006"/>
    <n v="1.239446366782007"/>
  </r>
  <r>
    <x v="47"/>
    <n v="12"/>
    <n v="2006"/>
    <n v="10.071972318339101"/>
  </r>
  <r>
    <x v="47"/>
    <n v="12"/>
    <n v="2006"/>
    <n v="0.39515570934256056"/>
  </r>
  <r>
    <x v="47"/>
    <n v="12"/>
    <n v="2006"/>
    <n v="8.0193771626297572"/>
  </r>
  <r>
    <x v="47"/>
    <n v="12"/>
    <n v="2006"/>
    <n v="0.88235294117647056"/>
  </r>
  <r>
    <x v="47"/>
    <n v="12"/>
    <n v="2006"/>
    <n v="15.956401384083046"/>
  </r>
  <r>
    <x v="47"/>
    <n v="12"/>
    <n v="2006"/>
    <n v="0"/>
  </r>
  <r>
    <x v="47"/>
    <n v="12"/>
    <n v="2006"/>
    <n v="0.21107266435986161"/>
  </r>
  <r>
    <x v="47"/>
    <n v="12"/>
    <n v="2006"/>
    <n v="3.966089965397924"/>
  </r>
  <r>
    <x v="47"/>
    <n v="12"/>
    <n v="2006"/>
    <n v="4.8401384083044974"/>
  </r>
  <r>
    <x v="47"/>
    <n v="12"/>
    <n v="2006"/>
    <n v="6.3570934256055356"/>
  </r>
  <r>
    <x v="47"/>
    <n v="12"/>
    <n v="2006"/>
    <n v="4.7086505190311421"/>
  </r>
  <r>
    <x v="47"/>
    <n v="12"/>
    <n v="2006"/>
    <n v="1.9806228373702424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6505190311418686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1107266435986161"/>
  </r>
  <r>
    <x v="47"/>
    <n v="12"/>
    <n v="2006"/>
    <n v="0.30588235294117649"/>
  </r>
  <r>
    <x v="47"/>
    <n v="12"/>
    <n v="2006"/>
    <n v="0"/>
  </r>
  <r>
    <x v="47"/>
    <n v="12"/>
    <n v="2006"/>
    <n v="3.0442906574394462"/>
  </r>
  <r>
    <x v="47"/>
    <n v="12"/>
    <n v="2006"/>
    <n v="3.1093425605536331"/>
  </r>
  <r>
    <x v="47"/>
    <n v="12"/>
    <n v="2006"/>
    <n v="3.5079584775086508"/>
  </r>
  <r>
    <x v="48"/>
    <n v="1"/>
    <n v="2007"/>
    <n v="0.76332179930795852"/>
  </r>
  <r>
    <x v="48"/>
    <n v="1"/>
    <n v="2007"/>
    <n v="1.0124567474048443"/>
  </r>
  <r>
    <x v="48"/>
    <n v="1"/>
    <n v="2007"/>
    <n v="3.6560553633217991"/>
  </r>
  <r>
    <x v="48"/>
    <n v="1"/>
    <n v="2007"/>
    <n v="0.44913494809688581"/>
  </r>
  <r>
    <x v="48"/>
    <n v="1"/>
    <n v="2007"/>
    <n v="0.98339100346020758"/>
  </r>
  <r>
    <x v="48"/>
    <n v="1"/>
    <n v="2007"/>
    <n v="1.4152249134948101"/>
  </r>
  <r>
    <x v="48"/>
    <n v="1"/>
    <n v="2007"/>
    <n v="3.2761245674740485"/>
  </r>
  <r>
    <x v="48"/>
    <n v="1"/>
    <n v="2007"/>
    <n v="4.6941176470588237"/>
  </r>
  <r>
    <x v="48"/>
    <n v="1"/>
    <n v="2007"/>
    <n v="9.379930795847752"/>
  </r>
  <r>
    <x v="48"/>
    <n v="1"/>
    <n v="2007"/>
    <n v="6.9910034602076125"/>
  </r>
  <r>
    <x v="48"/>
    <n v="1"/>
    <n v="2007"/>
    <n v="17.900346020761248"/>
  </r>
  <r>
    <x v="48"/>
    <n v="1"/>
    <n v="2007"/>
    <n v="1.726643598615917"/>
  </r>
  <r>
    <x v="48"/>
    <n v="1"/>
    <n v="2007"/>
    <n v="3.9813148788927335"/>
  </r>
  <r>
    <x v="48"/>
    <n v="1"/>
    <n v="2007"/>
    <n v="0"/>
  </r>
  <r>
    <x v="48"/>
    <n v="1"/>
    <n v="2007"/>
    <n v="0"/>
  </r>
  <r>
    <x v="48"/>
    <n v="1"/>
    <n v="2007"/>
    <n v="0.29204152249134951"/>
  </r>
  <r>
    <x v="48"/>
    <n v="1"/>
    <n v="2007"/>
    <n v="5.3986159169550172"/>
  </r>
  <r>
    <x v="48"/>
    <n v="1"/>
    <n v="2007"/>
    <n v="10.136332179930799"/>
  </r>
  <r>
    <x v="48"/>
    <n v="1"/>
    <n v="2007"/>
    <n v="3.3612456747404842"/>
  </r>
  <r>
    <x v="48"/>
    <n v="1"/>
    <n v="2007"/>
    <n v="4.8532871972318343"/>
  </r>
  <r>
    <x v="48"/>
    <n v="1"/>
    <n v="2007"/>
    <n v="1.4006920415224915"/>
  </r>
  <r>
    <x v="48"/>
    <n v="1"/>
    <n v="2007"/>
    <n v="1.8221453287197231"/>
  </r>
  <r>
    <x v="48"/>
    <n v="1"/>
    <n v="2007"/>
    <n v="0.36193771626297577"/>
  </r>
  <r>
    <x v="48"/>
    <n v="1"/>
    <n v="2007"/>
    <n v="2.8477508650519034"/>
  </r>
  <r>
    <x v="48"/>
    <n v="1"/>
    <n v="2007"/>
    <n v="0.65743944636678198"/>
  </r>
  <r>
    <x v="48"/>
    <n v="1"/>
    <n v="2007"/>
    <n v="0"/>
  </r>
  <r>
    <x v="48"/>
    <n v="1"/>
    <n v="2007"/>
    <n v="0"/>
  </r>
  <r>
    <x v="48"/>
    <n v="1"/>
    <n v="2007"/>
    <n v="0"/>
  </r>
  <r>
    <x v="48"/>
    <n v="1"/>
    <n v="2007"/>
    <n v="0.27612456747404845"/>
  </r>
  <r>
    <x v="48"/>
    <n v="1"/>
    <n v="2007"/>
    <n v="0"/>
  </r>
  <r>
    <x v="48"/>
    <n v="1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1.6622837370242214"/>
  </r>
  <r>
    <x v="49"/>
    <n v="2"/>
    <n v="2007"/>
    <n v="1.3757785467128028"/>
  </r>
  <r>
    <x v="49"/>
    <n v="2"/>
    <n v="2007"/>
    <n v="3.5916955017301042"/>
  </r>
  <r>
    <x v="49"/>
    <n v="2"/>
    <n v="2007"/>
    <n v="15.770934256055364"/>
  </r>
  <r>
    <x v="49"/>
    <n v="2"/>
    <n v="2007"/>
    <n v="11.199307958477508"/>
  </r>
  <r>
    <x v="49"/>
    <n v="2"/>
    <n v="2007"/>
    <n v="4.5889273356401388"/>
  </r>
  <r>
    <x v="49"/>
    <n v="2"/>
    <n v="2007"/>
    <n v="0"/>
  </r>
  <r>
    <x v="49"/>
    <n v="2"/>
    <n v="2007"/>
    <n v="0.80415224913494809"/>
  </r>
  <r>
    <x v="49"/>
    <n v="2"/>
    <n v="2007"/>
    <n v="0"/>
  </r>
  <r>
    <x v="49"/>
    <n v="2"/>
    <n v="2007"/>
    <n v="0.48788927335640137"/>
  </r>
  <r>
    <x v="49"/>
    <n v="2"/>
    <n v="2007"/>
    <n v="0.70311418685121108"/>
  </r>
  <r>
    <x v="49"/>
    <n v="2"/>
    <n v="2007"/>
    <n v="0"/>
  </r>
  <r>
    <x v="49"/>
    <n v="2"/>
    <n v="2007"/>
    <n v="3.7903114186851212"/>
  </r>
  <r>
    <x v="49"/>
    <n v="2"/>
    <n v="2007"/>
    <n v="3.490657439446367"/>
  </r>
  <r>
    <x v="49"/>
    <n v="2"/>
    <n v="2007"/>
    <n v="4.2006920415224913"/>
  </r>
  <r>
    <x v="49"/>
    <n v="2"/>
    <n v="2007"/>
    <n v="11.684429065743943"/>
  </r>
  <r>
    <x v="49"/>
    <n v="2"/>
    <n v="2007"/>
    <n v="1.5944636678200692"/>
  </r>
  <r>
    <x v="49"/>
    <n v="2"/>
    <n v="2007"/>
    <n v="2.8968858131487889"/>
  </r>
  <r>
    <x v="49"/>
    <n v="2"/>
    <n v="2007"/>
    <n v="1.0657439446366781"/>
  </r>
  <r>
    <x v="49"/>
    <n v="2"/>
    <n v="2007"/>
    <n v="0"/>
  </r>
  <r>
    <x v="49"/>
    <n v="2"/>
    <n v="2007"/>
    <n v="10.305190311418682"/>
  </r>
  <r>
    <x v="49"/>
    <n v="2"/>
    <n v="2007"/>
    <n v="1.5605536332179932"/>
  </r>
  <r>
    <x v="50"/>
    <n v="3"/>
    <n v="2007"/>
    <n v="1.0982698961937718"/>
  </r>
  <r>
    <x v="50"/>
    <n v="3"/>
    <n v="2007"/>
    <n v="0"/>
  </r>
  <r>
    <x v="50"/>
    <n v="3"/>
    <n v="2007"/>
    <n v="2.3224913494809694"/>
  </r>
  <r>
    <x v="50"/>
    <n v="3"/>
    <n v="2007"/>
    <n v="6.6117647058823525"/>
  </r>
  <r>
    <x v="50"/>
    <n v="3"/>
    <n v="2007"/>
    <n v="0.20207612456747406"/>
  </r>
  <r>
    <x v="50"/>
    <n v="3"/>
    <n v="2007"/>
    <n v="4.7425605536332185"/>
  </r>
  <r>
    <x v="50"/>
    <n v="3"/>
    <n v="2007"/>
    <n v="0"/>
  </r>
  <r>
    <x v="50"/>
    <n v="3"/>
    <n v="2007"/>
    <n v="0.33910034602076122"/>
  </r>
  <r>
    <x v="50"/>
    <n v="3"/>
    <n v="2007"/>
    <n v="1.8837370242214535"/>
  </r>
  <r>
    <x v="50"/>
    <n v="3"/>
    <n v="2007"/>
    <n v="0"/>
  </r>
  <r>
    <x v="50"/>
    <n v="3"/>
    <n v="2007"/>
    <n v="0"/>
  </r>
  <r>
    <x v="50"/>
    <n v="3"/>
    <n v="2007"/>
    <n v="0.22906574394463666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.92041522491349492"/>
  </r>
  <r>
    <x v="50"/>
    <n v="3"/>
    <n v="2007"/>
    <n v="1.7197231833910038"/>
  </r>
  <r>
    <x v="50"/>
    <n v="3"/>
    <n v="2007"/>
    <n v="3.0989619377162629"/>
  </r>
  <r>
    <x v="50"/>
    <n v="3"/>
    <n v="2007"/>
    <n v="2.8719723183391008"/>
  </r>
  <r>
    <x v="50"/>
    <n v="3"/>
    <n v="2007"/>
    <n v="2.0020761245674743"/>
  </r>
  <r>
    <x v="50"/>
    <n v="3"/>
    <n v="2007"/>
    <n v="1.7487889273356403"/>
  </r>
  <r>
    <x v="50"/>
    <n v="3"/>
    <n v="2007"/>
    <n v="2.8851211072664351"/>
  </r>
  <r>
    <x v="50"/>
    <n v="3"/>
    <n v="2007"/>
    <n v="0"/>
  </r>
  <r>
    <x v="50"/>
    <n v="3"/>
    <n v="2007"/>
    <n v="0.21107266435986161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1.0692041522491351"/>
  </r>
  <r>
    <x v="50"/>
    <n v="3"/>
    <n v="2007"/>
    <n v="0"/>
  </r>
  <r>
    <x v="50"/>
    <n v="3"/>
    <n v="2007"/>
    <n v="0"/>
  </r>
  <r>
    <x v="51"/>
    <n v="4"/>
    <n v="2007"/>
    <n v="0"/>
  </r>
  <r>
    <x v="51"/>
    <n v="4"/>
    <n v="2007"/>
    <n v="0"/>
  </r>
  <r>
    <x v="51"/>
    <n v="4"/>
    <n v="2007"/>
    <n v="0.27889273356401384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1.0844290657439448"/>
  </r>
  <r>
    <x v="51"/>
    <n v="4"/>
    <n v="2007"/>
    <n v="2.4429065743944633"/>
  </r>
  <r>
    <x v="51"/>
    <n v="4"/>
    <n v="2007"/>
    <n v="0"/>
  </r>
  <r>
    <x v="51"/>
    <n v="4"/>
    <n v="2007"/>
    <n v="0"/>
  </r>
  <r>
    <x v="51"/>
    <n v="4"/>
    <n v="2007"/>
    <n v="0.34394463667820069"/>
  </r>
  <r>
    <x v="51"/>
    <n v="4"/>
    <n v="2007"/>
    <n v="0.32802768166089968"/>
  </r>
  <r>
    <x v="51"/>
    <n v="4"/>
    <n v="2007"/>
    <n v="5.7031141868512103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.606228373702422"/>
  </r>
  <r>
    <x v="52"/>
    <n v="5"/>
    <n v="2007"/>
    <n v="1.0442906574394466"/>
  </r>
  <r>
    <x v="52"/>
    <n v="5"/>
    <n v="2007"/>
    <n v="1.7418685121107265"/>
  </r>
  <r>
    <x v="52"/>
    <n v="5"/>
    <n v="2007"/>
    <n v="3.0214532871972315"/>
  </r>
  <r>
    <x v="52"/>
    <n v="5"/>
    <n v="2007"/>
    <n v="3.2788927335640139"/>
  </r>
  <r>
    <x v="52"/>
    <n v="5"/>
    <n v="2007"/>
    <n v="6.5930795847750874"/>
  </r>
  <r>
    <x v="52"/>
    <n v="5"/>
    <n v="2007"/>
    <n v="3.7979238754325255"/>
  </r>
  <r>
    <x v="52"/>
    <n v="5"/>
    <n v="2007"/>
    <n v="6.2387543252595155"/>
  </r>
  <r>
    <x v="52"/>
    <n v="5"/>
    <n v="2007"/>
    <n v="2.348096885813149"/>
  </r>
  <r>
    <x v="52"/>
    <n v="5"/>
    <n v="2007"/>
    <n v="0.37716262975778547"/>
  </r>
  <r>
    <x v="52"/>
    <n v="5"/>
    <n v="2007"/>
    <n v="2.5058823529411764"/>
  </r>
  <r>
    <x v="52"/>
    <n v="5"/>
    <n v="2007"/>
    <n v="0.52110726643598615"/>
  </r>
  <r>
    <x v="52"/>
    <n v="5"/>
    <n v="2007"/>
    <n v="1.3653979238754324"/>
  </r>
  <r>
    <x v="52"/>
    <n v="5"/>
    <n v="2007"/>
    <n v="0.26505190311418686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1.2878892733564018"/>
  </r>
  <r>
    <x v="52"/>
    <n v="5"/>
    <n v="2007"/>
    <n v="0.46089965397923877"/>
  </r>
  <r>
    <x v="52"/>
    <n v="5"/>
    <n v="2007"/>
    <n v="8.3944636678200695"/>
  </r>
  <r>
    <x v="52"/>
    <n v="5"/>
    <n v="2007"/>
    <n v="5.7086505190311412"/>
  </r>
  <r>
    <x v="52"/>
    <n v="5"/>
    <n v="2007"/>
    <n v="0"/>
  </r>
  <r>
    <x v="53"/>
    <n v="6"/>
    <n v="2007"/>
    <n v="0"/>
  </r>
  <r>
    <x v="53"/>
    <n v="6"/>
    <n v="2007"/>
    <n v="0"/>
  </r>
  <r>
    <x v="53"/>
    <n v="6"/>
    <n v="2007"/>
    <n v="1.3494809688581315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2.3716262975778548"/>
  </r>
  <r>
    <x v="53"/>
    <n v="6"/>
    <n v="2007"/>
    <n v="17.994463667820071"/>
  </r>
  <r>
    <x v="53"/>
    <n v="6"/>
    <n v="2007"/>
    <n v="17.656747404844285"/>
  </r>
  <r>
    <x v="53"/>
    <n v="6"/>
    <n v="2007"/>
    <n v="3.4775086505190314"/>
  </r>
  <r>
    <x v="53"/>
    <n v="6"/>
    <n v="2007"/>
    <n v="7.1487889273356409"/>
  </r>
  <r>
    <x v="53"/>
    <n v="6"/>
    <n v="2007"/>
    <n v="4.4173010380622832"/>
  </r>
  <r>
    <x v="53"/>
    <n v="6"/>
    <n v="2007"/>
    <n v="0.70519031141868516"/>
  </r>
  <r>
    <x v="53"/>
    <n v="6"/>
    <n v="2007"/>
    <n v="0.35017301038062282"/>
  </r>
  <r>
    <x v="53"/>
    <n v="6"/>
    <n v="2007"/>
    <n v="0"/>
  </r>
  <r>
    <x v="53"/>
    <n v="6"/>
    <n v="2007"/>
    <n v="17.797231833910036"/>
  </r>
  <r>
    <x v="53"/>
    <n v="6"/>
    <n v="2007"/>
    <n v="0.9273356401384083"/>
  </r>
  <r>
    <x v="53"/>
    <n v="6"/>
    <n v="2007"/>
    <n v="0.75432525951557095"/>
  </r>
  <r>
    <x v="53"/>
    <n v="6"/>
    <n v="2007"/>
    <n v="15.337716262975778"/>
  </r>
  <r>
    <x v="53"/>
    <n v="6"/>
    <n v="2007"/>
    <n v="4.0816608996539792"/>
  </r>
  <r>
    <x v="53"/>
    <n v="6"/>
    <n v="2007"/>
    <n v="8.0505190311418691"/>
  </r>
  <r>
    <x v="53"/>
    <n v="6"/>
    <n v="2007"/>
    <n v="0.5591695501730104"/>
  </r>
  <r>
    <x v="53"/>
    <n v="6"/>
    <n v="2007"/>
    <n v="9.5058823529411782"/>
  </r>
  <r>
    <x v="53"/>
    <n v="6"/>
    <n v="2007"/>
    <n v="14.814532871972318"/>
  </r>
  <r>
    <x v="53"/>
    <n v="6"/>
    <n v="2007"/>
    <n v="1.3653979238754324"/>
  </r>
  <r>
    <x v="53"/>
    <n v="6"/>
    <n v="2007"/>
    <n v="4.8373702422145328"/>
  </r>
  <r>
    <x v="54"/>
    <n v="7"/>
    <n v="2007"/>
    <n v="6.7086505190311403"/>
  </r>
  <r>
    <x v="54"/>
    <n v="7"/>
    <n v="2007"/>
    <n v="3.9328719723183392"/>
  </r>
  <r>
    <x v="54"/>
    <n v="7"/>
    <n v="2007"/>
    <n v="6.3743944636678194"/>
  </r>
  <r>
    <x v="54"/>
    <n v="7"/>
    <n v="2007"/>
    <n v="0"/>
  </r>
  <r>
    <x v="54"/>
    <n v="7"/>
    <n v="2007"/>
    <n v="9.9785467128027676"/>
  </r>
  <r>
    <x v="54"/>
    <n v="7"/>
    <n v="2007"/>
    <n v="7.0608996539792397"/>
  </r>
  <r>
    <x v="54"/>
    <n v="7"/>
    <n v="2007"/>
    <n v="3.1294117647058823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.38754325259515571"/>
  </r>
  <r>
    <x v="54"/>
    <n v="7"/>
    <n v="2007"/>
    <n v="10.079584775086504"/>
  </r>
  <r>
    <x v="54"/>
    <n v="7"/>
    <n v="2007"/>
    <n v="0.4249134948096886"/>
  </r>
  <r>
    <x v="54"/>
    <n v="7"/>
    <n v="2007"/>
    <n v="3.6166089965397923"/>
  </r>
  <r>
    <x v="54"/>
    <n v="7"/>
    <n v="2007"/>
    <n v="7.3217993079584769"/>
  </r>
  <r>
    <x v="54"/>
    <n v="7"/>
    <n v="2007"/>
    <n v="0"/>
  </r>
  <r>
    <x v="54"/>
    <n v="7"/>
    <n v="2007"/>
    <n v="0"/>
  </r>
  <r>
    <x v="54"/>
    <n v="7"/>
    <n v="2007"/>
    <n v="1.8228373702422145"/>
  </r>
  <r>
    <x v="54"/>
    <n v="7"/>
    <n v="2007"/>
    <n v="1.3584775086505188"/>
  </r>
  <r>
    <x v="54"/>
    <n v="7"/>
    <n v="2007"/>
    <n v="4.9321799307958472"/>
  </r>
  <r>
    <x v="54"/>
    <n v="7"/>
    <n v="2007"/>
    <n v="1.3833910034602077"/>
  </r>
  <r>
    <x v="54"/>
    <n v="7"/>
    <n v="2007"/>
    <n v="0.22906574394463669"/>
  </r>
  <r>
    <x v="54"/>
    <n v="7"/>
    <n v="2007"/>
    <n v="0.3411764705882353"/>
  </r>
  <r>
    <x v="54"/>
    <n v="7"/>
    <n v="2007"/>
    <n v="0.97439446366782012"/>
  </r>
  <r>
    <x v="54"/>
    <n v="7"/>
    <n v="2007"/>
    <n v="8.0650519031141865"/>
  </r>
  <r>
    <x v="54"/>
    <n v="7"/>
    <n v="2007"/>
    <n v="0"/>
  </r>
  <r>
    <x v="54"/>
    <n v="7"/>
    <n v="2007"/>
    <n v="0"/>
  </r>
  <r>
    <x v="54"/>
    <n v="7"/>
    <n v="2007"/>
    <n v="0.85051903114186844"/>
  </r>
  <r>
    <x v="54"/>
    <n v="7"/>
    <n v="2007"/>
    <n v="0"/>
  </r>
  <r>
    <x v="54"/>
    <n v="7"/>
    <n v="2007"/>
    <n v="0"/>
  </r>
  <r>
    <x v="55"/>
    <n v="8"/>
    <n v="2007"/>
    <n v="0.76885813148788928"/>
  </r>
  <r>
    <x v="55"/>
    <n v="8"/>
    <n v="2007"/>
    <n v="0"/>
  </r>
  <r>
    <x v="55"/>
    <n v="8"/>
    <n v="2007"/>
    <n v="0"/>
  </r>
  <r>
    <x v="55"/>
    <n v="8"/>
    <n v="2007"/>
    <n v="2.6740484429065741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5799307958477515"/>
  </r>
  <r>
    <x v="55"/>
    <n v="8"/>
    <n v="2007"/>
    <n v="0.53010380622837383"/>
  </r>
  <r>
    <x v="55"/>
    <n v="8"/>
    <n v="2007"/>
    <n v="12.350173010380622"/>
  </r>
  <r>
    <x v="55"/>
    <n v="8"/>
    <n v="2007"/>
    <n v="5.2692041522491362"/>
  </r>
  <r>
    <x v="55"/>
    <n v="8"/>
    <n v="2007"/>
    <n v="0"/>
  </r>
  <r>
    <x v="55"/>
    <n v="8"/>
    <n v="2007"/>
    <n v="0"/>
  </r>
  <r>
    <x v="55"/>
    <n v="8"/>
    <n v="2007"/>
    <n v="7.7605536332179934"/>
  </r>
  <r>
    <x v="55"/>
    <n v="8"/>
    <n v="2007"/>
    <n v="3.4214532871972323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9391003460207612"/>
  </r>
  <r>
    <x v="55"/>
    <n v="8"/>
    <n v="2007"/>
    <n v="0"/>
  </r>
  <r>
    <x v="55"/>
    <n v="8"/>
    <n v="2007"/>
    <n v="0"/>
  </r>
  <r>
    <x v="55"/>
    <n v="8"/>
    <n v="2007"/>
    <n v="0"/>
  </r>
  <r>
    <x v="56"/>
    <n v="9"/>
    <n v="2007"/>
    <n v="0"/>
  </r>
  <r>
    <x v="56"/>
    <n v="9"/>
    <n v="2007"/>
    <n v="0.87612456747404843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1.4283737024221455"/>
  </r>
  <r>
    <x v="56"/>
    <n v="9"/>
    <n v="2007"/>
    <n v="0.9121107266435986"/>
  </r>
  <r>
    <x v="56"/>
    <n v="9"/>
    <n v="2007"/>
    <n v="0.43806228373702422"/>
  </r>
  <r>
    <x v="56"/>
    <n v="9"/>
    <n v="2007"/>
    <n v="0.55224913494809691"/>
  </r>
  <r>
    <x v="56"/>
    <n v="9"/>
    <n v="2007"/>
    <n v="0.62768166089965405"/>
  </r>
  <r>
    <x v="56"/>
    <n v="9"/>
    <n v="2007"/>
    <n v="2.2103806228373699"/>
  </r>
  <r>
    <x v="56"/>
    <n v="9"/>
    <n v="2007"/>
    <n v="0"/>
  </r>
  <r>
    <x v="56"/>
    <n v="9"/>
    <n v="2007"/>
    <n v="0.49411764705882355"/>
  </r>
  <r>
    <x v="56"/>
    <n v="9"/>
    <n v="2007"/>
    <n v="7.2968858131487897"/>
  </r>
  <r>
    <x v="56"/>
    <n v="9"/>
    <n v="2007"/>
    <n v="1.4996539792387542"/>
  </r>
  <r>
    <x v="56"/>
    <n v="9"/>
    <n v="2007"/>
    <n v="3.2906574394463668"/>
  </r>
  <r>
    <x v="56"/>
    <n v="9"/>
    <n v="2007"/>
    <n v="1.62560553633218"/>
  </r>
  <r>
    <x v="56"/>
    <n v="9"/>
    <n v="2007"/>
    <n v="1.9778546712802769"/>
  </r>
  <r>
    <x v="56"/>
    <n v="9"/>
    <n v="2007"/>
    <n v="5.1598615916955017"/>
  </r>
  <r>
    <x v="56"/>
    <n v="9"/>
    <n v="2007"/>
    <n v="0"/>
  </r>
  <r>
    <x v="57"/>
    <n v="10"/>
    <n v="2007"/>
    <n v="0"/>
  </r>
  <r>
    <x v="57"/>
    <n v="10"/>
    <n v="2007"/>
    <n v="0"/>
  </r>
  <r>
    <x v="57"/>
    <n v="10"/>
    <n v="2007"/>
    <n v="4.5411764705882351"/>
  </r>
  <r>
    <x v="57"/>
    <n v="10"/>
    <n v="2007"/>
    <n v="0.20899653979238755"/>
  </r>
  <r>
    <x v="57"/>
    <n v="10"/>
    <n v="2007"/>
    <n v="0"/>
  </r>
  <r>
    <x v="57"/>
    <n v="10"/>
    <n v="2007"/>
    <n v="0"/>
  </r>
  <r>
    <x v="57"/>
    <n v="10"/>
    <n v="2007"/>
    <n v="1.2858131487889273"/>
  </r>
  <r>
    <x v="57"/>
    <n v="10"/>
    <n v="2007"/>
    <n v="0"/>
  </r>
  <r>
    <x v="57"/>
    <n v="10"/>
    <n v="2007"/>
    <n v="9.777162629757786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1.2553633217993081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3.2027681660899652"/>
  </r>
  <r>
    <x v="57"/>
    <n v="10"/>
    <n v="2007"/>
    <n v="0"/>
  </r>
  <r>
    <x v="57"/>
    <n v="10"/>
    <n v="2007"/>
    <n v="0"/>
  </r>
  <r>
    <x v="57"/>
    <n v="10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20207612456747404"/>
  </r>
  <r>
    <x v="58"/>
    <n v="11"/>
    <n v="2007"/>
    <n v="0"/>
  </r>
  <r>
    <x v="58"/>
    <n v="11"/>
    <n v="2007"/>
    <n v="0"/>
  </r>
  <r>
    <x v="58"/>
    <n v="11"/>
    <n v="2007"/>
    <n v="0.6622837370242215"/>
  </r>
  <r>
    <x v="58"/>
    <n v="11"/>
    <n v="2007"/>
    <n v="0"/>
  </r>
  <r>
    <x v="58"/>
    <n v="11"/>
    <n v="2007"/>
    <n v="5.2692041522491344"/>
  </r>
  <r>
    <x v="58"/>
    <n v="11"/>
    <n v="2007"/>
    <n v="1.8269896193771629"/>
  </r>
  <r>
    <x v="58"/>
    <n v="11"/>
    <n v="2007"/>
    <n v="2.8173010380622832"/>
  </r>
  <r>
    <x v="58"/>
    <n v="11"/>
    <n v="2007"/>
    <n v="2.6934256055363326"/>
  </r>
  <r>
    <x v="58"/>
    <n v="11"/>
    <n v="2007"/>
    <n v="2.1391003460207614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11.013840830449825"/>
  </r>
  <r>
    <x v="58"/>
    <n v="11"/>
    <n v="2007"/>
    <n v="11.487889273356402"/>
  </r>
  <r>
    <x v="58"/>
    <n v="11"/>
    <n v="2007"/>
    <n v="9.7702422145328711"/>
  </r>
  <r>
    <x v="58"/>
    <n v="11"/>
    <n v="2007"/>
    <n v="8.3543252595155728"/>
  </r>
  <r>
    <x v="58"/>
    <n v="11"/>
    <n v="2007"/>
    <n v="2.1480968858131488"/>
  </r>
  <r>
    <x v="58"/>
    <n v="11"/>
    <n v="2007"/>
    <n v="0"/>
  </r>
  <r>
    <x v="58"/>
    <n v="11"/>
    <n v="2007"/>
    <n v="1.3764705882352943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81176470588235294"/>
  </r>
  <r>
    <x v="58"/>
    <n v="11"/>
    <n v="2007"/>
    <n v="1.0013840830449829"/>
  </r>
  <r>
    <x v="58"/>
    <n v="11"/>
    <n v="2007"/>
    <n v="10.937716262975778"/>
  </r>
  <r>
    <x v="59"/>
    <n v="12"/>
    <n v="2007"/>
    <n v="5.9771626297577862"/>
  </r>
  <r>
    <x v="59"/>
    <n v="12"/>
    <n v="2007"/>
    <n v="1.2083044982698963"/>
  </r>
  <r>
    <x v="59"/>
    <n v="12"/>
    <n v="2007"/>
    <n v="0"/>
  </r>
  <r>
    <x v="59"/>
    <n v="12"/>
    <n v="2007"/>
    <n v="0.22906574394463669"/>
  </r>
  <r>
    <x v="59"/>
    <n v="12"/>
    <n v="2007"/>
    <n v="3.5432525951557099"/>
  </r>
  <r>
    <x v="59"/>
    <n v="12"/>
    <n v="2007"/>
    <n v="1.5474048442906574"/>
  </r>
  <r>
    <x v="59"/>
    <n v="12"/>
    <n v="2007"/>
    <n v="0.4249134948096886"/>
  </r>
  <r>
    <x v="59"/>
    <n v="12"/>
    <n v="2007"/>
    <n v="10.337716262975778"/>
  </r>
  <r>
    <x v="59"/>
    <n v="12"/>
    <n v="2007"/>
    <n v="14.933564013840833"/>
  </r>
  <r>
    <x v="59"/>
    <n v="12"/>
    <n v="2007"/>
    <n v="3.5522491349480969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.60692041522491347"/>
  </r>
  <r>
    <x v="59"/>
    <n v="12"/>
    <n v="2007"/>
    <n v="0.31003460207612454"/>
  </r>
  <r>
    <x v="59"/>
    <n v="12"/>
    <n v="2007"/>
    <n v="2.1384083044982702"/>
  </r>
  <r>
    <x v="59"/>
    <n v="12"/>
    <n v="2007"/>
    <n v="1.0062283737024222"/>
  </r>
  <r>
    <x v="59"/>
    <n v="12"/>
    <n v="2007"/>
    <n v="0"/>
  </r>
  <r>
    <x v="59"/>
    <n v="12"/>
    <n v="2007"/>
    <n v="4.5266435986159168"/>
  </r>
  <r>
    <x v="59"/>
    <n v="12"/>
    <n v="2007"/>
    <n v="6.7522491349480962"/>
  </r>
  <r>
    <x v="59"/>
    <n v="12"/>
    <n v="2007"/>
    <n v="5.2913494809688579"/>
  </r>
  <r>
    <x v="59"/>
    <n v="12"/>
    <n v="2007"/>
    <n v="0.50519031141868509"/>
  </r>
  <r>
    <x v="59"/>
    <n v="12"/>
    <n v="2007"/>
    <n v="2.2283737024221453"/>
  </r>
  <r>
    <x v="60"/>
    <n v="1"/>
    <n v="2008"/>
    <n v="23.359169550173014"/>
  </r>
  <r>
    <x v="60"/>
    <n v="1"/>
    <n v="2008"/>
    <n v="2.8782006920415224"/>
  </r>
  <r>
    <x v="60"/>
    <n v="1"/>
    <n v="2008"/>
    <n v="0.76193771626297568"/>
  </r>
  <r>
    <x v="60"/>
    <n v="1"/>
    <n v="2008"/>
    <n v="13.386851211072665"/>
  </r>
  <r>
    <x v="60"/>
    <n v="1"/>
    <n v="2008"/>
    <n v="2.8961937716262973"/>
  </r>
  <r>
    <x v="60"/>
    <n v="1"/>
    <n v="2008"/>
    <n v="0.45605536332179936"/>
  </r>
  <r>
    <x v="60"/>
    <n v="1"/>
    <n v="2008"/>
    <n v="7.1993079584775082"/>
  </r>
  <r>
    <x v="60"/>
    <n v="1"/>
    <n v="2008"/>
    <n v="5.3494809688581313"/>
  </r>
  <r>
    <x v="60"/>
    <n v="1"/>
    <n v="2008"/>
    <n v="0.55017301038062283"/>
  </r>
  <r>
    <x v="60"/>
    <n v="1"/>
    <n v="2008"/>
    <n v="10.35363321799308"/>
  </r>
  <r>
    <x v="60"/>
    <n v="1"/>
    <n v="2008"/>
    <n v="0"/>
  </r>
  <r>
    <x v="60"/>
    <n v="1"/>
    <n v="2008"/>
    <n v="0.91211072664359882"/>
  </r>
  <r>
    <x v="60"/>
    <n v="1"/>
    <n v="2008"/>
    <n v="3.4173010380622837"/>
  </r>
  <r>
    <x v="60"/>
    <n v="1"/>
    <n v="2008"/>
    <n v="5.6408304498269892"/>
  </r>
  <r>
    <x v="60"/>
    <n v="1"/>
    <n v="2008"/>
    <n v="5.3480968858131481"/>
  </r>
  <r>
    <x v="60"/>
    <n v="1"/>
    <n v="2008"/>
    <n v="0.79238754325259508"/>
  </r>
  <r>
    <x v="60"/>
    <n v="1"/>
    <n v="2008"/>
    <n v="2.8228373702422145"/>
  </r>
  <r>
    <x v="60"/>
    <n v="1"/>
    <n v="2008"/>
    <n v="3.3287197231833909"/>
  </r>
  <r>
    <x v="60"/>
    <n v="1"/>
    <n v="2008"/>
    <n v="1.7321799307958479"/>
  </r>
  <r>
    <x v="60"/>
    <n v="1"/>
    <n v="2008"/>
    <n v="1.2256055363321796"/>
  </r>
  <r>
    <x v="60"/>
    <n v="1"/>
    <n v="2008"/>
    <n v="16.321107266435988"/>
  </r>
  <r>
    <x v="60"/>
    <n v="1"/>
    <n v="2008"/>
    <n v="9.1314878892733571"/>
  </r>
  <r>
    <x v="60"/>
    <n v="1"/>
    <n v="2008"/>
    <n v="3.4519031141868517"/>
  </r>
  <r>
    <x v="60"/>
    <n v="1"/>
    <n v="2008"/>
    <n v="0.67820069204152256"/>
  </r>
  <r>
    <x v="60"/>
    <n v="1"/>
    <n v="2008"/>
    <n v="0.45813148788927338"/>
  </r>
  <r>
    <x v="60"/>
    <n v="1"/>
    <n v="2008"/>
    <n v="1.3875432525951557"/>
  </r>
  <r>
    <x v="60"/>
    <n v="1"/>
    <n v="2008"/>
    <n v="0"/>
  </r>
  <r>
    <x v="60"/>
    <n v="1"/>
    <n v="2008"/>
    <n v="0"/>
  </r>
  <r>
    <x v="60"/>
    <n v="1"/>
    <n v="2008"/>
    <n v="3.5100346020761242"/>
  </r>
  <r>
    <x v="60"/>
    <n v="1"/>
    <n v="2008"/>
    <n v="0"/>
  </r>
  <r>
    <x v="60"/>
    <n v="1"/>
    <n v="2008"/>
    <n v="10.263667820069202"/>
  </r>
  <r>
    <x v="61"/>
    <n v="2"/>
    <n v="2008"/>
    <n v="4.0346020761245676"/>
  </r>
  <r>
    <x v="61"/>
    <n v="2"/>
    <n v="2008"/>
    <n v="3.999307958477508"/>
  </r>
  <r>
    <x v="61"/>
    <n v="2"/>
    <n v="2008"/>
    <n v="0"/>
  </r>
  <r>
    <x v="61"/>
    <n v="2"/>
    <n v="2008"/>
    <n v="1.4705882352941178"/>
  </r>
  <r>
    <x v="61"/>
    <n v="2"/>
    <n v="2008"/>
    <n v="3.5847750865051902"/>
  </r>
  <r>
    <x v="61"/>
    <n v="2"/>
    <n v="2008"/>
    <n v="0"/>
  </r>
  <r>
    <x v="61"/>
    <n v="2"/>
    <n v="2008"/>
    <n v="0.50311418685121101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1.0283737024221453"/>
  </r>
  <r>
    <x v="61"/>
    <n v="2"/>
    <n v="2008"/>
    <n v="4.2726643598615919"/>
  </r>
  <r>
    <x v="61"/>
    <n v="2"/>
    <n v="2008"/>
    <n v="0"/>
  </r>
  <r>
    <x v="61"/>
    <n v="2"/>
    <n v="2008"/>
    <n v="1.3335640138408305"/>
  </r>
  <r>
    <x v="61"/>
    <n v="2"/>
    <n v="2008"/>
    <n v="1.5245674740484427"/>
  </r>
  <r>
    <x v="61"/>
    <n v="2"/>
    <n v="2008"/>
    <n v="0.59515570934256057"/>
  </r>
  <r>
    <x v="61"/>
    <n v="2"/>
    <n v="2008"/>
    <n v="0"/>
  </r>
  <r>
    <x v="61"/>
    <n v="2"/>
    <n v="2008"/>
    <n v="0"/>
  </r>
  <r>
    <x v="61"/>
    <n v="2"/>
    <n v="2008"/>
    <n v="9.1889273356401393"/>
  </r>
  <r>
    <x v="62"/>
    <n v="3"/>
    <n v="2008"/>
    <n v="1.1833910034602078"/>
  </r>
  <r>
    <x v="62"/>
    <n v="3"/>
    <n v="2008"/>
    <n v="0.72525951557093427"/>
  </r>
  <r>
    <x v="62"/>
    <n v="3"/>
    <n v="2008"/>
    <n v="0.41314878892733564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0.94325259515570936"/>
  </r>
  <r>
    <x v="62"/>
    <n v="3"/>
    <n v="2008"/>
    <n v="8.1231833910034599"/>
  </r>
  <r>
    <x v="62"/>
    <n v="3"/>
    <n v="2008"/>
    <n v="0.24705882352941178"/>
  </r>
  <r>
    <x v="62"/>
    <n v="3"/>
    <n v="2008"/>
    <n v="6.1259515570934253"/>
  </r>
  <r>
    <x v="62"/>
    <n v="3"/>
    <n v="2008"/>
    <n v="1.9238754325259517"/>
  </r>
  <r>
    <x v="62"/>
    <n v="3"/>
    <n v="2008"/>
    <n v="2.9038062283737021"/>
  </r>
  <r>
    <x v="62"/>
    <n v="3"/>
    <n v="2008"/>
    <n v="1.9377162629757785"/>
  </r>
  <r>
    <x v="62"/>
    <n v="3"/>
    <n v="2008"/>
    <n v="0"/>
  </r>
  <r>
    <x v="62"/>
    <n v="3"/>
    <n v="2008"/>
    <n v="1.8961937716262975"/>
  </r>
  <r>
    <x v="62"/>
    <n v="3"/>
    <n v="2008"/>
    <n v="0.70311418685121108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5.2643598615916947"/>
  </r>
  <r>
    <x v="62"/>
    <n v="3"/>
    <n v="2008"/>
    <n v="3.652595155709343"/>
  </r>
  <r>
    <x v="62"/>
    <n v="3"/>
    <n v="2008"/>
    <n v="10.750173010380623"/>
  </r>
  <r>
    <x v="62"/>
    <n v="3"/>
    <n v="2008"/>
    <n v="0.63944636678200684"/>
  </r>
  <r>
    <x v="62"/>
    <n v="3"/>
    <n v="2008"/>
    <n v="0.3640138408304498"/>
  </r>
  <r>
    <x v="62"/>
    <n v="3"/>
    <n v="2008"/>
    <n v="0"/>
  </r>
  <r>
    <x v="62"/>
    <n v="3"/>
    <n v="2008"/>
    <n v="0.68512110726643605"/>
  </r>
  <r>
    <x v="62"/>
    <n v="3"/>
    <n v="2008"/>
    <n v="1.585467128027682"/>
  </r>
  <r>
    <x v="62"/>
    <n v="3"/>
    <n v="2008"/>
    <n v="5.7750865051903117"/>
  </r>
  <r>
    <x v="62"/>
    <n v="3"/>
    <n v="2008"/>
    <n v="4.9709342560553633"/>
  </r>
  <r>
    <x v="62"/>
    <n v="3"/>
    <n v="2008"/>
    <n v="5.0685121107266449"/>
  </r>
  <r>
    <x v="62"/>
    <n v="3"/>
    <n v="2008"/>
    <n v="0.28512110726643602"/>
  </r>
  <r>
    <x v="63"/>
    <n v="4"/>
    <n v="2008"/>
    <n v="2.3923875432525952"/>
  </r>
  <r>
    <x v="63"/>
    <n v="4"/>
    <n v="2008"/>
    <n v="0"/>
  </r>
  <r>
    <x v="63"/>
    <n v="4"/>
    <n v="2008"/>
    <n v="0"/>
  </r>
  <r>
    <x v="63"/>
    <n v="4"/>
    <n v="2008"/>
    <n v="1.0955017301038064"/>
  </r>
  <r>
    <x v="63"/>
    <n v="4"/>
    <n v="2008"/>
    <n v="5.4726643598615912"/>
  </r>
  <r>
    <x v="63"/>
    <n v="4"/>
    <n v="2008"/>
    <n v="9.7868512110726638"/>
  </r>
  <r>
    <x v="63"/>
    <n v="4"/>
    <n v="2008"/>
    <n v="4.2408304498269898"/>
  </r>
  <r>
    <x v="63"/>
    <n v="4"/>
    <n v="2008"/>
    <n v="4.1204152249134953"/>
  </r>
  <r>
    <x v="63"/>
    <n v="4"/>
    <n v="2008"/>
    <n v="0.88166089965397931"/>
  </r>
  <r>
    <x v="63"/>
    <n v="4"/>
    <n v="2008"/>
    <n v="4.222837370242214"/>
  </r>
  <r>
    <x v="63"/>
    <n v="4"/>
    <n v="2008"/>
    <n v="18.722491349480968"/>
  </r>
  <r>
    <x v="63"/>
    <n v="4"/>
    <n v="2008"/>
    <n v="1.7896193771626301"/>
  </r>
  <r>
    <x v="63"/>
    <n v="4"/>
    <n v="2008"/>
    <n v="0"/>
  </r>
  <r>
    <x v="63"/>
    <n v="4"/>
    <n v="2008"/>
    <n v="1.4512110726643599"/>
  </r>
  <r>
    <x v="63"/>
    <n v="4"/>
    <n v="2008"/>
    <n v="4.6401384083044981"/>
  </r>
  <r>
    <x v="63"/>
    <n v="4"/>
    <n v="2008"/>
    <n v="0.5017301038062284"/>
  </r>
  <r>
    <x v="63"/>
    <n v="4"/>
    <n v="2008"/>
    <n v="9.4186851211072664"/>
  </r>
  <r>
    <x v="63"/>
    <n v="4"/>
    <n v="2008"/>
    <n v="2.2588235294117642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1.2913494809688584"/>
  </r>
  <r>
    <x v="63"/>
    <n v="4"/>
    <n v="2008"/>
    <n v="0.33910034602076122"/>
  </r>
  <r>
    <x v="63"/>
    <n v="4"/>
    <n v="2008"/>
    <n v="0.32387543252595158"/>
  </r>
  <r>
    <x v="63"/>
    <n v="4"/>
    <n v="2008"/>
    <n v="0"/>
  </r>
  <r>
    <x v="63"/>
    <n v="4"/>
    <n v="2008"/>
    <n v="14.196539792387544"/>
  </r>
  <r>
    <x v="63"/>
    <n v="4"/>
    <n v="2008"/>
    <n v="3.8262975778546711"/>
  </r>
  <r>
    <x v="63"/>
    <n v="4"/>
    <n v="2008"/>
    <n v="0.25813148788927337"/>
  </r>
  <r>
    <x v="63"/>
    <n v="4"/>
    <n v="2008"/>
    <n v="20.675432525951557"/>
  </r>
  <r>
    <x v="64"/>
    <n v="5"/>
    <n v="2008"/>
    <n v="1.7231833910034602"/>
  </r>
  <r>
    <x v="64"/>
    <n v="5"/>
    <n v="2008"/>
    <n v="0"/>
  </r>
  <r>
    <x v="64"/>
    <n v="5"/>
    <n v="2008"/>
    <n v="0"/>
  </r>
  <r>
    <x v="64"/>
    <n v="5"/>
    <n v="2008"/>
    <n v="10.40415224913494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7612456747404845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9550173010380623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0207612456747404"/>
  </r>
  <r>
    <x v="64"/>
    <n v="5"/>
    <n v="2008"/>
    <n v="2.6477508650519033"/>
  </r>
  <r>
    <x v="64"/>
    <n v="5"/>
    <n v="2008"/>
    <n v="0.42076124567474044"/>
  </r>
  <r>
    <x v="64"/>
    <n v="5"/>
    <n v="2008"/>
    <n v="7.2380622837370243"/>
  </r>
  <r>
    <x v="64"/>
    <n v="5"/>
    <n v="2008"/>
    <n v="0"/>
  </r>
  <r>
    <x v="65"/>
    <n v="6"/>
    <n v="2008"/>
    <n v="6.7840830449826992"/>
  </r>
  <r>
    <x v="65"/>
    <n v="6"/>
    <n v="2008"/>
    <n v="0"/>
  </r>
  <r>
    <x v="65"/>
    <n v="6"/>
    <n v="2008"/>
    <n v="10.723875432525949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0.61384083044982707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5.6505190311418687"/>
  </r>
  <r>
    <x v="65"/>
    <n v="6"/>
    <n v="2008"/>
    <n v="0.27889273356401378"/>
  </r>
  <r>
    <x v="65"/>
    <n v="6"/>
    <n v="2008"/>
    <n v="0.76747404844290656"/>
  </r>
  <r>
    <x v="65"/>
    <n v="6"/>
    <n v="2008"/>
    <n v="0.21107266435986158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10.148788927335639"/>
  </r>
  <r>
    <x v="65"/>
    <n v="6"/>
    <n v="2008"/>
    <n v="2.966782006920416"/>
  </r>
  <r>
    <x v="65"/>
    <n v="6"/>
    <n v="2008"/>
    <n v="0.81522491349480974"/>
  </r>
  <r>
    <x v="65"/>
    <n v="6"/>
    <n v="2008"/>
    <n v="18.698269896193771"/>
  </r>
  <r>
    <x v="65"/>
    <n v="6"/>
    <n v="2008"/>
    <n v="7.4269896193771636"/>
  </r>
  <r>
    <x v="65"/>
    <n v="6"/>
    <n v="2008"/>
    <n v="1.1501730103806231"/>
  </r>
  <r>
    <x v="65"/>
    <n v="6"/>
    <n v="2008"/>
    <n v="5.0961937716262975"/>
  </r>
  <r>
    <x v="65"/>
    <n v="6"/>
    <n v="2008"/>
    <n v="1.9017301038062282"/>
  </r>
  <r>
    <x v="65"/>
    <n v="6"/>
    <n v="2008"/>
    <n v="2.5169550173010382"/>
  </r>
  <r>
    <x v="65"/>
    <n v="6"/>
    <n v="2008"/>
    <n v="4.3743944636678203"/>
  </r>
  <r>
    <x v="65"/>
    <n v="6"/>
    <n v="2008"/>
    <n v="0"/>
  </r>
  <r>
    <x v="65"/>
    <n v="6"/>
    <n v="2008"/>
    <n v="0.68027681660899653"/>
  </r>
  <r>
    <x v="65"/>
    <n v="6"/>
    <n v="2008"/>
    <n v="0"/>
  </r>
  <r>
    <x v="66"/>
    <n v="7"/>
    <n v="2008"/>
    <n v="1.8193771626297579"/>
  </r>
  <r>
    <x v="66"/>
    <n v="7"/>
    <n v="2008"/>
    <n v="2.027681660899654"/>
  </r>
  <r>
    <x v="66"/>
    <n v="7"/>
    <n v="2008"/>
    <n v="0.79100346020761247"/>
  </r>
  <r>
    <x v="66"/>
    <n v="7"/>
    <n v="2008"/>
    <n v="0"/>
  </r>
  <r>
    <x v="66"/>
    <n v="7"/>
    <n v="2008"/>
    <n v="14.533564013840829"/>
  </r>
  <r>
    <x v="66"/>
    <n v="7"/>
    <n v="2008"/>
    <n v="1.0865051903114189"/>
  </r>
  <r>
    <x v="66"/>
    <n v="7"/>
    <n v="2008"/>
    <n v="6.7058823529411766"/>
  </r>
  <r>
    <x v="66"/>
    <n v="7"/>
    <n v="2008"/>
    <n v="0.94809688581314866"/>
  </r>
  <r>
    <x v="66"/>
    <n v="7"/>
    <n v="2008"/>
    <n v="7.9564013840830441"/>
  </r>
  <r>
    <x v="66"/>
    <n v="7"/>
    <n v="2008"/>
    <n v="18.829757785467134"/>
  </r>
  <r>
    <x v="66"/>
    <n v="7"/>
    <n v="2008"/>
    <n v="4.5114186851211064"/>
  </r>
  <r>
    <x v="66"/>
    <n v="7"/>
    <n v="2008"/>
    <n v="1.1155709342560554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6.8"/>
  </r>
  <r>
    <x v="66"/>
    <n v="7"/>
    <n v="2008"/>
    <n v="1.6435986159169549"/>
  </r>
  <r>
    <x v="66"/>
    <n v="7"/>
    <n v="2008"/>
    <n v="2.3363321799307957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11.698961937716263"/>
  </r>
  <r>
    <x v="67"/>
    <n v="8"/>
    <n v="2008"/>
    <n v="21.826989619377159"/>
  </r>
  <r>
    <x v="67"/>
    <n v="8"/>
    <n v="2008"/>
    <n v="2.3342560553633223"/>
  </r>
  <r>
    <x v="67"/>
    <n v="8"/>
    <n v="2008"/>
    <n v="0.49273356401384083"/>
  </r>
  <r>
    <x v="67"/>
    <n v="8"/>
    <n v="2008"/>
    <n v="5.7107266435986155"/>
  </r>
  <r>
    <x v="67"/>
    <n v="8"/>
    <n v="2008"/>
    <n v="1.273356401384083"/>
  </r>
  <r>
    <x v="67"/>
    <n v="8"/>
    <n v="2008"/>
    <n v="11.913494809688581"/>
  </r>
  <r>
    <x v="67"/>
    <n v="8"/>
    <n v="2008"/>
    <n v="3.4429065743944638"/>
  </r>
  <r>
    <x v="67"/>
    <n v="8"/>
    <n v="2008"/>
    <n v="0.42768166089965398"/>
  </r>
  <r>
    <x v="67"/>
    <n v="8"/>
    <n v="2008"/>
    <n v="5.8941176470588239"/>
  </r>
  <r>
    <x v="67"/>
    <n v="8"/>
    <n v="2008"/>
    <n v="5.9480968858131495"/>
  </r>
  <r>
    <x v="67"/>
    <n v="8"/>
    <n v="2008"/>
    <n v="0.65121107266435985"/>
  </r>
  <r>
    <x v="67"/>
    <n v="8"/>
    <n v="2008"/>
    <n v="4.7965397923875432"/>
  </r>
  <r>
    <x v="67"/>
    <n v="8"/>
    <n v="2008"/>
    <n v="21.229757785467125"/>
  </r>
  <r>
    <x v="67"/>
    <n v="8"/>
    <n v="2008"/>
    <n v="4.2262975778546714"/>
  </r>
  <r>
    <x v="67"/>
    <n v="8"/>
    <n v="2008"/>
    <n v="0"/>
  </r>
  <r>
    <x v="67"/>
    <n v="8"/>
    <n v="2008"/>
    <n v="0.93633217993079598"/>
  </r>
  <r>
    <x v="67"/>
    <n v="8"/>
    <n v="2008"/>
    <n v="8.0103806228373688"/>
  </r>
  <r>
    <x v="67"/>
    <n v="8"/>
    <n v="2008"/>
    <n v="5.5840830449826973"/>
  </r>
  <r>
    <x v="67"/>
    <n v="8"/>
    <n v="2008"/>
    <n v="6.2830449826989607"/>
  </r>
  <r>
    <x v="67"/>
    <n v="8"/>
    <n v="2008"/>
    <n v="4.0290657439446376"/>
  </r>
  <r>
    <x v="67"/>
    <n v="8"/>
    <n v="2008"/>
    <n v="0.20207612456747406"/>
  </r>
  <r>
    <x v="67"/>
    <n v="8"/>
    <n v="2008"/>
    <n v="3.956401384083045"/>
  </r>
  <r>
    <x v="67"/>
    <n v="8"/>
    <n v="2008"/>
    <n v="0"/>
  </r>
  <r>
    <x v="67"/>
    <n v="8"/>
    <n v="2008"/>
    <n v="0.83529411764705885"/>
  </r>
  <r>
    <x v="67"/>
    <n v="8"/>
    <n v="2008"/>
    <n v="1.1564013840830449"/>
  </r>
  <r>
    <x v="67"/>
    <n v="8"/>
    <n v="2008"/>
    <n v="1.0193771626297579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1.7854671280276819"/>
  </r>
  <r>
    <x v="68"/>
    <n v="9"/>
    <n v="2008"/>
    <n v="0"/>
  </r>
  <r>
    <x v="68"/>
    <n v="9"/>
    <n v="2008"/>
    <n v="2.568166089965398"/>
  </r>
  <r>
    <x v="68"/>
    <n v="9"/>
    <n v="2008"/>
    <n v="6.5958477508650528"/>
  </r>
  <r>
    <x v="68"/>
    <n v="9"/>
    <n v="2008"/>
    <n v="0.43460207612456747"/>
  </r>
  <r>
    <x v="68"/>
    <n v="9"/>
    <n v="2008"/>
    <n v="31.366782006920417"/>
  </r>
  <r>
    <x v="68"/>
    <n v="9"/>
    <n v="2008"/>
    <n v="79.879584775086514"/>
  </r>
  <r>
    <x v="68"/>
    <n v="9"/>
    <n v="2008"/>
    <n v="12.582698961937716"/>
  </r>
  <r>
    <x v="68"/>
    <n v="9"/>
    <n v="2008"/>
    <n v="0.27197231833910035"/>
  </r>
  <r>
    <x v="68"/>
    <n v="9"/>
    <n v="2008"/>
    <n v="8.253979238754324"/>
  </r>
  <r>
    <x v="68"/>
    <n v="9"/>
    <n v="2008"/>
    <n v="0"/>
  </r>
  <r>
    <x v="68"/>
    <n v="9"/>
    <n v="2008"/>
    <n v="0.43806228373702427"/>
  </r>
  <r>
    <x v="68"/>
    <n v="9"/>
    <n v="2008"/>
    <n v="8.1356401384083039"/>
  </r>
  <r>
    <x v="68"/>
    <n v="9"/>
    <n v="2008"/>
    <n v="6.1266435986159182"/>
  </r>
  <r>
    <x v="68"/>
    <n v="9"/>
    <n v="2008"/>
    <n v="0"/>
  </r>
  <r>
    <x v="68"/>
    <n v="9"/>
    <n v="2008"/>
    <n v="0.4830449826989619"/>
  </r>
  <r>
    <x v="68"/>
    <n v="9"/>
    <n v="2008"/>
    <n v="4.5937716262975776"/>
  </r>
  <r>
    <x v="68"/>
    <n v="9"/>
    <n v="2008"/>
    <n v="0.81591695501730099"/>
  </r>
  <r>
    <x v="68"/>
    <n v="9"/>
    <n v="2008"/>
    <n v="0"/>
  </r>
  <r>
    <x v="68"/>
    <n v="9"/>
    <n v="2008"/>
    <n v="0.88927335640138405"/>
  </r>
  <r>
    <x v="68"/>
    <n v="9"/>
    <n v="2008"/>
    <n v="0"/>
  </r>
  <r>
    <x v="68"/>
    <n v="9"/>
    <n v="2008"/>
    <n v="0"/>
  </r>
  <r>
    <x v="68"/>
    <n v="9"/>
    <n v="2008"/>
    <n v="1.1370242214532873"/>
  </r>
  <r>
    <x v="68"/>
    <n v="9"/>
    <n v="2008"/>
    <n v="1.2422145328719725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.20207612456747406"/>
  </r>
  <r>
    <x v="68"/>
    <n v="9"/>
    <n v="2008"/>
    <n v="0.74325259515570929"/>
  </r>
  <r>
    <x v="68"/>
    <n v="9"/>
    <n v="2008"/>
    <n v="6.0844290657439455"/>
  </r>
  <r>
    <x v="69"/>
    <n v="10"/>
    <n v="2008"/>
    <n v="2.7425605536332176"/>
  </r>
  <r>
    <x v="69"/>
    <n v="10"/>
    <n v="2008"/>
    <n v="6.5702422145328727"/>
  </r>
  <r>
    <x v="69"/>
    <n v="10"/>
    <n v="2008"/>
    <n v="0"/>
  </r>
  <r>
    <x v="69"/>
    <n v="10"/>
    <n v="2008"/>
    <n v="6.1217993079584776"/>
  </r>
  <r>
    <x v="69"/>
    <n v="10"/>
    <n v="2008"/>
    <n v="0"/>
  </r>
  <r>
    <x v="69"/>
    <n v="10"/>
    <n v="2008"/>
    <n v="0"/>
  </r>
  <r>
    <x v="69"/>
    <n v="10"/>
    <n v="2008"/>
    <n v="2.5418685121107272"/>
  </r>
  <r>
    <x v="69"/>
    <n v="10"/>
    <n v="2008"/>
    <n v="0"/>
  </r>
  <r>
    <x v="69"/>
    <n v="10"/>
    <n v="2008"/>
    <n v="0.33148788927335637"/>
  </r>
  <r>
    <x v="69"/>
    <n v="10"/>
    <n v="2008"/>
    <n v="6.374394463667819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7.6131487889273348"/>
  </r>
  <r>
    <x v="69"/>
    <n v="10"/>
    <n v="2008"/>
    <n v="0"/>
  </r>
  <r>
    <x v="69"/>
    <n v="10"/>
    <n v="2008"/>
    <n v="0"/>
  </r>
  <r>
    <x v="69"/>
    <n v="10"/>
    <n v="2008"/>
    <n v="1.5799307958477509"/>
  </r>
  <r>
    <x v="69"/>
    <n v="10"/>
    <n v="2008"/>
    <n v="2.9619377162629759"/>
  </r>
  <r>
    <x v="69"/>
    <n v="10"/>
    <n v="2008"/>
    <n v="0.21107266435986161"/>
  </r>
  <r>
    <x v="69"/>
    <n v="10"/>
    <n v="2008"/>
    <n v="2.9667820069204152"/>
  </r>
  <r>
    <x v="69"/>
    <n v="10"/>
    <n v="2008"/>
    <n v="1.0062283737024222"/>
  </r>
  <r>
    <x v="69"/>
    <n v="10"/>
    <n v="2008"/>
    <n v="0"/>
  </r>
  <r>
    <x v="69"/>
    <n v="10"/>
    <n v="2008"/>
    <n v="0.23598615916955018"/>
  </r>
  <r>
    <x v="69"/>
    <n v="10"/>
    <n v="2008"/>
    <n v="0"/>
  </r>
  <r>
    <x v="69"/>
    <n v="10"/>
    <n v="2008"/>
    <n v="2.966089965397924"/>
  </r>
  <r>
    <x v="69"/>
    <n v="10"/>
    <n v="2008"/>
    <n v="5.376470588235295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2.341868512110727"/>
  </r>
  <r>
    <x v="69"/>
    <n v="10"/>
    <n v="2008"/>
    <n v="12.966782006920416"/>
  </r>
  <r>
    <x v="70"/>
    <n v="11"/>
    <n v="2008"/>
    <n v="1.8671280276816609"/>
  </r>
  <r>
    <x v="70"/>
    <n v="11"/>
    <n v="2008"/>
    <n v="0"/>
  </r>
  <r>
    <x v="70"/>
    <n v="11"/>
    <n v="2008"/>
    <n v="0.67128027681660907"/>
  </r>
  <r>
    <x v="70"/>
    <n v="11"/>
    <n v="2008"/>
    <n v="0"/>
  </r>
  <r>
    <x v="70"/>
    <n v="11"/>
    <n v="2008"/>
    <n v="1.152249134948097"/>
  </r>
  <r>
    <x v="70"/>
    <n v="11"/>
    <n v="2008"/>
    <n v="4.9591695501730104"/>
  </r>
  <r>
    <x v="70"/>
    <n v="11"/>
    <n v="2008"/>
    <n v="1.0470588235294118"/>
  </r>
  <r>
    <x v="70"/>
    <n v="11"/>
    <n v="2008"/>
    <n v="4.1280276816608996"/>
  </r>
  <r>
    <x v="70"/>
    <n v="11"/>
    <n v="2008"/>
    <n v="12.238754325259515"/>
  </r>
  <r>
    <x v="70"/>
    <n v="11"/>
    <n v="2008"/>
    <n v="5.7342560553633213"/>
  </r>
  <r>
    <x v="70"/>
    <n v="11"/>
    <n v="2008"/>
    <n v="1.3425605536332179"/>
  </r>
  <r>
    <x v="70"/>
    <n v="11"/>
    <n v="2008"/>
    <n v="0"/>
  </r>
  <r>
    <x v="70"/>
    <n v="11"/>
    <n v="2008"/>
    <n v="2.4823529411764707"/>
  </r>
  <r>
    <x v="70"/>
    <n v="11"/>
    <n v="2008"/>
    <n v="0"/>
  </r>
  <r>
    <x v="70"/>
    <n v="11"/>
    <n v="2008"/>
    <n v="1.1003460207612457"/>
  </r>
  <r>
    <x v="70"/>
    <n v="11"/>
    <n v="2008"/>
    <n v="0"/>
  </r>
  <r>
    <x v="70"/>
    <n v="11"/>
    <n v="2008"/>
    <n v="2.4802768166089963"/>
  </r>
  <r>
    <x v="70"/>
    <n v="11"/>
    <n v="2008"/>
    <n v="1.0041522491349482"/>
  </r>
  <r>
    <x v="70"/>
    <n v="11"/>
    <n v="2008"/>
    <n v="0"/>
  </r>
  <r>
    <x v="70"/>
    <n v="11"/>
    <n v="2008"/>
    <n v="0"/>
  </r>
  <r>
    <x v="70"/>
    <n v="11"/>
    <n v="2008"/>
    <n v="1.2588235294117647"/>
  </r>
  <r>
    <x v="70"/>
    <n v="11"/>
    <n v="2008"/>
    <n v="0"/>
  </r>
  <r>
    <x v="70"/>
    <n v="11"/>
    <n v="2008"/>
    <n v="2.9833910034602078"/>
  </r>
  <r>
    <x v="70"/>
    <n v="11"/>
    <n v="2008"/>
    <n v="7.0221453287197244"/>
  </r>
  <r>
    <x v="70"/>
    <n v="11"/>
    <n v="2008"/>
    <n v="0.87058823529411766"/>
  </r>
  <r>
    <x v="70"/>
    <n v="11"/>
    <n v="2008"/>
    <n v="0.34602076124567471"/>
  </r>
  <r>
    <x v="70"/>
    <n v="11"/>
    <n v="2008"/>
    <n v="1.3494809688581315"/>
  </r>
  <r>
    <x v="70"/>
    <n v="11"/>
    <n v="2008"/>
    <n v="1.5494809688581317"/>
  </r>
  <r>
    <x v="70"/>
    <n v="11"/>
    <n v="2008"/>
    <n v="0"/>
  </r>
  <r>
    <x v="70"/>
    <n v="11"/>
    <n v="2008"/>
    <n v="0"/>
  </r>
  <r>
    <x v="71"/>
    <n v="12"/>
    <n v="2008"/>
    <n v="5.2657439446366778"/>
  </r>
  <r>
    <x v="71"/>
    <n v="12"/>
    <n v="2008"/>
    <n v="0.54186851211072662"/>
  </r>
  <r>
    <x v="71"/>
    <n v="12"/>
    <n v="2008"/>
    <n v="0.7820069204152249"/>
  </r>
  <r>
    <x v="71"/>
    <n v="12"/>
    <n v="2008"/>
    <n v="2.8823529411764701"/>
  </r>
  <r>
    <x v="71"/>
    <n v="12"/>
    <n v="2008"/>
    <n v="7.8643598615916943"/>
  </r>
  <r>
    <x v="71"/>
    <n v="12"/>
    <n v="2008"/>
    <n v="0.73079584775086492"/>
  </r>
  <r>
    <x v="71"/>
    <n v="12"/>
    <n v="2008"/>
    <n v="0.35017301038062287"/>
  </r>
  <r>
    <x v="71"/>
    <n v="12"/>
    <n v="2008"/>
    <n v="0.42906574394463665"/>
  </r>
  <r>
    <x v="71"/>
    <n v="12"/>
    <n v="2008"/>
    <n v="0"/>
  </r>
  <r>
    <x v="71"/>
    <n v="12"/>
    <n v="2008"/>
    <n v="0.88927335640138405"/>
  </r>
  <r>
    <x v="71"/>
    <n v="12"/>
    <n v="2008"/>
    <n v="1.5162629757785471"/>
  </r>
  <r>
    <x v="71"/>
    <n v="12"/>
    <n v="2008"/>
    <n v="0.55017301038062283"/>
  </r>
  <r>
    <x v="71"/>
    <n v="12"/>
    <n v="2008"/>
    <n v="12.997923875432528"/>
  </r>
  <r>
    <x v="71"/>
    <n v="12"/>
    <n v="2008"/>
    <n v="3.5660899653979241"/>
  </r>
  <r>
    <x v="71"/>
    <n v="12"/>
    <n v="2008"/>
    <n v="3.783391003460209"/>
  </r>
  <r>
    <x v="71"/>
    <n v="12"/>
    <n v="2008"/>
    <n v="0.60622837370242211"/>
  </r>
  <r>
    <x v="71"/>
    <n v="12"/>
    <n v="2008"/>
    <n v="0.97716262975778556"/>
  </r>
  <r>
    <x v="71"/>
    <n v="12"/>
    <n v="2008"/>
    <n v="2.8581314878892736"/>
  </r>
  <r>
    <x v="71"/>
    <n v="12"/>
    <n v="2008"/>
    <n v="5.9176470588235288"/>
  </r>
  <r>
    <x v="71"/>
    <n v="12"/>
    <n v="2008"/>
    <n v="1.0242214532871972"/>
  </r>
  <r>
    <x v="71"/>
    <n v="12"/>
    <n v="2008"/>
    <n v="0.96539792387543255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.32802768166089963"/>
  </r>
  <r>
    <x v="71"/>
    <n v="12"/>
    <n v="2008"/>
    <n v="0.52525951557093431"/>
  </r>
  <r>
    <x v="71"/>
    <n v="12"/>
    <n v="2008"/>
    <n v="0"/>
  </r>
  <r>
    <x v="71"/>
    <n v="12"/>
    <n v="2008"/>
    <n v="0"/>
  </r>
  <r>
    <x v="72"/>
    <n v="1"/>
    <n v="2009"/>
    <n v="1.7121107266435986"/>
  </r>
  <r>
    <x v="72"/>
    <n v="1"/>
    <n v="2009"/>
    <n v="1.7910034602076121"/>
  </r>
  <r>
    <x v="72"/>
    <n v="1"/>
    <n v="2009"/>
    <n v="0"/>
  </r>
  <r>
    <x v="72"/>
    <n v="1"/>
    <n v="2009"/>
    <n v="1.9079584775086504"/>
  </r>
  <r>
    <x v="72"/>
    <n v="1"/>
    <n v="2009"/>
    <n v="0.34117647058823525"/>
  </r>
  <r>
    <x v="72"/>
    <n v="1"/>
    <n v="2009"/>
    <n v="0"/>
  </r>
  <r>
    <x v="72"/>
    <n v="1"/>
    <n v="2009"/>
    <n v="2.570934256055363"/>
  </r>
  <r>
    <x v="72"/>
    <n v="1"/>
    <n v="2009"/>
    <n v="0"/>
  </r>
  <r>
    <x v="72"/>
    <n v="1"/>
    <n v="2009"/>
    <n v="0"/>
  </r>
  <r>
    <x v="72"/>
    <n v="1"/>
    <n v="2009"/>
    <n v="0.53910034602076129"/>
  </r>
  <r>
    <x v="72"/>
    <n v="1"/>
    <n v="2009"/>
    <n v="3.0664359861591697"/>
  </r>
  <r>
    <x v="72"/>
    <n v="1"/>
    <n v="2009"/>
    <n v="3.5273356401384084"/>
  </r>
  <r>
    <x v="72"/>
    <n v="1"/>
    <n v="2009"/>
    <n v="0"/>
  </r>
  <r>
    <x v="72"/>
    <n v="1"/>
    <n v="2009"/>
    <n v="5.6498269896193776"/>
  </r>
  <r>
    <x v="72"/>
    <n v="1"/>
    <n v="2009"/>
    <n v="3.3501730103806224"/>
  </r>
  <r>
    <x v="72"/>
    <n v="1"/>
    <n v="2009"/>
    <n v="0.20207612456747404"/>
  </r>
  <r>
    <x v="72"/>
    <n v="1"/>
    <n v="2009"/>
    <n v="2.8629757785467125"/>
  </r>
  <r>
    <x v="72"/>
    <n v="1"/>
    <n v="2009"/>
    <n v="3.202076124567474"/>
  </r>
  <r>
    <x v="72"/>
    <n v="1"/>
    <n v="2009"/>
    <n v="3.3093425605536333"/>
  </r>
  <r>
    <x v="72"/>
    <n v="1"/>
    <n v="2009"/>
    <n v="5.3840830449826997"/>
  </r>
  <r>
    <x v="72"/>
    <n v="1"/>
    <n v="2009"/>
    <n v="0.52318339100346023"/>
  </r>
  <r>
    <x v="72"/>
    <n v="1"/>
    <n v="2009"/>
    <n v="5.6069204152249137"/>
  </r>
  <r>
    <x v="72"/>
    <n v="1"/>
    <n v="2009"/>
    <n v="4.7065743944636687"/>
  </r>
  <r>
    <x v="72"/>
    <n v="1"/>
    <n v="2009"/>
    <n v="0"/>
  </r>
  <r>
    <x v="72"/>
    <n v="1"/>
    <n v="2009"/>
    <n v="5.6961937716262971"/>
  </r>
  <r>
    <x v="72"/>
    <n v="1"/>
    <n v="2009"/>
    <n v="0"/>
  </r>
  <r>
    <x v="72"/>
    <n v="1"/>
    <n v="2009"/>
    <n v="0.298961937716263"/>
  </r>
  <r>
    <x v="72"/>
    <n v="1"/>
    <n v="2009"/>
    <n v="0.38200692041522488"/>
  </r>
  <r>
    <x v="72"/>
    <n v="1"/>
    <n v="2009"/>
    <n v="0"/>
  </r>
  <r>
    <x v="72"/>
    <n v="1"/>
    <n v="2009"/>
    <n v="2.6809688581314881"/>
  </r>
  <r>
    <x v="72"/>
    <n v="1"/>
    <n v="2009"/>
    <n v="0"/>
  </r>
  <r>
    <x v="73"/>
    <n v="2"/>
    <n v="2009"/>
    <n v="0"/>
  </r>
  <r>
    <x v="73"/>
    <n v="2"/>
    <n v="2009"/>
    <n v="4.4048442906574401"/>
  </r>
  <r>
    <x v="73"/>
    <n v="2"/>
    <n v="2009"/>
    <n v="21.703806228373704"/>
  </r>
  <r>
    <x v="73"/>
    <n v="2"/>
    <n v="2009"/>
    <n v="0.30311418685121105"/>
  </r>
  <r>
    <x v="73"/>
    <n v="2"/>
    <n v="2009"/>
    <n v="0.20899653979238753"/>
  </r>
  <r>
    <x v="73"/>
    <n v="2"/>
    <n v="2009"/>
    <n v="0.3522491349480969"/>
  </r>
  <r>
    <x v="73"/>
    <n v="2"/>
    <n v="2009"/>
    <n v="3.9993079584775089"/>
  </r>
  <r>
    <x v="73"/>
    <n v="2"/>
    <n v="2009"/>
    <n v="0.30311418685121105"/>
  </r>
  <r>
    <x v="73"/>
    <n v="2"/>
    <n v="2009"/>
    <n v="0.58685121107266436"/>
  </r>
  <r>
    <x v="73"/>
    <n v="2"/>
    <n v="2009"/>
    <n v="0.77093425605536325"/>
  </r>
  <r>
    <x v="73"/>
    <n v="2"/>
    <n v="2009"/>
    <n v="0.2069204152249135"/>
  </r>
  <r>
    <x v="73"/>
    <n v="2"/>
    <n v="2009"/>
    <n v="4.1467128027681666"/>
  </r>
  <r>
    <x v="73"/>
    <n v="2"/>
    <n v="2009"/>
    <n v="0"/>
  </r>
  <r>
    <x v="73"/>
    <n v="2"/>
    <n v="2009"/>
    <n v="7.0726643598615926"/>
  </r>
  <r>
    <x v="73"/>
    <n v="2"/>
    <n v="2009"/>
    <n v="0"/>
  </r>
  <r>
    <x v="73"/>
    <n v="2"/>
    <n v="2009"/>
    <n v="0.74878892733564006"/>
  </r>
  <r>
    <x v="73"/>
    <n v="2"/>
    <n v="2009"/>
    <n v="0"/>
  </r>
  <r>
    <x v="73"/>
    <n v="2"/>
    <n v="2009"/>
    <n v="0.31280276816608993"/>
  </r>
  <r>
    <x v="73"/>
    <n v="2"/>
    <n v="2009"/>
    <n v="0"/>
  </r>
  <r>
    <x v="73"/>
    <n v="2"/>
    <n v="2009"/>
    <n v="1.2089965397923876"/>
  </r>
  <r>
    <x v="73"/>
    <n v="2"/>
    <n v="2009"/>
    <n v="0"/>
  </r>
  <r>
    <x v="73"/>
    <n v="2"/>
    <n v="2009"/>
    <n v="1.0013840830449827"/>
  </r>
  <r>
    <x v="73"/>
    <n v="2"/>
    <n v="2009"/>
    <n v="2.1854671280276818"/>
  </r>
  <r>
    <x v="73"/>
    <n v="2"/>
    <n v="2009"/>
    <n v="0"/>
  </r>
  <r>
    <x v="73"/>
    <n v="2"/>
    <n v="2009"/>
    <n v="0"/>
  </r>
  <r>
    <x v="73"/>
    <n v="2"/>
    <n v="2009"/>
    <n v="0.39100346020761245"/>
  </r>
  <r>
    <x v="73"/>
    <n v="2"/>
    <n v="2009"/>
    <n v="0.49411764705882355"/>
  </r>
  <r>
    <x v="73"/>
    <n v="2"/>
    <n v="2009"/>
    <n v="0"/>
  </r>
  <r>
    <x v="74"/>
    <n v="3"/>
    <n v="2009"/>
    <n v="0"/>
  </r>
  <r>
    <x v="74"/>
    <n v="3"/>
    <n v="2009"/>
    <n v="1.5605536332179932"/>
  </r>
  <r>
    <x v="74"/>
    <n v="3"/>
    <n v="2009"/>
    <n v="2.1121107266435986"/>
  </r>
  <r>
    <x v="74"/>
    <n v="3"/>
    <n v="2009"/>
    <n v="0.31487889273356395"/>
  </r>
  <r>
    <x v="74"/>
    <n v="3"/>
    <n v="2009"/>
    <n v="3.0200692041522492"/>
  </r>
  <r>
    <x v="74"/>
    <n v="3"/>
    <n v="2009"/>
    <n v="0"/>
  </r>
  <r>
    <x v="74"/>
    <n v="3"/>
    <n v="2009"/>
    <n v="7.5224913494809682"/>
  </r>
  <r>
    <x v="74"/>
    <n v="3"/>
    <n v="2009"/>
    <n v="1.4913494809688583"/>
  </r>
  <r>
    <x v="74"/>
    <n v="3"/>
    <n v="2009"/>
    <n v="0.57923875432525951"/>
  </r>
  <r>
    <x v="74"/>
    <n v="3"/>
    <n v="2009"/>
    <n v="0.22076124567474048"/>
  </r>
  <r>
    <x v="74"/>
    <n v="3"/>
    <n v="2009"/>
    <n v="0"/>
  </r>
  <r>
    <x v="74"/>
    <n v="3"/>
    <n v="2009"/>
    <n v="0.80830449826989625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1.6394463667820072"/>
  </r>
  <r>
    <x v="74"/>
    <n v="3"/>
    <n v="2009"/>
    <n v="1.0622837370242215"/>
  </r>
  <r>
    <x v="74"/>
    <n v="3"/>
    <n v="2009"/>
    <n v="0"/>
  </r>
  <r>
    <x v="74"/>
    <n v="3"/>
    <n v="2009"/>
    <n v="2.1404844290657441"/>
  </r>
  <r>
    <x v="74"/>
    <n v="3"/>
    <n v="2009"/>
    <n v="4.2802768166089962"/>
  </r>
  <r>
    <x v="74"/>
    <n v="3"/>
    <n v="2009"/>
    <n v="6.4678200692041523"/>
  </r>
  <r>
    <x v="74"/>
    <n v="3"/>
    <n v="2009"/>
    <n v="0"/>
  </r>
  <r>
    <x v="74"/>
    <n v="3"/>
    <n v="2009"/>
    <n v="0.39515570934256056"/>
  </r>
  <r>
    <x v="74"/>
    <n v="3"/>
    <n v="2009"/>
    <n v="0"/>
  </r>
  <r>
    <x v="75"/>
    <n v="4"/>
    <n v="2009"/>
    <n v="0"/>
  </r>
  <r>
    <x v="75"/>
    <n v="4"/>
    <n v="2009"/>
    <n v="0"/>
  </r>
  <r>
    <x v="75"/>
    <n v="4"/>
    <n v="2009"/>
    <n v="0.21107266435986161"/>
  </r>
  <r>
    <x v="75"/>
    <n v="4"/>
    <n v="2009"/>
    <n v="0"/>
  </r>
  <r>
    <x v="75"/>
    <n v="4"/>
    <n v="2009"/>
    <n v="0"/>
  </r>
  <r>
    <x v="75"/>
    <n v="4"/>
    <n v="2009"/>
    <n v="2.1813148788927332"/>
  </r>
  <r>
    <x v="75"/>
    <n v="4"/>
    <n v="2009"/>
    <n v="0.27612456747404845"/>
  </r>
  <r>
    <x v="75"/>
    <n v="4"/>
    <n v="2009"/>
    <n v="3.5619377162629755"/>
  </r>
  <r>
    <x v="75"/>
    <n v="4"/>
    <n v="2009"/>
    <n v="1.8159169550173011"/>
  </r>
  <r>
    <x v="75"/>
    <n v="4"/>
    <n v="2009"/>
    <n v="1.7391003460207615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4.9626297577854688"/>
  </r>
  <r>
    <x v="75"/>
    <n v="4"/>
    <n v="2009"/>
    <n v="16.555709342560554"/>
  </r>
  <r>
    <x v="75"/>
    <n v="4"/>
    <n v="2009"/>
    <n v="5.429065743944637"/>
  </r>
  <r>
    <x v="75"/>
    <n v="4"/>
    <n v="2009"/>
    <n v="3.3681660899653982"/>
  </r>
  <r>
    <x v="76"/>
    <n v="5"/>
    <n v="2009"/>
    <n v="2.108650519031142"/>
  </r>
  <r>
    <x v="76"/>
    <n v="5"/>
    <n v="2009"/>
    <n v="0"/>
  </r>
  <r>
    <x v="76"/>
    <n v="5"/>
    <n v="2009"/>
    <n v="1.1162629757785467"/>
  </r>
  <r>
    <x v="76"/>
    <n v="5"/>
    <n v="2009"/>
    <n v="1.2110726643598617"/>
  </r>
  <r>
    <x v="76"/>
    <n v="5"/>
    <n v="2009"/>
    <n v="3.9307958477508653"/>
  </r>
  <r>
    <x v="76"/>
    <n v="5"/>
    <n v="2009"/>
    <n v="3.3183391003460203"/>
  </r>
  <r>
    <x v="76"/>
    <n v="5"/>
    <n v="2009"/>
    <n v="0.78131487889273354"/>
  </r>
  <r>
    <x v="76"/>
    <n v="5"/>
    <n v="2009"/>
    <n v="2.1806228373702417"/>
  </r>
  <r>
    <x v="76"/>
    <n v="5"/>
    <n v="2009"/>
    <n v="1.8532871972318339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11.761245674740485"/>
  </r>
  <r>
    <x v="76"/>
    <n v="5"/>
    <n v="2009"/>
    <n v="6.6470588235294112"/>
  </r>
  <r>
    <x v="76"/>
    <n v="5"/>
    <n v="2009"/>
    <n v="4.9404844290657444"/>
  </r>
  <r>
    <x v="76"/>
    <n v="5"/>
    <n v="2009"/>
    <n v="0.77716262975778549"/>
  </r>
  <r>
    <x v="76"/>
    <n v="5"/>
    <n v="2009"/>
    <n v="0.59861591695501737"/>
  </r>
  <r>
    <x v="76"/>
    <n v="5"/>
    <n v="2009"/>
    <n v="2.3238754325259516"/>
  </r>
  <r>
    <x v="76"/>
    <n v="5"/>
    <n v="2009"/>
    <n v="2.7038062283737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.52318339100346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6.0830449826989623"/>
  </r>
  <r>
    <x v="77"/>
    <n v="6"/>
    <n v="2009"/>
    <n v="3.2484429065743941"/>
  </r>
  <r>
    <x v="77"/>
    <n v="6"/>
    <n v="2009"/>
    <n v="3.1411764705882352"/>
  </r>
  <r>
    <x v="77"/>
    <n v="6"/>
    <n v="2009"/>
    <n v="0"/>
  </r>
  <r>
    <x v="77"/>
    <n v="6"/>
    <n v="2009"/>
    <n v="0"/>
  </r>
  <r>
    <x v="77"/>
    <n v="6"/>
    <n v="2009"/>
    <n v="5.2719723183390998"/>
  </r>
  <r>
    <x v="77"/>
    <n v="6"/>
    <n v="2009"/>
    <n v="1.3128027681660899"/>
  </r>
  <r>
    <x v="77"/>
    <n v="6"/>
    <n v="2009"/>
    <n v="0"/>
  </r>
  <r>
    <x v="77"/>
    <n v="6"/>
    <n v="2009"/>
    <n v="2.2622837370242217"/>
  </r>
  <r>
    <x v="77"/>
    <n v="6"/>
    <n v="2009"/>
    <n v="2.1688581314878896"/>
  </r>
  <r>
    <x v="77"/>
    <n v="6"/>
    <n v="2009"/>
    <n v="23.812456747404845"/>
  </r>
  <r>
    <x v="77"/>
    <n v="6"/>
    <n v="2009"/>
    <n v="4.8643598615916961"/>
  </r>
  <r>
    <x v="77"/>
    <n v="6"/>
    <n v="2009"/>
    <n v="7.3211072664359866"/>
  </r>
  <r>
    <x v="77"/>
    <n v="6"/>
    <n v="2009"/>
    <n v="2.4989619377162628"/>
  </r>
  <r>
    <x v="77"/>
    <n v="6"/>
    <n v="2009"/>
    <n v="0.79031141868512123"/>
  </r>
  <r>
    <x v="77"/>
    <n v="6"/>
    <n v="2009"/>
    <n v="3.8823529411764701"/>
  </r>
  <r>
    <x v="77"/>
    <n v="6"/>
    <n v="2009"/>
    <n v="0"/>
  </r>
  <r>
    <x v="77"/>
    <n v="6"/>
    <n v="2009"/>
    <n v="0.97231833910034593"/>
  </r>
  <r>
    <x v="77"/>
    <n v="6"/>
    <n v="2009"/>
    <n v="0"/>
  </r>
  <r>
    <x v="77"/>
    <n v="6"/>
    <n v="2009"/>
    <n v="0"/>
  </r>
  <r>
    <x v="77"/>
    <n v="6"/>
    <n v="2009"/>
    <n v="0.21107266435986158"/>
  </r>
  <r>
    <x v="77"/>
    <n v="6"/>
    <n v="2009"/>
    <n v="7.6138408304498268"/>
  </r>
  <r>
    <x v="77"/>
    <n v="6"/>
    <n v="2009"/>
    <n v="0.68512110726643605"/>
  </r>
  <r>
    <x v="77"/>
    <n v="6"/>
    <n v="2009"/>
    <n v="3.9259515570934256"/>
  </r>
  <r>
    <x v="77"/>
    <n v="6"/>
    <n v="2009"/>
    <n v="0.3100346020761246"/>
  </r>
  <r>
    <x v="77"/>
    <n v="6"/>
    <n v="2009"/>
    <n v="1.7169550173010382"/>
  </r>
  <r>
    <x v="78"/>
    <n v="7"/>
    <n v="2009"/>
    <n v="0.23944636678200693"/>
  </r>
  <r>
    <x v="78"/>
    <n v="7"/>
    <n v="2009"/>
    <n v="0"/>
  </r>
  <r>
    <x v="78"/>
    <n v="7"/>
    <n v="2009"/>
    <n v="5.8062283737024227"/>
  </r>
  <r>
    <x v="78"/>
    <n v="7"/>
    <n v="2009"/>
    <n v="0.53217993079584769"/>
  </r>
  <r>
    <x v="78"/>
    <n v="7"/>
    <n v="2009"/>
    <n v="2.7432525951557096"/>
  </r>
  <r>
    <x v="78"/>
    <n v="7"/>
    <n v="2009"/>
    <n v="13.220761245674741"/>
  </r>
  <r>
    <x v="78"/>
    <n v="7"/>
    <n v="2009"/>
    <n v="3.9114186851211072"/>
  </r>
  <r>
    <x v="78"/>
    <n v="7"/>
    <n v="2009"/>
    <n v="0.38408304498269902"/>
  </r>
  <r>
    <x v="78"/>
    <n v="7"/>
    <n v="2009"/>
    <n v="0"/>
  </r>
  <r>
    <x v="78"/>
    <n v="7"/>
    <n v="2009"/>
    <n v="0"/>
  </r>
  <r>
    <x v="78"/>
    <n v="7"/>
    <n v="2009"/>
    <n v="0"/>
  </r>
  <r>
    <x v="78"/>
    <n v="7"/>
    <n v="2009"/>
    <n v="12.721107266435986"/>
  </r>
  <r>
    <x v="78"/>
    <n v="7"/>
    <n v="2009"/>
    <n v="5.9771626297577862"/>
  </r>
  <r>
    <x v="78"/>
    <n v="7"/>
    <n v="2009"/>
    <n v="2.6442906574394467"/>
  </r>
  <r>
    <x v="78"/>
    <n v="7"/>
    <n v="2009"/>
    <n v="1.9079584775086504"/>
  </r>
  <r>
    <x v="78"/>
    <n v="7"/>
    <n v="2009"/>
    <n v="5.988235294117648"/>
  </r>
  <r>
    <x v="78"/>
    <n v="7"/>
    <n v="2009"/>
    <n v="40.114878892733557"/>
  </r>
  <r>
    <x v="78"/>
    <n v="7"/>
    <n v="2009"/>
    <n v="4.9494809688581318"/>
  </r>
  <r>
    <x v="78"/>
    <n v="7"/>
    <n v="2009"/>
    <n v="0"/>
  </r>
  <r>
    <x v="78"/>
    <n v="7"/>
    <n v="2009"/>
    <n v="0"/>
  </r>
  <r>
    <x v="78"/>
    <n v="7"/>
    <n v="2009"/>
    <n v="2.307266435986159"/>
  </r>
  <r>
    <x v="78"/>
    <n v="7"/>
    <n v="2009"/>
    <n v="0"/>
  </r>
  <r>
    <x v="78"/>
    <n v="7"/>
    <n v="2009"/>
    <n v="0"/>
  </r>
  <r>
    <x v="78"/>
    <n v="7"/>
    <n v="2009"/>
    <n v="2.627681660899654"/>
  </r>
  <r>
    <x v="78"/>
    <n v="7"/>
    <n v="2009"/>
    <n v="0"/>
  </r>
  <r>
    <x v="78"/>
    <n v="7"/>
    <n v="2009"/>
    <n v="1.1010380622837368"/>
  </r>
  <r>
    <x v="78"/>
    <n v="7"/>
    <n v="2009"/>
    <n v="0"/>
  </r>
  <r>
    <x v="78"/>
    <n v="7"/>
    <n v="2009"/>
    <n v="1.0083044982698961"/>
  </r>
  <r>
    <x v="78"/>
    <n v="7"/>
    <n v="2009"/>
    <n v="2.8871972318339099"/>
  </r>
  <r>
    <x v="78"/>
    <n v="7"/>
    <n v="2009"/>
    <n v="0.68235294117647061"/>
  </r>
  <r>
    <x v="78"/>
    <n v="7"/>
    <n v="2009"/>
    <n v="1.0519031141868511"/>
  </r>
  <r>
    <x v="79"/>
    <n v="8"/>
    <n v="2009"/>
    <n v="1.8512110726643596"/>
  </r>
  <r>
    <x v="79"/>
    <n v="8"/>
    <n v="2009"/>
    <n v="0"/>
  </r>
  <r>
    <x v="79"/>
    <n v="8"/>
    <n v="2009"/>
    <n v="0"/>
  </r>
  <r>
    <x v="79"/>
    <n v="8"/>
    <n v="2009"/>
    <n v="1.23598615916955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3.0332179930795853"/>
  </r>
  <r>
    <x v="79"/>
    <n v="8"/>
    <n v="2009"/>
    <n v="0.68719723183391002"/>
  </r>
  <r>
    <x v="79"/>
    <n v="8"/>
    <n v="2009"/>
    <n v="0"/>
  </r>
  <r>
    <x v="79"/>
    <n v="8"/>
    <n v="2009"/>
    <n v="0"/>
  </r>
  <r>
    <x v="79"/>
    <n v="8"/>
    <n v="2009"/>
    <n v="4.2332179930795846"/>
  </r>
  <r>
    <x v="79"/>
    <n v="8"/>
    <n v="2009"/>
    <n v="5.4242214532871973"/>
  </r>
  <r>
    <x v="79"/>
    <n v="8"/>
    <n v="2009"/>
    <n v="0.50311418685121101"/>
  </r>
  <r>
    <x v="79"/>
    <n v="8"/>
    <n v="2009"/>
    <n v="5.7598615916955014"/>
  </r>
  <r>
    <x v="79"/>
    <n v="8"/>
    <n v="2009"/>
    <n v="3.9328719723183387"/>
  </r>
  <r>
    <x v="79"/>
    <n v="8"/>
    <n v="2009"/>
    <n v="0.63598615916955015"/>
  </r>
  <r>
    <x v="79"/>
    <n v="8"/>
    <n v="2009"/>
    <n v="1.8262975778546711"/>
  </r>
  <r>
    <x v="79"/>
    <n v="8"/>
    <n v="2009"/>
    <n v="2.685813148788927"/>
  </r>
  <r>
    <x v="79"/>
    <n v="8"/>
    <n v="2009"/>
    <n v="0"/>
  </r>
  <r>
    <x v="79"/>
    <n v="8"/>
    <n v="2009"/>
    <n v="7.7640138408304518"/>
  </r>
  <r>
    <x v="79"/>
    <n v="8"/>
    <n v="2009"/>
    <n v="1.8560553633217995"/>
  </r>
  <r>
    <x v="79"/>
    <n v="8"/>
    <n v="2009"/>
    <n v="0"/>
  </r>
  <r>
    <x v="79"/>
    <n v="8"/>
    <n v="2009"/>
    <n v="9.3840830449826971"/>
  </r>
  <r>
    <x v="79"/>
    <n v="8"/>
    <n v="2009"/>
    <n v="1.1349480968858132"/>
  </r>
  <r>
    <x v="79"/>
    <n v="8"/>
    <n v="2009"/>
    <n v="1.3349480968858132"/>
  </r>
  <r>
    <x v="79"/>
    <n v="8"/>
    <n v="2009"/>
    <n v="0"/>
  </r>
  <r>
    <x v="79"/>
    <n v="8"/>
    <n v="2009"/>
    <n v="2.3529411764705879"/>
  </r>
  <r>
    <x v="79"/>
    <n v="8"/>
    <n v="2009"/>
    <n v="15.78339100346021"/>
  </r>
  <r>
    <x v="80"/>
    <n v="9"/>
    <n v="2009"/>
    <n v="1.1411764705882355"/>
  </r>
  <r>
    <x v="80"/>
    <n v="9"/>
    <n v="2009"/>
    <n v="7.1515570934256054"/>
  </r>
  <r>
    <x v="80"/>
    <n v="9"/>
    <n v="2009"/>
    <n v="14.802768166089963"/>
  </r>
  <r>
    <x v="80"/>
    <n v="9"/>
    <n v="2009"/>
    <n v="9.5128027681660896"/>
  </r>
  <r>
    <x v="80"/>
    <n v="9"/>
    <n v="2009"/>
    <n v="0"/>
  </r>
  <r>
    <x v="80"/>
    <n v="9"/>
    <n v="2009"/>
    <n v="0.3086505190311418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.6671280276816610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1.2048442906574395"/>
  </r>
  <r>
    <x v="80"/>
    <n v="9"/>
    <n v="2009"/>
    <n v="0.29204152249134946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4.7529411764705882"/>
  </r>
  <r>
    <x v="80"/>
    <n v="9"/>
    <n v="2009"/>
    <n v="1.6138408304498268"/>
  </r>
  <r>
    <x v="81"/>
    <n v="10"/>
    <n v="2009"/>
    <n v="0"/>
  </r>
  <r>
    <x v="81"/>
    <n v="10"/>
    <n v="2009"/>
    <n v="2.8622837370242218"/>
  </r>
  <r>
    <x v="81"/>
    <n v="10"/>
    <n v="2009"/>
    <n v="4.9868512110726648"/>
  </r>
  <r>
    <x v="81"/>
    <n v="10"/>
    <n v="2009"/>
    <n v="0"/>
  </r>
  <r>
    <x v="81"/>
    <n v="10"/>
    <n v="2009"/>
    <n v="0"/>
  </r>
  <r>
    <x v="81"/>
    <n v="10"/>
    <n v="2009"/>
    <n v="3.2567474048442908"/>
  </r>
  <r>
    <x v="81"/>
    <n v="10"/>
    <n v="2009"/>
    <n v="0"/>
  </r>
  <r>
    <x v="81"/>
    <n v="10"/>
    <n v="2009"/>
    <n v="0"/>
  </r>
  <r>
    <x v="81"/>
    <n v="10"/>
    <n v="2009"/>
    <n v="3.561937716262976"/>
  </r>
  <r>
    <x v="81"/>
    <n v="10"/>
    <n v="2009"/>
    <n v="0.54256055363321798"/>
  </r>
  <r>
    <x v="81"/>
    <n v="10"/>
    <n v="2009"/>
    <n v="0.29204152249134946"/>
  </r>
  <r>
    <x v="81"/>
    <n v="10"/>
    <n v="2009"/>
    <n v="0"/>
  </r>
  <r>
    <x v="81"/>
    <n v="10"/>
    <n v="2009"/>
    <n v="0"/>
  </r>
  <r>
    <x v="81"/>
    <n v="10"/>
    <n v="2009"/>
    <n v="0.39169550173010381"/>
  </r>
  <r>
    <x v="81"/>
    <n v="10"/>
    <n v="2009"/>
    <n v="1.6740484429065745"/>
  </r>
  <r>
    <x v="81"/>
    <n v="10"/>
    <n v="2009"/>
    <n v="0"/>
  </r>
  <r>
    <x v="81"/>
    <n v="10"/>
    <n v="2009"/>
    <n v="0"/>
  </r>
  <r>
    <x v="81"/>
    <n v="10"/>
    <n v="2009"/>
    <n v="0.53494809688581313"/>
  </r>
  <r>
    <x v="81"/>
    <n v="10"/>
    <n v="2009"/>
    <n v="3.3986159169550167"/>
  </r>
  <r>
    <x v="81"/>
    <n v="10"/>
    <n v="2009"/>
    <n v="1.4761245674740484"/>
  </r>
  <r>
    <x v="81"/>
    <n v="10"/>
    <n v="2009"/>
    <n v="6.2304498269896191"/>
  </r>
  <r>
    <x v="81"/>
    <n v="10"/>
    <n v="2009"/>
    <n v="1.9107266435986159"/>
  </r>
  <r>
    <x v="81"/>
    <n v="10"/>
    <n v="2009"/>
    <n v="0"/>
  </r>
  <r>
    <x v="81"/>
    <n v="10"/>
    <n v="2009"/>
    <n v="5.8110726643598607"/>
  </r>
  <r>
    <x v="81"/>
    <n v="10"/>
    <n v="2009"/>
    <n v="3.9944636678200687"/>
  </r>
  <r>
    <x v="81"/>
    <n v="10"/>
    <n v="2009"/>
    <n v="0"/>
  </r>
  <r>
    <x v="81"/>
    <n v="10"/>
    <n v="2009"/>
    <n v="1.4865051903114186"/>
  </r>
  <r>
    <x v="81"/>
    <n v="10"/>
    <n v="2009"/>
    <n v="1.7910034602076126"/>
  </r>
  <r>
    <x v="81"/>
    <n v="10"/>
    <n v="2009"/>
    <n v="0"/>
  </r>
  <r>
    <x v="81"/>
    <n v="10"/>
    <n v="2009"/>
    <n v="3.8643598615916956"/>
  </r>
  <r>
    <x v="81"/>
    <n v="10"/>
    <n v="2009"/>
    <n v="1.3958477508650518"/>
  </r>
  <r>
    <x v="82"/>
    <n v="11"/>
    <n v="2009"/>
    <n v="33.698269896193771"/>
  </r>
  <r>
    <x v="82"/>
    <n v="11"/>
    <n v="2009"/>
    <n v="0.27612456747404845"/>
  </r>
  <r>
    <x v="82"/>
    <n v="11"/>
    <n v="2009"/>
    <n v="6.3792387543252591"/>
  </r>
  <r>
    <x v="82"/>
    <n v="11"/>
    <n v="2009"/>
    <n v="0.43114186851211073"/>
  </r>
  <r>
    <x v="82"/>
    <n v="11"/>
    <n v="2009"/>
    <n v="0.36124567474048441"/>
  </r>
  <r>
    <x v="82"/>
    <n v="11"/>
    <n v="2009"/>
    <n v="2.319723183391003"/>
  </r>
  <r>
    <x v="82"/>
    <n v="11"/>
    <n v="2009"/>
    <n v="3.4214532871972319"/>
  </r>
  <r>
    <x v="82"/>
    <n v="11"/>
    <n v="2009"/>
    <n v="5.6871972318339106"/>
  </r>
  <r>
    <x v="82"/>
    <n v="11"/>
    <n v="2009"/>
    <n v="0"/>
  </r>
  <r>
    <x v="82"/>
    <n v="11"/>
    <n v="2009"/>
    <n v="0.70519031141868505"/>
  </r>
  <r>
    <x v="82"/>
    <n v="11"/>
    <n v="2009"/>
    <n v="1.3377162629757786"/>
  </r>
  <r>
    <x v="82"/>
    <n v="11"/>
    <n v="2009"/>
    <n v="3.7024221453287196"/>
  </r>
  <r>
    <x v="82"/>
    <n v="11"/>
    <n v="2009"/>
    <n v="11.683737024221454"/>
  </r>
  <r>
    <x v="82"/>
    <n v="11"/>
    <n v="2009"/>
    <n v="1.5653979238754325"/>
  </r>
  <r>
    <x v="82"/>
    <n v="11"/>
    <n v="2009"/>
    <n v="0"/>
  </r>
  <r>
    <x v="82"/>
    <n v="11"/>
    <n v="2009"/>
    <n v="12.857439446366779"/>
  </r>
  <r>
    <x v="82"/>
    <n v="11"/>
    <n v="2009"/>
    <n v="2.2456747404844291"/>
  </r>
  <r>
    <x v="82"/>
    <n v="11"/>
    <n v="2009"/>
    <n v="18.231833910034602"/>
  </r>
  <r>
    <x v="82"/>
    <n v="11"/>
    <n v="2009"/>
    <n v="1.6346020761245674"/>
  </r>
  <r>
    <x v="82"/>
    <n v="11"/>
    <n v="2009"/>
    <n v="1.2851211072664359"/>
  </r>
  <r>
    <x v="82"/>
    <n v="11"/>
    <n v="2009"/>
    <n v="3.9633217993079581"/>
  </r>
  <r>
    <x v="82"/>
    <n v="11"/>
    <n v="2009"/>
    <n v="3.5418685121107263"/>
  </r>
  <r>
    <x v="82"/>
    <n v="11"/>
    <n v="2009"/>
    <n v="4.4685121107266426"/>
  </r>
  <r>
    <x v="82"/>
    <n v="11"/>
    <n v="2009"/>
    <n v="5.167474048442906"/>
  </r>
  <r>
    <x v="82"/>
    <n v="11"/>
    <n v="2009"/>
    <n v="2.5017301038062287"/>
  </r>
  <r>
    <x v="82"/>
    <n v="11"/>
    <n v="2009"/>
    <n v="3.9764705882352938"/>
  </r>
  <r>
    <x v="82"/>
    <n v="11"/>
    <n v="2009"/>
    <n v="0"/>
  </r>
  <r>
    <x v="82"/>
    <n v="11"/>
    <n v="2009"/>
    <n v="1.4435986159169549"/>
  </r>
  <r>
    <x v="82"/>
    <n v="11"/>
    <n v="2009"/>
    <n v="16.151557093425605"/>
  </r>
  <r>
    <x v="82"/>
    <n v="11"/>
    <n v="2009"/>
    <n v="5.6816608996539779"/>
  </r>
  <r>
    <x v="83"/>
    <n v="12"/>
    <n v="2009"/>
    <n v="2.5211072664359859"/>
  </r>
  <r>
    <x v="83"/>
    <n v="12"/>
    <n v="2009"/>
    <n v="1.5986159169550178"/>
  </r>
  <r>
    <x v="83"/>
    <n v="12"/>
    <n v="2009"/>
    <n v="0.44498269896193771"/>
  </r>
  <r>
    <x v="83"/>
    <n v="12"/>
    <n v="2009"/>
    <n v="0"/>
  </r>
  <r>
    <x v="83"/>
    <n v="12"/>
    <n v="2009"/>
    <n v="7.0463667820069213"/>
  </r>
  <r>
    <x v="83"/>
    <n v="12"/>
    <n v="2009"/>
    <n v="5.3252595155709352"/>
  </r>
  <r>
    <x v="83"/>
    <n v="12"/>
    <n v="2009"/>
    <n v="2.4262975778546712"/>
  </r>
  <r>
    <x v="83"/>
    <n v="12"/>
    <n v="2009"/>
    <n v="0.3529411764705882"/>
  </r>
  <r>
    <x v="83"/>
    <n v="12"/>
    <n v="2009"/>
    <n v="2.6470588235294121"/>
  </r>
  <r>
    <x v="83"/>
    <n v="12"/>
    <n v="2009"/>
    <n v="1.3792387543252593"/>
  </r>
  <r>
    <x v="83"/>
    <n v="12"/>
    <n v="2009"/>
    <n v="0.30103806228373703"/>
  </r>
  <r>
    <x v="83"/>
    <n v="12"/>
    <n v="2009"/>
    <n v="0"/>
  </r>
  <r>
    <x v="83"/>
    <n v="12"/>
    <n v="2009"/>
    <n v="0"/>
  </r>
  <r>
    <x v="83"/>
    <n v="12"/>
    <n v="2009"/>
    <n v="8.0048442906574397"/>
  </r>
  <r>
    <x v="83"/>
    <n v="12"/>
    <n v="2009"/>
    <n v="4.7889273356401389"/>
  </r>
  <r>
    <x v="83"/>
    <n v="12"/>
    <n v="2009"/>
    <n v="6.2000000000000011"/>
  </r>
  <r>
    <x v="83"/>
    <n v="12"/>
    <n v="2009"/>
    <n v="6.7114186851211075"/>
  </r>
  <r>
    <x v="83"/>
    <n v="12"/>
    <n v="2009"/>
    <n v="0.56608996539792389"/>
  </r>
  <r>
    <x v="83"/>
    <n v="12"/>
    <n v="2009"/>
    <n v="0.23944636678200693"/>
  </r>
  <r>
    <x v="83"/>
    <n v="12"/>
    <n v="2009"/>
    <n v="0.55224913494809691"/>
  </r>
  <r>
    <x v="83"/>
    <n v="12"/>
    <n v="2009"/>
    <n v="2.186159169550173"/>
  </r>
  <r>
    <x v="83"/>
    <n v="12"/>
    <n v="2009"/>
    <n v="0.46020761245674746"/>
  </r>
  <r>
    <x v="83"/>
    <n v="12"/>
    <n v="2009"/>
    <n v="0"/>
  </r>
  <r>
    <x v="83"/>
    <n v="12"/>
    <n v="2009"/>
    <n v="0"/>
  </r>
  <r>
    <x v="83"/>
    <n v="12"/>
    <n v="2009"/>
    <n v="0"/>
  </r>
  <r>
    <x v="83"/>
    <n v="12"/>
    <n v="2009"/>
    <n v="1.0339100346020762"/>
  </r>
  <r>
    <x v="83"/>
    <n v="12"/>
    <n v="2009"/>
    <n v="1.6207612456747404"/>
  </r>
  <r>
    <x v="83"/>
    <n v="12"/>
    <n v="2009"/>
    <n v="0"/>
  </r>
  <r>
    <x v="83"/>
    <n v="12"/>
    <n v="2009"/>
    <n v="2.7619377162629757"/>
  </r>
  <r>
    <x v="83"/>
    <n v="12"/>
    <n v="2009"/>
    <n v="16.220761245674744"/>
  </r>
  <r>
    <x v="83"/>
    <n v="12"/>
    <n v="2009"/>
    <n v="0.77439446366782017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6.869896193771627"/>
  </r>
  <r>
    <x v="84"/>
    <n v="1"/>
    <n v="2010"/>
    <n v="1.2373702422145327"/>
  </r>
  <r>
    <x v="84"/>
    <n v="1"/>
    <n v="2010"/>
    <n v="10.851211072664359"/>
  </r>
  <r>
    <x v="84"/>
    <n v="1"/>
    <n v="2010"/>
    <n v="0.87128027681660902"/>
  </r>
  <r>
    <x v="84"/>
    <n v="1"/>
    <n v="2010"/>
    <n v="0"/>
  </r>
  <r>
    <x v="84"/>
    <n v="1"/>
    <n v="2010"/>
    <n v="5.080276816608996"/>
  </r>
  <r>
    <x v="84"/>
    <n v="1"/>
    <n v="2010"/>
    <n v="14.797231833910034"/>
  </r>
  <r>
    <x v="84"/>
    <n v="1"/>
    <n v="2010"/>
    <n v="2.5570934256055362"/>
  </r>
  <r>
    <x v="84"/>
    <n v="1"/>
    <n v="2010"/>
    <n v="3.0269896193771633"/>
  </r>
  <r>
    <x v="84"/>
    <n v="1"/>
    <n v="2010"/>
    <n v="0.64913494809688577"/>
  </r>
  <r>
    <x v="84"/>
    <n v="1"/>
    <n v="2010"/>
    <n v="3.0429065743944643"/>
  </r>
  <r>
    <x v="84"/>
    <n v="1"/>
    <n v="2010"/>
    <n v="0"/>
  </r>
  <r>
    <x v="84"/>
    <n v="1"/>
    <n v="2010"/>
    <n v="12.298269896193771"/>
  </r>
  <r>
    <x v="84"/>
    <n v="1"/>
    <n v="2010"/>
    <n v="0"/>
  </r>
  <r>
    <x v="84"/>
    <n v="1"/>
    <n v="2010"/>
    <n v="2.3647058823529408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.84013840830449826"/>
  </r>
  <r>
    <x v="84"/>
    <n v="1"/>
    <n v="2010"/>
    <n v="0.88373702422145328"/>
  </r>
  <r>
    <x v="84"/>
    <n v="1"/>
    <n v="2010"/>
    <n v="0"/>
  </r>
  <r>
    <x v="84"/>
    <n v="1"/>
    <n v="2010"/>
    <n v="0"/>
  </r>
  <r>
    <x v="85"/>
    <n v="2"/>
    <n v="2010"/>
    <n v="0.73148788927335651"/>
  </r>
  <r>
    <x v="85"/>
    <n v="2"/>
    <n v="2010"/>
    <n v="5.1847750865051907"/>
  </r>
  <r>
    <x v="85"/>
    <n v="2"/>
    <n v="2010"/>
    <n v="0"/>
  </r>
  <r>
    <x v="85"/>
    <n v="2"/>
    <n v="2010"/>
    <n v="0.68512110726643605"/>
  </r>
  <r>
    <x v="85"/>
    <n v="2"/>
    <n v="2010"/>
    <n v="7.9612456747404838"/>
  </r>
  <r>
    <x v="85"/>
    <n v="2"/>
    <n v="2010"/>
    <n v="0"/>
  </r>
  <r>
    <x v="85"/>
    <n v="2"/>
    <n v="2010"/>
    <n v="2.7280276816608993"/>
  </r>
  <r>
    <x v="85"/>
    <n v="2"/>
    <n v="2010"/>
    <n v="2.0429065743944634"/>
  </r>
  <r>
    <x v="85"/>
    <n v="2"/>
    <n v="2010"/>
    <n v="5.5716262975778541"/>
  </r>
  <r>
    <x v="85"/>
    <n v="2"/>
    <n v="2010"/>
    <n v="4.8581314878892732"/>
  </r>
  <r>
    <x v="85"/>
    <n v="2"/>
    <n v="2010"/>
    <n v="0.35017301038062282"/>
  </r>
  <r>
    <x v="85"/>
    <n v="2"/>
    <n v="2010"/>
    <n v="3.9211072664359863"/>
  </r>
  <r>
    <x v="85"/>
    <n v="2"/>
    <n v="2010"/>
    <n v="0.31695501730103803"/>
  </r>
  <r>
    <x v="85"/>
    <n v="2"/>
    <n v="2010"/>
    <n v="0.2179930795847751"/>
  </r>
  <r>
    <x v="85"/>
    <n v="2"/>
    <n v="2010"/>
    <n v="3.2802768166089962"/>
  </r>
  <r>
    <x v="85"/>
    <n v="2"/>
    <n v="2010"/>
    <n v="0"/>
  </r>
  <r>
    <x v="85"/>
    <n v="2"/>
    <n v="2010"/>
    <n v="0"/>
  </r>
  <r>
    <x v="85"/>
    <n v="2"/>
    <n v="2010"/>
    <n v="0"/>
  </r>
  <r>
    <x v="85"/>
    <n v="2"/>
    <n v="2010"/>
    <n v="0.21591695501730107"/>
  </r>
  <r>
    <x v="85"/>
    <n v="2"/>
    <n v="2010"/>
    <n v="0"/>
  </r>
  <r>
    <x v="85"/>
    <n v="2"/>
    <n v="2010"/>
    <n v="0.41799307958477511"/>
  </r>
  <r>
    <x v="85"/>
    <n v="2"/>
    <n v="2010"/>
    <n v="1.649134948096886"/>
  </r>
  <r>
    <x v="85"/>
    <n v="2"/>
    <n v="2010"/>
    <n v="0.298961937716263"/>
  </r>
  <r>
    <x v="85"/>
    <n v="2"/>
    <n v="2010"/>
    <n v="8.3868512110726652"/>
  </r>
  <r>
    <x v="85"/>
    <n v="2"/>
    <n v="2010"/>
    <n v="2.4290657439446366"/>
  </r>
  <r>
    <x v="85"/>
    <n v="2"/>
    <n v="2010"/>
    <n v="13.985467128027679"/>
  </r>
  <r>
    <x v="85"/>
    <n v="2"/>
    <n v="2010"/>
    <n v="13.899653979238755"/>
  </r>
  <r>
    <x v="85"/>
    <n v="2"/>
    <n v="2010"/>
    <n v="2.543944636678200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.4179930795847751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1.1453287197231834"/>
  </r>
  <r>
    <x v="86"/>
    <n v="3"/>
    <n v="2010"/>
    <n v="0"/>
  </r>
  <r>
    <x v="86"/>
    <n v="3"/>
    <n v="2010"/>
    <n v="0.63114186851211074"/>
  </r>
  <r>
    <x v="86"/>
    <n v="3"/>
    <n v="2010"/>
    <n v="0.2179930795847751"/>
  </r>
  <r>
    <x v="86"/>
    <n v="3"/>
    <n v="2010"/>
    <n v="0"/>
  </r>
  <r>
    <x v="86"/>
    <n v="3"/>
    <n v="2010"/>
    <n v="0"/>
  </r>
  <r>
    <x v="86"/>
    <n v="3"/>
    <n v="2010"/>
    <n v="0.20207612456747404"/>
  </r>
  <r>
    <x v="86"/>
    <n v="3"/>
    <n v="2010"/>
    <n v="0"/>
  </r>
  <r>
    <x v="86"/>
    <n v="3"/>
    <n v="2010"/>
    <n v="9.1010380622837364"/>
  </r>
  <r>
    <x v="86"/>
    <n v="3"/>
    <n v="2010"/>
    <n v="0.298961937716263"/>
  </r>
  <r>
    <x v="86"/>
    <n v="3"/>
    <n v="2010"/>
    <n v="1.1640138408304497"/>
  </r>
  <r>
    <x v="86"/>
    <n v="3"/>
    <n v="2010"/>
    <n v="4.0712802768166085"/>
  </r>
  <r>
    <x v="86"/>
    <n v="3"/>
    <n v="2010"/>
    <n v="1.2851211072664361"/>
  </r>
  <r>
    <x v="86"/>
    <n v="3"/>
    <n v="2010"/>
    <n v="10.188927335640138"/>
  </r>
  <r>
    <x v="86"/>
    <n v="3"/>
    <n v="2010"/>
    <n v="11.767474048442905"/>
  </r>
  <r>
    <x v="86"/>
    <n v="3"/>
    <n v="2010"/>
    <n v="0"/>
  </r>
  <r>
    <x v="86"/>
    <n v="3"/>
    <n v="2010"/>
    <n v="3.3314878892733564"/>
  </r>
  <r>
    <x v="86"/>
    <n v="3"/>
    <n v="2010"/>
    <n v="20.477508650519031"/>
  </r>
  <r>
    <x v="86"/>
    <n v="3"/>
    <n v="2010"/>
    <n v="26.296885813148791"/>
  </r>
  <r>
    <x v="86"/>
    <n v="3"/>
    <n v="2010"/>
    <n v="20.651903114186858"/>
  </r>
  <r>
    <x v="87"/>
    <n v="4"/>
    <n v="2010"/>
    <n v="0.3910034602076124"/>
  </r>
  <r>
    <x v="87"/>
    <n v="4"/>
    <n v="2010"/>
    <n v="2.0782006920415226"/>
  </r>
  <r>
    <x v="87"/>
    <n v="4"/>
    <n v="2010"/>
    <n v="5.8664359861591695"/>
  </r>
  <r>
    <x v="87"/>
    <n v="4"/>
    <n v="2010"/>
    <n v="2.2920415224913495"/>
  </r>
  <r>
    <x v="87"/>
    <n v="4"/>
    <n v="2010"/>
    <n v="1.1743944636678201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59100346020761252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394463667820069"/>
  </r>
  <r>
    <x v="87"/>
    <n v="4"/>
    <n v="2010"/>
    <n v="0.33287197231833909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6961937716262977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96885813148789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9.6975778546712768"/>
  </r>
  <r>
    <x v="88"/>
    <n v="5"/>
    <n v="2010"/>
    <n v="1.1564013840830449"/>
  </r>
  <r>
    <x v="88"/>
    <n v="5"/>
    <n v="2010"/>
    <n v="0"/>
  </r>
  <r>
    <x v="88"/>
    <n v="5"/>
    <n v="2010"/>
    <n v="0.66020761245674742"/>
  </r>
  <r>
    <x v="88"/>
    <n v="5"/>
    <n v="2010"/>
    <n v="0.5148788927335640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65605536332179937"/>
  </r>
  <r>
    <x v="88"/>
    <n v="5"/>
    <n v="2010"/>
    <n v="0"/>
  </r>
  <r>
    <x v="88"/>
    <n v="5"/>
    <n v="2010"/>
    <n v="1.2103806228373704"/>
  </r>
  <r>
    <x v="88"/>
    <n v="5"/>
    <n v="2010"/>
    <n v="0.35432525951557098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25813148788927337"/>
  </r>
  <r>
    <x v="88"/>
    <n v="5"/>
    <n v="2010"/>
    <n v="1.0629757785467131"/>
  </r>
  <r>
    <x v="88"/>
    <n v="5"/>
    <n v="2010"/>
    <n v="5.9584775086505193"/>
  </r>
  <r>
    <x v="88"/>
    <n v="5"/>
    <n v="2010"/>
    <n v="0"/>
  </r>
  <r>
    <x v="88"/>
    <n v="5"/>
    <n v="2010"/>
    <n v="2.962629757785467"/>
  </r>
  <r>
    <x v="88"/>
    <n v="5"/>
    <n v="2010"/>
    <n v="0.7820069204152249"/>
  </r>
  <r>
    <x v="88"/>
    <n v="5"/>
    <n v="2010"/>
    <n v="0"/>
  </r>
  <r>
    <x v="89"/>
    <n v="6"/>
    <n v="2010"/>
    <n v="1.7667820069204152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4.7737024221453304"/>
  </r>
  <r>
    <x v="89"/>
    <n v="6"/>
    <n v="2010"/>
    <n v="0.70311418685121096"/>
  </r>
  <r>
    <x v="89"/>
    <n v="6"/>
    <n v="2010"/>
    <n v="2.0733564013840828"/>
  </r>
  <r>
    <x v="89"/>
    <n v="6"/>
    <n v="2010"/>
    <n v="4.4346020761245679"/>
  </r>
  <r>
    <x v="89"/>
    <n v="6"/>
    <n v="2010"/>
    <n v="1.3972318339100345"/>
  </r>
  <r>
    <x v="89"/>
    <n v="6"/>
    <n v="2010"/>
    <n v="0"/>
  </r>
  <r>
    <x v="89"/>
    <n v="6"/>
    <n v="2010"/>
    <n v="0"/>
  </r>
  <r>
    <x v="89"/>
    <n v="6"/>
    <n v="2010"/>
    <n v="0.66712802768166102"/>
  </r>
  <r>
    <x v="89"/>
    <n v="6"/>
    <n v="2010"/>
    <n v="0.48512110726643598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1.1391003460207612"/>
  </r>
  <r>
    <x v="89"/>
    <n v="6"/>
    <n v="2010"/>
    <n v="3.3944636678200695"/>
  </r>
  <r>
    <x v="89"/>
    <n v="6"/>
    <n v="2010"/>
    <n v="0"/>
  </r>
  <r>
    <x v="90"/>
    <n v="7"/>
    <n v="2010"/>
    <n v="1.4352941176470586"/>
  </r>
  <r>
    <x v="90"/>
    <n v="7"/>
    <n v="2010"/>
    <n v="8.7314878892733567"/>
  </r>
  <r>
    <x v="90"/>
    <n v="7"/>
    <n v="2010"/>
    <n v="0"/>
  </r>
  <r>
    <x v="90"/>
    <n v="7"/>
    <n v="2010"/>
    <n v="0.97231833910034604"/>
  </r>
  <r>
    <x v="90"/>
    <n v="7"/>
    <n v="2010"/>
    <n v="0"/>
  </r>
  <r>
    <x v="90"/>
    <n v="7"/>
    <n v="2010"/>
    <n v="0.39307958477508648"/>
  </r>
  <r>
    <x v="90"/>
    <n v="7"/>
    <n v="2010"/>
    <n v="0.44913494809688581"/>
  </r>
  <r>
    <x v="90"/>
    <n v="7"/>
    <n v="2010"/>
    <n v="0"/>
  </r>
  <r>
    <x v="90"/>
    <n v="7"/>
    <n v="2010"/>
    <n v="0.3370242214532872"/>
  </r>
  <r>
    <x v="90"/>
    <n v="7"/>
    <n v="2010"/>
    <n v="11.339100346020762"/>
  </r>
  <r>
    <x v="90"/>
    <n v="7"/>
    <n v="2010"/>
    <n v="1.3051903114186854"/>
  </r>
  <r>
    <x v="90"/>
    <n v="7"/>
    <n v="2010"/>
    <n v="0"/>
  </r>
  <r>
    <x v="90"/>
    <n v="7"/>
    <n v="2010"/>
    <n v="3.8525951557093423"/>
  </r>
  <r>
    <x v="90"/>
    <n v="7"/>
    <n v="2010"/>
    <n v="26.765397923875433"/>
  </r>
  <r>
    <x v="90"/>
    <n v="7"/>
    <n v="2010"/>
    <n v="6.6505190311418678"/>
  </r>
  <r>
    <x v="90"/>
    <n v="7"/>
    <n v="2010"/>
    <n v="0.84982698961937708"/>
  </r>
  <r>
    <x v="90"/>
    <n v="7"/>
    <n v="2010"/>
    <n v="0.79515570934256052"/>
  </r>
  <r>
    <x v="90"/>
    <n v="7"/>
    <n v="2010"/>
    <n v="0"/>
  </r>
  <r>
    <x v="90"/>
    <n v="7"/>
    <n v="2010"/>
    <n v="10.318339100346019"/>
  </r>
  <r>
    <x v="90"/>
    <n v="7"/>
    <n v="2010"/>
    <n v="10.898961937716264"/>
  </r>
  <r>
    <x v="90"/>
    <n v="7"/>
    <n v="2010"/>
    <n v="12.992387543252596"/>
  </r>
  <r>
    <x v="90"/>
    <n v="7"/>
    <n v="2010"/>
    <n v="0.55501730103806235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.2069204152249135"/>
  </r>
  <r>
    <x v="90"/>
    <n v="7"/>
    <n v="2010"/>
    <n v="0"/>
  </r>
  <r>
    <x v="90"/>
    <n v="7"/>
    <n v="2010"/>
    <n v="0"/>
  </r>
  <r>
    <x v="90"/>
    <n v="7"/>
    <n v="2010"/>
    <n v="0"/>
  </r>
  <r>
    <x v="91"/>
    <n v="8"/>
    <n v="2010"/>
    <n v="5.9723183391003474"/>
  </r>
  <r>
    <x v="91"/>
    <n v="8"/>
    <n v="2010"/>
    <n v="0"/>
  </r>
  <r>
    <x v="91"/>
    <n v="8"/>
    <n v="2010"/>
    <n v="0"/>
  </r>
  <r>
    <x v="91"/>
    <n v="8"/>
    <n v="2010"/>
    <n v="0"/>
  </r>
  <r>
    <x v="91"/>
    <n v="8"/>
    <n v="2010"/>
    <n v="3.952941176470588"/>
  </r>
  <r>
    <x v="91"/>
    <n v="8"/>
    <n v="2010"/>
    <n v="0.99723183391003456"/>
  </r>
  <r>
    <x v="91"/>
    <n v="8"/>
    <n v="2010"/>
    <n v="0.71764705882352942"/>
  </r>
  <r>
    <x v="91"/>
    <n v="8"/>
    <n v="2010"/>
    <n v="0"/>
  </r>
  <r>
    <x v="91"/>
    <n v="8"/>
    <n v="2010"/>
    <n v="0"/>
  </r>
  <r>
    <x v="91"/>
    <n v="8"/>
    <n v="2010"/>
    <n v="2.4304498269896198"/>
  </r>
  <r>
    <x v="91"/>
    <n v="8"/>
    <n v="2010"/>
    <n v="2.8089965397923873"/>
  </r>
  <r>
    <x v="91"/>
    <n v="8"/>
    <n v="2010"/>
    <n v="0"/>
  </r>
  <r>
    <x v="91"/>
    <n v="8"/>
    <n v="2010"/>
    <n v="16.519723183391005"/>
  </r>
  <r>
    <x v="91"/>
    <n v="8"/>
    <n v="2010"/>
    <n v="1.2352941176470589"/>
  </r>
  <r>
    <x v="91"/>
    <n v="8"/>
    <n v="2010"/>
    <n v="0"/>
  </r>
  <r>
    <x v="91"/>
    <n v="8"/>
    <n v="2010"/>
    <n v="0"/>
  </r>
  <r>
    <x v="91"/>
    <n v="8"/>
    <n v="2010"/>
    <n v="5.0145328719723175"/>
  </r>
  <r>
    <x v="91"/>
    <n v="8"/>
    <n v="2010"/>
    <n v="0"/>
  </r>
  <r>
    <x v="91"/>
    <n v="8"/>
    <n v="2010"/>
    <n v="0.61107266435986163"/>
  </r>
  <r>
    <x v="91"/>
    <n v="8"/>
    <n v="2010"/>
    <n v="9.8747404844290667"/>
  </r>
  <r>
    <x v="91"/>
    <n v="8"/>
    <n v="2010"/>
    <n v="1.0664359861591697"/>
  </r>
  <r>
    <x v="91"/>
    <n v="8"/>
    <n v="2010"/>
    <n v="0.3681660899653979"/>
  </r>
  <r>
    <x v="91"/>
    <n v="8"/>
    <n v="2010"/>
    <n v="10.662283737024223"/>
  </r>
  <r>
    <x v="91"/>
    <n v="8"/>
    <n v="2010"/>
    <n v="3.0643598615916954"/>
  </r>
  <r>
    <x v="91"/>
    <n v="8"/>
    <n v="2010"/>
    <n v="0"/>
  </r>
  <r>
    <x v="91"/>
    <n v="8"/>
    <n v="2010"/>
    <n v="0.36816608996539796"/>
  </r>
  <r>
    <x v="91"/>
    <n v="8"/>
    <n v="2010"/>
    <n v="0.58477508650519028"/>
  </r>
  <r>
    <x v="91"/>
    <n v="8"/>
    <n v="2010"/>
    <n v="0.22145328719723184"/>
  </r>
  <r>
    <x v="91"/>
    <n v="8"/>
    <n v="2010"/>
    <n v="1.8560553633217993"/>
  </r>
  <r>
    <x v="91"/>
    <n v="8"/>
    <n v="2010"/>
    <n v="0"/>
  </r>
  <r>
    <x v="91"/>
    <n v="8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19.415224913494811"/>
  </r>
  <r>
    <x v="92"/>
    <n v="9"/>
    <n v="2010"/>
    <n v="0.34602076124567471"/>
  </r>
  <r>
    <x v="92"/>
    <n v="9"/>
    <n v="2010"/>
    <n v="0"/>
  </r>
  <r>
    <x v="92"/>
    <n v="9"/>
    <n v="2010"/>
    <n v="1.7743944636678202"/>
  </r>
  <r>
    <x v="92"/>
    <n v="9"/>
    <n v="2010"/>
    <n v="10.101038062283736"/>
  </r>
  <r>
    <x v="92"/>
    <n v="9"/>
    <n v="2010"/>
    <n v="0"/>
  </r>
  <r>
    <x v="92"/>
    <n v="9"/>
    <n v="2010"/>
    <n v="1.7529411764705884"/>
  </r>
  <r>
    <x v="92"/>
    <n v="9"/>
    <n v="2010"/>
    <n v="3.0581314878892734"/>
  </r>
  <r>
    <x v="92"/>
    <n v="9"/>
    <n v="2010"/>
    <n v="0.66989619377162624"/>
  </r>
  <r>
    <x v="92"/>
    <n v="9"/>
    <n v="2010"/>
    <n v="0.3259515570934256"/>
  </r>
  <r>
    <x v="92"/>
    <n v="9"/>
    <n v="2010"/>
    <n v="0"/>
  </r>
  <r>
    <x v="92"/>
    <n v="9"/>
    <n v="2010"/>
    <n v="0"/>
  </r>
  <r>
    <x v="92"/>
    <n v="9"/>
    <n v="2010"/>
    <n v="5.4858131487889272"/>
  </r>
  <r>
    <x v="92"/>
    <n v="9"/>
    <n v="2010"/>
    <n v="1.7418685121107267"/>
  </r>
  <r>
    <x v="92"/>
    <n v="9"/>
    <n v="2010"/>
    <n v="0"/>
  </r>
  <r>
    <x v="92"/>
    <n v="9"/>
    <n v="2010"/>
    <n v="2.3584775086505192"/>
  </r>
  <r>
    <x v="92"/>
    <n v="9"/>
    <n v="2010"/>
    <n v="7.3467128027681667"/>
  </r>
  <r>
    <x v="92"/>
    <n v="9"/>
    <n v="2010"/>
    <n v="4.4207612456747407"/>
  </r>
  <r>
    <x v="92"/>
    <n v="9"/>
    <n v="2010"/>
    <n v="0"/>
  </r>
  <r>
    <x v="92"/>
    <n v="9"/>
    <n v="2010"/>
    <n v="0.22076124567474048"/>
  </r>
  <r>
    <x v="92"/>
    <n v="9"/>
    <n v="2010"/>
    <n v="3.5958477508650515"/>
  </r>
  <r>
    <x v="92"/>
    <n v="9"/>
    <n v="2010"/>
    <n v="0.90726643598615919"/>
  </r>
  <r>
    <x v="92"/>
    <n v="9"/>
    <n v="2010"/>
    <n v="12.232525951557093"/>
  </r>
  <r>
    <x v="92"/>
    <n v="9"/>
    <n v="2010"/>
    <n v="0.6401384083044982"/>
  </r>
  <r>
    <x v="93"/>
    <n v="10"/>
    <n v="2010"/>
    <n v="9.6283737024221434"/>
  </r>
  <r>
    <x v="93"/>
    <n v="10"/>
    <n v="2010"/>
    <n v="0.20207612456747404"/>
  </r>
  <r>
    <x v="93"/>
    <n v="10"/>
    <n v="2010"/>
    <n v="12.085813148788928"/>
  </r>
  <r>
    <x v="93"/>
    <n v="10"/>
    <n v="2010"/>
    <n v="0.66228373702422139"/>
  </r>
  <r>
    <x v="93"/>
    <n v="10"/>
    <n v="2010"/>
    <n v="0.39515570934256056"/>
  </r>
  <r>
    <x v="93"/>
    <n v="10"/>
    <n v="2010"/>
    <n v="5.6373702422145335"/>
  </r>
  <r>
    <x v="93"/>
    <n v="10"/>
    <n v="2010"/>
    <n v="0"/>
  </r>
  <r>
    <x v="93"/>
    <n v="10"/>
    <n v="2010"/>
    <n v="1.7626297577854673"/>
  </r>
  <r>
    <x v="93"/>
    <n v="10"/>
    <n v="2010"/>
    <n v="0.98339100346020769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2.515570934256055"/>
  </r>
  <r>
    <x v="93"/>
    <n v="10"/>
    <n v="2010"/>
    <n v="1.0615916955017302"/>
  </r>
  <r>
    <x v="93"/>
    <n v="10"/>
    <n v="2010"/>
    <n v="0"/>
  </r>
  <r>
    <x v="93"/>
    <n v="10"/>
    <n v="2010"/>
    <n v="1.2228373702422146"/>
  </r>
  <r>
    <x v="93"/>
    <n v="10"/>
    <n v="2010"/>
    <n v="0.72871972318339095"/>
  </r>
  <r>
    <x v="93"/>
    <n v="10"/>
    <n v="2010"/>
    <n v="1.7287197231833908"/>
  </r>
  <r>
    <x v="93"/>
    <n v="10"/>
    <n v="2010"/>
    <n v="5.781314878892732"/>
  </r>
  <r>
    <x v="93"/>
    <n v="10"/>
    <n v="2010"/>
    <n v="3.0782006920415226"/>
  </r>
  <r>
    <x v="93"/>
    <n v="10"/>
    <n v="2010"/>
    <n v="6.0103806228373697"/>
  </r>
  <r>
    <x v="93"/>
    <n v="10"/>
    <n v="2010"/>
    <n v="2.0871972318339105"/>
  </r>
  <r>
    <x v="93"/>
    <n v="10"/>
    <n v="2010"/>
    <n v="0"/>
  </r>
  <r>
    <x v="93"/>
    <n v="10"/>
    <n v="2010"/>
    <n v="4.5771626297577859"/>
  </r>
  <r>
    <x v="93"/>
    <n v="10"/>
    <n v="2010"/>
    <n v="2.9903114186851214"/>
  </r>
  <r>
    <x v="93"/>
    <n v="10"/>
    <n v="2010"/>
    <n v="0.82906574394463672"/>
  </r>
  <r>
    <x v="93"/>
    <n v="10"/>
    <n v="2010"/>
    <n v="0.29411764705882348"/>
  </r>
  <r>
    <x v="93"/>
    <n v="10"/>
    <n v="2010"/>
    <n v="0.40415224913494813"/>
  </r>
  <r>
    <x v="93"/>
    <n v="10"/>
    <n v="2010"/>
    <n v="0"/>
  </r>
  <r>
    <x v="94"/>
    <n v="11"/>
    <n v="2010"/>
    <n v="0.790311418685121"/>
  </r>
  <r>
    <x v="94"/>
    <n v="11"/>
    <n v="2010"/>
    <n v="8.6110726643598614"/>
  </r>
  <r>
    <x v="94"/>
    <n v="11"/>
    <n v="2010"/>
    <n v="1.0920415224913496"/>
  </r>
  <r>
    <x v="94"/>
    <n v="11"/>
    <n v="2010"/>
    <n v="18.375086505190314"/>
  </r>
  <r>
    <x v="94"/>
    <n v="11"/>
    <n v="2010"/>
    <n v="0.22283737024221451"/>
  </r>
  <r>
    <x v="94"/>
    <n v="11"/>
    <n v="2010"/>
    <n v="0.62352941176470589"/>
  </r>
  <r>
    <x v="94"/>
    <n v="11"/>
    <n v="2010"/>
    <n v="0.55017301038062283"/>
  </r>
  <r>
    <x v="94"/>
    <n v="11"/>
    <n v="2010"/>
    <n v="5.9979238754325266"/>
  </r>
  <r>
    <x v="94"/>
    <n v="11"/>
    <n v="2010"/>
    <n v="8.0394463667820055"/>
  </r>
  <r>
    <x v="94"/>
    <n v="11"/>
    <n v="2010"/>
    <n v="0"/>
  </r>
  <r>
    <x v="94"/>
    <n v="11"/>
    <n v="2010"/>
    <n v="10.083737024221456"/>
  </r>
  <r>
    <x v="94"/>
    <n v="11"/>
    <n v="2010"/>
    <n v="5.4705882352941169"/>
  </r>
  <r>
    <x v="94"/>
    <n v="11"/>
    <n v="2010"/>
    <n v="0.95017301038062274"/>
  </r>
  <r>
    <x v="94"/>
    <n v="11"/>
    <n v="2010"/>
    <n v="4.0975778546712798"/>
  </r>
  <r>
    <x v="94"/>
    <n v="11"/>
    <n v="2010"/>
    <n v="0.7162629757785467"/>
  </r>
  <r>
    <x v="94"/>
    <n v="11"/>
    <n v="2010"/>
    <n v="0.55501730103806235"/>
  </r>
  <r>
    <x v="94"/>
    <n v="11"/>
    <n v="2010"/>
    <n v="0"/>
  </r>
  <r>
    <x v="94"/>
    <n v="11"/>
    <n v="2010"/>
    <n v="1.1916955017301039"/>
  </r>
  <r>
    <x v="94"/>
    <n v="11"/>
    <n v="2010"/>
    <n v="1.8595155709342561"/>
  </r>
  <r>
    <x v="94"/>
    <n v="11"/>
    <n v="2010"/>
    <n v="7.6719723183391002"/>
  </r>
  <r>
    <x v="94"/>
    <n v="11"/>
    <n v="2010"/>
    <n v="4.9591695501730104"/>
  </r>
  <r>
    <x v="94"/>
    <n v="11"/>
    <n v="2010"/>
    <n v="12.160553633217994"/>
  </r>
  <r>
    <x v="94"/>
    <n v="11"/>
    <n v="2010"/>
    <n v="2.5882352941176467"/>
  </r>
  <r>
    <x v="94"/>
    <n v="11"/>
    <n v="2010"/>
    <n v="10.28858131487889"/>
  </r>
  <r>
    <x v="94"/>
    <n v="11"/>
    <n v="2010"/>
    <n v="11.2"/>
  </r>
  <r>
    <x v="94"/>
    <n v="11"/>
    <n v="2010"/>
    <n v="0.6"/>
  </r>
  <r>
    <x v="94"/>
    <n v="11"/>
    <n v="2010"/>
    <n v="4.3999999999999995"/>
  </r>
  <r>
    <x v="94"/>
    <n v="11"/>
    <n v="2010"/>
    <n v="12.199999999999998"/>
  </r>
  <r>
    <x v="94"/>
    <n v="11"/>
    <n v="2010"/>
    <n v="8.296885813148787"/>
  </r>
  <r>
    <x v="94"/>
    <n v="11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5.5501730103806235"/>
  </r>
  <r>
    <x v="95"/>
    <n v="12"/>
    <n v="2010"/>
    <n v="26.353633217993085"/>
  </r>
  <r>
    <x v="95"/>
    <n v="12"/>
    <n v="2010"/>
    <n v="5.5197231833910045"/>
  </r>
  <r>
    <x v="95"/>
    <n v="12"/>
    <n v="2010"/>
    <n v="0"/>
  </r>
  <r>
    <x v="95"/>
    <n v="12"/>
    <n v="2010"/>
    <n v="0"/>
  </r>
  <r>
    <x v="95"/>
    <n v="12"/>
    <n v="2010"/>
    <n v="2.4110726643598617"/>
  </r>
  <r>
    <x v="95"/>
    <n v="12"/>
    <n v="2010"/>
    <n v="0.38131487889273352"/>
  </r>
  <r>
    <x v="95"/>
    <n v="12"/>
    <n v="2010"/>
    <n v="2.8878892733564014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.53010380622837372"/>
  </r>
  <r>
    <x v="95"/>
    <n v="12"/>
    <n v="2010"/>
    <n v="0"/>
  </r>
  <r>
    <x v="95"/>
    <n v="12"/>
    <n v="2010"/>
    <n v="0"/>
  </r>
  <r>
    <x v="95"/>
    <n v="12"/>
    <n v="2010"/>
    <n v="0.78961937716262964"/>
  </r>
  <r>
    <x v="95"/>
    <n v="12"/>
    <n v="2010"/>
    <n v="0"/>
  </r>
  <r>
    <x v="95"/>
    <n v="12"/>
    <n v="2010"/>
    <n v="1.9287197231833908"/>
  </r>
  <r>
    <x v="95"/>
    <n v="12"/>
    <n v="2010"/>
    <n v="7.6380622837370264"/>
  </r>
  <r>
    <x v="95"/>
    <n v="12"/>
    <n v="2010"/>
    <n v="3.5044982698961933"/>
  </r>
  <r>
    <x v="95"/>
    <n v="12"/>
    <n v="2010"/>
    <n v="7.4643598615916966"/>
  </r>
  <r>
    <x v="95"/>
    <n v="12"/>
    <n v="2010"/>
    <n v="2.729411764705882"/>
  </r>
  <r>
    <x v="96"/>
    <n v="1"/>
    <n v="2011"/>
    <n v="0.90588235294117647"/>
  </r>
  <r>
    <x v="96"/>
    <n v="1"/>
    <n v="2011"/>
    <n v="0"/>
  </r>
  <r>
    <x v="96"/>
    <n v="1"/>
    <n v="2011"/>
    <n v="0"/>
  </r>
  <r>
    <x v="96"/>
    <n v="1"/>
    <n v="2011"/>
    <n v="1.7148788927335639"/>
  </r>
  <r>
    <x v="96"/>
    <n v="1"/>
    <n v="2011"/>
    <n v="6.5411764705882351"/>
  </r>
  <r>
    <x v="96"/>
    <n v="1"/>
    <n v="2011"/>
    <n v="0.29204152249134946"/>
  </r>
  <r>
    <x v="96"/>
    <n v="1"/>
    <n v="2011"/>
    <n v="4.6048442906574394"/>
  </r>
  <r>
    <x v="96"/>
    <n v="1"/>
    <n v="2011"/>
    <n v="0.4249134948096886"/>
  </r>
  <r>
    <x v="96"/>
    <n v="1"/>
    <n v="2011"/>
    <n v="0.49619377162629758"/>
  </r>
  <r>
    <x v="96"/>
    <n v="1"/>
    <n v="2011"/>
    <n v="11.949480968858131"/>
  </r>
  <r>
    <x v="96"/>
    <n v="1"/>
    <n v="2011"/>
    <n v="6.9252595155709358"/>
  </r>
  <r>
    <x v="96"/>
    <n v="1"/>
    <n v="2011"/>
    <n v="0.92871972318339102"/>
  </r>
  <r>
    <x v="96"/>
    <n v="1"/>
    <n v="2011"/>
    <n v="3.2761245674740476"/>
  </r>
  <r>
    <x v="96"/>
    <n v="1"/>
    <n v="2011"/>
    <n v="2.0553633217993079"/>
  </r>
  <r>
    <x v="96"/>
    <n v="1"/>
    <n v="2011"/>
    <n v="6.2788927335640139"/>
  </r>
  <r>
    <x v="96"/>
    <n v="1"/>
    <n v="2011"/>
    <n v="0.79515570934256063"/>
  </r>
  <r>
    <x v="96"/>
    <n v="1"/>
    <n v="2011"/>
    <n v="0"/>
  </r>
  <r>
    <x v="96"/>
    <n v="1"/>
    <n v="2011"/>
    <n v="0.30103806228373703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.28512110726643597"/>
  </r>
  <r>
    <x v="96"/>
    <n v="1"/>
    <n v="2011"/>
    <n v="0"/>
  </r>
  <r>
    <x v="96"/>
    <n v="1"/>
    <n v="2011"/>
    <n v="6.3190311418685114"/>
  </r>
  <r>
    <x v="96"/>
    <n v="1"/>
    <n v="2011"/>
    <n v="1.2304498269896194"/>
  </r>
  <r>
    <x v="96"/>
    <n v="1"/>
    <n v="2011"/>
    <n v="0"/>
  </r>
  <r>
    <x v="96"/>
    <n v="1"/>
    <n v="2011"/>
    <n v="0"/>
  </r>
  <r>
    <x v="96"/>
    <n v="1"/>
    <n v="2011"/>
    <n v="0.21384083044982699"/>
  </r>
  <r>
    <x v="96"/>
    <n v="1"/>
    <n v="2011"/>
    <n v="0"/>
  </r>
  <r>
    <x v="97"/>
    <n v="2"/>
    <n v="2011"/>
    <n v="0"/>
  </r>
  <r>
    <x v="97"/>
    <n v="2"/>
    <n v="2011"/>
    <n v="0.93633217993079598"/>
  </r>
  <r>
    <x v="97"/>
    <n v="2"/>
    <n v="2011"/>
    <n v="6.7501730103806219"/>
  </r>
  <r>
    <x v="97"/>
    <n v="2"/>
    <n v="2011"/>
    <n v="9.1757785467128041"/>
  </r>
  <r>
    <x v="97"/>
    <n v="2"/>
    <n v="2011"/>
    <n v="4.2186851211072662"/>
  </r>
  <r>
    <x v="97"/>
    <n v="2"/>
    <n v="2011"/>
    <n v="10.498961937716262"/>
  </r>
  <r>
    <x v="97"/>
    <n v="2"/>
    <n v="2011"/>
    <n v="6.5038062283737021"/>
  </r>
  <r>
    <x v="97"/>
    <n v="2"/>
    <n v="2011"/>
    <n v="0"/>
  </r>
  <r>
    <x v="97"/>
    <n v="2"/>
    <n v="2011"/>
    <n v="6.5792387543252602"/>
  </r>
  <r>
    <x v="97"/>
    <n v="2"/>
    <n v="2011"/>
    <n v="0.22006920415224912"/>
  </r>
  <r>
    <x v="97"/>
    <n v="2"/>
    <n v="2011"/>
    <n v="1.8435986159169551"/>
  </r>
  <r>
    <x v="97"/>
    <n v="2"/>
    <n v="2011"/>
    <n v="7.5564013840830464"/>
  </r>
  <r>
    <x v="97"/>
    <n v="2"/>
    <n v="2011"/>
    <n v="3.0934256055363316"/>
  </r>
  <r>
    <x v="97"/>
    <n v="2"/>
    <n v="2011"/>
    <n v="3.1183391003460206"/>
  </r>
  <r>
    <x v="97"/>
    <n v="2"/>
    <n v="2011"/>
    <n v="1.4913494809688581"/>
  </r>
  <r>
    <x v="97"/>
    <n v="2"/>
    <n v="2011"/>
    <n v="2.7529411764705882"/>
  </r>
  <r>
    <x v="97"/>
    <n v="2"/>
    <n v="2011"/>
    <n v="0"/>
  </r>
  <r>
    <x v="97"/>
    <n v="2"/>
    <n v="2011"/>
    <n v="0"/>
  </r>
  <r>
    <x v="97"/>
    <n v="2"/>
    <n v="2011"/>
    <n v="6.8761245674740463"/>
  </r>
  <r>
    <x v="97"/>
    <n v="2"/>
    <n v="2011"/>
    <n v="0.57508650519031135"/>
  </r>
  <r>
    <x v="97"/>
    <n v="2"/>
    <n v="2011"/>
    <n v="0.49204152249134953"/>
  </r>
  <r>
    <x v="97"/>
    <n v="2"/>
    <n v="2011"/>
    <n v="0"/>
  </r>
  <r>
    <x v="97"/>
    <n v="2"/>
    <n v="2011"/>
    <n v="3.570934256055363"/>
  </r>
  <r>
    <x v="97"/>
    <n v="2"/>
    <n v="2011"/>
    <n v="0"/>
  </r>
  <r>
    <x v="97"/>
    <n v="2"/>
    <n v="2011"/>
    <n v="0.42214532871972316"/>
  </r>
  <r>
    <x v="97"/>
    <n v="2"/>
    <n v="2011"/>
    <n v="1.573010380622837"/>
  </r>
  <r>
    <x v="97"/>
    <n v="2"/>
    <n v="2011"/>
    <n v="0"/>
  </r>
  <r>
    <x v="97"/>
    <n v="2"/>
    <n v="2011"/>
    <n v="2.1128027681660897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.41799307958477511"/>
  </r>
  <r>
    <x v="98"/>
    <n v="3"/>
    <n v="2011"/>
    <n v="0"/>
  </r>
  <r>
    <x v="98"/>
    <n v="3"/>
    <n v="2011"/>
    <n v="0"/>
  </r>
  <r>
    <x v="98"/>
    <n v="3"/>
    <n v="2011"/>
    <n v="0.70519031141868516"/>
  </r>
  <r>
    <x v="98"/>
    <n v="3"/>
    <n v="2011"/>
    <n v="4.0463667820069205"/>
  </r>
  <r>
    <x v="98"/>
    <n v="3"/>
    <n v="2011"/>
    <n v="7.4865051903114184"/>
  </r>
  <r>
    <x v="98"/>
    <n v="3"/>
    <n v="2011"/>
    <n v="4.8615916955017298"/>
  </r>
  <r>
    <x v="98"/>
    <n v="3"/>
    <n v="2011"/>
    <n v="9.8588235294117652"/>
  </r>
  <r>
    <x v="98"/>
    <n v="3"/>
    <n v="2011"/>
    <n v="1.2138408304498272"/>
  </r>
  <r>
    <x v="98"/>
    <n v="3"/>
    <n v="2011"/>
    <n v="0"/>
  </r>
  <r>
    <x v="98"/>
    <n v="3"/>
    <n v="2011"/>
    <n v="0.89619377162629776"/>
  </r>
  <r>
    <x v="98"/>
    <n v="3"/>
    <n v="2011"/>
    <n v="1.3155709342560553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1.0041522491349482"/>
  </r>
  <r>
    <x v="98"/>
    <n v="3"/>
    <n v="2011"/>
    <n v="0"/>
  </r>
  <r>
    <x v="98"/>
    <n v="3"/>
    <n v="2011"/>
    <n v="0"/>
  </r>
  <r>
    <x v="98"/>
    <n v="3"/>
    <n v="2011"/>
    <n v="1.1584775086505192"/>
  </r>
  <r>
    <x v="98"/>
    <n v="3"/>
    <n v="2011"/>
    <n v="2.3570934256055365"/>
  </r>
  <r>
    <x v="98"/>
    <n v="3"/>
    <n v="2011"/>
    <n v="6.4083044982698958"/>
  </r>
  <r>
    <x v="99"/>
    <n v="4"/>
    <n v="2011"/>
    <n v="1.7785467128027681"/>
  </r>
  <r>
    <x v="99"/>
    <n v="4"/>
    <n v="2011"/>
    <n v="4.5072664359861587"/>
  </r>
  <r>
    <x v="99"/>
    <n v="4"/>
    <n v="2011"/>
    <n v="0.94740484429065752"/>
  </r>
  <r>
    <x v="99"/>
    <n v="4"/>
    <n v="2011"/>
    <n v="0.82629757785467128"/>
  </r>
  <r>
    <x v="99"/>
    <n v="4"/>
    <n v="2011"/>
    <n v="0.91626297577854665"/>
  </r>
  <r>
    <x v="99"/>
    <n v="4"/>
    <n v="2011"/>
    <n v="2.7688581314878897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.42906574394463665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1.7397923875432526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2.4159169550173014"/>
  </r>
  <r>
    <x v="100"/>
    <n v="5"/>
    <n v="2011"/>
    <n v="4.658823529411765"/>
  </r>
  <r>
    <x v="100"/>
    <n v="5"/>
    <n v="2011"/>
    <n v="5.236678200692042"/>
  </r>
  <r>
    <x v="100"/>
    <n v="5"/>
    <n v="2011"/>
    <n v="18.044982698961938"/>
  </r>
  <r>
    <x v="100"/>
    <n v="5"/>
    <n v="2011"/>
    <n v="1.6069204152249137"/>
  </r>
  <r>
    <x v="100"/>
    <n v="5"/>
    <n v="2011"/>
    <n v="0"/>
  </r>
  <r>
    <x v="100"/>
    <n v="5"/>
    <n v="2011"/>
    <n v="0"/>
  </r>
  <r>
    <x v="100"/>
    <n v="5"/>
    <n v="2011"/>
    <n v="1.8747404844290656"/>
  </r>
  <r>
    <x v="100"/>
    <n v="5"/>
    <n v="2011"/>
    <n v="2.3217993079584778"/>
  </r>
  <r>
    <x v="100"/>
    <n v="5"/>
    <n v="2011"/>
    <n v="0"/>
  </r>
  <r>
    <x v="100"/>
    <n v="5"/>
    <n v="2011"/>
    <n v="0"/>
  </r>
  <r>
    <x v="100"/>
    <n v="5"/>
    <n v="2011"/>
    <n v="1.1944636678200693"/>
  </r>
  <r>
    <x v="100"/>
    <n v="5"/>
    <n v="2011"/>
    <n v="0"/>
  </r>
  <r>
    <x v="100"/>
    <n v="5"/>
    <n v="2011"/>
    <n v="1.8456747404844291"/>
  </r>
  <r>
    <x v="100"/>
    <n v="5"/>
    <n v="2011"/>
    <n v="0"/>
  </r>
  <r>
    <x v="100"/>
    <n v="5"/>
    <n v="2011"/>
    <n v="0"/>
  </r>
  <r>
    <x v="100"/>
    <n v="5"/>
    <n v="2011"/>
    <n v="0.49619377162629752"/>
  </r>
  <r>
    <x v="100"/>
    <n v="5"/>
    <n v="2011"/>
    <n v="6.9591695501730113"/>
  </r>
  <r>
    <x v="100"/>
    <n v="5"/>
    <n v="2011"/>
    <n v="4.1294117647058828"/>
  </r>
  <r>
    <x v="100"/>
    <n v="5"/>
    <n v="2011"/>
    <n v="1.4629757785467128"/>
  </r>
  <r>
    <x v="100"/>
    <n v="5"/>
    <n v="2011"/>
    <n v="0"/>
  </r>
  <r>
    <x v="100"/>
    <n v="5"/>
    <n v="2011"/>
    <n v="6.7916955017301035"/>
  </r>
  <r>
    <x v="100"/>
    <n v="5"/>
    <n v="2011"/>
    <n v="1.6096885813148789"/>
  </r>
  <r>
    <x v="100"/>
    <n v="5"/>
    <n v="2011"/>
    <n v="2.2013840830449825"/>
  </r>
  <r>
    <x v="100"/>
    <n v="5"/>
    <n v="2011"/>
    <n v="1.3024221453287197"/>
  </r>
  <r>
    <x v="100"/>
    <n v="5"/>
    <n v="2011"/>
    <n v="0.39377162629757778"/>
  </r>
  <r>
    <x v="100"/>
    <n v="5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3.5792387543252597"/>
  </r>
  <r>
    <x v="101"/>
    <n v="6"/>
    <n v="2011"/>
    <n v="0"/>
  </r>
  <r>
    <x v="101"/>
    <n v="6"/>
    <n v="2011"/>
    <n v="1.6622837370242214"/>
  </r>
  <r>
    <x v="101"/>
    <n v="6"/>
    <n v="2011"/>
    <n v="1.6359861591695504"/>
  </r>
  <r>
    <x v="101"/>
    <n v="6"/>
    <n v="2011"/>
    <n v="0"/>
  </r>
  <r>
    <x v="101"/>
    <n v="6"/>
    <n v="2011"/>
    <n v="1.2442906574394463"/>
  </r>
  <r>
    <x v="101"/>
    <n v="6"/>
    <n v="2011"/>
    <n v="4.757785467128028"/>
  </r>
  <r>
    <x v="101"/>
    <n v="6"/>
    <n v="2011"/>
    <n v="10.263667820069204"/>
  </r>
  <r>
    <x v="101"/>
    <n v="6"/>
    <n v="2011"/>
    <n v="1.2152249134948097"/>
  </r>
  <r>
    <x v="101"/>
    <n v="6"/>
    <n v="2011"/>
    <n v="0"/>
  </r>
  <r>
    <x v="101"/>
    <n v="6"/>
    <n v="2011"/>
    <n v="0"/>
  </r>
  <r>
    <x v="101"/>
    <n v="6"/>
    <n v="2011"/>
    <n v="1.3480968858131488"/>
  </r>
  <r>
    <x v="101"/>
    <n v="6"/>
    <n v="2011"/>
    <n v="0.26505190311418686"/>
  </r>
  <r>
    <x v="101"/>
    <n v="6"/>
    <n v="2011"/>
    <n v="13.17923875432526"/>
  </r>
  <r>
    <x v="101"/>
    <n v="6"/>
    <n v="2011"/>
    <n v="2.1896193771626296"/>
  </r>
  <r>
    <x v="101"/>
    <n v="6"/>
    <n v="2011"/>
    <n v="0.79792387543252596"/>
  </r>
  <r>
    <x v="101"/>
    <n v="6"/>
    <n v="2011"/>
    <n v="8.1335640138408305"/>
  </r>
  <r>
    <x v="101"/>
    <n v="6"/>
    <n v="2011"/>
    <n v="5.3467128027681659"/>
  </r>
  <r>
    <x v="101"/>
    <n v="6"/>
    <n v="2011"/>
    <n v="8.5508650519031111"/>
  </r>
  <r>
    <x v="101"/>
    <n v="6"/>
    <n v="2011"/>
    <n v="0"/>
  </r>
  <r>
    <x v="101"/>
    <n v="6"/>
    <n v="2011"/>
    <n v="2.580622837370242"/>
  </r>
  <r>
    <x v="101"/>
    <n v="6"/>
    <n v="2011"/>
    <n v="3.8934256055363319"/>
  </r>
  <r>
    <x v="101"/>
    <n v="6"/>
    <n v="2011"/>
    <n v="3.8166089965397925"/>
  </r>
  <r>
    <x v="101"/>
    <n v="6"/>
    <n v="2011"/>
    <n v="0"/>
  </r>
  <r>
    <x v="101"/>
    <n v="6"/>
    <n v="2011"/>
    <n v="0.90934256055363316"/>
  </r>
  <r>
    <x v="101"/>
    <n v="6"/>
    <n v="2011"/>
    <n v="3.4484429065743942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29273356401384082"/>
  </r>
  <r>
    <x v="102"/>
    <n v="7"/>
    <n v="2011"/>
    <n v="12.104498269896192"/>
  </r>
  <r>
    <x v="102"/>
    <n v="7"/>
    <n v="2011"/>
    <n v="1.9356401384083048"/>
  </r>
  <r>
    <x v="102"/>
    <n v="7"/>
    <n v="2011"/>
    <n v="3.2463667820069202"/>
  </r>
  <r>
    <x v="102"/>
    <n v="7"/>
    <n v="2011"/>
    <n v="5.844290657439446"/>
  </r>
  <r>
    <x v="102"/>
    <n v="7"/>
    <n v="2011"/>
    <n v="0.26712802768166088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32110726643598619"/>
  </r>
  <r>
    <x v="102"/>
    <n v="7"/>
    <n v="2011"/>
    <n v="14.427681660899655"/>
  </r>
  <r>
    <x v="102"/>
    <n v="7"/>
    <n v="2011"/>
    <n v="17.181314878892731"/>
  </r>
  <r>
    <x v="102"/>
    <n v="7"/>
    <n v="2011"/>
    <n v="3.9923875432525948"/>
  </r>
  <r>
    <x v="102"/>
    <n v="7"/>
    <n v="2011"/>
    <n v="10.606228373702422"/>
  </r>
  <r>
    <x v="102"/>
    <n v="7"/>
    <n v="2011"/>
    <n v="27.949480968858133"/>
  </r>
  <r>
    <x v="102"/>
    <n v="7"/>
    <n v="2011"/>
    <n v="0.27612456747404845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99930795847750864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3"/>
    <n v="8"/>
    <n v="2011"/>
    <n v="0.62145328719723181"/>
  </r>
  <r>
    <x v="103"/>
    <n v="8"/>
    <n v="2011"/>
    <n v="8.0145328719723175"/>
  </r>
  <r>
    <x v="103"/>
    <n v="8"/>
    <n v="2011"/>
    <n v="0"/>
  </r>
  <r>
    <x v="103"/>
    <n v="8"/>
    <n v="2011"/>
    <n v="12.085813148788928"/>
  </r>
  <r>
    <x v="103"/>
    <n v="8"/>
    <n v="2011"/>
    <n v="0"/>
  </r>
  <r>
    <x v="103"/>
    <n v="8"/>
    <n v="2011"/>
    <n v="31.248442906574393"/>
  </r>
  <r>
    <x v="103"/>
    <n v="8"/>
    <n v="2011"/>
    <n v="6.0401384083044976"/>
  </r>
  <r>
    <x v="103"/>
    <n v="8"/>
    <n v="2011"/>
    <n v="0"/>
  </r>
  <r>
    <x v="103"/>
    <n v="8"/>
    <n v="2011"/>
    <n v="0"/>
  </r>
  <r>
    <x v="103"/>
    <n v="8"/>
    <n v="2011"/>
    <n v="9.1598615916955008"/>
  </r>
  <r>
    <x v="103"/>
    <n v="8"/>
    <n v="2011"/>
    <n v="11.750173010380623"/>
  </r>
  <r>
    <x v="103"/>
    <n v="8"/>
    <n v="2011"/>
    <n v="1.8186851211072663"/>
  </r>
  <r>
    <x v="103"/>
    <n v="8"/>
    <n v="2011"/>
    <n v="3.5550173010380623"/>
  </r>
  <r>
    <x v="103"/>
    <n v="8"/>
    <n v="2011"/>
    <n v="0"/>
  </r>
  <r>
    <x v="103"/>
    <n v="8"/>
    <n v="2011"/>
    <n v="0"/>
  </r>
  <r>
    <x v="103"/>
    <n v="8"/>
    <n v="2011"/>
    <n v="4.4193771626297575"/>
  </r>
  <r>
    <x v="103"/>
    <n v="8"/>
    <n v="2011"/>
    <n v="0"/>
  </r>
  <r>
    <x v="103"/>
    <n v="8"/>
    <n v="2011"/>
    <n v="1.837370242214533"/>
  </r>
  <r>
    <x v="103"/>
    <n v="8"/>
    <n v="2011"/>
    <n v="0.42698961937716262"/>
  </r>
  <r>
    <x v="103"/>
    <n v="8"/>
    <n v="2011"/>
    <n v="2.2228373702422148"/>
  </r>
  <r>
    <x v="103"/>
    <n v="8"/>
    <n v="2011"/>
    <n v="0"/>
  </r>
  <r>
    <x v="103"/>
    <n v="8"/>
    <n v="2011"/>
    <n v="0"/>
  </r>
  <r>
    <x v="103"/>
    <n v="8"/>
    <n v="2011"/>
    <n v="0.78131487889273366"/>
  </r>
  <r>
    <x v="103"/>
    <n v="8"/>
    <n v="2011"/>
    <n v="1.9072664359861593"/>
  </r>
  <r>
    <x v="103"/>
    <n v="8"/>
    <n v="2011"/>
    <n v="0.42145328719723185"/>
  </r>
  <r>
    <x v="103"/>
    <n v="8"/>
    <n v="2011"/>
    <n v="1.4207612456747412"/>
  </r>
  <r>
    <x v="103"/>
    <n v="8"/>
    <n v="2011"/>
    <n v="5.8761245674740481"/>
  </r>
  <r>
    <x v="103"/>
    <n v="8"/>
    <n v="2011"/>
    <n v="0.70519031141868516"/>
  </r>
  <r>
    <x v="103"/>
    <n v="8"/>
    <n v="2011"/>
    <n v="0"/>
  </r>
  <r>
    <x v="103"/>
    <n v="8"/>
    <n v="2011"/>
    <n v="0.25882352941176473"/>
  </r>
  <r>
    <x v="103"/>
    <n v="8"/>
    <n v="2011"/>
    <n v="0"/>
  </r>
  <r>
    <x v="104"/>
    <n v="9"/>
    <n v="2011"/>
    <n v="0"/>
  </r>
  <r>
    <x v="104"/>
    <n v="9"/>
    <n v="2011"/>
    <n v="0.35916955017301039"/>
  </r>
  <r>
    <x v="104"/>
    <n v="9"/>
    <n v="2011"/>
    <n v="3.3211072664359862"/>
  </r>
  <r>
    <x v="104"/>
    <n v="9"/>
    <n v="2011"/>
    <n v="0.22906574394463666"/>
  </r>
  <r>
    <x v="104"/>
    <n v="9"/>
    <n v="2011"/>
    <n v="2.6595155709342562"/>
  </r>
  <r>
    <x v="104"/>
    <n v="9"/>
    <n v="2011"/>
    <n v="7.4166089965397921"/>
  </r>
  <r>
    <x v="104"/>
    <n v="9"/>
    <n v="2011"/>
    <n v="0.7231833910034603"/>
  </r>
  <r>
    <x v="104"/>
    <n v="9"/>
    <n v="2011"/>
    <n v="0.28512110726643602"/>
  </r>
  <r>
    <x v="104"/>
    <n v="9"/>
    <n v="2011"/>
    <n v="2.3307958477508652"/>
  </r>
  <r>
    <x v="104"/>
    <n v="9"/>
    <n v="2011"/>
    <n v="3.0754325259515567"/>
  </r>
  <r>
    <x v="104"/>
    <n v="9"/>
    <n v="2011"/>
    <n v="1.3806228373702423"/>
  </r>
  <r>
    <x v="104"/>
    <n v="9"/>
    <n v="2011"/>
    <n v="2.4961937716262979"/>
  </r>
  <r>
    <x v="104"/>
    <n v="9"/>
    <n v="2011"/>
    <n v="0.8782006920415224"/>
  </r>
  <r>
    <x v="104"/>
    <n v="9"/>
    <n v="2011"/>
    <n v="0"/>
  </r>
  <r>
    <x v="104"/>
    <n v="9"/>
    <n v="2011"/>
    <n v="0"/>
  </r>
  <r>
    <x v="104"/>
    <n v="9"/>
    <n v="2011"/>
    <n v="9.1217993079584776"/>
  </r>
  <r>
    <x v="104"/>
    <n v="9"/>
    <n v="2011"/>
    <n v="2.7688581314878888"/>
  </r>
  <r>
    <x v="104"/>
    <n v="9"/>
    <n v="2011"/>
    <n v="0.89134948096885824"/>
  </r>
  <r>
    <x v="104"/>
    <n v="9"/>
    <n v="2011"/>
    <n v="1.1294117647058823"/>
  </r>
  <r>
    <x v="104"/>
    <n v="9"/>
    <n v="2011"/>
    <n v="0.89134948096885824"/>
  </r>
  <r>
    <x v="104"/>
    <n v="9"/>
    <n v="2011"/>
    <n v="2.2837370242214536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2.1840830449826987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5"/>
    <n v="10"/>
    <n v="2011"/>
    <n v="0"/>
  </r>
  <r>
    <x v="105"/>
    <n v="10"/>
    <n v="2011"/>
    <n v="2.0671280276816608"/>
  </r>
  <r>
    <x v="105"/>
    <n v="10"/>
    <n v="2011"/>
    <n v="0.47820069204152255"/>
  </r>
  <r>
    <x v="105"/>
    <n v="10"/>
    <n v="2011"/>
    <n v="0"/>
  </r>
  <r>
    <x v="105"/>
    <n v="10"/>
    <n v="2011"/>
    <n v="0.33010380622837371"/>
  </r>
  <r>
    <x v="105"/>
    <n v="10"/>
    <n v="2011"/>
    <n v="1.6975778546712803"/>
  </r>
  <r>
    <x v="105"/>
    <n v="10"/>
    <n v="2011"/>
    <n v="0"/>
  </r>
  <r>
    <x v="105"/>
    <n v="10"/>
    <n v="2011"/>
    <n v="5.0636678200692042"/>
  </r>
  <r>
    <x v="105"/>
    <n v="10"/>
    <n v="2011"/>
    <n v="3.8269896193771626"/>
  </r>
  <r>
    <x v="105"/>
    <n v="10"/>
    <n v="2011"/>
    <n v="3.4650519031141869"/>
  </r>
  <r>
    <x v="105"/>
    <n v="10"/>
    <n v="2011"/>
    <n v="1.3370242214532873"/>
  </r>
  <r>
    <x v="105"/>
    <n v="10"/>
    <n v="2011"/>
    <n v="10.110034602076121"/>
  </r>
  <r>
    <x v="105"/>
    <n v="10"/>
    <n v="2011"/>
    <n v="0"/>
  </r>
  <r>
    <x v="105"/>
    <n v="10"/>
    <n v="2011"/>
    <n v="0"/>
  </r>
  <r>
    <x v="105"/>
    <n v="10"/>
    <n v="2011"/>
    <n v="0"/>
  </r>
  <r>
    <x v="105"/>
    <n v="10"/>
    <n v="2011"/>
    <n v="0.87404844290657446"/>
  </r>
  <r>
    <x v="105"/>
    <n v="10"/>
    <n v="2011"/>
    <n v="5.0318339100346021"/>
  </r>
  <r>
    <x v="105"/>
    <n v="10"/>
    <n v="2011"/>
    <n v="1.8249134948096886"/>
  </r>
  <r>
    <x v="105"/>
    <n v="10"/>
    <n v="2011"/>
    <n v="0"/>
  </r>
  <r>
    <x v="105"/>
    <n v="10"/>
    <n v="2011"/>
    <n v="2.3460207612456747"/>
  </r>
  <r>
    <x v="105"/>
    <n v="10"/>
    <n v="2011"/>
    <n v="0.68788927335640138"/>
  </r>
  <r>
    <x v="105"/>
    <n v="10"/>
    <n v="2011"/>
    <n v="0"/>
  </r>
  <r>
    <x v="105"/>
    <n v="10"/>
    <n v="2011"/>
    <n v="0.53910034602076118"/>
  </r>
  <r>
    <x v="105"/>
    <n v="10"/>
    <n v="2011"/>
    <n v="0"/>
  </r>
  <r>
    <x v="105"/>
    <n v="10"/>
    <n v="2011"/>
    <n v="7.0602076124567485"/>
  </r>
  <r>
    <x v="105"/>
    <n v="10"/>
    <n v="2011"/>
    <n v="0.34809688581314879"/>
  </r>
  <r>
    <x v="105"/>
    <n v="10"/>
    <n v="2011"/>
    <n v="0.65743944636678198"/>
  </r>
  <r>
    <x v="105"/>
    <n v="10"/>
    <n v="2011"/>
    <n v="0"/>
  </r>
  <r>
    <x v="105"/>
    <n v="10"/>
    <n v="2011"/>
    <n v="0.86920415224913494"/>
  </r>
  <r>
    <x v="105"/>
    <n v="10"/>
    <n v="2011"/>
    <n v="0"/>
  </r>
  <r>
    <x v="105"/>
    <n v="10"/>
    <n v="2011"/>
    <n v="1.627681660899654"/>
  </r>
  <r>
    <x v="106"/>
    <n v="11"/>
    <n v="2011"/>
    <n v="4.1155709342560547"/>
  </r>
  <r>
    <x v="106"/>
    <n v="11"/>
    <n v="2011"/>
    <n v="0.42214532871972321"/>
  </r>
  <r>
    <x v="106"/>
    <n v="11"/>
    <n v="2011"/>
    <n v="3.0567474048442911"/>
  </r>
  <r>
    <x v="106"/>
    <n v="11"/>
    <n v="2011"/>
    <n v="0.83183391003460205"/>
  </r>
  <r>
    <x v="106"/>
    <n v="11"/>
    <n v="2011"/>
    <n v="0.4858131487889274"/>
  </r>
  <r>
    <x v="106"/>
    <n v="11"/>
    <n v="2011"/>
    <n v="0"/>
  </r>
  <r>
    <x v="106"/>
    <n v="11"/>
    <n v="2011"/>
    <n v="0.30103806228373703"/>
  </r>
  <r>
    <x v="106"/>
    <n v="11"/>
    <n v="2011"/>
    <n v="1.3584775086505192"/>
  </r>
  <r>
    <x v="106"/>
    <n v="11"/>
    <n v="2011"/>
    <n v="0.48166089965397924"/>
  </r>
  <r>
    <x v="106"/>
    <n v="11"/>
    <n v="2011"/>
    <n v="0.75224913494809686"/>
  </r>
  <r>
    <x v="106"/>
    <n v="11"/>
    <n v="2011"/>
    <n v="0.71418685121107273"/>
  </r>
  <r>
    <x v="106"/>
    <n v="11"/>
    <n v="2011"/>
    <n v="3.3467128027681659"/>
  </r>
  <r>
    <x v="106"/>
    <n v="11"/>
    <n v="2011"/>
    <n v="0.82906574394463695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4.8145328719723191"/>
  </r>
  <r>
    <x v="106"/>
    <n v="11"/>
    <n v="2011"/>
    <n v="1.3550173010380622"/>
  </r>
  <r>
    <x v="106"/>
    <n v="11"/>
    <n v="2011"/>
    <n v="0.64221453287197228"/>
  </r>
  <r>
    <x v="106"/>
    <n v="11"/>
    <n v="2011"/>
    <n v="6.8346020761245674"/>
  </r>
  <r>
    <x v="106"/>
    <n v="11"/>
    <n v="2011"/>
    <n v="6.496885813148789"/>
  </r>
  <r>
    <x v="106"/>
    <n v="11"/>
    <n v="2011"/>
    <n v="2.7480968858131485"/>
  </r>
  <r>
    <x v="106"/>
    <n v="11"/>
    <n v="2011"/>
    <n v="6.9121107266435988"/>
  </r>
  <r>
    <x v="106"/>
    <n v="11"/>
    <n v="2011"/>
    <n v="0.29411764705882354"/>
  </r>
  <r>
    <x v="106"/>
    <n v="11"/>
    <n v="2011"/>
    <n v="1.4145328719723183"/>
  </r>
  <r>
    <x v="106"/>
    <n v="11"/>
    <n v="2011"/>
    <n v="0.66920415224913499"/>
  </r>
  <r>
    <x v="107"/>
    <n v="12"/>
    <n v="2011"/>
    <n v="2.6636678200692039"/>
  </r>
  <r>
    <x v="107"/>
    <n v="12"/>
    <n v="2011"/>
    <n v="0.81799307958477518"/>
  </r>
  <r>
    <x v="107"/>
    <n v="12"/>
    <n v="2011"/>
    <n v="1.0359861591695503"/>
  </r>
  <r>
    <x v="107"/>
    <n v="12"/>
    <n v="2011"/>
    <n v="0.30103806228373703"/>
  </r>
  <r>
    <x v="107"/>
    <n v="12"/>
    <n v="2011"/>
    <n v="0"/>
  </r>
  <r>
    <x v="107"/>
    <n v="12"/>
    <n v="2011"/>
    <n v="0.7820069204152249"/>
  </r>
  <r>
    <x v="107"/>
    <n v="12"/>
    <n v="2011"/>
    <n v="4.0913494809688578"/>
  </r>
  <r>
    <x v="107"/>
    <n v="12"/>
    <n v="2011"/>
    <n v="13.395847750865052"/>
  </r>
  <r>
    <x v="107"/>
    <n v="12"/>
    <n v="2011"/>
    <n v="0"/>
  </r>
  <r>
    <x v="107"/>
    <n v="12"/>
    <n v="2011"/>
    <n v="0"/>
  </r>
  <r>
    <x v="107"/>
    <n v="12"/>
    <n v="2011"/>
    <n v="2.8449826989619371"/>
  </r>
  <r>
    <x v="107"/>
    <n v="12"/>
    <n v="2011"/>
    <n v="0.51903114186851207"/>
  </r>
  <r>
    <x v="107"/>
    <n v="12"/>
    <n v="2011"/>
    <n v="9.2013840830449833"/>
  </r>
  <r>
    <x v="107"/>
    <n v="12"/>
    <n v="2011"/>
    <n v="3.1633217993079583"/>
  </r>
  <r>
    <x v="107"/>
    <n v="12"/>
    <n v="2011"/>
    <n v="0"/>
  </r>
  <r>
    <x v="107"/>
    <n v="12"/>
    <n v="2011"/>
    <n v="5.6013840830449837"/>
  </r>
  <r>
    <x v="107"/>
    <n v="12"/>
    <n v="2011"/>
    <n v="0.55709342560553621"/>
  </r>
  <r>
    <x v="107"/>
    <n v="12"/>
    <n v="2011"/>
    <n v="0"/>
  </r>
  <r>
    <x v="107"/>
    <n v="12"/>
    <n v="2011"/>
    <n v="3.8851211072664369"/>
  </r>
  <r>
    <x v="107"/>
    <n v="12"/>
    <n v="2011"/>
    <n v="0.80692041522491353"/>
  </r>
  <r>
    <x v="107"/>
    <n v="12"/>
    <n v="2011"/>
    <n v="3.9169550173010381"/>
  </r>
  <r>
    <x v="107"/>
    <n v="12"/>
    <n v="2011"/>
    <n v="0.53910034602076129"/>
  </r>
  <r>
    <x v="107"/>
    <n v="12"/>
    <n v="2011"/>
    <n v="5.9993079584775089"/>
  </r>
  <r>
    <x v="107"/>
    <n v="12"/>
    <n v="2011"/>
    <n v="0.80899653979238761"/>
  </r>
  <r>
    <x v="107"/>
    <n v="12"/>
    <n v="2011"/>
    <n v="3.2339100346020762"/>
  </r>
  <r>
    <x v="107"/>
    <n v="12"/>
    <n v="2011"/>
    <n v="1.0851211072664357"/>
  </r>
  <r>
    <x v="107"/>
    <n v="12"/>
    <n v="2011"/>
    <n v="0.51695501730103799"/>
  </r>
  <r>
    <x v="107"/>
    <n v="12"/>
    <n v="2011"/>
    <n v="3.6892733564013831"/>
  </r>
  <r>
    <x v="107"/>
    <n v="12"/>
    <n v="2011"/>
    <n v="2.1820069204152248"/>
  </r>
  <r>
    <x v="107"/>
    <n v="12"/>
    <n v="2011"/>
    <n v="8.6359861591695495"/>
  </r>
  <r>
    <x v="107"/>
    <n v="12"/>
    <n v="2011"/>
    <n v="0.81799307958477507"/>
  </r>
  <r>
    <x v="108"/>
    <n v="1"/>
    <n v="2012"/>
    <n v="3.6539792387543253"/>
  </r>
  <r>
    <x v="108"/>
    <n v="1"/>
    <n v="2012"/>
    <n v="6.1833910034602075"/>
  </r>
  <r>
    <x v="108"/>
    <n v="1"/>
    <n v="2012"/>
    <n v="6.2795847750865059"/>
  </r>
  <r>
    <x v="108"/>
    <n v="1"/>
    <n v="2012"/>
    <n v="7.0235294117647049"/>
  </r>
  <r>
    <x v="108"/>
    <n v="1"/>
    <n v="2012"/>
    <n v="0.93010380622837374"/>
  </r>
  <r>
    <x v="108"/>
    <n v="1"/>
    <n v="2012"/>
    <n v="0.23598615916955018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2.1944636678200693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.33217993079584773"/>
  </r>
  <r>
    <x v="108"/>
    <n v="1"/>
    <n v="2012"/>
    <n v="0.53494809688581313"/>
  </r>
  <r>
    <x v="108"/>
    <n v="1"/>
    <n v="2012"/>
    <n v="2.7349480968858133"/>
  </r>
  <r>
    <x v="108"/>
    <n v="1"/>
    <n v="2012"/>
    <n v="3.3010380622837365"/>
  </r>
  <r>
    <x v="108"/>
    <n v="1"/>
    <n v="2012"/>
    <n v="0.89688581314878879"/>
  </r>
  <r>
    <x v="108"/>
    <n v="1"/>
    <n v="2012"/>
    <n v="1.0830449826989619"/>
  </r>
  <r>
    <x v="108"/>
    <n v="1"/>
    <n v="2012"/>
    <n v="0"/>
  </r>
  <r>
    <x v="108"/>
    <n v="1"/>
    <n v="2012"/>
    <n v="4.6968858131487892"/>
  </r>
  <r>
    <x v="108"/>
    <n v="1"/>
    <n v="2012"/>
    <n v="0.30103806228373703"/>
  </r>
  <r>
    <x v="108"/>
    <n v="1"/>
    <n v="2012"/>
    <n v="3.1716262975778546"/>
  </r>
  <r>
    <x v="108"/>
    <n v="1"/>
    <n v="2012"/>
    <n v="0.28996539792387543"/>
  </r>
  <r>
    <x v="108"/>
    <n v="1"/>
    <n v="2012"/>
    <n v="0"/>
  </r>
  <r>
    <x v="108"/>
    <n v="1"/>
    <n v="2012"/>
    <n v="1.1633217993079583"/>
  </r>
  <r>
    <x v="108"/>
    <n v="1"/>
    <n v="2012"/>
    <n v="0.48304498269896196"/>
  </r>
  <r>
    <x v="108"/>
    <n v="1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3.8435986159169544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6.7550173010380625"/>
  </r>
  <r>
    <x v="109"/>
    <n v="2"/>
    <n v="2012"/>
    <n v="0"/>
  </r>
  <r>
    <x v="109"/>
    <n v="2"/>
    <n v="2012"/>
    <n v="0"/>
  </r>
  <r>
    <x v="109"/>
    <n v="2"/>
    <n v="2012"/>
    <n v="0.22906574394463666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.72525951557093427"/>
  </r>
  <r>
    <x v="109"/>
    <n v="2"/>
    <n v="2012"/>
    <n v="1.8366782006920415"/>
  </r>
  <r>
    <x v="109"/>
    <n v="2"/>
    <n v="2012"/>
    <n v="0"/>
  </r>
  <r>
    <x v="109"/>
    <n v="2"/>
    <n v="2012"/>
    <n v="0"/>
  </r>
  <r>
    <x v="109"/>
    <n v="2"/>
    <n v="2012"/>
    <n v="0.21107266435986161"/>
  </r>
  <r>
    <x v="109"/>
    <n v="2"/>
    <n v="2012"/>
    <n v="7.2186851211072645"/>
  </r>
  <r>
    <x v="109"/>
    <n v="2"/>
    <n v="2012"/>
    <n v="0.30311418685121111"/>
  </r>
  <r>
    <x v="109"/>
    <n v="2"/>
    <n v="2012"/>
    <n v="0"/>
  </r>
  <r>
    <x v="109"/>
    <n v="2"/>
    <n v="2012"/>
    <n v="0"/>
  </r>
  <r>
    <x v="109"/>
    <n v="2"/>
    <n v="2012"/>
    <n v="0.35709342560553636"/>
  </r>
  <r>
    <x v="109"/>
    <n v="2"/>
    <n v="2012"/>
    <n v="0.28027681660899656"/>
  </r>
  <r>
    <x v="109"/>
    <n v="2"/>
    <n v="2012"/>
    <n v="0"/>
  </r>
  <r>
    <x v="109"/>
    <n v="2"/>
    <n v="2012"/>
    <n v="0"/>
  </r>
  <r>
    <x v="110"/>
    <n v="3"/>
    <n v="2012"/>
    <n v="0"/>
  </r>
  <r>
    <x v="110"/>
    <n v="3"/>
    <n v="2012"/>
    <n v="0"/>
  </r>
  <r>
    <x v="110"/>
    <n v="3"/>
    <n v="2012"/>
    <n v="0.57785467128027679"/>
  </r>
  <r>
    <x v="110"/>
    <n v="3"/>
    <n v="2012"/>
    <n v="4.1294117647058828"/>
  </r>
  <r>
    <x v="110"/>
    <n v="3"/>
    <n v="2012"/>
    <n v="0"/>
  </r>
  <r>
    <x v="110"/>
    <n v="3"/>
    <n v="2012"/>
    <n v="1.7363321799307958"/>
  </r>
  <r>
    <x v="110"/>
    <n v="3"/>
    <n v="2012"/>
    <n v="2.3038062283737024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.37716262975778547"/>
  </r>
  <r>
    <x v="111"/>
    <n v="4"/>
    <n v="2012"/>
    <n v="0"/>
  </r>
  <r>
    <x v="111"/>
    <n v="4"/>
    <n v="2012"/>
    <n v="0.40692041522491346"/>
  </r>
  <r>
    <x v="111"/>
    <n v="4"/>
    <n v="2012"/>
    <n v="12.643598615916954"/>
  </r>
  <r>
    <x v="111"/>
    <n v="4"/>
    <n v="2012"/>
    <n v="5.8602076124567475"/>
  </r>
  <r>
    <x v="111"/>
    <n v="4"/>
    <n v="2012"/>
    <n v="0.20207612456747404"/>
  </r>
  <r>
    <x v="111"/>
    <n v="4"/>
    <n v="2012"/>
    <n v="0.94256055363321789"/>
  </r>
  <r>
    <x v="111"/>
    <n v="4"/>
    <n v="2012"/>
    <n v="0.87128027681660891"/>
  </r>
  <r>
    <x v="111"/>
    <n v="4"/>
    <n v="2012"/>
    <n v="0.71695501730103806"/>
  </r>
  <r>
    <x v="111"/>
    <n v="4"/>
    <n v="2012"/>
    <n v="1.2325259515570934"/>
  </r>
  <r>
    <x v="111"/>
    <n v="4"/>
    <n v="2012"/>
    <n v="9.0332179930795853"/>
  </r>
  <r>
    <x v="111"/>
    <n v="4"/>
    <n v="2012"/>
    <n v="9.3674740484429062"/>
  </r>
  <r>
    <x v="111"/>
    <n v="4"/>
    <n v="2012"/>
    <n v="2.0179930795847749"/>
  </r>
  <r>
    <x v="111"/>
    <n v="4"/>
    <n v="2012"/>
    <n v="0"/>
  </r>
  <r>
    <x v="111"/>
    <n v="4"/>
    <n v="2012"/>
    <n v="0.60484429065743939"/>
  </r>
  <r>
    <x v="111"/>
    <n v="4"/>
    <n v="2012"/>
    <n v="0.31280276816608998"/>
  </r>
  <r>
    <x v="111"/>
    <n v="4"/>
    <n v="2012"/>
    <n v="0"/>
  </r>
  <r>
    <x v="111"/>
    <n v="4"/>
    <n v="2012"/>
    <n v="3.5598615916955016"/>
  </r>
  <r>
    <x v="111"/>
    <n v="4"/>
    <n v="2012"/>
    <n v="10.018685121107268"/>
  </r>
  <r>
    <x v="111"/>
    <n v="4"/>
    <n v="2012"/>
    <n v="7.0629757785467113"/>
  </r>
  <r>
    <x v="111"/>
    <n v="4"/>
    <n v="2012"/>
    <n v="7.1833910034602066"/>
  </r>
  <r>
    <x v="111"/>
    <n v="4"/>
    <n v="2012"/>
    <n v="3.0103806228373702"/>
  </r>
  <r>
    <x v="111"/>
    <n v="4"/>
    <n v="2012"/>
    <n v="8.7349480968858124"/>
  </r>
  <r>
    <x v="111"/>
    <n v="4"/>
    <n v="2012"/>
    <n v="2.9993079584775089"/>
  </r>
  <r>
    <x v="111"/>
    <n v="4"/>
    <n v="2012"/>
    <n v="3.8581314878892741"/>
  </r>
  <r>
    <x v="111"/>
    <n v="4"/>
    <n v="2012"/>
    <n v="11.991695501730103"/>
  </r>
  <r>
    <x v="111"/>
    <n v="4"/>
    <n v="2012"/>
    <n v="18.034602076124571"/>
  </r>
  <r>
    <x v="111"/>
    <n v="4"/>
    <n v="2012"/>
    <n v="0.29204152249134946"/>
  </r>
  <r>
    <x v="111"/>
    <n v="4"/>
    <n v="2012"/>
    <n v="0.66228373702422139"/>
  </r>
  <r>
    <x v="111"/>
    <n v="4"/>
    <n v="2012"/>
    <n v="4.5024221453287199"/>
  </r>
  <r>
    <x v="111"/>
    <n v="4"/>
    <n v="2012"/>
    <n v="0.78615916955017295"/>
  </r>
  <r>
    <x v="112"/>
    <n v="5"/>
    <n v="2012"/>
    <n v="0"/>
  </r>
  <r>
    <x v="112"/>
    <n v="5"/>
    <n v="2012"/>
    <n v="0.20207612456747404"/>
  </r>
  <r>
    <x v="112"/>
    <n v="5"/>
    <n v="2012"/>
    <n v="0"/>
  </r>
  <r>
    <x v="112"/>
    <n v="5"/>
    <n v="2012"/>
    <n v="1.2173010380622837"/>
  </r>
  <r>
    <x v="112"/>
    <n v="5"/>
    <n v="2012"/>
    <n v="0"/>
  </r>
  <r>
    <x v="112"/>
    <n v="5"/>
    <n v="2012"/>
    <n v="0.3411764705882353"/>
  </r>
  <r>
    <x v="112"/>
    <n v="5"/>
    <n v="2012"/>
    <n v="4.4768166089965407"/>
  </r>
  <r>
    <x v="112"/>
    <n v="5"/>
    <n v="2012"/>
    <n v="1.5577854671280278"/>
  </r>
  <r>
    <x v="112"/>
    <n v="5"/>
    <n v="2012"/>
    <n v="0.60207612456747406"/>
  </r>
  <r>
    <x v="112"/>
    <n v="5"/>
    <n v="2012"/>
    <n v="29.075432525951555"/>
  </r>
  <r>
    <x v="112"/>
    <n v="5"/>
    <n v="2012"/>
    <n v="8.6622837370242234"/>
  </r>
  <r>
    <x v="112"/>
    <n v="5"/>
    <n v="2012"/>
    <n v="0"/>
  </r>
  <r>
    <x v="112"/>
    <n v="5"/>
    <n v="2012"/>
    <n v="0.49619377162629758"/>
  </r>
  <r>
    <x v="112"/>
    <n v="5"/>
    <n v="2012"/>
    <n v="0.6961937716262977"/>
  </r>
  <r>
    <x v="112"/>
    <n v="5"/>
    <n v="2012"/>
    <n v="2.465743944636678"/>
  </r>
  <r>
    <x v="112"/>
    <n v="5"/>
    <n v="2012"/>
    <n v="0.20207612456747404"/>
  </r>
  <r>
    <x v="112"/>
    <n v="5"/>
    <n v="2012"/>
    <n v="2.1882352941176468"/>
  </r>
  <r>
    <x v="112"/>
    <n v="5"/>
    <n v="2012"/>
    <n v="2.7667820069204145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.46020761245674735"/>
  </r>
  <r>
    <x v="112"/>
    <n v="5"/>
    <n v="2012"/>
    <n v="6.8692041522491349"/>
  </r>
  <r>
    <x v="113"/>
    <n v="6"/>
    <n v="2012"/>
    <n v="1.1377162629757787"/>
  </r>
  <r>
    <x v="113"/>
    <n v="6"/>
    <n v="2012"/>
    <n v="0"/>
  </r>
  <r>
    <x v="113"/>
    <n v="6"/>
    <n v="2012"/>
    <n v="0"/>
  </r>
  <r>
    <x v="113"/>
    <n v="6"/>
    <n v="2012"/>
    <n v="0.53979238754325254"/>
  </r>
  <r>
    <x v="113"/>
    <n v="6"/>
    <n v="2012"/>
    <n v="2.5785467128027681"/>
  </r>
  <r>
    <x v="113"/>
    <n v="6"/>
    <n v="2012"/>
    <n v="13.496885813148792"/>
  </r>
  <r>
    <x v="113"/>
    <n v="6"/>
    <n v="2012"/>
    <n v="7.8608996539792386"/>
  </r>
  <r>
    <x v="113"/>
    <n v="6"/>
    <n v="2012"/>
    <n v="20.7356401384083"/>
  </r>
  <r>
    <x v="113"/>
    <n v="6"/>
    <n v="2012"/>
    <n v="8.0152249134948104"/>
  </r>
  <r>
    <x v="113"/>
    <n v="6"/>
    <n v="2012"/>
    <n v="3.6733564013840834"/>
  </r>
  <r>
    <x v="113"/>
    <n v="6"/>
    <n v="2012"/>
    <n v="0"/>
  </r>
  <r>
    <x v="113"/>
    <n v="6"/>
    <n v="2012"/>
    <n v="0.38615916955017304"/>
  </r>
  <r>
    <x v="113"/>
    <n v="6"/>
    <n v="2012"/>
    <n v="0"/>
  </r>
  <r>
    <x v="113"/>
    <n v="6"/>
    <n v="2012"/>
    <n v="0"/>
  </r>
  <r>
    <x v="113"/>
    <n v="6"/>
    <n v="2012"/>
    <n v="11.169550173010379"/>
  </r>
  <r>
    <x v="113"/>
    <n v="6"/>
    <n v="2012"/>
    <n v="9.4906574394463661"/>
  </r>
  <r>
    <x v="113"/>
    <n v="6"/>
    <n v="2012"/>
    <n v="0.89826989619377151"/>
  </r>
  <r>
    <x v="113"/>
    <n v="6"/>
    <n v="2012"/>
    <n v="0"/>
  </r>
  <r>
    <x v="113"/>
    <n v="6"/>
    <n v="2012"/>
    <n v="0.643598615916955"/>
  </r>
  <r>
    <x v="113"/>
    <n v="6"/>
    <n v="2012"/>
    <n v="0"/>
  </r>
  <r>
    <x v="113"/>
    <n v="6"/>
    <n v="2012"/>
    <n v="12.880276816608998"/>
  </r>
  <r>
    <x v="113"/>
    <n v="6"/>
    <n v="2012"/>
    <n v="12.622145328719723"/>
  </r>
  <r>
    <x v="113"/>
    <n v="6"/>
    <n v="2012"/>
    <n v="2.9100346020761245"/>
  </r>
  <r>
    <x v="113"/>
    <n v="6"/>
    <n v="2012"/>
    <n v="7.4318339100346007"/>
  </r>
  <r>
    <x v="113"/>
    <n v="6"/>
    <n v="2012"/>
    <n v="0"/>
  </r>
  <r>
    <x v="113"/>
    <n v="6"/>
    <n v="2012"/>
    <n v="1.4179930795847751"/>
  </r>
  <r>
    <x v="113"/>
    <n v="6"/>
    <n v="2012"/>
    <n v="2.8193771626297579"/>
  </r>
  <r>
    <x v="113"/>
    <n v="6"/>
    <n v="2012"/>
    <n v="22.644982698961932"/>
  </r>
  <r>
    <x v="113"/>
    <n v="6"/>
    <n v="2012"/>
    <n v="0.57439446366781999"/>
  </r>
  <r>
    <x v="113"/>
    <n v="6"/>
    <n v="2012"/>
    <n v="0"/>
  </r>
  <r>
    <x v="114"/>
    <n v="7"/>
    <n v="2012"/>
    <n v="0.22006920415224912"/>
  </r>
  <r>
    <x v="114"/>
    <n v="7"/>
    <n v="2012"/>
    <n v="4.4948096885813147"/>
  </r>
  <r>
    <x v="114"/>
    <n v="7"/>
    <n v="2012"/>
    <n v="0"/>
  </r>
  <r>
    <x v="114"/>
    <n v="7"/>
    <n v="2012"/>
    <n v="1.2698961937716264"/>
  </r>
  <r>
    <x v="114"/>
    <n v="7"/>
    <n v="2012"/>
    <n v="0"/>
  </r>
  <r>
    <x v="114"/>
    <n v="7"/>
    <n v="2012"/>
    <n v="26.352249134948096"/>
  </r>
  <r>
    <x v="114"/>
    <n v="7"/>
    <n v="2012"/>
    <n v="7.7183391003460216"/>
  </r>
  <r>
    <x v="114"/>
    <n v="7"/>
    <n v="2012"/>
    <n v="0.40830449826989623"/>
  </r>
  <r>
    <x v="114"/>
    <n v="7"/>
    <n v="2012"/>
    <n v="5.9522491349480973"/>
  </r>
  <r>
    <x v="114"/>
    <n v="7"/>
    <n v="2012"/>
    <n v="8.5723183391003452"/>
  </r>
  <r>
    <x v="114"/>
    <n v="7"/>
    <n v="2012"/>
    <n v="22.733564013840834"/>
  </r>
  <r>
    <x v="114"/>
    <n v="7"/>
    <n v="2012"/>
    <n v="0"/>
  </r>
  <r>
    <x v="114"/>
    <n v="7"/>
    <n v="2012"/>
    <n v="0"/>
  </r>
  <r>
    <x v="114"/>
    <n v="7"/>
    <n v="2012"/>
    <n v="2.0477508650519032"/>
  </r>
  <r>
    <x v="114"/>
    <n v="7"/>
    <n v="2012"/>
    <n v="0.21107266435986158"/>
  </r>
  <r>
    <x v="114"/>
    <n v="7"/>
    <n v="2012"/>
    <n v="0"/>
  </r>
  <r>
    <x v="114"/>
    <n v="7"/>
    <n v="2012"/>
    <n v="0.97508650519031159"/>
  </r>
  <r>
    <x v="114"/>
    <n v="7"/>
    <n v="2012"/>
    <n v="7.6449826989619387"/>
  </r>
  <r>
    <x v="114"/>
    <n v="7"/>
    <n v="2012"/>
    <n v="1.1314878892733564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.9273356401384083"/>
  </r>
  <r>
    <x v="114"/>
    <n v="7"/>
    <n v="2012"/>
    <n v="2.5564013840830446"/>
  </r>
  <r>
    <x v="114"/>
    <n v="7"/>
    <n v="2012"/>
    <n v="0"/>
  </r>
  <r>
    <x v="114"/>
    <n v="7"/>
    <n v="2012"/>
    <n v="0"/>
  </r>
  <r>
    <x v="114"/>
    <n v="7"/>
    <n v="2012"/>
    <n v="1.1854671280276816"/>
  </r>
  <r>
    <x v="114"/>
    <n v="7"/>
    <n v="2012"/>
    <n v="0.94532871972318333"/>
  </r>
  <r>
    <x v="114"/>
    <n v="7"/>
    <n v="2012"/>
    <n v="5.5847750865051911"/>
  </r>
  <r>
    <x v="114"/>
    <n v="7"/>
    <n v="2012"/>
    <n v="1.1619377162629756"/>
  </r>
  <r>
    <x v="115"/>
    <n v="8"/>
    <n v="2012"/>
    <n v="5.1044982698961938"/>
  </r>
  <r>
    <x v="115"/>
    <n v="8"/>
    <n v="2012"/>
    <n v="0"/>
  </r>
  <r>
    <x v="115"/>
    <n v="8"/>
    <n v="2012"/>
    <n v="0"/>
  </r>
  <r>
    <x v="115"/>
    <n v="8"/>
    <n v="2012"/>
    <n v="1.9183391003460206"/>
  </r>
  <r>
    <x v="115"/>
    <n v="8"/>
    <n v="2012"/>
    <n v="16.771626297577853"/>
  </r>
  <r>
    <x v="115"/>
    <n v="8"/>
    <n v="2012"/>
    <n v="10.422837370242215"/>
  </r>
  <r>
    <x v="115"/>
    <n v="8"/>
    <n v="2012"/>
    <n v="0.51903114186851207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1.5474048442906574"/>
  </r>
  <r>
    <x v="115"/>
    <n v="8"/>
    <n v="2012"/>
    <n v="0"/>
  </r>
  <r>
    <x v="115"/>
    <n v="8"/>
    <n v="2012"/>
    <n v="19.638062283737025"/>
  </r>
  <r>
    <x v="115"/>
    <n v="8"/>
    <n v="2012"/>
    <n v="0.27404844290657437"/>
  </r>
  <r>
    <x v="115"/>
    <n v="8"/>
    <n v="2012"/>
    <n v="8.6352941176470583"/>
  </r>
  <r>
    <x v="115"/>
    <n v="8"/>
    <n v="2012"/>
    <n v="5.0332179930795844"/>
  </r>
  <r>
    <x v="115"/>
    <n v="8"/>
    <n v="2012"/>
    <n v="7.3695501730103805"/>
  </r>
  <r>
    <x v="115"/>
    <n v="8"/>
    <n v="2012"/>
    <n v="0.67128027681660896"/>
  </r>
  <r>
    <x v="115"/>
    <n v="8"/>
    <n v="2012"/>
    <n v="0.79031141868512111"/>
  </r>
  <r>
    <x v="115"/>
    <n v="8"/>
    <n v="2012"/>
    <n v="3.969550173010381"/>
  </r>
  <r>
    <x v="115"/>
    <n v="8"/>
    <n v="2012"/>
    <n v="0.28512110726643602"/>
  </r>
  <r>
    <x v="115"/>
    <n v="8"/>
    <n v="2012"/>
    <n v="0"/>
  </r>
  <r>
    <x v="115"/>
    <n v="8"/>
    <n v="2012"/>
    <n v="14.184083044982698"/>
  </r>
  <r>
    <x v="115"/>
    <n v="8"/>
    <n v="2012"/>
    <n v="0.30103806228373703"/>
  </r>
  <r>
    <x v="115"/>
    <n v="8"/>
    <n v="2012"/>
    <n v="10.460899653979236"/>
  </r>
  <r>
    <x v="115"/>
    <n v="8"/>
    <n v="2012"/>
    <n v="0.68512110726643594"/>
  </r>
  <r>
    <x v="115"/>
    <n v="8"/>
    <n v="2012"/>
    <n v="1.0470588235294116"/>
  </r>
  <r>
    <x v="115"/>
    <n v="8"/>
    <n v="2012"/>
    <n v="1.5716262975778548"/>
  </r>
  <r>
    <x v="115"/>
    <n v="8"/>
    <n v="2012"/>
    <n v="0.51211072664359858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7.2512110726643604"/>
  </r>
  <r>
    <x v="116"/>
    <n v="9"/>
    <n v="2012"/>
    <n v="0.62906574394463677"/>
  </r>
  <r>
    <x v="116"/>
    <n v="9"/>
    <n v="2012"/>
    <n v="0.92525951557093433"/>
  </r>
  <r>
    <x v="116"/>
    <n v="9"/>
    <n v="2012"/>
    <n v="0.90519031141868522"/>
  </r>
  <r>
    <x v="116"/>
    <n v="9"/>
    <n v="2012"/>
    <n v="0.33910034602076122"/>
  </r>
  <r>
    <x v="116"/>
    <n v="9"/>
    <n v="2012"/>
    <n v="0"/>
  </r>
  <r>
    <x v="116"/>
    <n v="9"/>
    <n v="2012"/>
    <n v="0.55501730103806235"/>
  </r>
  <r>
    <x v="116"/>
    <n v="9"/>
    <n v="2012"/>
    <n v="1.2754325259515571"/>
  </r>
  <r>
    <x v="116"/>
    <n v="9"/>
    <n v="2012"/>
    <n v="0"/>
  </r>
  <r>
    <x v="116"/>
    <n v="9"/>
    <n v="2012"/>
    <n v="0"/>
  </r>
  <r>
    <x v="116"/>
    <n v="9"/>
    <n v="2012"/>
    <n v="18.50934256055363"/>
  </r>
  <r>
    <x v="116"/>
    <n v="9"/>
    <n v="2012"/>
    <n v="1.2650519031141867"/>
  </r>
  <r>
    <x v="116"/>
    <n v="9"/>
    <n v="2012"/>
    <n v="0"/>
  </r>
  <r>
    <x v="116"/>
    <n v="9"/>
    <n v="2012"/>
    <n v="0"/>
  </r>
  <r>
    <x v="116"/>
    <n v="9"/>
    <n v="2012"/>
    <n v="32.807612456747407"/>
  </r>
  <r>
    <x v="116"/>
    <n v="9"/>
    <n v="2012"/>
    <n v="40.982698961937722"/>
  </r>
  <r>
    <x v="116"/>
    <n v="9"/>
    <n v="2012"/>
    <n v="1.0041522491349482"/>
  </r>
  <r>
    <x v="116"/>
    <n v="9"/>
    <n v="2012"/>
    <n v="0"/>
  </r>
  <r>
    <x v="116"/>
    <n v="9"/>
    <n v="2012"/>
    <n v="1.4581314878892735"/>
  </r>
  <r>
    <x v="116"/>
    <n v="9"/>
    <n v="2012"/>
    <n v="0"/>
  </r>
  <r>
    <x v="116"/>
    <n v="9"/>
    <n v="2012"/>
    <n v="1.7785467128027681"/>
  </r>
  <r>
    <x v="117"/>
    <n v="10"/>
    <n v="2012"/>
    <n v="2.0346020761245676"/>
  </r>
  <r>
    <x v="117"/>
    <n v="10"/>
    <n v="2012"/>
    <n v="9.6186851211072657"/>
  </r>
  <r>
    <x v="117"/>
    <n v="10"/>
    <n v="2012"/>
    <n v="1.6775086505190315"/>
  </r>
  <r>
    <x v="117"/>
    <n v="10"/>
    <n v="2012"/>
    <n v="0"/>
  </r>
  <r>
    <x v="117"/>
    <n v="10"/>
    <n v="2012"/>
    <n v="1.928719723183391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3.689273356401384"/>
  </r>
  <r>
    <x v="117"/>
    <n v="10"/>
    <n v="2012"/>
    <n v="23.413840830449828"/>
  </r>
  <r>
    <x v="117"/>
    <n v="10"/>
    <n v="2012"/>
    <n v="0.64913494809688577"/>
  </r>
  <r>
    <x v="117"/>
    <n v="10"/>
    <n v="2012"/>
    <n v="1.6449826989619376"/>
  </r>
  <r>
    <x v="117"/>
    <n v="10"/>
    <n v="2012"/>
    <n v="0.23806228373702423"/>
  </r>
  <r>
    <x v="117"/>
    <n v="10"/>
    <n v="2012"/>
    <n v="14.814532871972315"/>
  </r>
  <r>
    <x v="117"/>
    <n v="10"/>
    <n v="2012"/>
    <n v="9.4525951557093428"/>
  </r>
  <r>
    <x v="117"/>
    <n v="10"/>
    <n v="2012"/>
    <n v="4.0131487889273352"/>
  </r>
  <r>
    <x v="117"/>
    <n v="10"/>
    <n v="2012"/>
    <n v="0"/>
  </r>
  <r>
    <x v="117"/>
    <n v="10"/>
    <n v="2012"/>
    <n v="0.2179930795847751"/>
  </r>
  <r>
    <x v="117"/>
    <n v="10"/>
    <n v="2012"/>
    <n v="0"/>
  </r>
  <r>
    <x v="117"/>
    <n v="10"/>
    <n v="2012"/>
    <n v="2.7107266435986164"/>
  </r>
  <r>
    <x v="117"/>
    <n v="10"/>
    <n v="2012"/>
    <n v="1.1079584775086506"/>
  </r>
  <r>
    <x v="117"/>
    <n v="10"/>
    <n v="2012"/>
    <n v="1.6083044982698962"/>
  </r>
  <r>
    <x v="117"/>
    <n v="10"/>
    <n v="2012"/>
    <n v="0.99999999999999989"/>
  </r>
  <r>
    <x v="117"/>
    <n v="10"/>
    <n v="2012"/>
    <n v="0.25743944636678195"/>
  </r>
  <r>
    <x v="117"/>
    <n v="10"/>
    <n v="2012"/>
    <n v="2.3764705882352941"/>
  </r>
  <r>
    <x v="117"/>
    <n v="10"/>
    <n v="2012"/>
    <n v="1.1723183391003462"/>
  </r>
  <r>
    <x v="117"/>
    <n v="10"/>
    <n v="2012"/>
    <n v="0"/>
  </r>
  <r>
    <x v="117"/>
    <n v="10"/>
    <n v="2012"/>
    <n v="0.39515570934256061"/>
  </r>
  <r>
    <x v="117"/>
    <n v="10"/>
    <n v="2012"/>
    <n v="1.4498269896193774"/>
  </r>
  <r>
    <x v="118"/>
    <n v="11"/>
    <n v="2012"/>
    <n v="0.97716262975778534"/>
  </r>
  <r>
    <x v="118"/>
    <n v="11"/>
    <n v="2012"/>
    <n v="2.5307958477508654"/>
  </r>
  <r>
    <x v="118"/>
    <n v="11"/>
    <n v="2012"/>
    <n v="2.0927335640138409"/>
  </r>
  <r>
    <x v="118"/>
    <n v="11"/>
    <n v="2012"/>
    <n v="0"/>
  </r>
  <r>
    <x v="118"/>
    <n v="11"/>
    <n v="2012"/>
    <n v="0.27612456747404845"/>
  </r>
  <r>
    <x v="118"/>
    <n v="11"/>
    <n v="2012"/>
    <n v="1.7515570934256057"/>
  </r>
  <r>
    <x v="118"/>
    <n v="11"/>
    <n v="2012"/>
    <n v="0.44013840830449824"/>
  </r>
  <r>
    <x v="118"/>
    <n v="11"/>
    <n v="2012"/>
    <n v="0"/>
  </r>
  <r>
    <x v="118"/>
    <n v="11"/>
    <n v="2012"/>
    <n v="1.3564013840830451"/>
  </r>
  <r>
    <x v="118"/>
    <n v="11"/>
    <n v="2012"/>
    <n v="0.40415224913494813"/>
  </r>
  <r>
    <x v="118"/>
    <n v="11"/>
    <n v="2012"/>
    <n v="0"/>
  </r>
  <r>
    <x v="118"/>
    <n v="11"/>
    <n v="2012"/>
    <n v="0.4290657439446367"/>
  </r>
  <r>
    <x v="118"/>
    <n v="11"/>
    <n v="2012"/>
    <n v="0"/>
  </r>
  <r>
    <x v="118"/>
    <n v="11"/>
    <n v="2012"/>
    <n v="0"/>
  </r>
  <r>
    <x v="118"/>
    <n v="11"/>
    <n v="2012"/>
    <n v="0.88927335640138405"/>
  </r>
  <r>
    <x v="118"/>
    <n v="11"/>
    <n v="2012"/>
    <n v="0.23667820069204151"/>
  </r>
  <r>
    <x v="118"/>
    <n v="11"/>
    <n v="2012"/>
    <n v="2.2996539792387547"/>
  </r>
  <r>
    <x v="118"/>
    <n v="11"/>
    <n v="2012"/>
    <n v="0.21107266435986161"/>
  </r>
  <r>
    <x v="118"/>
    <n v="11"/>
    <n v="2012"/>
    <n v="8.6117647058823525"/>
  </r>
  <r>
    <x v="118"/>
    <n v="11"/>
    <n v="2012"/>
    <n v="0.87612456747404832"/>
  </r>
  <r>
    <x v="118"/>
    <n v="11"/>
    <n v="2012"/>
    <n v="0.46505190311418687"/>
  </r>
  <r>
    <x v="118"/>
    <n v="11"/>
    <n v="2012"/>
    <n v="12.55432525951557"/>
  </r>
  <r>
    <x v="118"/>
    <n v="11"/>
    <n v="2012"/>
    <n v="5.2152249134948097"/>
  </r>
  <r>
    <x v="118"/>
    <n v="11"/>
    <n v="2012"/>
    <n v="2.6159169550173011"/>
  </r>
  <r>
    <x v="118"/>
    <n v="11"/>
    <n v="2012"/>
    <n v="15.146712802768166"/>
  </r>
  <r>
    <x v="118"/>
    <n v="11"/>
    <n v="2012"/>
    <n v="21.578546712802765"/>
  </r>
  <r>
    <x v="118"/>
    <n v="11"/>
    <n v="2012"/>
    <n v="14.168166089965395"/>
  </r>
  <r>
    <x v="118"/>
    <n v="11"/>
    <n v="2012"/>
    <n v="0.39377162629757778"/>
  </r>
  <r>
    <x v="118"/>
    <n v="11"/>
    <n v="2012"/>
    <n v="0"/>
  </r>
  <r>
    <x v="118"/>
    <n v="11"/>
    <n v="2012"/>
    <n v="0"/>
  </r>
  <r>
    <x v="119"/>
    <n v="12"/>
    <n v="2012"/>
    <n v="2.7377162629757787"/>
  </r>
  <r>
    <x v="119"/>
    <n v="12"/>
    <n v="2012"/>
    <n v="0"/>
  </r>
  <r>
    <x v="119"/>
    <n v="12"/>
    <n v="2012"/>
    <n v="2.5522491349480965"/>
  </r>
  <r>
    <x v="119"/>
    <n v="12"/>
    <n v="2012"/>
    <n v="1.5833910034602074"/>
  </r>
  <r>
    <x v="119"/>
    <n v="12"/>
    <n v="2012"/>
    <n v="0"/>
  </r>
  <r>
    <x v="119"/>
    <n v="12"/>
    <n v="2012"/>
    <n v="7.2449826989619384"/>
  </r>
  <r>
    <x v="119"/>
    <n v="12"/>
    <n v="2012"/>
    <n v="7.4975778546712792"/>
  </r>
  <r>
    <x v="119"/>
    <n v="12"/>
    <n v="2012"/>
    <n v="0"/>
  </r>
  <r>
    <x v="119"/>
    <n v="12"/>
    <n v="2012"/>
    <n v="1.1972318339100347"/>
  </r>
  <r>
    <x v="119"/>
    <n v="12"/>
    <n v="2012"/>
    <n v="3.9743944636678199"/>
  </r>
  <r>
    <x v="119"/>
    <n v="12"/>
    <n v="2012"/>
    <n v="0.20484429065743948"/>
  </r>
  <r>
    <x v="119"/>
    <n v="12"/>
    <n v="2012"/>
    <n v="0"/>
  </r>
  <r>
    <x v="119"/>
    <n v="12"/>
    <n v="2012"/>
    <n v="0.38615916955017299"/>
  </r>
  <r>
    <x v="119"/>
    <n v="12"/>
    <n v="2012"/>
    <n v="13.606920415224913"/>
  </r>
  <r>
    <x v="119"/>
    <n v="12"/>
    <n v="2012"/>
    <n v="0.77231833910034597"/>
  </r>
  <r>
    <x v="119"/>
    <n v="12"/>
    <n v="2012"/>
    <n v="0"/>
  </r>
  <r>
    <x v="119"/>
    <n v="12"/>
    <n v="2012"/>
    <n v="2.972318339100346"/>
  </r>
  <r>
    <x v="119"/>
    <n v="12"/>
    <n v="2012"/>
    <n v="0"/>
  </r>
  <r>
    <x v="119"/>
    <n v="12"/>
    <n v="2012"/>
    <n v="2.1307958477508651"/>
  </r>
  <r>
    <x v="119"/>
    <n v="12"/>
    <n v="2012"/>
    <n v="19.130795847750864"/>
  </r>
  <r>
    <x v="119"/>
    <n v="12"/>
    <n v="2012"/>
    <n v="9.5723183391003417"/>
  </r>
  <r>
    <x v="119"/>
    <n v="12"/>
    <n v="2012"/>
    <n v="12.179238754325258"/>
  </r>
  <r>
    <x v="119"/>
    <n v="12"/>
    <n v="2012"/>
    <n v="1.9377162629757789"/>
  </r>
  <r>
    <x v="119"/>
    <n v="12"/>
    <n v="2012"/>
    <n v="1.9930795847750864"/>
  </r>
  <r>
    <x v="119"/>
    <n v="12"/>
    <n v="2012"/>
    <n v="3.1999999999999997"/>
  </r>
  <r>
    <x v="119"/>
    <n v="12"/>
    <n v="2012"/>
    <n v="9.7100346020761261"/>
  </r>
  <r>
    <x v="119"/>
    <n v="12"/>
    <n v="2012"/>
    <n v="11.006228373702422"/>
  </r>
  <r>
    <x v="119"/>
    <n v="12"/>
    <n v="2012"/>
    <n v="1.6089965397923875"/>
  </r>
  <r>
    <x v="119"/>
    <n v="12"/>
    <n v="2012"/>
    <n v="1.3051903114186849"/>
  </r>
  <r>
    <x v="119"/>
    <n v="12"/>
    <n v="2012"/>
    <n v="5.0539792387543248"/>
  </r>
  <r>
    <x v="119"/>
    <n v="12"/>
    <n v="2012"/>
    <n v="3.121107266435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W1:X122" firstHeaderRow="1" firstDataRow="1" firstDataCol="1"/>
  <pivotFields count="4">
    <pivotField axis="axisRow" numFmtI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" showAll="0"/>
    <pivotField numFmtId="1" showAll="0"/>
    <pivotField dataField="1" numFmtId="164" showAll="0"/>
  </pivotFields>
  <rowFields count="1">
    <field x="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Sum of Obs rainfall (mm)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2"/>
  <sheetViews>
    <sheetView workbookViewId="0">
      <selection activeCell="M10" sqref="M10"/>
    </sheetView>
  </sheetViews>
  <sheetFormatPr defaultRowHeight="15" x14ac:dyDescent="0.25"/>
  <cols>
    <col min="6" max="6" width="13" customWidth="1"/>
  </cols>
  <sheetData>
    <row r="2" spans="1:16" ht="23.25" x14ac:dyDescent="0.35">
      <c r="A2" s="8" t="s">
        <v>0</v>
      </c>
    </row>
    <row r="4" spans="1:16" x14ac:dyDescent="0.25">
      <c r="A4" t="s">
        <v>1</v>
      </c>
    </row>
    <row r="5" spans="1:16" x14ac:dyDescent="0.25">
      <c r="A5" t="s">
        <v>2</v>
      </c>
    </row>
    <row r="6" spans="1:16" x14ac:dyDescent="0.25">
      <c r="A6" t="s">
        <v>3</v>
      </c>
    </row>
    <row r="7" spans="1:16" x14ac:dyDescent="0.25">
      <c r="A7" t="s">
        <v>4</v>
      </c>
    </row>
    <row r="8" spans="1:16" x14ac:dyDescent="0.25">
      <c r="A8" t="s">
        <v>5</v>
      </c>
    </row>
    <row r="10" spans="1:16" s="39" customFormat="1" x14ac:dyDescent="0.25">
      <c r="A10" s="92" t="s">
        <v>6</v>
      </c>
      <c r="B10" s="91"/>
    </row>
    <row r="11" spans="1:16" x14ac:dyDescent="0.25">
      <c r="A11" t="s">
        <v>7</v>
      </c>
    </row>
    <row r="12" spans="1:16" x14ac:dyDescent="0.25">
      <c r="A12" t="s">
        <v>8</v>
      </c>
    </row>
    <row r="14" spans="1:16" x14ac:dyDescent="0.25">
      <c r="A14" t="s">
        <v>9</v>
      </c>
    </row>
    <row r="15" spans="1:16" ht="21" x14ac:dyDescent="0.35">
      <c r="A15" t="s">
        <v>10</v>
      </c>
      <c r="M15" s="37" t="s">
        <v>11</v>
      </c>
      <c r="N15" s="37"/>
      <c r="O15" s="37"/>
      <c r="P15" s="3"/>
    </row>
    <row r="16" spans="1:16" ht="21" x14ac:dyDescent="0.35">
      <c r="A16" t="s">
        <v>12</v>
      </c>
      <c r="M16" s="37" t="s">
        <v>13</v>
      </c>
      <c r="N16" s="37" t="s">
        <v>14</v>
      </c>
      <c r="O16" s="37" t="s">
        <v>15</v>
      </c>
      <c r="P16" s="3"/>
    </row>
    <row r="17" spans="1:16" ht="21" x14ac:dyDescent="0.35">
      <c r="M17" s="37">
        <v>0.43</v>
      </c>
      <c r="N17" s="37">
        <v>0.72</v>
      </c>
      <c r="O17" s="37">
        <v>0.62</v>
      </c>
      <c r="P17" s="3"/>
    </row>
    <row r="18" spans="1:16" ht="23.25" x14ac:dyDescent="0.35">
      <c r="A18" t="s">
        <v>16</v>
      </c>
      <c r="M18" s="14">
        <v>3.9</v>
      </c>
      <c r="N18" s="14" t="s">
        <v>17</v>
      </c>
      <c r="O18" s="14"/>
      <c r="P18" s="3"/>
    </row>
    <row r="19" spans="1:16" ht="23.25" x14ac:dyDescent="0.35">
      <c r="A19" s="92" t="s">
        <v>18</v>
      </c>
      <c r="B19" s="92"/>
      <c r="C19" s="92"/>
      <c r="M19" s="14">
        <v>817</v>
      </c>
      <c r="N19" s="14" t="s">
        <v>19</v>
      </c>
      <c r="O19" s="3"/>
      <c r="P19" s="3"/>
    </row>
    <row r="20" spans="1:16" x14ac:dyDescent="0.25">
      <c r="A20" t="s">
        <v>20</v>
      </c>
    </row>
    <row r="21" spans="1:16" x14ac:dyDescent="0.25">
      <c r="A21" t="s">
        <v>21</v>
      </c>
    </row>
    <row r="22" spans="1:16" x14ac:dyDescent="0.25">
      <c r="A22" t="s">
        <v>22</v>
      </c>
    </row>
    <row r="24" spans="1:16" x14ac:dyDescent="0.25">
      <c r="A24" s="92" t="s">
        <v>23</v>
      </c>
      <c r="B24" s="92"/>
      <c r="C24" s="92"/>
      <c r="D24" s="92"/>
    </row>
    <row r="25" spans="1:16" x14ac:dyDescent="0.25">
      <c r="A25" t="s">
        <v>24</v>
      </c>
    </row>
    <row r="26" spans="1:16" x14ac:dyDescent="0.25">
      <c r="A26" t="s">
        <v>25</v>
      </c>
    </row>
    <row r="28" spans="1:16" x14ac:dyDescent="0.25">
      <c r="A28" s="92" t="s">
        <v>26</v>
      </c>
      <c r="B28" s="38"/>
    </row>
    <row r="30" spans="1:16" x14ac:dyDescent="0.25">
      <c r="A30" t="s">
        <v>27</v>
      </c>
    </row>
    <row r="31" spans="1:16" x14ac:dyDescent="0.25">
      <c r="A31" t="s">
        <v>28</v>
      </c>
    </row>
    <row r="32" spans="1:16" x14ac:dyDescent="0.25">
      <c r="A32" s="90" t="s">
        <v>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849"/>
  <sheetViews>
    <sheetView tabSelected="1" topLeftCell="AA1" workbookViewId="0">
      <selection activeCell="U61" sqref="U61"/>
    </sheetView>
  </sheetViews>
  <sheetFormatPr defaultRowHeight="15" x14ac:dyDescent="0.25"/>
  <cols>
    <col min="2" max="2" width="12.85546875" customWidth="1"/>
    <col min="3" max="3" width="15.85546875" style="23" customWidth="1"/>
    <col min="7" max="7" width="6.7109375" customWidth="1"/>
    <col min="8" max="8" width="6.85546875" customWidth="1"/>
    <col min="9" max="9" width="8.140625" customWidth="1"/>
    <col min="16" max="16" width="13.42578125" customWidth="1"/>
    <col min="17" max="17" width="16.42578125" customWidth="1"/>
    <col min="20" max="20" width="18.85546875" customWidth="1"/>
    <col min="21" max="21" width="23" customWidth="1"/>
    <col min="22" max="22" width="20.7109375" customWidth="1"/>
    <col min="24" max="24" width="10.28515625" customWidth="1"/>
    <col min="25" max="25" width="22.7109375" customWidth="1"/>
    <col min="26" max="26" width="18.42578125" customWidth="1"/>
    <col min="27" max="27" width="24.28515625" customWidth="1"/>
    <col min="30" max="30" width="18.7109375" customWidth="1"/>
    <col min="31" max="31" width="20" customWidth="1"/>
    <col min="32" max="32" width="18.28515625" customWidth="1"/>
    <col min="35" max="35" width="19.140625" customWidth="1"/>
    <col min="36" max="36" width="18.5703125" customWidth="1"/>
    <col min="37" max="37" width="16.42578125" customWidth="1"/>
  </cols>
  <sheetData>
    <row r="1" spans="1:37" ht="26.25" x14ac:dyDescent="0.4">
      <c r="A1" s="9" t="s">
        <v>30</v>
      </c>
      <c r="B1" s="9"/>
      <c r="O1" s="37" t="s">
        <v>31</v>
      </c>
      <c r="P1" s="37"/>
      <c r="Q1" s="37"/>
      <c r="R1" s="3"/>
      <c r="T1" s="40" t="s">
        <v>59</v>
      </c>
      <c r="U1" s="41"/>
      <c r="V1" s="41" t="s">
        <v>60</v>
      </c>
      <c r="Y1" s="40" t="s">
        <v>59</v>
      </c>
      <c r="Z1" s="41" t="s">
        <v>150</v>
      </c>
      <c r="AA1" s="41" t="s">
        <v>60</v>
      </c>
      <c r="AD1" s="40" t="s">
        <v>59</v>
      </c>
      <c r="AE1" s="41" t="s">
        <v>151</v>
      </c>
      <c r="AF1" s="41" t="s">
        <v>60</v>
      </c>
      <c r="AI1" s="40" t="s">
        <v>59</v>
      </c>
      <c r="AJ1" s="41" t="s">
        <v>143</v>
      </c>
      <c r="AK1" s="41" t="s">
        <v>60</v>
      </c>
    </row>
    <row r="2" spans="1:37" ht="26.25" x14ac:dyDescent="0.4">
      <c r="A2" s="12"/>
      <c r="B2" s="13" t="s">
        <v>32</v>
      </c>
      <c r="C2" s="24"/>
      <c r="D2" s="1"/>
      <c r="E2" s="15" t="s">
        <v>33</v>
      </c>
      <c r="F2" s="1"/>
      <c r="G2" s="1"/>
      <c r="H2" s="1"/>
      <c r="I2" s="1"/>
      <c r="L2" s="64" t="s">
        <v>34</v>
      </c>
      <c r="M2" s="65"/>
      <c r="N2" s="65"/>
      <c r="O2" s="37" t="s">
        <v>13</v>
      </c>
      <c r="P2" s="37" t="s">
        <v>14</v>
      </c>
      <c r="Q2" s="37" t="s">
        <v>15</v>
      </c>
      <c r="R2" s="3"/>
      <c r="S2">
        <f>S1+1</f>
        <v>1</v>
      </c>
      <c r="T2">
        <v>2.882407786869702</v>
      </c>
      <c r="V2">
        <v>295.67149434472634</v>
      </c>
      <c r="Y2">
        <v>3.1545017227643064</v>
      </c>
      <c r="AA2">
        <v>319.73689524767065</v>
      </c>
      <c r="AD2">
        <v>3.5182986885215533</v>
      </c>
      <c r="AF2">
        <v>362.03518418958191</v>
      </c>
      <c r="AI2">
        <v>3.7835747654362564</v>
      </c>
      <c r="AK2">
        <v>383.49906094770279</v>
      </c>
    </row>
    <row r="3" spans="1:37" ht="21.75" thickBot="1" x14ac:dyDescent="0.4">
      <c r="A3" s="2" t="s">
        <v>35</v>
      </c>
      <c r="B3" s="2"/>
      <c r="C3" s="24"/>
      <c r="D3" s="1"/>
      <c r="E3" s="1"/>
      <c r="F3" s="1"/>
      <c r="G3" s="1"/>
      <c r="H3" s="1"/>
      <c r="I3" s="1"/>
      <c r="L3" s="65" t="s">
        <v>36</v>
      </c>
      <c r="M3" s="65"/>
      <c r="N3" s="65"/>
      <c r="O3" s="37"/>
      <c r="P3" s="37">
        <v>0.77</v>
      </c>
      <c r="Q3" s="37">
        <v>0.54</v>
      </c>
      <c r="R3" s="3"/>
      <c r="S3">
        <f t="shared" ref="S3:S51" si="0">S2+1</f>
        <v>2</v>
      </c>
      <c r="T3">
        <v>2.8641970100492142</v>
      </c>
      <c r="V3">
        <v>290.82538530443378</v>
      </c>
      <c r="Y3">
        <v>2.9835412763793356</v>
      </c>
      <c r="AA3">
        <v>301.87367095987395</v>
      </c>
      <c r="AD3">
        <v>3.1899006062726656</v>
      </c>
      <c r="AF3">
        <v>325.04044269775039</v>
      </c>
      <c r="AI3">
        <v>3.7386460570578111</v>
      </c>
      <c r="AK3">
        <v>385.64738407639999</v>
      </c>
    </row>
    <row r="4" spans="1:37" ht="24" thickBot="1" x14ac:dyDescent="0.4">
      <c r="A4" s="2" t="s">
        <v>141</v>
      </c>
      <c r="B4" s="28">
        <v>1</v>
      </c>
      <c r="C4" s="29" t="s">
        <v>37</v>
      </c>
      <c r="D4" s="17" t="s">
        <v>38</v>
      </c>
      <c r="E4" s="17"/>
      <c r="F4" s="1"/>
      <c r="G4" s="2" t="s">
        <v>39</v>
      </c>
      <c r="H4" s="2"/>
      <c r="I4" s="2"/>
      <c r="J4" s="2" t="s">
        <v>39</v>
      </c>
      <c r="K4" s="2"/>
      <c r="L4" s="66" t="s">
        <v>40</v>
      </c>
      <c r="M4" s="87">
        <f>1/M5</f>
        <v>0.27472527472527469</v>
      </c>
      <c r="N4" s="67" t="s">
        <v>41</v>
      </c>
      <c r="O4" s="14">
        <v>733.5</v>
      </c>
      <c r="P4" s="14" t="s">
        <v>19</v>
      </c>
      <c r="Q4" s="14"/>
      <c r="R4" s="3"/>
      <c r="S4">
        <f t="shared" si="0"/>
        <v>3</v>
      </c>
      <c r="T4">
        <v>2.8638089358822105</v>
      </c>
      <c r="V4">
        <v>292.83955426707024</v>
      </c>
      <c r="Y4">
        <v>3.258152689310736</v>
      </c>
      <c r="AA4">
        <v>332.11192423524312</v>
      </c>
      <c r="AD4">
        <v>3.3222634759419289</v>
      </c>
      <c r="AF4">
        <v>341.74391945558216</v>
      </c>
      <c r="AI4">
        <v>3.6689198743444171</v>
      </c>
      <c r="AK4">
        <v>381.349006008532</v>
      </c>
    </row>
    <row r="5" spans="1:37" x14ac:dyDescent="0.25">
      <c r="A5" s="2"/>
      <c r="B5" s="30">
        <v>0</v>
      </c>
      <c r="C5" s="31" t="s">
        <v>42</v>
      </c>
      <c r="D5" s="27" t="s">
        <v>43</v>
      </c>
      <c r="E5" s="18"/>
      <c r="F5" s="1"/>
      <c r="G5" s="20" t="s">
        <v>44</v>
      </c>
      <c r="H5" s="21"/>
      <c r="I5" s="21"/>
      <c r="J5" s="2" t="s">
        <v>14</v>
      </c>
      <c r="K5" s="2" t="s">
        <v>45</v>
      </c>
      <c r="L5" s="68" t="s">
        <v>46</v>
      </c>
      <c r="M5" s="89">
        <v>3.64</v>
      </c>
      <c r="N5" s="65"/>
      <c r="O5" s="3"/>
      <c r="P5" s="3"/>
      <c r="Q5" s="3"/>
      <c r="R5" s="3"/>
      <c r="S5">
        <f t="shared" si="0"/>
        <v>4</v>
      </c>
      <c r="T5">
        <v>2.7590098838435204</v>
      </c>
      <c r="V5">
        <v>278.1664504544537</v>
      </c>
      <c r="Y5">
        <v>3.0343194482444931</v>
      </c>
      <c r="AA5">
        <v>315.49717484970643</v>
      </c>
      <c r="AD5">
        <v>3.5007830821535877</v>
      </c>
      <c r="AF5">
        <v>360.60936708015538</v>
      </c>
      <c r="AI5">
        <v>3.7529653431005081</v>
      </c>
      <c r="AK5">
        <v>382.28034011920346</v>
      </c>
    </row>
    <row r="6" spans="1:37" x14ac:dyDescent="0.25">
      <c r="A6" s="5" t="s">
        <v>47</v>
      </c>
      <c r="B6" s="10" t="s">
        <v>48</v>
      </c>
      <c r="C6" s="25" t="s">
        <v>49</v>
      </c>
      <c r="D6" s="19" t="s">
        <v>50</v>
      </c>
      <c r="E6" s="19" t="s">
        <v>51</v>
      </c>
      <c r="F6" s="16" t="s">
        <v>52</v>
      </c>
      <c r="G6" s="21" t="s">
        <v>53</v>
      </c>
      <c r="H6" s="22">
        <f ca="1">COUNTIF(rainout,"&gt;0")/COUNT(rainout)</f>
        <v>0.78219178082191776</v>
      </c>
      <c r="I6" s="21"/>
      <c r="J6" s="6">
        <f ca="1">SUM(J7:J3656)/SUM(rainout)</f>
        <v>0.79789842381786336</v>
      </c>
      <c r="K6" s="6">
        <f ca="1">SUM(K7:K3656)/(3650-SUM(rainout))</f>
        <v>0.27421383647798742</v>
      </c>
      <c r="L6" s="69" t="s">
        <v>47</v>
      </c>
      <c r="M6" s="70" t="s">
        <v>54</v>
      </c>
      <c r="N6" s="65"/>
      <c r="S6">
        <f t="shared" si="0"/>
        <v>5</v>
      </c>
      <c r="T6">
        <v>2.8249945070223004</v>
      </c>
      <c r="V6">
        <v>289.68087052848324</v>
      </c>
      <c r="Y6">
        <v>3.1164459803013589</v>
      </c>
      <c r="AA6">
        <v>319.56691677969468</v>
      </c>
      <c r="AD6">
        <v>3.2240576057772929</v>
      </c>
      <c r="AF6">
        <v>331.29520876134444</v>
      </c>
      <c r="AI6">
        <v>3.6153596655186213</v>
      </c>
      <c r="AK6">
        <v>373.5783168854141</v>
      </c>
    </row>
    <row r="7" spans="1:37" x14ac:dyDescent="0.25">
      <c r="A7" s="2">
        <v>1</v>
      </c>
      <c r="B7" s="11">
        <v>1</v>
      </c>
      <c r="C7" s="26">
        <f ca="1">RAND()</f>
        <v>0.30693805570351662</v>
      </c>
      <c r="D7" s="19" t="s">
        <v>55</v>
      </c>
      <c r="E7" s="19" t="s">
        <v>56</v>
      </c>
      <c r="F7" s="16" t="s">
        <v>52</v>
      </c>
      <c r="G7" s="21" t="s">
        <v>13</v>
      </c>
      <c r="H7" s="22">
        <f ca="1">COUNTIF(rainout,"=0")/COUNT(rainout)</f>
        <v>0.21780821917808219</v>
      </c>
      <c r="I7" s="21"/>
      <c r="J7">
        <f ca="1">IF(AND(B7,B8),1,0)</f>
        <v>0</v>
      </c>
      <c r="K7">
        <f ca="1">IF(AND(NOT(B7),NOT(B8)),1,0)</f>
        <v>0</v>
      </c>
      <c r="L7" s="65">
        <v>1</v>
      </c>
      <c r="M7" s="71">
        <f t="shared" ref="M7:M70" ca="1" si="1">IF(B7&gt;0,-LN(1-(RAND()))/lambda,0)</f>
        <v>8.1898891058724903</v>
      </c>
      <c r="N7" s="65"/>
      <c r="O7" s="35"/>
      <c r="P7" t="s">
        <v>57</v>
      </c>
      <c r="S7">
        <f t="shared" si="0"/>
        <v>6</v>
      </c>
      <c r="T7">
        <v>2.8857897632727352</v>
      </c>
      <c r="V7">
        <v>292.39707384091645</v>
      </c>
      <c r="Y7">
        <v>2.9950074609915895</v>
      </c>
      <c r="AA7">
        <v>307.7586517849374</v>
      </c>
      <c r="AD7">
        <v>3.2268679629308594</v>
      </c>
      <c r="AF7">
        <v>329.96425288835263</v>
      </c>
      <c r="AI7">
        <v>3.7219688270229985</v>
      </c>
      <c r="AK7">
        <v>379.2564548449671</v>
      </c>
    </row>
    <row r="8" spans="1:37" x14ac:dyDescent="0.25">
      <c r="A8" s="2">
        <v>2</v>
      </c>
      <c r="B8" s="11">
        <f t="shared" ref="B8:B71" ca="1" si="2">IF(B7&gt;0,IF(C8&lt;pww,1,0),IF(C8&lt;pdw,1,0))</f>
        <v>0</v>
      </c>
      <c r="C8" s="26">
        <f t="shared" ref="C8:C71" ca="1" si="3">RAND()</f>
        <v>0.80278704282849367</v>
      </c>
      <c r="D8" s="19"/>
      <c r="E8" s="19"/>
      <c r="F8" s="1"/>
      <c r="G8" s="20" t="s">
        <v>43</v>
      </c>
      <c r="H8" s="20"/>
      <c r="I8" s="21"/>
      <c r="J8">
        <f t="shared" ref="J8:J71" ca="1" si="4">IF(AND(B8,B9),1,0)</f>
        <v>0</v>
      </c>
      <c r="K8">
        <f t="shared" ref="K8:K71" ca="1" si="5">IF(AND(NOT(B8),NOT(B9)),1,0)</f>
        <v>0</v>
      </c>
      <c r="L8" s="65">
        <v>2</v>
      </c>
      <c r="M8" s="71">
        <f t="shared" ca="1" si="1"/>
        <v>0</v>
      </c>
      <c r="N8" s="65"/>
      <c r="O8" s="4"/>
      <c r="P8" t="s">
        <v>58</v>
      </c>
      <c r="S8">
        <f t="shared" si="0"/>
        <v>7</v>
      </c>
      <c r="T8">
        <v>2.9782556072438471</v>
      </c>
      <c r="V8">
        <v>304.32876543390074</v>
      </c>
      <c r="Y8">
        <v>3.2479308646061567</v>
      </c>
      <c r="AA8">
        <v>333.7483585603274</v>
      </c>
      <c r="AD8">
        <v>3.335620581510482</v>
      </c>
      <c r="AF8">
        <v>340.72599636690336</v>
      </c>
      <c r="AI8">
        <v>3.5963760434548986</v>
      </c>
      <c r="AK8">
        <v>369.29572968651752</v>
      </c>
    </row>
    <row r="9" spans="1:37" ht="15.75" x14ac:dyDescent="0.25">
      <c r="A9" s="2">
        <v>3</v>
      </c>
      <c r="B9" s="11">
        <f t="shared" ca="1" si="2"/>
        <v>1</v>
      </c>
      <c r="C9" s="26">
        <f t="shared" ca="1" si="3"/>
        <v>0.13983519565907321</v>
      </c>
      <c r="D9" s="88">
        <v>0.8</v>
      </c>
      <c r="E9" s="32">
        <f>1-pww</f>
        <v>0.19999999999999996</v>
      </c>
      <c r="F9" s="33" t="s">
        <v>52</v>
      </c>
      <c r="G9" s="34">
        <f ca="1">J6</f>
        <v>0.79789842381786336</v>
      </c>
      <c r="H9" s="34">
        <f ca="1">1-G9</f>
        <v>0.20210157618213664</v>
      </c>
      <c r="I9" s="21"/>
      <c r="J9">
        <f t="shared" ca="1" si="4"/>
        <v>0</v>
      </c>
      <c r="K9">
        <f t="shared" ca="1" si="5"/>
        <v>0</v>
      </c>
      <c r="L9" s="65">
        <v>3</v>
      </c>
      <c r="M9" s="71">
        <f t="shared" ca="1" si="1"/>
        <v>2.4604874312804794</v>
      </c>
      <c r="N9" s="65"/>
      <c r="O9" s="40" t="s">
        <v>59</v>
      </c>
      <c r="P9" s="41"/>
      <c r="Q9" s="41" t="s">
        <v>60</v>
      </c>
      <c r="R9" s="42"/>
      <c r="S9">
        <f t="shared" si="0"/>
        <v>8</v>
      </c>
      <c r="T9">
        <v>2.6779739712073951</v>
      </c>
      <c r="V9">
        <v>277.77359608317767</v>
      </c>
      <c r="Y9">
        <v>3.004940614223286</v>
      </c>
      <c r="AA9">
        <v>302.85372191232494</v>
      </c>
      <c r="AD9">
        <v>3.281678062744573</v>
      </c>
      <c r="AF9">
        <v>335.33355261968313</v>
      </c>
      <c r="AI9">
        <v>3.7179865893371087</v>
      </c>
      <c r="AK9">
        <v>378.1841565954818</v>
      </c>
    </row>
    <row r="10" spans="1:37" ht="15.75" x14ac:dyDescent="0.25">
      <c r="A10" s="2">
        <v>4</v>
      </c>
      <c r="B10" s="11">
        <f t="shared" ca="1" si="2"/>
        <v>0</v>
      </c>
      <c r="C10" s="26">
        <f t="shared" ca="1" si="3"/>
        <v>0.91103973962771412</v>
      </c>
      <c r="D10" s="32">
        <f>1-pdd</f>
        <v>0.72</v>
      </c>
      <c r="E10" s="88">
        <v>0.28000000000000003</v>
      </c>
      <c r="F10" s="33" t="s">
        <v>52</v>
      </c>
      <c r="G10" s="34">
        <f ca="1">1-H10</f>
        <v>0.72578616352201264</v>
      </c>
      <c r="H10" s="34">
        <f ca="1">K6</f>
        <v>0.27421383647798742</v>
      </c>
      <c r="I10" s="21"/>
      <c r="J10">
        <f t="shared" ca="1" si="4"/>
        <v>0</v>
      </c>
      <c r="K10">
        <f t="shared" ca="1" si="5"/>
        <v>1</v>
      </c>
      <c r="L10" s="65">
        <v>4</v>
      </c>
      <c r="M10" s="71">
        <f t="shared" ca="1" si="1"/>
        <v>0</v>
      </c>
      <c r="N10" s="65"/>
      <c r="O10" s="43">
        <f ca="1">SUM(M7:M1970)/1963/H6</f>
        <v>3.6315065107110409</v>
      </c>
      <c r="P10" s="44"/>
      <c r="Q10" s="45">
        <f ca="1">SUM(M7:M1970)/15</f>
        <v>371.73128741371841</v>
      </c>
      <c r="R10" s="46" t="s">
        <v>61</v>
      </c>
      <c r="S10">
        <f t="shared" si="0"/>
        <v>9</v>
      </c>
      <c r="T10">
        <v>2.7773175258450253</v>
      </c>
      <c r="V10">
        <v>278.81731596446753</v>
      </c>
      <c r="Y10">
        <v>3.1128176727405581</v>
      </c>
      <c r="AA10">
        <v>323.10109333611376</v>
      </c>
      <c r="AD10">
        <v>3.3920247917349431</v>
      </c>
      <c r="AF10">
        <v>347.94696419961025</v>
      </c>
      <c r="AI10">
        <v>3.6176296957886094</v>
      </c>
      <c r="AK10">
        <v>372.64552653350364</v>
      </c>
    </row>
    <row r="11" spans="1:37" ht="15.75" x14ac:dyDescent="0.25">
      <c r="A11" s="2">
        <v>5</v>
      </c>
      <c r="B11" s="11">
        <f t="shared" ca="1" si="2"/>
        <v>0</v>
      </c>
      <c r="C11" s="26">
        <f t="shared" ca="1" si="3"/>
        <v>0.89498943653879259</v>
      </c>
      <c r="J11">
        <f t="shared" ca="1" si="4"/>
        <v>0</v>
      </c>
      <c r="K11">
        <f t="shared" ca="1" si="5"/>
        <v>1</v>
      </c>
      <c r="L11" s="65">
        <v>5</v>
      </c>
      <c r="M11" s="71">
        <f t="shared" ca="1" si="1"/>
        <v>0</v>
      </c>
      <c r="N11" s="65"/>
      <c r="O11" s="47"/>
      <c r="P11" s="48"/>
      <c r="Q11" s="49" t="s">
        <v>62</v>
      </c>
      <c r="R11" s="50"/>
      <c r="S11">
        <f t="shared" si="0"/>
        <v>10</v>
      </c>
      <c r="T11">
        <v>2.7990034588496386</v>
      </c>
      <c r="V11">
        <v>290.52812367570283</v>
      </c>
      <c r="Y11">
        <v>2.8861628395898165</v>
      </c>
      <c r="AA11">
        <v>296.781040949795</v>
      </c>
      <c r="AD11">
        <v>3.4657074233048082</v>
      </c>
      <c r="AF11">
        <v>356.74776844129332</v>
      </c>
      <c r="AI11">
        <v>3.7990395194143458</v>
      </c>
      <c r="AK11">
        <v>389.83391266226215</v>
      </c>
    </row>
    <row r="12" spans="1:37" x14ac:dyDescent="0.25">
      <c r="A12" s="2">
        <v>6</v>
      </c>
      <c r="B12" s="11">
        <f t="shared" ca="1" si="2"/>
        <v>0</v>
      </c>
      <c r="C12" s="26">
        <f t="shared" ca="1" si="3"/>
        <v>0.98509914584615588</v>
      </c>
      <c r="J12">
        <f t="shared" ca="1" si="4"/>
        <v>0</v>
      </c>
      <c r="K12">
        <f t="shared" ca="1" si="5"/>
        <v>0</v>
      </c>
      <c r="L12" s="65">
        <v>6</v>
      </c>
      <c r="M12" s="71">
        <f t="shared" ca="1" si="1"/>
        <v>0</v>
      </c>
      <c r="N12" s="65"/>
      <c r="S12">
        <f t="shared" si="0"/>
        <v>11</v>
      </c>
      <c r="T12">
        <v>2.9006493532170796</v>
      </c>
      <c r="V12">
        <v>290.26270927669532</v>
      </c>
      <c r="Y12">
        <v>2.951272264255381</v>
      </c>
      <c r="AA12">
        <v>299.03196177308388</v>
      </c>
      <c r="AD12">
        <v>3.4044449017166274</v>
      </c>
      <c r="AF12">
        <v>352.3946203206454</v>
      </c>
      <c r="AI12">
        <v>3.5265215281398845</v>
      </c>
      <c r="AK12">
        <v>361.11116686417211</v>
      </c>
    </row>
    <row r="13" spans="1:37" x14ac:dyDescent="0.25">
      <c r="A13" s="2">
        <v>7</v>
      </c>
      <c r="B13" s="11">
        <f t="shared" ca="1" si="2"/>
        <v>1</v>
      </c>
      <c r="C13" s="26">
        <f t="shared" ca="1" si="3"/>
        <v>0.45167753877650518</v>
      </c>
      <c r="J13">
        <f t="shared" ca="1" si="4"/>
        <v>1</v>
      </c>
      <c r="K13">
        <f t="shared" ca="1" si="5"/>
        <v>0</v>
      </c>
      <c r="L13" s="65">
        <v>7</v>
      </c>
      <c r="M13" s="71">
        <f t="shared" ca="1" si="1"/>
        <v>1.7816568011206015</v>
      </c>
      <c r="N13" s="65"/>
      <c r="O13" s="5" t="s">
        <v>63</v>
      </c>
      <c r="P13" s="5" t="s">
        <v>64</v>
      </c>
      <c r="Q13" s="7">
        <f>MAX(obsdata)</f>
        <v>44.6</v>
      </c>
      <c r="R13" t="s">
        <v>61</v>
      </c>
      <c r="S13">
        <f t="shared" si="0"/>
        <v>12</v>
      </c>
      <c r="T13">
        <v>2.6208161818881401</v>
      </c>
      <c r="V13">
        <v>268.74399620151155</v>
      </c>
      <c r="Y13">
        <v>3.1610684496120132</v>
      </c>
      <c r="AA13">
        <v>322.78255963550157</v>
      </c>
      <c r="AD13">
        <v>3.191968515125132</v>
      </c>
      <c r="AF13">
        <v>324.6789335480517</v>
      </c>
      <c r="AI13">
        <v>3.5863994671274111</v>
      </c>
      <c r="AK13">
        <v>365.95672566578583</v>
      </c>
    </row>
    <row r="14" spans="1:37" x14ac:dyDescent="0.25">
      <c r="A14" s="2">
        <v>8</v>
      </c>
      <c r="B14" s="11">
        <f t="shared" ca="1" si="2"/>
        <v>1</v>
      </c>
      <c r="C14" s="26">
        <f t="shared" ca="1" si="3"/>
        <v>0.14201709844881971</v>
      </c>
      <c r="J14">
        <f t="shared" ca="1" si="4"/>
        <v>1</v>
      </c>
      <c r="K14">
        <f t="shared" ca="1" si="5"/>
        <v>0</v>
      </c>
      <c r="L14" s="65">
        <v>8</v>
      </c>
      <c r="M14" s="71">
        <f t="shared" ca="1" si="1"/>
        <v>10.5496138161019</v>
      </c>
      <c r="N14" s="65"/>
      <c r="O14" s="5"/>
      <c r="P14" s="5" t="s">
        <v>65</v>
      </c>
      <c r="Q14" s="7">
        <f ca="1">MAX(M7:M5849)</f>
        <v>26.518602805708479</v>
      </c>
      <c r="R14" t="s">
        <v>61</v>
      </c>
      <c r="S14">
        <f t="shared" si="0"/>
        <v>13</v>
      </c>
      <c r="T14">
        <v>2.8089670112625589</v>
      </c>
      <c r="V14">
        <v>285.92241768373987</v>
      </c>
      <c r="Y14">
        <v>3.0587972867533999</v>
      </c>
      <c r="AA14">
        <v>314.64252644767623</v>
      </c>
      <c r="AD14">
        <v>3.2567396465210918</v>
      </c>
      <c r="AF14">
        <v>332.20142264500402</v>
      </c>
      <c r="AI14">
        <v>3.5512712640480504</v>
      </c>
      <c r="AK14">
        <v>361.35362382436716</v>
      </c>
    </row>
    <row r="15" spans="1:37" x14ac:dyDescent="0.25">
      <c r="A15" s="2">
        <v>9</v>
      </c>
      <c r="B15" s="11">
        <f t="shared" ca="1" si="2"/>
        <v>1</v>
      </c>
      <c r="C15" s="26">
        <f t="shared" ca="1" si="3"/>
        <v>0.18093443721195157</v>
      </c>
      <c r="J15">
        <f t="shared" ca="1" si="4"/>
        <v>0</v>
      </c>
      <c r="K15">
        <f t="shared" ca="1" si="5"/>
        <v>0</v>
      </c>
      <c r="L15" s="65">
        <v>9</v>
      </c>
      <c r="M15" s="71">
        <f t="shared" ca="1" si="1"/>
        <v>15.603611473820237</v>
      </c>
      <c r="N15" s="65"/>
      <c r="Q15" s="51"/>
      <c r="S15">
        <f t="shared" si="0"/>
        <v>14</v>
      </c>
      <c r="T15">
        <v>2.7245903217161009</v>
      </c>
      <c r="V15">
        <v>281.82739292073637</v>
      </c>
      <c r="Y15">
        <v>3.0250926473716357</v>
      </c>
      <c r="AA15">
        <v>303.36629144133491</v>
      </c>
      <c r="AD15">
        <v>3.4399207313527365</v>
      </c>
      <c r="AF15">
        <v>349.15999642140986</v>
      </c>
      <c r="AI15">
        <v>3.5377967719762582</v>
      </c>
      <c r="AK15">
        <v>360.74361205989845</v>
      </c>
    </row>
    <row r="16" spans="1:37" x14ac:dyDescent="0.25">
      <c r="A16" s="2">
        <v>10</v>
      </c>
      <c r="B16" s="11">
        <f t="shared" ca="1" si="2"/>
        <v>0</v>
      </c>
      <c r="C16" s="26">
        <f t="shared" ca="1" si="3"/>
        <v>0.90084767214822736</v>
      </c>
      <c r="J16">
        <f t="shared" ca="1" si="4"/>
        <v>0</v>
      </c>
      <c r="K16">
        <f t="shared" ca="1" si="5"/>
        <v>0</v>
      </c>
      <c r="L16" s="65">
        <v>10</v>
      </c>
      <c r="M16" s="71">
        <f t="shared" ca="1" si="1"/>
        <v>0</v>
      </c>
      <c r="N16" s="65"/>
      <c r="Q16" s="51"/>
      <c r="S16">
        <f t="shared" si="0"/>
        <v>15</v>
      </c>
      <c r="T16">
        <v>2.8482643088061441</v>
      </c>
      <c r="V16">
        <v>291.35215556796294</v>
      </c>
      <c r="Y16">
        <v>3.0795936340780661</v>
      </c>
      <c r="AA16">
        <v>314.35259979215266</v>
      </c>
      <c r="AD16">
        <v>3.2347965721639143</v>
      </c>
      <c r="AF16">
        <v>334.3703753415129</v>
      </c>
      <c r="AI16">
        <v>3.685433455366482</v>
      </c>
      <c r="AK16">
        <v>379.10132144849962</v>
      </c>
    </row>
    <row r="17" spans="1:37" x14ac:dyDescent="0.25">
      <c r="A17" s="2">
        <v>11</v>
      </c>
      <c r="B17" s="11">
        <f t="shared" ca="1" si="2"/>
        <v>1</v>
      </c>
      <c r="C17" s="26">
        <f t="shared" ca="1" si="3"/>
        <v>0.55531963767190196</v>
      </c>
      <c r="J17">
        <f t="shared" ca="1" si="4"/>
        <v>1</v>
      </c>
      <c r="K17">
        <f t="shared" ca="1" si="5"/>
        <v>0</v>
      </c>
      <c r="L17" s="65">
        <v>11</v>
      </c>
      <c r="M17" s="71">
        <f t="shared" ca="1" si="1"/>
        <v>0.49891767110575469</v>
      </c>
      <c r="N17" s="65"/>
      <c r="S17">
        <f t="shared" si="0"/>
        <v>16</v>
      </c>
      <c r="T17">
        <v>2.7882207610013916</v>
      </c>
      <c r="V17">
        <v>285.51013922526778</v>
      </c>
      <c r="Y17">
        <v>2.9845413790097024</v>
      </c>
      <c r="AA17">
        <v>302.40289056604246</v>
      </c>
      <c r="AD17">
        <v>3.1895604138313591</v>
      </c>
      <c r="AF17">
        <v>329.35138677572161</v>
      </c>
      <c r="AI17">
        <v>3.5833142400897904</v>
      </c>
      <c r="AK17">
        <v>367.18361732823206</v>
      </c>
    </row>
    <row r="18" spans="1:37" x14ac:dyDescent="0.25">
      <c r="A18" s="2">
        <v>12</v>
      </c>
      <c r="B18" s="11">
        <f t="shared" ca="1" si="2"/>
        <v>1</v>
      </c>
      <c r="C18" s="26">
        <f t="shared" ca="1" si="3"/>
        <v>0.71515246916734088</v>
      </c>
      <c r="J18">
        <f t="shared" ca="1" si="4"/>
        <v>1</v>
      </c>
      <c r="K18">
        <f t="shared" ca="1" si="5"/>
        <v>0</v>
      </c>
      <c r="L18" s="65">
        <v>12</v>
      </c>
      <c r="M18" s="71">
        <f t="shared" ca="1" si="1"/>
        <v>1.443927105771206</v>
      </c>
      <c r="N18" s="65"/>
      <c r="S18">
        <f t="shared" si="0"/>
        <v>17</v>
      </c>
      <c r="T18">
        <v>2.7347033235734566</v>
      </c>
      <c r="V18">
        <v>278.55927808731155</v>
      </c>
      <c r="Y18">
        <v>3.0365471553765775</v>
      </c>
      <c r="AA18">
        <v>309.52309942739731</v>
      </c>
      <c r="AD18">
        <v>3.2964420559052563</v>
      </c>
      <c r="AF18">
        <v>339.67875583566314</v>
      </c>
      <c r="AI18">
        <v>3.6971473963762138</v>
      </c>
      <c r="AK18">
        <v>374.60631887230085</v>
      </c>
    </row>
    <row r="19" spans="1:37" x14ac:dyDescent="0.25">
      <c r="A19" s="2">
        <v>13</v>
      </c>
      <c r="B19" s="11">
        <f t="shared" ca="1" si="2"/>
        <v>1</v>
      </c>
      <c r="C19" s="26">
        <f t="shared" ca="1" si="3"/>
        <v>0.33969877998306985</v>
      </c>
      <c r="J19">
        <f t="shared" ca="1" si="4"/>
        <v>1</v>
      </c>
      <c r="K19">
        <f t="shared" ca="1" si="5"/>
        <v>0</v>
      </c>
      <c r="L19" s="65">
        <v>13</v>
      </c>
      <c r="M19" s="71">
        <f t="shared" ca="1" si="1"/>
        <v>3.4494593081498071</v>
      </c>
      <c r="N19" s="65"/>
      <c r="S19">
        <f t="shared" si="0"/>
        <v>18</v>
      </c>
      <c r="T19">
        <v>2.9043734991658026</v>
      </c>
      <c r="V19">
        <v>298.2370913655181</v>
      </c>
      <c r="Y19">
        <v>3.1087461209728824</v>
      </c>
      <c r="AA19">
        <v>317.66275088746738</v>
      </c>
      <c r="AD19">
        <v>3.2968844227233691</v>
      </c>
      <c r="AF19">
        <v>341.73384285189167</v>
      </c>
      <c r="AI19">
        <v>3.916133277195248</v>
      </c>
      <c r="AK19">
        <v>399.7432204029821</v>
      </c>
    </row>
    <row r="20" spans="1:37" x14ac:dyDescent="0.25">
      <c r="A20" s="2">
        <v>14</v>
      </c>
      <c r="B20" s="11">
        <f t="shared" ca="1" si="2"/>
        <v>1</v>
      </c>
      <c r="C20" s="26">
        <f t="shared" ca="1" si="3"/>
        <v>0.14065601526721994</v>
      </c>
      <c r="J20">
        <f t="shared" ca="1" si="4"/>
        <v>1</v>
      </c>
      <c r="K20">
        <f t="shared" ca="1" si="5"/>
        <v>0</v>
      </c>
      <c r="L20" s="65">
        <v>14</v>
      </c>
      <c r="M20" s="71">
        <f t="shared" ca="1" si="1"/>
        <v>1.2414449703577193</v>
      </c>
      <c r="N20" s="65"/>
      <c r="S20">
        <f t="shared" si="0"/>
        <v>19</v>
      </c>
      <c r="T20">
        <v>2.7690030285555092</v>
      </c>
      <c r="V20">
        <v>284.4357842480556</v>
      </c>
      <c r="Y20">
        <v>3.0951102040411298</v>
      </c>
      <c r="AA20">
        <v>317.15715803949894</v>
      </c>
      <c r="AD20">
        <v>3.3507019529218711</v>
      </c>
      <c r="AF20">
        <v>337.70136842573908</v>
      </c>
      <c r="AI20">
        <v>3.7012322443306549</v>
      </c>
      <c r="AK20">
        <v>384.17675256297741</v>
      </c>
    </row>
    <row r="21" spans="1:37" x14ac:dyDescent="0.25">
      <c r="A21" s="2">
        <v>15</v>
      </c>
      <c r="B21" s="11">
        <f t="shared" ca="1" si="2"/>
        <v>1</v>
      </c>
      <c r="C21" s="26">
        <f t="shared" ca="1" si="3"/>
        <v>0.23740322920700163</v>
      </c>
      <c r="J21">
        <f t="shared" ca="1" si="4"/>
        <v>1</v>
      </c>
      <c r="K21">
        <f t="shared" ca="1" si="5"/>
        <v>0</v>
      </c>
      <c r="L21" s="65">
        <v>15</v>
      </c>
      <c r="M21" s="71">
        <f t="shared" ca="1" si="1"/>
        <v>17.104533568510696</v>
      </c>
      <c r="N21" s="65"/>
      <c r="S21">
        <f t="shared" si="0"/>
        <v>20</v>
      </c>
      <c r="T21">
        <v>2.9111997558566411</v>
      </c>
      <c r="V21">
        <v>301.12998307495707</v>
      </c>
      <c r="Y21">
        <v>2.9865239259496859</v>
      </c>
      <c r="AA21">
        <v>305.06657321379316</v>
      </c>
      <c r="AD21">
        <v>3.3315034233014238</v>
      </c>
      <c r="AF21">
        <v>340.78322740622468</v>
      </c>
      <c r="AI21">
        <v>3.6338910963475395</v>
      </c>
      <c r="AK21">
        <v>368.58786375171496</v>
      </c>
    </row>
    <row r="22" spans="1:37" x14ac:dyDescent="0.25">
      <c r="A22" s="2">
        <v>16</v>
      </c>
      <c r="B22" s="11">
        <f t="shared" ca="1" si="2"/>
        <v>1</v>
      </c>
      <c r="C22" s="26">
        <f t="shared" ca="1" si="3"/>
        <v>2.2907632015454094E-2</v>
      </c>
      <c r="J22">
        <f t="shared" ca="1" si="4"/>
        <v>1</v>
      </c>
      <c r="K22">
        <f t="shared" ca="1" si="5"/>
        <v>0</v>
      </c>
      <c r="L22" s="65">
        <v>16</v>
      </c>
      <c r="M22" s="71">
        <f t="shared" ca="1" si="1"/>
        <v>0.70339318830662145</v>
      </c>
      <c r="N22" s="65"/>
      <c r="S22">
        <f t="shared" si="0"/>
        <v>21</v>
      </c>
      <c r="T22">
        <v>2.7841173261654157</v>
      </c>
      <c r="V22">
        <v>282.89388182864883</v>
      </c>
      <c r="Y22">
        <v>3.0313900315173523</v>
      </c>
      <c r="AA22">
        <v>312.91015600273221</v>
      </c>
      <c r="AD22">
        <v>3.4223277656951154</v>
      </c>
      <c r="AF22">
        <v>348.11049167701981</v>
      </c>
      <c r="AI22">
        <v>3.5791412352951273</v>
      </c>
      <c r="AK22">
        <v>365.60107294384414</v>
      </c>
    </row>
    <row r="23" spans="1:37" x14ac:dyDescent="0.25">
      <c r="A23" s="2">
        <v>17</v>
      </c>
      <c r="B23" s="11">
        <f t="shared" ca="1" si="2"/>
        <v>1</v>
      </c>
      <c r="C23" s="26">
        <f t="shared" ca="1" si="3"/>
        <v>0.62282853595487464</v>
      </c>
      <c r="J23">
        <f t="shared" ca="1" si="4"/>
        <v>1</v>
      </c>
      <c r="K23">
        <f t="shared" ca="1" si="5"/>
        <v>0</v>
      </c>
      <c r="L23" s="65">
        <v>17</v>
      </c>
      <c r="M23" s="71">
        <f t="shared" ca="1" si="1"/>
        <v>4.1042887278860007</v>
      </c>
      <c r="N23" s="65"/>
      <c r="S23">
        <f t="shared" si="0"/>
        <v>22</v>
      </c>
      <c r="T23">
        <v>2.9198327734247362</v>
      </c>
      <c r="V23">
        <v>300.66203362039232</v>
      </c>
      <c r="Y23">
        <v>3.0644645480926682</v>
      </c>
      <c r="AA23">
        <v>315.44523396525778</v>
      </c>
      <c r="AD23">
        <v>3.3647009308544185</v>
      </c>
      <c r="AF23">
        <v>343.33457463018294</v>
      </c>
      <c r="AI23">
        <v>3.536048390989242</v>
      </c>
      <c r="AK23">
        <v>366.27048004525716</v>
      </c>
    </row>
    <row r="24" spans="1:37" x14ac:dyDescent="0.25">
      <c r="A24" s="2">
        <v>18</v>
      </c>
      <c r="B24" s="11">
        <f t="shared" ca="1" si="2"/>
        <v>1</v>
      </c>
      <c r="C24" s="26">
        <f t="shared" ca="1" si="3"/>
        <v>0.58565040409869007</v>
      </c>
      <c r="J24">
        <f t="shared" ca="1" si="4"/>
        <v>1</v>
      </c>
      <c r="K24">
        <f t="shared" ca="1" si="5"/>
        <v>0</v>
      </c>
      <c r="L24" s="65">
        <v>18</v>
      </c>
      <c r="M24" s="71">
        <f t="shared" ca="1" si="1"/>
        <v>5.4301209657189835</v>
      </c>
      <c r="N24" s="65"/>
      <c r="S24">
        <f t="shared" si="0"/>
        <v>23</v>
      </c>
      <c r="T24">
        <v>2.7667317663230868</v>
      </c>
      <c r="V24">
        <v>279.93695997221261</v>
      </c>
      <c r="Y24">
        <v>3.1047921555316287</v>
      </c>
      <c r="AA24">
        <v>317.03608291738544</v>
      </c>
      <c r="AD24">
        <v>3.5068748239390719</v>
      </c>
      <c r="AF24">
        <v>358.34495974919338</v>
      </c>
      <c r="AI24">
        <v>3.6798524473439826</v>
      </c>
      <c r="AK24">
        <v>381.95759406802574</v>
      </c>
    </row>
    <row r="25" spans="1:37" x14ac:dyDescent="0.25">
      <c r="A25" s="2">
        <v>19</v>
      </c>
      <c r="B25" s="11">
        <f t="shared" ca="1" si="2"/>
        <v>1</v>
      </c>
      <c r="C25" s="26">
        <f t="shared" ca="1" si="3"/>
        <v>0.70804211001019601</v>
      </c>
      <c r="J25">
        <f t="shared" ca="1" si="4"/>
        <v>1</v>
      </c>
      <c r="K25">
        <f t="shared" ca="1" si="5"/>
        <v>0</v>
      </c>
      <c r="L25" s="65">
        <v>19</v>
      </c>
      <c r="M25" s="71">
        <f t="shared" ca="1" si="1"/>
        <v>3.6754854637116443</v>
      </c>
      <c r="N25" s="65"/>
      <c r="S25">
        <f t="shared" si="0"/>
        <v>24</v>
      </c>
      <c r="T25">
        <v>2.8899523950939656</v>
      </c>
      <c r="V25">
        <v>299.96834916517935</v>
      </c>
      <c r="Y25">
        <v>3.1370048853288512</v>
      </c>
      <c r="AA25">
        <v>323.69959849741991</v>
      </c>
      <c r="AD25">
        <v>3.4569238979727182</v>
      </c>
      <c r="AF25">
        <v>349.52247205573809</v>
      </c>
      <c r="AI25">
        <v>3.6017212479719194</v>
      </c>
      <c r="AK25">
        <v>362.87127772512412</v>
      </c>
    </row>
    <row r="26" spans="1:37" x14ac:dyDescent="0.25">
      <c r="A26" s="2">
        <v>20</v>
      </c>
      <c r="B26" s="11">
        <f t="shared" ca="1" si="2"/>
        <v>1</v>
      </c>
      <c r="C26" s="26">
        <f t="shared" ca="1" si="3"/>
        <v>0.24893105844150487</v>
      </c>
      <c r="J26">
        <f t="shared" ca="1" si="4"/>
        <v>0</v>
      </c>
      <c r="K26">
        <f t="shared" ca="1" si="5"/>
        <v>0</v>
      </c>
      <c r="L26" s="65">
        <v>20</v>
      </c>
      <c r="M26" s="71">
        <f t="shared" ca="1" si="1"/>
        <v>6.5828417956825902</v>
      </c>
      <c r="N26" s="65"/>
      <c r="S26">
        <f t="shared" si="0"/>
        <v>25</v>
      </c>
      <c r="T26">
        <v>2.747784644188874</v>
      </c>
      <c r="V26">
        <v>279.49767789610615</v>
      </c>
      <c r="Y26">
        <v>2.9984590022111264</v>
      </c>
      <c r="AA26">
        <v>312.95111026706888</v>
      </c>
      <c r="AD26">
        <v>3.3879048083123537</v>
      </c>
      <c r="AF26">
        <v>349.10344870635782</v>
      </c>
      <c r="AI26">
        <v>3.6480138737132948</v>
      </c>
      <c r="AK26">
        <v>372.89784599848065</v>
      </c>
    </row>
    <row r="27" spans="1:37" x14ac:dyDescent="0.25">
      <c r="A27" s="2">
        <v>21</v>
      </c>
      <c r="B27" s="11">
        <f t="shared" ca="1" si="2"/>
        <v>0</v>
      </c>
      <c r="C27" s="26">
        <f t="shared" ca="1" si="3"/>
        <v>0.91408170349961559</v>
      </c>
      <c r="J27">
        <f t="shared" ca="1" si="4"/>
        <v>0</v>
      </c>
      <c r="K27">
        <f t="shared" ca="1" si="5"/>
        <v>0</v>
      </c>
      <c r="L27" s="65">
        <v>21</v>
      </c>
      <c r="M27" s="71">
        <f t="shared" ca="1" si="1"/>
        <v>0</v>
      </c>
      <c r="N27" s="65"/>
      <c r="O27" t="s">
        <v>66</v>
      </c>
      <c r="S27">
        <f t="shared" si="0"/>
        <v>26</v>
      </c>
      <c r="T27">
        <v>2.6326674632019533</v>
      </c>
      <c r="V27">
        <v>266.46677165368624</v>
      </c>
      <c r="Y27">
        <v>3.0015499550334055</v>
      </c>
      <c r="AA27">
        <v>308.6461747405167</v>
      </c>
      <c r="AD27">
        <v>3.2849916712236054</v>
      </c>
      <c r="AF27">
        <v>334.4943519221535</v>
      </c>
      <c r="AI27">
        <v>3.6765532536476009</v>
      </c>
      <c r="AK27">
        <v>370.93783269160576</v>
      </c>
    </row>
    <row r="28" spans="1:37" x14ac:dyDescent="0.25">
      <c r="A28" s="2">
        <v>22</v>
      </c>
      <c r="B28" s="11">
        <f t="shared" ca="1" si="2"/>
        <v>1</v>
      </c>
      <c r="C28" s="26">
        <f t="shared" ca="1" si="3"/>
        <v>8.0773051283411945E-2</v>
      </c>
      <c r="J28">
        <f t="shared" ca="1" si="4"/>
        <v>1</v>
      </c>
      <c r="K28">
        <f t="shared" ca="1" si="5"/>
        <v>0</v>
      </c>
      <c r="L28" s="65">
        <v>22</v>
      </c>
      <c r="M28" s="71">
        <f t="shared" ca="1" si="1"/>
        <v>2.8427425667842545</v>
      </c>
      <c r="N28" s="65"/>
      <c r="S28">
        <f t="shared" si="0"/>
        <v>27</v>
      </c>
      <c r="T28">
        <v>2.810205414641012</v>
      </c>
      <c r="V28">
        <v>286.95528467620079</v>
      </c>
      <c r="Y28">
        <v>3.0359717089050626</v>
      </c>
      <c r="AA28">
        <v>316.64863304959039</v>
      </c>
      <c r="AD28">
        <v>3.2337828163503834</v>
      </c>
      <c r="AF28">
        <v>332.87426272605387</v>
      </c>
      <c r="AI28">
        <v>3.7433667158983974</v>
      </c>
      <c r="AK28">
        <v>385.59747076320502</v>
      </c>
    </row>
    <row r="29" spans="1:37" x14ac:dyDescent="0.25">
      <c r="A29" s="2">
        <v>23</v>
      </c>
      <c r="B29" s="11">
        <f t="shared" ca="1" si="2"/>
        <v>1</v>
      </c>
      <c r="C29" s="26">
        <f t="shared" ca="1" si="3"/>
        <v>0.67632664728665981</v>
      </c>
      <c r="J29">
        <f t="shared" ca="1" si="4"/>
        <v>1</v>
      </c>
      <c r="K29">
        <f t="shared" ca="1" si="5"/>
        <v>0</v>
      </c>
      <c r="L29" s="65">
        <v>23</v>
      </c>
      <c r="M29" s="71">
        <f t="shared" ca="1" si="1"/>
        <v>1.9391068848516868</v>
      </c>
      <c r="N29" s="65"/>
      <c r="S29">
        <f t="shared" si="0"/>
        <v>28</v>
      </c>
      <c r="T29">
        <v>2.8273660904097393</v>
      </c>
      <c r="V29">
        <v>291.34326634435052</v>
      </c>
      <c r="Y29">
        <v>3.096578149378626</v>
      </c>
      <c r="AA29">
        <v>316.75245724799782</v>
      </c>
      <c r="AD29">
        <v>3.2631674279887704</v>
      </c>
      <c r="AF29">
        <v>334.72903942515319</v>
      </c>
      <c r="AI29">
        <v>3.5446903205957487</v>
      </c>
      <c r="AK29">
        <v>361.06526372958871</v>
      </c>
    </row>
    <row r="30" spans="1:37" x14ac:dyDescent="0.25">
      <c r="A30" s="2">
        <v>24</v>
      </c>
      <c r="B30" s="11">
        <f t="shared" ca="1" si="2"/>
        <v>1</v>
      </c>
      <c r="C30" s="26">
        <f t="shared" ca="1" si="3"/>
        <v>0.42453693505242995</v>
      </c>
      <c r="J30">
        <f t="shared" ca="1" si="4"/>
        <v>1</v>
      </c>
      <c r="K30">
        <f t="shared" ca="1" si="5"/>
        <v>0</v>
      </c>
      <c r="L30" s="65">
        <v>24</v>
      </c>
      <c r="M30" s="71">
        <f t="shared" ca="1" si="1"/>
        <v>4.0078765307066053</v>
      </c>
      <c r="N30" s="65"/>
      <c r="S30">
        <f t="shared" si="0"/>
        <v>29</v>
      </c>
      <c r="T30">
        <v>2.8698485183963145</v>
      </c>
      <c r="V30">
        <v>291.70791486703052</v>
      </c>
      <c r="Y30">
        <v>2.8977351467326131</v>
      </c>
      <c r="AA30">
        <v>297.76321882450259</v>
      </c>
      <c r="AD30">
        <v>3.5744322592261746</v>
      </c>
      <c r="AF30">
        <v>370.24635262691095</v>
      </c>
      <c r="AI30">
        <v>3.5908426132380176</v>
      </c>
      <c r="AK30">
        <v>369.75749170750777</v>
      </c>
    </row>
    <row r="31" spans="1:37" x14ac:dyDescent="0.25">
      <c r="A31" s="2">
        <v>25</v>
      </c>
      <c r="B31" s="11">
        <f t="shared" ca="1" si="2"/>
        <v>1</v>
      </c>
      <c r="C31" s="26">
        <f t="shared" ca="1" si="3"/>
        <v>0.12417414192151266</v>
      </c>
      <c r="J31">
        <f t="shared" ca="1" si="4"/>
        <v>1</v>
      </c>
      <c r="K31">
        <f t="shared" ca="1" si="5"/>
        <v>0</v>
      </c>
      <c r="L31" s="65">
        <v>25</v>
      </c>
      <c r="M31" s="71">
        <f t="shared" ca="1" si="1"/>
        <v>6.2072686438407203</v>
      </c>
      <c r="N31" s="65"/>
      <c r="S31">
        <f t="shared" si="0"/>
        <v>30</v>
      </c>
      <c r="T31">
        <v>2.7430753375825185</v>
      </c>
      <c r="V31">
        <v>286.09985180356301</v>
      </c>
      <c r="Y31">
        <v>3.2620437788046348</v>
      </c>
      <c r="AA31">
        <v>338.94118421416539</v>
      </c>
      <c r="AD31">
        <v>3.3852411340215149</v>
      </c>
      <c r="AF31">
        <v>350.28546131139905</v>
      </c>
      <c r="AI31">
        <v>3.6080788964860186</v>
      </c>
      <c r="AK31">
        <v>374.11962489562637</v>
      </c>
    </row>
    <row r="32" spans="1:37" x14ac:dyDescent="0.25">
      <c r="A32" s="2">
        <v>26</v>
      </c>
      <c r="B32" s="11">
        <f t="shared" ca="1" si="2"/>
        <v>1</v>
      </c>
      <c r="C32" s="26">
        <f t="shared" ca="1" si="3"/>
        <v>0.1950289187932609</v>
      </c>
      <c r="J32">
        <f t="shared" ca="1" si="4"/>
        <v>1</v>
      </c>
      <c r="K32">
        <f t="shared" ca="1" si="5"/>
        <v>0</v>
      </c>
      <c r="L32" s="65">
        <v>26</v>
      </c>
      <c r="M32" s="71">
        <f t="shared" ca="1" si="1"/>
        <v>3.888039335476999E-2</v>
      </c>
      <c r="N32" s="65"/>
      <c r="S32">
        <f t="shared" si="0"/>
        <v>31</v>
      </c>
      <c r="T32">
        <v>2.7136476500665263</v>
      </c>
      <c r="V32">
        <v>279.4306675451225</v>
      </c>
      <c r="Y32">
        <v>3.3027485316849288</v>
      </c>
      <c r="AA32">
        <v>330.50004331038843</v>
      </c>
      <c r="AD32">
        <v>3.2141578817835836</v>
      </c>
      <c r="AF32">
        <v>322.78733832615944</v>
      </c>
      <c r="AI32">
        <v>3.6160577238523639</v>
      </c>
      <c r="AK32">
        <v>372.48360053246489</v>
      </c>
    </row>
    <row r="33" spans="1:37" x14ac:dyDescent="0.25">
      <c r="A33" s="2">
        <v>27</v>
      </c>
      <c r="B33" s="11">
        <f t="shared" ca="1" si="2"/>
        <v>1</v>
      </c>
      <c r="C33" s="26">
        <f t="shared" ca="1" si="3"/>
        <v>0.53599578232070144</v>
      </c>
      <c r="J33">
        <f t="shared" ca="1" si="4"/>
        <v>1</v>
      </c>
      <c r="K33">
        <f t="shared" ca="1" si="5"/>
        <v>0</v>
      </c>
      <c r="L33" s="65">
        <v>27</v>
      </c>
      <c r="M33" s="71">
        <f t="shared" ca="1" si="1"/>
        <v>0.32201253390339946</v>
      </c>
      <c r="N33" s="65"/>
      <c r="S33">
        <f t="shared" si="0"/>
        <v>32</v>
      </c>
      <c r="T33">
        <v>2.8538347409814797</v>
      </c>
      <c r="V33">
        <v>288.85232977262427</v>
      </c>
      <c r="Y33">
        <v>3.0926840453741011</v>
      </c>
      <c r="AA33">
        <v>317.13031806134012</v>
      </c>
      <c r="AD33">
        <v>3.3244518929908491</v>
      </c>
      <c r="AF33">
        <v>337.79722288359631</v>
      </c>
      <c r="AI33">
        <v>3.5551886398712877</v>
      </c>
      <c r="AK33">
        <v>361.24236055508379</v>
      </c>
    </row>
    <row r="34" spans="1:37" x14ac:dyDescent="0.25">
      <c r="A34" s="2">
        <v>28</v>
      </c>
      <c r="B34" s="11">
        <f t="shared" ca="1" si="2"/>
        <v>1</v>
      </c>
      <c r="C34" s="26">
        <f t="shared" ca="1" si="3"/>
        <v>0.29231872735334175</v>
      </c>
      <c r="J34">
        <f t="shared" ca="1" si="4"/>
        <v>1</v>
      </c>
      <c r="K34">
        <f t="shared" ca="1" si="5"/>
        <v>0</v>
      </c>
      <c r="L34" s="65">
        <v>28</v>
      </c>
      <c r="M34" s="71">
        <f t="shared" ca="1" si="1"/>
        <v>2.6055024309256458</v>
      </c>
      <c r="N34" s="65"/>
      <c r="P34">
        <f ca="1">SUM(B7:B5849)</f>
        <v>4580</v>
      </c>
      <c r="S34">
        <f t="shared" si="0"/>
        <v>33</v>
      </c>
      <c r="T34">
        <v>2.7824337698826707</v>
      </c>
      <c r="V34">
        <v>283.52090424428962</v>
      </c>
      <c r="Y34">
        <v>3.0605402758465643</v>
      </c>
      <c r="AA34">
        <v>311.6395834634252</v>
      </c>
      <c r="AD34">
        <v>3.3985050328018285</v>
      </c>
      <c r="AF34">
        <v>347.39319811216188</v>
      </c>
      <c r="AI34">
        <v>3.6126115501397669</v>
      </c>
      <c r="AK34">
        <v>371.74003794142317</v>
      </c>
    </row>
    <row r="35" spans="1:37" x14ac:dyDescent="0.25">
      <c r="A35" s="2">
        <v>29</v>
      </c>
      <c r="B35" s="11">
        <f t="shared" ca="1" si="2"/>
        <v>1</v>
      </c>
      <c r="C35" s="26">
        <f t="shared" ca="1" si="3"/>
        <v>0.56184111782549195</v>
      </c>
      <c r="J35">
        <f t="shared" ca="1" si="4"/>
        <v>1</v>
      </c>
      <c r="K35">
        <f t="shared" ca="1" si="5"/>
        <v>0</v>
      </c>
      <c r="L35" s="65">
        <v>29</v>
      </c>
      <c r="M35" s="71">
        <f t="shared" ca="1" si="1"/>
        <v>4.1775427734507087</v>
      </c>
      <c r="N35" s="65"/>
      <c r="S35">
        <f t="shared" si="0"/>
        <v>34</v>
      </c>
      <c r="T35">
        <v>2.8467769061662378</v>
      </c>
      <c r="V35">
        <v>289.77105546406352</v>
      </c>
      <c r="Y35">
        <v>2.9621036241587331</v>
      </c>
      <c r="AA35">
        <v>302.14728371627621</v>
      </c>
      <c r="AD35">
        <v>3.3109168121604684</v>
      </c>
      <c r="AF35">
        <v>344.25673308832688</v>
      </c>
      <c r="AI35">
        <v>3.6642578428940111</v>
      </c>
      <c r="AK35">
        <v>380.73305472057598</v>
      </c>
    </row>
    <row r="36" spans="1:37" x14ac:dyDescent="0.25">
      <c r="A36" s="2">
        <v>30</v>
      </c>
      <c r="B36" s="11">
        <f t="shared" ca="1" si="2"/>
        <v>1</v>
      </c>
      <c r="C36" s="26">
        <f t="shared" ca="1" si="3"/>
        <v>0.58739060894224582</v>
      </c>
      <c r="J36">
        <f t="shared" ca="1" si="4"/>
        <v>1</v>
      </c>
      <c r="K36">
        <f t="shared" ca="1" si="5"/>
        <v>0</v>
      </c>
      <c r="L36" s="65">
        <v>30</v>
      </c>
      <c r="M36" s="71">
        <f t="shared" ca="1" si="1"/>
        <v>2.3914600798256846</v>
      </c>
      <c r="N36" s="65"/>
      <c r="S36">
        <f t="shared" si="0"/>
        <v>35</v>
      </c>
      <c r="T36">
        <v>2.8390273904610859</v>
      </c>
      <c r="V36">
        <v>292.54489398581683</v>
      </c>
      <c r="Y36">
        <v>3.1180095391536815</v>
      </c>
      <c r="AA36">
        <v>316.93242879254518</v>
      </c>
      <c r="AD36">
        <v>3.3291893757928763</v>
      </c>
      <c r="AF36">
        <v>343.76935862433754</v>
      </c>
      <c r="AI36">
        <v>3.6065894771909806</v>
      </c>
      <c r="AK36">
        <v>371.50829347807297</v>
      </c>
    </row>
    <row r="37" spans="1:37" x14ac:dyDescent="0.25">
      <c r="A37" s="2">
        <v>31</v>
      </c>
      <c r="B37" s="11">
        <f t="shared" ca="1" si="2"/>
        <v>1</v>
      </c>
      <c r="C37" s="26">
        <f t="shared" ca="1" si="3"/>
        <v>1.6446663648774895E-2</v>
      </c>
      <c r="J37">
        <f t="shared" ca="1" si="4"/>
        <v>1</v>
      </c>
      <c r="K37">
        <f t="shared" ca="1" si="5"/>
        <v>0</v>
      </c>
      <c r="L37" s="65">
        <v>31</v>
      </c>
      <c r="M37" s="71">
        <f t="shared" ca="1" si="1"/>
        <v>0.77990450960057645</v>
      </c>
      <c r="N37" s="65"/>
      <c r="S37">
        <f t="shared" si="0"/>
        <v>36</v>
      </c>
      <c r="T37">
        <v>2.7432734101304641</v>
      </c>
      <c r="V37">
        <v>283.66158558144872</v>
      </c>
      <c r="Y37">
        <v>3.0288399691776213</v>
      </c>
      <c r="AA37">
        <v>313.62429110910495</v>
      </c>
      <c r="AD37">
        <v>3.4274281959021256</v>
      </c>
      <c r="AF37">
        <v>348.75218109226603</v>
      </c>
      <c r="AI37">
        <v>3.4355614313954601</v>
      </c>
      <c r="AK37">
        <v>351.42743794124124</v>
      </c>
    </row>
    <row r="38" spans="1:37" x14ac:dyDescent="0.25">
      <c r="A38" s="2">
        <v>32</v>
      </c>
      <c r="B38" s="11">
        <f t="shared" ca="1" si="2"/>
        <v>1</v>
      </c>
      <c r="C38" s="26">
        <f t="shared" ca="1" si="3"/>
        <v>0.43790421292140291</v>
      </c>
      <c r="J38">
        <f t="shared" ca="1" si="4"/>
        <v>1</v>
      </c>
      <c r="K38">
        <f t="shared" ca="1" si="5"/>
        <v>0</v>
      </c>
      <c r="L38" s="65">
        <v>32</v>
      </c>
      <c r="M38" s="71">
        <f t="shared" ca="1" si="1"/>
        <v>6.0104807900283896</v>
      </c>
      <c r="N38" s="65"/>
      <c r="S38">
        <f t="shared" si="0"/>
        <v>37</v>
      </c>
      <c r="T38">
        <v>2.7599586593720882</v>
      </c>
      <c r="V38">
        <v>286.67330161940538</v>
      </c>
      <c r="Y38">
        <v>3.136849613182271</v>
      </c>
      <c r="AA38">
        <v>323.79604459102285</v>
      </c>
      <c r="AD38">
        <v>3.2762352817055564</v>
      </c>
      <c r="AF38">
        <v>333.36780085789889</v>
      </c>
      <c r="AI38">
        <v>3.7065531957695241</v>
      </c>
      <c r="AK38">
        <v>378.35012401136999</v>
      </c>
    </row>
    <row r="39" spans="1:37" x14ac:dyDescent="0.25">
      <c r="A39" s="2">
        <v>33</v>
      </c>
      <c r="B39" s="11">
        <f t="shared" ca="1" si="2"/>
        <v>1</v>
      </c>
      <c r="C39" s="26">
        <f t="shared" ca="1" si="3"/>
        <v>0.46557633108595087</v>
      </c>
      <c r="J39">
        <f t="shared" ca="1" si="4"/>
        <v>0</v>
      </c>
      <c r="K39">
        <f t="shared" ca="1" si="5"/>
        <v>0</v>
      </c>
      <c r="L39" s="65">
        <v>33</v>
      </c>
      <c r="M39" s="71">
        <f t="shared" ca="1" si="1"/>
        <v>2.0022570681372036</v>
      </c>
      <c r="N39" s="65"/>
      <c r="S39">
        <f t="shared" si="0"/>
        <v>38</v>
      </c>
      <c r="T39">
        <v>2.9202977986038228</v>
      </c>
      <c r="V39">
        <v>299.03465418540588</v>
      </c>
      <c r="Y39">
        <v>3.0336311887056278</v>
      </c>
      <c r="AA39">
        <v>309.22586740838477</v>
      </c>
      <c r="AD39">
        <v>3.4757920161260936</v>
      </c>
      <c r="AF39">
        <v>350.68246490634954</v>
      </c>
      <c r="AI39">
        <v>3.4543967797103812</v>
      </c>
      <c r="AK39">
        <v>346.54218261631041</v>
      </c>
    </row>
    <row r="40" spans="1:37" x14ac:dyDescent="0.25">
      <c r="A40" s="2">
        <v>34</v>
      </c>
      <c r="B40" s="11">
        <f t="shared" ca="1" si="2"/>
        <v>0</v>
      </c>
      <c r="C40" s="26">
        <f t="shared" ca="1" si="3"/>
        <v>0.8295978136522143</v>
      </c>
      <c r="J40">
        <f t="shared" ca="1" si="4"/>
        <v>0</v>
      </c>
      <c r="K40">
        <f t="shared" ca="1" si="5"/>
        <v>0</v>
      </c>
      <c r="L40" s="65">
        <v>34</v>
      </c>
      <c r="M40" s="71">
        <f t="shared" ca="1" si="1"/>
        <v>0</v>
      </c>
      <c r="N40" s="65"/>
      <c r="S40">
        <f t="shared" si="0"/>
        <v>39</v>
      </c>
      <c r="T40">
        <v>2.7837663775379271</v>
      </c>
      <c r="V40">
        <v>286.8505751421622</v>
      </c>
      <c r="Y40">
        <v>3.0596542282167802</v>
      </c>
      <c r="AA40">
        <v>305.29643431453678</v>
      </c>
      <c r="AD40">
        <v>3.286966013732052</v>
      </c>
      <c r="AF40">
        <v>339.8808109189618</v>
      </c>
      <c r="AI40">
        <v>3.6095746567909521</v>
      </c>
      <c r="AK40">
        <v>365.47434565874931</v>
      </c>
    </row>
    <row r="41" spans="1:37" x14ac:dyDescent="0.25">
      <c r="A41" s="2">
        <v>35</v>
      </c>
      <c r="B41" s="11">
        <f t="shared" ca="1" si="2"/>
        <v>1</v>
      </c>
      <c r="C41" s="26">
        <f t="shared" ca="1" si="3"/>
        <v>0.47864859264531812</v>
      </c>
      <c r="J41">
        <f t="shared" ca="1" si="4"/>
        <v>1</v>
      </c>
      <c r="K41">
        <f t="shared" ca="1" si="5"/>
        <v>0</v>
      </c>
      <c r="L41" s="65">
        <v>35</v>
      </c>
      <c r="M41" s="71">
        <f t="shared" ca="1" si="1"/>
        <v>0.23837409910982416</v>
      </c>
      <c r="N41" s="65"/>
      <c r="S41">
        <f t="shared" si="0"/>
        <v>40</v>
      </c>
      <c r="T41">
        <v>2.8003552249281465</v>
      </c>
      <c r="V41">
        <v>287.95753561898402</v>
      </c>
      <c r="Y41">
        <v>2.9807580389451283</v>
      </c>
      <c r="AA41">
        <v>301.271448727608</v>
      </c>
      <c r="AD41">
        <v>3.2797855775852729</v>
      </c>
      <c r="AF41">
        <v>330.08367090888203</v>
      </c>
      <c r="AI41">
        <v>3.6521067132954119</v>
      </c>
      <c r="AK41">
        <v>376.98259528282404</v>
      </c>
    </row>
    <row r="42" spans="1:37" x14ac:dyDescent="0.25">
      <c r="A42" s="2">
        <v>36</v>
      </c>
      <c r="B42" s="11">
        <f t="shared" ca="1" si="2"/>
        <v>1</v>
      </c>
      <c r="C42" s="26">
        <f t="shared" ca="1" si="3"/>
        <v>0.17386542138318162</v>
      </c>
      <c r="J42">
        <f t="shared" ca="1" si="4"/>
        <v>1</v>
      </c>
      <c r="K42">
        <f t="shared" ca="1" si="5"/>
        <v>0</v>
      </c>
      <c r="L42" s="65">
        <v>36</v>
      </c>
      <c r="M42" s="71">
        <f t="shared" ca="1" si="1"/>
        <v>3.9237350474682056</v>
      </c>
      <c r="N42" s="65"/>
      <c r="S42">
        <f t="shared" si="0"/>
        <v>41</v>
      </c>
      <c r="T42">
        <v>2.8524545506202594</v>
      </c>
      <c r="V42">
        <v>292.80349577807942</v>
      </c>
      <c r="Y42">
        <v>3.1543737071021445</v>
      </c>
      <c r="AA42">
        <v>321.87275398575588</v>
      </c>
      <c r="AD42">
        <v>3.1507661945268368</v>
      </c>
      <c r="AF42">
        <v>316.98595499244647</v>
      </c>
      <c r="AI42">
        <v>3.7420224494956225</v>
      </c>
      <c r="AK42">
        <v>382.77567972659023</v>
      </c>
    </row>
    <row r="43" spans="1:37" x14ac:dyDescent="0.25">
      <c r="A43" s="2">
        <v>37</v>
      </c>
      <c r="B43" s="11">
        <f t="shared" ca="1" si="2"/>
        <v>1</v>
      </c>
      <c r="C43" s="26">
        <f t="shared" ca="1" si="3"/>
        <v>0.68629347555185238</v>
      </c>
      <c r="J43">
        <f t="shared" ca="1" si="4"/>
        <v>0</v>
      </c>
      <c r="K43">
        <f t="shared" ca="1" si="5"/>
        <v>0</v>
      </c>
      <c r="L43" s="65">
        <v>37</v>
      </c>
      <c r="M43" s="71">
        <f t="shared" ca="1" si="1"/>
        <v>10.802158282580297</v>
      </c>
      <c r="N43" s="65"/>
      <c r="S43">
        <f t="shared" si="0"/>
        <v>42</v>
      </c>
      <c r="T43">
        <v>2.7948140604501726</v>
      </c>
      <c r="V43">
        <v>292.6986049669157</v>
      </c>
      <c r="Y43">
        <v>3.020554363282915</v>
      </c>
      <c r="AA43">
        <v>307.89291279632079</v>
      </c>
      <c r="AD43">
        <v>3.3841411678118156</v>
      </c>
      <c r="AF43">
        <v>347.74495116310914</v>
      </c>
      <c r="AI43">
        <v>3.7085615803638854</v>
      </c>
      <c r="AK43">
        <v>380.94852575632126</v>
      </c>
    </row>
    <row r="44" spans="1:37" x14ac:dyDescent="0.25">
      <c r="A44" s="2">
        <v>38</v>
      </c>
      <c r="B44" s="11">
        <f t="shared" ca="1" si="2"/>
        <v>0</v>
      </c>
      <c r="C44" s="26">
        <f t="shared" ca="1" si="3"/>
        <v>0.83194342096495999</v>
      </c>
      <c r="J44">
        <f t="shared" ca="1" si="4"/>
        <v>0</v>
      </c>
      <c r="K44">
        <f t="shared" ca="1" si="5"/>
        <v>0</v>
      </c>
      <c r="L44" s="65">
        <v>38</v>
      </c>
      <c r="M44" s="71">
        <f t="shared" ca="1" si="1"/>
        <v>0</v>
      </c>
      <c r="N44" s="65"/>
      <c r="S44">
        <f t="shared" si="0"/>
        <v>43</v>
      </c>
      <c r="T44">
        <v>2.5789061751578068</v>
      </c>
      <c r="V44">
        <v>264.2615284895669</v>
      </c>
      <c r="Y44">
        <v>2.9954502556549669</v>
      </c>
      <c r="AA44">
        <v>306.62276843897251</v>
      </c>
      <c r="AD44">
        <v>3.4607382094138965</v>
      </c>
      <c r="AF44">
        <v>351.76934270137576</v>
      </c>
      <c r="AI44">
        <v>3.6476531441745763</v>
      </c>
      <c r="AK44">
        <v>375.21505784584758</v>
      </c>
    </row>
    <row r="45" spans="1:37" x14ac:dyDescent="0.25">
      <c r="A45" s="2">
        <v>39</v>
      </c>
      <c r="B45" s="11">
        <f t="shared" ca="1" si="2"/>
        <v>1</v>
      </c>
      <c r="C45" s="26">
        <f t="shared" ca="1" si="3"/>
        <v>0.57936763015615822</v>
      </c>
      <c r="J45">
        <f t="shared" ca="1" si="4"/>
        <v>1</v>
      </c>
      <c r="K45">
        <f t="shared" ca="1" si="5"/>
        <v>0</v>
      </c>
      <c r="L45" s="65">
        <v>39</v>
      </c>
      <c r="M45" s="71">
        <f t="shared" ca="1" si="1"/>
        <v>5.3048876384846402</v>
      </c>
      <c r="N45" s="65"/>
      <c r="S45">
        <f t="shared" si="0"/>
        <v>44</v>
      </c>
      <c r="T45">
        <v>2.7369680776651362</v>
      </c>
      <c r="V45">
        <v>280.06566999538478</v>
      </c>
      <c r="Y45">
        <v>2.934610055816091</v>
      </c>
      <c r="AA45">
        <v>296.29152408074225</v>
      </c>
      <c r="AD45">
        <v>3.2566693431703033</v>
      </c>
      <c r="AF45">
        <v>333.2451295254063</v>
      </c>
      <c r="AI45">
        <v>3.573921221907693</v>
      </c>
      <c r="AK45">
        <v>365.45227738339526</v>
      </c>
    </row>
    <row r="46" spans="1:37" x14ac:dyDescent="0.25">
      <c r="A46" s="2">
        <v>40</v>
      </c>
      <c r="B46" s="11">
        <f t="shared" ca="1" si="2"/>
        <v>1</v>
      </c>
      <c r="C46" s="26">
        <f t="shared" ca="1" si="3"/>
        <v>6.9621571511435998E-2</v>
      </c>
      <c r="J46">
        <f t="shared" ca="1" si="4"/>
        <v>1</v>
      </c>
      <c r="K46">
        <f t="shared" ca="1" si="5"/>
        <v>0</v>
      </c>
      <c r="L46" s="65">
        <v>40</v>
      </c>
      <c r="M46" s="71">
        <f t="shared" ca="1" si="1"/>
        <v>7.1240981867990234</v>
      </c>
      <c r="N46" s="65"/>
      <c r="S46">
        <f t="shared" si="0"/>
        <v>45</v>
      </c>
      <c r="T46">
        <v>2.8000749237945484</v>
      </c>
      <c r="V46">
        <v>289.13343519958084</v>
      </c>
      <c r="Y46">
        <v>2.9174059162841393</v>
      </c>
      <c r="AA46">
        <v>299.15693054034858</v>
      </c>
      <c r="AD46">
        <v>3.4367211967649869</v>
      </c>
      <c r="AF46">
        <v>350.68353308720657</v>
      </c>
      <c r="AI46">
        <v>3.7458300977927097</v>
      </c>
      <c r="AK46">
        <v>376.71864606242349</v>
      </c>
    </row>
    <row r="47" spans="1:37" x14ac:dyDescent="0.25">
      <c r="A47" s="2">
        <v>41</v>
      </c>
      <c r="B47" s="11">
        <f t="shared" ca="1" si="2"/>
        <v>1</v>
      </c>
      <c r="C47" s="26">
        <f t="shared" ca="1" si="3"/>
        <v>0.39226226346879556</v>
      </c>
      <c r="J47">
        <f t="shared" ca="1" si="4"/>
        <v>1</v>
      </c>
      <c r="K47">
        <f t="shared" ca="1" si="5"/>
        <v>0</v>
      </c>
      <c r="L47" s="65">
        <v>41</v>
      </c>
      <c r="M47" s="71">
        <f t="shared" ca="1" si="1"/>
        <v>9.2607035321851239</v>
      </c>
      <c r="N47" s="65"/>
      <c r="S47">
        <f t="shared" si="0"/>
        <v>46</v>
      </c>
      <c r="T47">
        <v>2.7067034043052791</v>
      </c>
      <c r="V47">
        <v>271.8253488622135</v>
      </c>
      <c r="Y47">
        <v>3.1205633004211411</v>
      </c>
      <c r="AA47">
        <v>323.68129753417981</v>
      </c>
      <c r="AD47">
        <v>3.1512674796313092</v>
      </c>
      <c r="AF47">
        <v>322.68564578167013</v>
      </c>
      <c r="AI47">
        <v>3.620481598356827</v>
      </c>
      <c r="AK47">
        <v>372.42006261664108</v>
      </c>
    </row>
    <row r="48" spans="1:37" x14ac:dyDescent="0.25">
      <c r="A48" s="2">
        <v>42</v>
      </c>
      <c r="B48" s="11">
        <f t="shared" ca="1" si="2"/>
        <v>1</v>
      </c>
      <c r="C48" s="26">
        <f t="shared" ca="1" si="3"/>
        <v>0.63372030447339867</v>
      </c>
      <c r="J48">
        <f t="shared" ca="1" si="4"/>
        <v>1</v>
      </c>
      <c r="K48">
        <f t="shared" ca="1" si="5"/>
        <v>0</v>
      </c>
      <c r="L48" s="65">
        <v>42</v>
      </c>
      <c r="M48" s="71">
        <f t="shared" ca="1" si="1"/>
        <v>1.1086754780762988</v>
      </c>
      <c r="N48" s="65"/>
      <c r="S48">
        <f t="shared" si="0"/>
        <v>47</v>
      </c>
      <c r="T48">
        <v>2.8731414659003831</v>
      </c>
      <c r="V48">
        <v>293.48481481927718</v>
      </c>
      <c r="Y48">
        <v>3.0631267095066304</v>
      </c>
      <c r="AA48">
        <v>317.94332110601982</v>
      </c>
      <c r="AD48">
        <v>3.3290691431454427</v>
      </c>
      <c r="AF48">
        <v>341.13102240380442</v>
      </c>
      <c r="AI48">
        <v>3.7186447585043085</v>
      </c>
      <c r="AK48">
        <v>377.05115326300478</v>
      </c>
    </row>
    <row r="49" spans="1:37" x14ac:dyDescent="0.25">
      <c r="A49" s="2">
        <v>43</v>
      </c>
      <c r="B49" s="11">
        <f t="shared" ca="1" si="2"/>
        <v>1</v>
      </c>
      <c r="C49" s="26">
        <f t="shared" ca="1" si="3"/>
        <v>0.30592935010657718</v>
      </c>
      <c r="J49">
        <f t="shared" ca="1" si="4"/>
        <v>1</v>
      </c>
      <c r="K49">
        <f t="shared" ca="1" si="5"/>
        <v>0</v>
      </c>
      <c r="L49" s="65">
        <v>43</v>
      </c>
      <c r="M49" s="71">
        <f t="shared" ca="1" si="1"/>
        <v>9.1155662558228308</v>
      </c>
      <c r="N49" s="65"/>
      <c r="S49">
        <f t="shared" si="0"/>
        <v>48</v>
      </c>
      <c r="T49">
        <v>2.6566267544562989</v>
      </c>
      <c r="V49">
        <v>276.22610274143148</v>
      </c>
      <c r="Y49">
        <v>3.138504531704958</v>
      </c>
      <c r="AA49">
        <v>324.19192591996011</v>
      </c>
      <c r="AD49">
        <v>3.3191713500831481</v>
      </c>
      <c r="AF49">
        <v>338.92673990661643</v>
      </c>
      <c r="AI49">
        <v>3.649055323920412</v>
      </c>
      <c r="AK49">
        <v>374.31263039357725</v>
      </c>
    </row>
    <row r="50" spans="1:37" x14ac:dyDescent="0.25">
      <c r="A50" s="2">
        <v>44</v>
      </c>
      <c r="B50" s="11">
        <f t="shared" ca="1" si="2"/>
        <v>1</v>
      </c>
      <c r="C50" s="26">
        <f t="shared" ca="1" si="3"/>
        <v>0.5478785548470837</v>
      </c>
      <c r="J50">
        <f t="shared" ca="1" si="4"/>
        <v>0</v>
      </c>
      <c r="K50">
        <f t="shared" ca="1" si="5"/>
        <v>0</v>
      </c>
      <c r="L50" s="65">
        <v>44</v>
      </c>
      <c r="M50" s="71">
        <f t="shared" ca="1" si="1"/>
        <v>3.5655673909424985</v>
      </c>
      <c r="N50" s="65"/>
      <c r="S50">
        <f t="shared" si="0"/>
        <v>49</v>
      </c>
      <c r="T50">
        <v>2.7983238890538384</v>
      </c>
      <c r="V50">
        <v>284.23707848410112</v>
      </c>
      <c r="Y50">
        <v>2.9719026279019478</v>
      </c>
      <c r="AA50">
        <v>303.14682415773484</v>
      </c>
      <c r="AD50">
        <v>3.4183318164427754</v>
      </c>
      <c r="AF50">
        <v>349.54244081079963</v>
      </c>
      <c r="AI50">
        <v>3.7026379270767311</v>
      </c>
      <c r="AK50">
        <v>380.47279391672606</v>
      </c>
    </row>
    <row r="51" spans="1:37" x14ac:dyDescent="0.25">
      <c r="A51" s="2">
        <v>45</v>
      </c>
      <c r="B51" s="11">
        <f t="shared" ca="1" si="2"/>
        <v>0</v>
      </c>
      <c r="C51" s="26">
        <f t="shared" ca="1" si="3"/>
        <v>0.96295144452801651</v>
      </c>
      <c r="J51">
        <f t="shared" ca="1" si="4"/>
        <v>0</v>
      </c>
      <c r="K51">
        <f t="shared" ca="1" si="5"/>
        <v>0</v>
      </c>
      <c r="L51" s="65">
        <v>45</v>
      </c>
      <c r="M51" s="71">
        <f t="shared" ca="1" si="1"/>
        <v>0</v>
      </c>
      <c r="N51" s="65"/>
      <c r="S51">
        <f t="shared" si="0"/>
        <v>50</v>
      </c>
      <c r="T51">
        <v>2.8451955027128579</v>
      </c>
      <c r="V51">
        <v>290.12014222961227</v>
      </c>
      <c r="Y51">
        <v>3.1012037523245159</v>
      </c>
      <c r="AA51">
        <v>315.11300173724408</v>
      </c>
      <c r="AD51">
        <v>3.4548380200227138</v>
      </c>
      <c r="AF51">
        <v>353.027653788458</v>
      </c>
      <c r="AI51">
        <v>3.5077143896058045</v>
      </c>
      <c r="AK51">
        <v>358.05345403340209</v>
      </c>
    </row>
    <row r="52" spans="1:37" x14ac:dyDescent="0.25">
      <c r="A52" s="2">
        <v>46</v>
      </c>
      <c r="B52" s="11">
        <f t="shared" ca="1" si="2"/>
        <v>1</v>
      </c>
      <c r="C52" s="26">
        <f t="shared" ca="1" si="3"/>
        <v>7.6186137757045636E-2</v>
      </c>
      <c r="J52">
        <f t="shared" ca="1" si="4"/>
        <v>1</v>
      </c>
      <c r="K52">
        <f t="shared" ca="1" si="5"/>
        <v>0</v>
      </c>
      <c r="L52" s="65">
        <v>46</v>
      </c>
      <c r="M52" s="71">
        <f t="shared" ca="1" si="1"/>
        <v>0.99013366798868374</v>
      </c>
      <c r="N52" s="65"/>
      <c r="S52" s="95" t="s">
        <v>142</v>
      </c>
      <c r="T52" s="95">
        <f>AVERAGE(T2:T51)</f>
        <v>2.8000341691360626</v>
      </c>
      <c r="U52" s="95"/>
      <c r="V52" s="95">
        <f>AVERAGE(V2:V51)</f>
        <v>286.71390588203883</v>
      </c>
      <c r="X52" s="95" t="s">
        <v>142</v>
      </c>
      <c r="Y52" s="95">
        <f>AVERAGE(Y2:Y51)</f>
        <v>3.0620923454510596</v>
      </c>
      <c r="Z52" s="95"/>
      <c r="AA52" s="95">
        <f>AVERAGE(AA2:AA51)</f>
        <v>313.34577426716356</v>
      </c>
      <c r="AC52" s="95" t="s">
        <v>142</v>
      </c>
      <c r="AD52" s="95">
        <f>AVERAGE(AD2:AD51)</f>
        <v>3.3403130890726702</v>
      </c>
      <c r="AF52" s="95">
        <f>AVERAGE(AF2:AF51)</f>
        <v>341.7811038996424</v>
      </c>
      <c r="AH52" s="95" t="s">
        <v>142</v>
      </c>
      <c r="AI52" s="95">
        <f>AVERAGE(AI2:AI51)</f>
        <v>3.6433867323752236</v>
      </c>
      <c r="AK52" s="95">
        <f>AVERAGE(AK2:AK51)</f>
        <v>372.98228758890451</v>
      </c>
    </row>
    <row r="53" spans="1:37" x14ac:dyDescent="0.25">
      <c r="A53" s="2">
        <v>47</v>
      </c>
      <c r="B53" s="11">
        <f t="shared" ca="1" si="2"/>
        <v>1</v>
      </c>
      <c r="C53" s="26">
        <f t="shared" ca="1" si="3"/>
        <v>0.25417320882258321</v>
      </c>
      <c r="J53">
        <f t="shared" ca="1" si="4"/>
        <v>1</v>
      </c>
      <c r="K53">
        <f t="shared" ca="1" si="5"/>
        <v>0</v>
      </c>
      <c r="L53" s="65">
        <v>47</v>
      </c>
      <c r="M53" s="71">
        <f t="shared" ca="1" si="1"/>
        <v>0.58004325469108975</v>
      </c>
      <c r="N53" s="65"/>
    </row>
    <row r="54" spans="1:37" x14ac:dyDescent="0.25">
      <c r="A54" s="2">
        <v>48</v>
      </c>
      <c r="B54" s="11">
        <f t="shared" ca="1" si="2"/>
        <v>1</v>
      </c>
      <c r="C54" s="26">
        <f t="shared" ca="1" si="3"/>
        <v>0.15392469205176373</v>
      </c>
      <c r="J54">
        <f t="shared" ca="1" si="4"/>
        <v>1</v>
      </c>
      <c r="K54">
        <f t="shared" ca="1" si="5"/>
        <v>0</v>
      </c>
      <c r="L54" s="65">
        <v>48</v>
      </c>
      <c r="M54" s="71">
        <f t="shared" ca="1" si="1"/>
        <v>10.407144997321147</v>
      </c>
      <c r="N54" s="65"/>
      <c r="T54" t="s">
        <v>149</v>
      </c>
    </row>
    <row r="55" spans="1:37" x14ac:dyDescent="0.25">
      <c r="A55" s="2">
        <v>49</v>
      </c>
      <c r="B55" s="11">
        <f t="shared" ca="1" si="2"/>
        <v>1</v>
      </c>
      <c r="C55" s="26">
        <f t="shared" ca="1" si="3"/>
        <v>2.0186801769265683E-2</v>
      </c>
      <c r="J55">
        <f t="shared" ca="1" si="4"/>
        <v>1</v>
      </c>
      <c r="K55">
        <f t="shared" ca="1" si="5"/>
        <v>0</v>
      </c>
      <c r="L55" s="65">
        <v>49</v>
      </c>
      <c r="M55" s="71">
        <f t="shared" ca="1" si="1"/>
        <v>3.7517853300397119</v>
      </c>
      <c r="N55" s="65"/>
    </row>
    <row r="56" spans="1:37" x14ac:dyDescent="0.25">
      <c r="A56" s="2">
        <v>50</v>
      </c>
      <c r="B56" s="11">
        <f t="shared" ca="1" si="2"/>
        <v>1</v>
      </c>
      <c r="C56" s="26">
        <f t="shared" ca="1" si="3"/>
        <v>0.67450442652045417</v>
      </c>
      <c r="J56">
        <f t="shared" ca="1" si="4"/>
        <v>1</v>
      </c>
      <c r="K56">
        <f t="shared" ca="1" si="5"/>
        <v>0</v>
      </c>
      <c r="L56" s="65">
        <v>50</v>
      </c>
      <c r="M56" s="71">
        <f t="shared" ca="1" si="1"/>
        <v>3.9257506506423696</v>
      </c>
      <c r="N56" s="65"/>
      <c r="T56" t="s">
        <v>153</v>
      </c>
      <c r="V56" t="s">
        <v>154</v>
      </c>
    </row>
    <row r="57" spans="1:37" x14ac:dyDescent="0.25">
      <c r="A57" s="2">
        <v>51</v>
      </c>
      <c r="B57" s="11">
        <f t="shared" ca="1" si="2"/>
        <v>1</v>
      </c>
      <c r="C57" s="26">
        <f t="shared" ca="1" si="3"/>
        <v>0.12505629369295834</v>
      </c>
      <c r="J57">
        <f t="shared" ca="1" si="4"/>
        <v>0</v>
      </c>
      <c r="K57">
        <f t="shared" ca="1" si="5"/>
        <v>0</v>
      </c>
      <c r="L57" s="65">
        <v>51</v>
      </c>
      <c r="M57" s="71">
        <f t="shared" ca="1" si="1"/>
        <v>1.939302431586331</v>
      </c>
      <c r="N57" s="65"/>
      <c r="R57" t="s">
        <v>152</v>
      </c>
      <c r="S57" s="95" t="s">
        <v>142</v>
      </c>
      <c r="T57" s="95">
        <f>AVERAGE(T7:T56)</f>
        <v>2.795811402223308</v>
      </c>
      <c r="U57" s="95"/>
      <c r="V57" s="95">
        <f>AVERAGE(V7:V56)</f>
        <v>286.41794445836558</v>
      </c>
    </row>
    <row r="58" spans="1:37" x14ac:dyDescent="0.25">
      <c r="A58" s="2">
        <v>52</v>
      </c>
      <c r="B58" s="11">
        <f t="shared" ca="1" si="2"/>
        <v>0</v>
      </c>
      <c r="C58" s="26">
        <f t="shared" ca="1" si="3"/>
        <v>0.98454756574726554</v>
      </c>
      <c r="J58">
        <f t="shared" ca="1" si="4"/>
        <v>0</v>
      </c>
      <c r="K58">
        <f t="shared" ca="1" si="5"/>
        <v>0</v>
      </c>
      <c r="L58" s="65">
        <v>52</v>
      </c>
      <c r="M58" s="71">
        <f t="shared" ca="1" si="1"/>
        <v>0</v>
      </c>
      <c r="N58" s="65"/>
    </row>
    <row r="59" spans="1:37" x14ac:dyDescent="0.25">
      <c r="A59" s="2">
        <v>53</v>
      </c>
      <c r="B59" s="11">
        <f t="shared" ca="1" si="2"/>
        <v>1</v>
      </c>
      <c r="C59" s="26">
        <f t="shared" ca="1" si="3"/>
        <v>0.36962782094900637</v>
      </c>
      <c r="J59">
        <f t="shared" ca="1" si="4"/>
        <v>1</v>
      </c>
      <c r="K59">
        <f t="shared" ca="1" si="5"/>
        <v>0</v>
      </c>
      <c r="L59" s="65">
        <v>53</v>
      </c>
      <c r="M59" s="71">
        <f t="shared" ca="1" si="1"/>
        <v>1.3551240077791848</v>
      </c>
      <c r="N59" s="65"/>
      <c r="R59">
        <v>25</v>
      </c>
      <c r="S59" s="95" t="s">
        <v>142</v>
      </c>
      <c r="T59" s="95">
        <f>AVERAGE(Y7:Y56)</f>
        <v>3.0569510543696476</v>
      </c>
      <c r="U59" s="95"/>
      <c r="V59" s="95">
        <f>AVERAGE(AA7:AA56)</f>
        <v>312.86625881637298</v>
      </c>
    </row>
    <row r="60" spans="1:37" x14ac:dyDescent="0.25">
      <c r="A60" s="2">
        <v>54</v>
      </c>
      <c r="B60" s="11">
        <f t="shared" ca="1" si="2"/>
        <v>1</v>
      </c>
      <c r="C60" s="26">
        <f t="shared" ca="1" si="3"/>
        <v>0.23680198720805201</v>
      </c>
      <c r="J60">
        <f t="shared" ca="1" si="4"/>
        <v>1</v>
      </c>
      <c r="K60">
        <f t="shared" ca="1" si="5"/>
        <v>0</v>
      </c>
      <c r="L60" s="65">
        <v>54</v>
      </c>
      <c r="M60" s="71">
        <f t="shared" ca="1" si="1"/>
        <v>2.4948859111330037</v>
      </c>
      <c r="N60" s="65"/>
    </row>
    <row r="61" spans="1:37" x14ac:dyDescent="0.25">
      <c r="A61" s="2">
        <v>55</v>
      </c>
      <c r="B61" s="11">
        <f t="shared" ca="1" si="2"/>
        <v>1</v>
      </c>
      <c r="C61" s="26">
        <f t="shared" ca="1" si="3"/>
        <v>0.17224017312553519</v>
      </c>
      <c r="J61">
        <f t="shared" ca="1" si="4"/>
        <v>1</v>
      </c>
      <c r="K61">
        <f t="shared" ca="1" si="5"/>
        <v>0</v>
      </c>
      <c r="L61" s="65">
        <v>55</v>
      </c>
      <c r="M61" s="71">
        <f t="shared" ca="1" si="1"/>
        <v>4.1054292351373016</v>
      </c>
      <c r="N61" s="65"/>
      <c r="R61">
        <v>50</v>
      </c>
      <c r="S61" s="95" t="s">
        <v>142</v>
      </c>
      <c r="T61" s="95">
        <f>AVERAGE(AD7:AD56)</f>
        <v>3.3391448713921563</v>
      </c>
      <c r="V61" s="95">
        <f>AVERAGE(AF7:AF56)</f>
        <v>341.52417775429012</v>
      </c>
    </row>
    <row r="62" spans="1:37" x14ac:dyDescent="0.25">
      <c r="A62" s="2">
        <v>56</v>
      </c>
      <c r="B62" s="11">
        <f t="shared" ca="1" si="2"/>
        <v>1</v>
      </c>
      <c r="C62" s="26">
        <f t="shared" ca="1" si="3"/>
        <v>6.8484110986324787E-2</v>
      </c>
      <c r="J62">
        <f t="shared" ca="1" si="4"/>
        <v>0</v>
      </c>
      <c r="K62">
        <f t="shared" ca="1" si="5"/>
        <v>0</v>
      </c>
      <c r="L62" s="65">
        <v>56</v>
      </c>
      <c r="M62" s="71">
        <f t="shared" ca="1" si="1"/>
        <v>7.1593550275281963</v>
      </c>
      <c r="N62" s="65"/>
    </row>
    <row r="63" spans="1:37" x14ac:dyDescent="0.25">
      <c r="A63" s="2">
        <v>57</v>
      </c>
      <c r="B63" s="11">
        <f t="shared" ca="1" si="2"/>
        <v>0</v>
      </c>
      <c r="C63" s="26">
        <f t="shared" ca="1" si="3"/>
        <v>0.95968226999639183</v>
      </c>
      <c r="J63">
        <f t="shared" ca="1" si="4"/>
        <v>0</v>
      </c>
      <c r="K63">
        <f t="shared" ca="1" si="5"/>
        <v>0</v>
      </c>
      <c r="L63" s="65">
        <v>57</v>
      </c>
      <c r="M63" s="71">
        <f t="shared" ca="1" si="1"/>
        <v>0</v>
      </c>
      <c r="N63" s="65"/>
      <c r="R63">
        <v>75</v>
      </c>
      <c r="S63" s="95" t="s">
        <v>142</v>
      </c>
      <c r="T63" s="95">
        <f>AVERAGE(AI7:AI56)</f>
        <v>3.6359403836017128</v>
      </c>
      <c r="V63" s="95">
        <f>AVERAGE(AK7:AK56)</f>
        <v>372.08135997819289</v>
      </c>
    </row>
    <row r="64" spans="1:37" x14ac:dyDescent="0.25">
      <c r="A64" s="2">
        <v>58</v>
      </c>
      <c r="B64" s="11">
        <f t="shared" ca="1" si="2"/>
        <v>1</v>
      </c>
      <c r="C64" s="26">
        <f t="shared" ca="1" si="3"/>
        <v>0.14775174708935501</v>
      </c>
      <c r="J64">
        <f t="shared" ca="1" si="4"/>
        <v>0</v>
      </c>
      <c r="K64">
        <f t="shared" ca="1" si="5"/>
        <v>0</v>
      </c>
      <c r="L64" s="65">
        <v>58</v>
      </c>
      <c r="M64" s="71">
        <f t="shared" ca="1" si="1"/>
        <v>1.8774912539211792</v>
      </c>
      <c r="N64" s="65"/>
    </row>
    <row r="65" spans="1:14" x14ac:dyDescent="0.25">
      <c r="A65" s="2">
        <v>59</v>
      </c>
      <c r="B65" s="11">
        <f t="shared" ca="1" si="2"/>
        <v>0</v>
      </c>
      <c r="C65" s="26">
        <f t="shared" ca="1" si="3"/>
        <v>0.87660653049523585</v>
      </c>
      <c r="J65">
        <f t="shared" ca="1" si="4"/>
        <v>0</v>
      </c>
      <c r="K65">
        <f t="shared" ca="1" si="5"/>
        <v>0</v>
      </c>
      <c r="L65" s="65">
        <v>59</v>
      </c>
      <c r="M65" s="71">
        <f t="shared" ca="1" si="1"/>
        <v>0</v>
      </c>
      <c r="N65" s="65"/>
    </row>
    <row r="66" spans="1:14" x14ac:dyDescent="0.25">
      <c r="A66" s="2">
        <v>60</v>
      </c>
      <c r="B66" s="11">
        <f t="shared" ca="1" si="2"/>
        <v>1</v>
      </c>
      <c r="C66" s="26">
        <f t="shared" ca="1" si="3"/>
        <v>0.13823164668426347</v>
      </c>
      <c r="J66">
        <f t="shared" ca="1" si="4"/>
        <v>1</v>
      </c>
      <c r="K66">
        <f t="shared" ca="1" si="5"/>
        <v>0</v>
      </c>
      <c r="L66" s="65">
        <v>60</v>
      </c>
      <c r="M66" s="71">
        <f t="shared" ca="1" si="1"/>
        <v>0.90664687446164804</v>
      </c>
      <c r="N66" s="65"/>
    </row>
    <row r="67" spans="1:14" x14ac:dyDescent="0.25">
      <c r="A67" s="2">
        <v>61</v>
      </c>
      <c r="B67" s="11">
        <f t="shared" ca="1" si="2"/>
        <v>1</v>
      </c>
      <c r="C67" s="26">
        <f t="shared" ca="1" si="3"/>
        <v>1.3812832260661323E-2</v>
      </c>
      <c r="J67">
        <f t="shared" ca="1" si="4"/>
        <v>0</v>
      </c>
      <c r="K67">
        <f t="shared" ca="1" si="5"/>
        <v>0</v>
      </c>
      <c r="L67" s="65">
        <v>61</v>
      </c>
      <c r="M67" s="71">
        <f t="shared" ca="1" si="1"/>
        <v>0.74416027706650623</v>
      </c>
      <c r="N67" s="65"/>
    </row>
    <row r="68" spans="1:14" x14ac:dyDescent="0.25">
      <c r="A68" s="2">
        <v>62</v>
      </c>
      <c r="B68" s="11">
        <f t="shared" ca="1" si="2"/>
        <v>0</v>
      </c>
      <c r="C68" s="26">
        <f t="shared" ca="1" si="3"/>
        <v>0.95302934818124696</v>
      </c>
      <c r="J68">
        <f t="shared" ca="1" si="4"/>
        <v>0</v>
      </c>
      <c r="K68">
        <f t="shared" ca="1" si="5"/>
        <v>0</v>
      </c>
      <c r="L68" s="65">
        <v>62</v>
      </c>
      <c r="M68" s="71">
        <f t="shared" ca="1" si="1"/>
        <v>0</v>
      </c>
      <c r="N68" s="65"/>
    </row>
    <row r="69" spans="1:14" x14ac:dyDescent="0.25">
      <c r="A69" s="2">
        <v>63</v>
      </c>
      <c r="B69" s="11">
        <f t="shared" ca="1" si="2"/>
        <v>1</v>
      </c>
      <c r="C69" s="26">
        <f t="shared" ca="1" si="3"/>
        <v>3.9130840993581106E-2</v>
      </c>
      <c r="J69">
        <f t="shared" ca="1" si="4"/>
        <v>1</v>
      </c>
      <c r="K69">
        <f t="shared" ca="1" si="5"/>
        <v>0</v>
      </c>
      <c r="L69" s="65">
        <v>63</v>
      </c>
      <c r="M69" s="71">
        <f t="shared" ca="1" si="1"/>
        <v>1.5119758834526256</v>
      </c>
      <c r="N69" s="65"/>
    </row>
    <row r="70" spans="1:14" x14ac:dyDescent="0.25">
      <c r="A70" s="2">
        <v>64</v>
      </c>
      <c r="B70" s="11">
        <f t="shared" ca="1" si="2"/>
        <v>1</v>
      </c>
      <c r="C70" s="26">
        <f t="shared" ca="1" si="3"/>
        <v>1.4216537767095083E-2</v>
      </c>
      <c r="J70">
        <f t="shared" ca="1" si="4"/>
        <v>1</v>
      </c>
      <c r="K70">
        <f t="shared" ca="1" si="5"/>
        <v>0</v>
      </c>
      <c r="L70" s="65">
        <v>64</v>
      </c>
      <c r="M70" s="71">
        <f t="shared" ca="1" si="1"/>
        <v>4.6805055516628622</v>
      </c>
      <c r="N70" s="65"/>
    </row>
    <row r="71" spans="1:14" x14ac:dyDescent="0.25">
      <c r="A71" s="2">
        <v>65</v>
      </c>
      <c r="B71" s="11">
        <f t="shared" ca="1" si="2"/>
        <v>1</v>
      </c>
      <c r="C71" s="26">
        <f t="shared" ca="1" si="3"/>
        <v>0.1979308605002138</v>
      </c>
      <c r="J71">
        <f t="shared" ca="1" si="4"/>
        <v>1</v>
      </c>
      <c r="K71">
        <f t="shared" ca="1" si="5"/>
        <v>0</v>
      </c>
      <c r="L71" s="65">
        <v>65</v>
      </c>
      <c r="M71" s="71">
        <f t="shared" ref="M71:M134" ca="1" si="6">IF(B71&gt;0,-LN(1-(RAND()))/lambda,0)</f>
        <v>3.5426999664389669</v>
      </c>
      <c r="N71" s="65"/>
    </row>
    <row r="72" spans="1:14" x14ac:dyDescent="0.25">
      <c r="A72" s="2">
        <v>66</v>
      </c>
      <c r="B72" s="11">
        <f t="shared" ref="B72:B135" ca="1" si="7">IF(B71&gt;0,IF(C72&lt;pww,1,0),IF(C72&lt;pdw,1,0))</f>
        <v>1</v>
      </c>
      <c r="C72" s="26">
        <f t="shared" ref="C72:C135" ca="1" si="8">RAND()</f>
        <v>0.32610965795352287</v>
      </c>
      <c r="J72">
        <f t="shared" ref="J72:J135" ca="1" si="9">IF(AND(B72,B73),1,0)</f>
        <v>1</v>
      </c>
      <c r="K72">
        <f t="shared" ref="K72:K135" ca="1" si="10">IF(AND(NOT(B72),NOT(B73)),1,0)</f>
        <v>0</v>
      </c>
      <c r="L72" s="65">
        <v>66</v>
      </c>
      <c r="M72" s="71">
        <f t="shared" ca="1" si="6"/>
        <v>2.013043500089315</v>
      </c>
      <c r="N72" s="65"/>
    </row>
    <row r="73" spans="1:14" x14ac:dyDescent="0.25">
      <c r="A73" s="2">
        <v>67</v>
      </c>
      <c r="B73" s="11">
        <f t="shared" ca="1" si="7"/>
        <v>1</v>
      </c>
      <c r="C73" s="26">
        <f t="shared" ca="1" si="8"/>
        <v>0.56493062967148611</v>
      </c>
      <c r="J73">
        <f t="shared" ca="1" si="9"/>
        <v>1</v>
      </c>
      <c r="K73">
        <f t="shared" ca="1" si="10"/>
        <v>0</v>
      </c>
      <c r="L73" s="65">
        <v>67</v>
      </c>
      <c r="M73" s="71">
        <f t="shared" ca="1" si="6"/>
        <v>16.276330907285764</v>
      </c>
      <c r="N73" s="65"/>
    </row>
    <row r="74" spans="1:14" x14ac:dyDescent="0.25">
      <c r="A74" s="2">
        <v>68</v>
      </c>
      <c r="B74" s="11">
        <f t="shared" ca="1" si="7"/>
        <v>1</v>
      </c>
      <c r="C74" s="26">
        <f t="shared" ca="1" si="8"/>
        <v>0.41561535932344851</v>
      </c>
      <c r="J74">
        <f t="shared" ca="1" si="9"/>
        <v>1</v>
      </c>
      <c r="K74">
        <f t="shared" ca="1" si="10"/>
        <v>0</v>
      </c>
      <c r="L74" s="65">
        <v>68</v>
      </c>
      <c r="M74" s="71">
        <f t="shared" ca="1" si="6"/>
        <v>5.1741847349697032</v>
      </c>
      <c r="N74" s="65"/>
    </row>
    <row r="75" spans="1:14" x14ac:dyDescent="0.25">
      <c r="A75" s="2">
        <v>69</v>
      </c>
      <c r="B75" s="11">
        <f t="shared" ca="1" si="7"/>
        <v>1</v>
      </c>
      <c r="C75" s="26">
        <f t="shared" ca="1" si="8"/>
        <v>0.49500041607936507</v>
      </c>
      <c r="J75">
        <f t="shared" ca="1" si="9"/>
        <v>0</v>
      </c>
      <c r="K75">
        <f t="shared" ca="1" si="10"/>
        <v>0</v>
      </c>
      <c r="L75" s="65">
        <v>69</v>
      </c>
      <c r="M75" s="71">
        <f t="shared" ca="1" si="6"/>
        <v>0.30544106102477453</v>
      </c>
      <c r="N75" s="65"/>
    </row>
    <row r="76" spans="1:14" x14ac:dyDescent="0.25">
      <c r="A76" s="2">
        <v>70</v>
      </c>
      <c r="B76" s="11">
        <f t="shared" ca="1" si="7"/>
        <v>0</v>
      </c>
      <c r="C76" s="26">
        <f t="shared" ca="1" si="8"/>
        <v>0.99158046204552597</v>
      </c>
      <c r="J76">
        <f t="shared" ca="1" si="9"/>
        <v>0</v>
      </c>
      <c r="K76">
        <f t="shared" ca="1" si="10"/>
        <v>0</v>
      </c>
      <c r="L76" s="65">
        <v>70</v>
      </c>
      <c r="M76" s="71">
        <f t="shared" ca="1" si="6"/>
        <v>0</v>
      </c>
      <c r="N76" s="65"/>
    </row>
    <row r="77" spans="1:14" x14ac:dyDescent="0.25">
      <c r="A77" s="2">
        <v>71</v>
      </c>
      <c r="B77" s="11">
        <f t="shared" ca="1" si="7"/>
        <v>1</v>
      </c>
      <c r="C77" s="26">
        <f t="shared" ca="1" si="8"/>
        <v>0.1635608888396376</v>
      </c>
      <c r="J77">
        <f t="shared" ca="1" si="9"/>
        <v>1</v>
      </c>
      <c r="K77">
        <f t="shared" ca="1" si="10"/>
        <v>0</v>
      </c>
      <c r="L77" s="65">
        <v>71</v>
      </c>
      <c r="M77" s="71">
        <f t="shared" ca="1" si="6"/>
        <v>7.5280115948209945</v>
      </c>
      <c r="N77" s="65"/>
    </row>
    <row r="78" spans="1:14" x14ac:dyDescent="0.25">
      <c r="A78" s="2">
        <v>72</v>
      </c>
      <c r="B78" s="11">
        <f t="shared" ca="1" si="7"/>
        <v>1</v>
      </c>
      <c r="C78" s="26">
        <f t="shared" ca="1" si="8"/>
        <v>1.2115430138793792E-3</v>
      </c>
      <c r="J78">
        <f t="shared" ca="1" si="9"/>
        <v>1</v>
      </c>
      <c r="K78">
        <f t="shared" ca="1" si="10"/>
        <v>0</v>
      </c>
      <c r="L78" s="65">
        <v>72</v>
      </c>
      <c r="M78" s="71">
        <f t="shared" ca="1" si="6"/>
        <v>1.1085434210225922</v>
      </c>
      <c r="N78" s="65"/>
    </row>
    <row r="79" spans="1:14" x14ac:dyDescent="0.25">
      <c r="A79" s="2">
        <v>73</v>
      </c>
      <c r="B79" s="11">
        <f t="shared" ca="1" si="7"/>
        <v>1</v>
      </c>
      <c r="C79" s="26">
        <f t="shared" ca="1" si="8"/>
        <v>0.35543276738722507</v>
      </c>
      <c r="J79">
        <f t="shared" ca="1" si="9"/>
        <v>1</v>
      </c>
      <c r="K79">
        <f t="shared" ca="1" si="10"/>
        <v>0</v>
      </c>
      <c r="L79" s="65">
        <v>73</v>
      </c>
      <c r="M79" s="71">
        <f t="shared" ca="1" si="6"/>
        <v>7.9948041593430155</v>
      </c>
      <c r="N79" s="65"/>
    </row>
    <row r="80" spans="1:14" x14ac:dyDescent="0.25">
      <c r="A80" s="2">
        <v>74</v>
      </c>
      <c r="B80" s="11">
        <f t="shared" ca="1" si="7"/>
        <v>1</v>
      </c>
      <c r="C80" s="26">
        <f t="shared" ca="1" si="8"/>
        <v>0.42956627926307567</v>
      </c>
      <c r="J80">
        <f t="shared" ca="1" si="9"/>
        <v>1</v>
      </c>
      <c r="K80">
        <f t="shared" ca="1" si="10"/>
        <v>0</v>
      </c>
      <c r="L80" s="65">
        <v>74</v>
      </c>
      <c r="M80" s="71">
        <f t="shared" ca="1" si="6"/>
        <v>2.3608469668720988</v>
      </c>
      <c r="N80" s="65"/>
    </row>
    <row r="81" spans="1:14" x14ac:dyDescent="0.25">
      <c r="A81" s="2">
        <v>75</v>
      </c>
      <c r="B81" s="11">
        <f t="shared" ca="1" si="7"/>
        <v>1</v>
      </c>
      <c r="C81" s="26">
        <f t="shared" ca="1" si="8"/>
        <v>0.70124649625674751</v>
      </c>
      <c r="J81">
        <f t="shared" ca="1" si="9"/>
        <v>1</v>
      </c>
      <c r="K81">
        <f t="shared" ca="1" si="10"/>
        <v>0</v>
      </c>
      <c r="L81" s="65">
        <v>75</v>
      </c>
      <c r="M81" s="71">
        <f t="shared" ca="1" si="6"/>
        <v>0.37942520862859197</v>
      </c>
      <c r="N81" s="65"/>
    </row>
    <row r="82" spans="1:14" x14ac:dyDescent="0.25">
      <c r="A82" s="2">
        <v>76</v>
      </c>
      <c r="B82" s="11">
        <f t="shared" ca="1" si="7"/>
        <v>1</v>
      </c>
      <c r="C82" s="26">
        <f t="shared" ca="1" si="8"/>
        <v>8.8915053234707164E-3</v>
      </c>
      <c r="J82">
        <f t="shared" ca="1" si="9"/>
        <v>0</v>
      </c>
      <c r="K82">
        <f t="shared" ca="1" si="10"/>
        <v>0</v>
      </c>
      <c r="L82" s="65">
        <v>76</v>
      </c>
      <c r="M82" s="71">
        <f t="shared" ca="1" si="6"/>
        <v>5.631655836979097</v>
      </c>
      <c r="N82" s="65"/>
    </row>
    <row r="83" spans="1:14" x14ac:dyDescent="0.25">
      <c r="A83" s="2">
        <v>77</v>
      </c>
      <c r="B83" s="11">
        <f t="shared" ca="1" si="7"/>
        <v>0</v>
      </c>
      <c r="C83" s="26">
        <f t="shared" ca="1" si="8"/>
        <v>0.90206242084663402</v>
      </c>
      <c r="J83">
        <f t="shared" ca="1" si="9"/>
        <v>0</v>
      </c>
      <c r="K83">
        <f t="shared" ca="1" si="10"/>
        <v>0</v>
      </c>
      <c r="L83" s="65">
        <v>77</v>
      </c>
      <c r="M83" s="71">
        <f t="shared" ca="1" si="6"/>
        <v>0</v>
      </c>
      <c r="N83" s="65"/>
    </row>
    <row r="84" spans="1:14" x14ac:dyDescent="0.25">
      <c r="A84" s="2">
        <v>78</v>
      </c>
      <c r="B84" s="11">
        <f t="shared" ca="1" si="7"/>
        <v>1</v>
      </c>
      <c r="C84" s="26">
        <f t="shared" ca="1" si="8"/>
        <v>0.57470628702088011</v>
      </c>
      <c r="J84">
        <f t="shared" ca="1" si="9"/>
        <v>1</v>
      </c>
      <c r="K84">
        <f t="shared" ca="1" si="10"/>
        <v>0</v>
      </c>
      <c r="L84" s="65">
        <v>78</v>
      </c>
      <c r="M84" s="71">
        <f t="shared" ca="1" si="6"/>
        <v>2.4476768755053646</v>
      </c>
      <c r="N84" s="65"/>
    </row>
    <row r="85" spans="1:14" x14ac:dyDescent="0.25">
      <c r="A85" s="2">
        <v>79</v>
      </c>
      <c r="B85" s="11">
        <f t="shared" ca="1" si="7"/>
        <v>1</v>
      </c>
      <c r="C85" s="26">
        <f t="shared" ca="1" si="8"/>
        <v>0.75522096543808037</v>
      </c>
      <c r="J85">
        <f t="shared" ca="1" si="9"/>
        <v>1</v>
      </c>
      <c r="K85">
        <f t="shared" ca="1" si="10"/>
        <v>0</v>
      </c>
      <c r="L85" s="65">
        <v>79</v>
      </c>
      <c r="M85" s="71">
        <f t="shared" ca="1" si="6"/>
        <v>2.9367601560341381</v>
      </c>
      <c r="N85" s="65"/>
    </row>
    <row r="86" spans="1:14" x14ac:dyDescent="0.25">
      <c r="A86" s="2">
        <v>80</v>
      </c>
      <c r="B86" s="11">
        <f t="shared" ca="1" si="7"/>
        <v>1</v>
      </c>
      <c r="C86" s="26">
        <f t="shared" ca="1" si="8"/>
        <v>0.64176314977447491</v>
      </c>
      <c r="J86">
        <f t="shared" ca="1" si="9"/>
        <v>1</v>
      </c>
      <c r="K86">
        <f t="shared" ca="1" si="10"/>
        <v>0</v>
      </c>
      <c r="L86" s="65">
        <v>80</v>
      </c>
      <c r="M86" s="71">
        <f t="shared" ca="1" si="6"/>
        <v>0.33617052966207422</v>
      </c>
      <c r="N86" s="65"/>
    </row>
    <row r="87" spans="1:14" x14ac:dyDescent="0.25">
      <c r="A87" s="2">
        <v>81</v>
      </c>
      <c r="B87" s="11">
        <f t="shared" ca="1" si="7"/>
        <v>1</v>
      </c>
      <c r="C87" s="26">
        <f t="shared" ca="1" si="8"/>
        <v>6.2190923150352573E-3</v>
      </c>
      <c r="J87">
        <f t="shared" ca="1" si="9"/>
        <v>0</v>
      </c>
      <c r="K87">
        <f t="shared" ca="1" si="10"/>
        <v>0</v>
      </c>
      <c r="L87" s="65">
        <v>81</v>
      </c>
      <c r="M87" s="71">
        <f t="shared" ca="1" si="6"/>
        <v>0.37159316012322408</v>
      </c>
      <c r="N87" s="65"/>
    </row>
    <row r="88" spans="1:14" x14ac:dyDescent="0.25">
      <c r="A88" s="2">
        <v>82</v>
      </c>
      <c r="B88" s="11">
        <f t="shared" ca="1" si="7"/>
        <v>0</v>
      </c>
      <c r="C88" s="26">
        <f t="shared" ca="1" si="8"/>
        <v>0.81958673146274696</v>
      </c>
      <c r="J88">
        <f t="shared" ca="1" si="9"/>
        <v>0</v>
      </c>
      <c r="K88">
        <f t="shared" ca="1" si="10"/>
        <v>0</v>
      </c>
      <c r="L88" s="65">
        <v>82</v>
      </c>
      <c r="M88" s="71">
        <f t="shared" ca="1" si="6"/>
        <v>0</v>
      </c>
      <c r="N88" s="65"/>
    </row>
    <row r="89" spans="1:14" x14ac:dyDescent="0.25">
      <c r="A89" s="2">
        <v>83</v>
      </c>
      <c r="B89" s="11">
        <f t="shared" ca="1" si="7"/>
        <v>1</v>
      </c>
      <c r="C89" s="26">
        <f t="shared" ca="1" si="8"/>
        <v>0.60604091253174197</v>
      </c>
      <c r="J89">
        <f t="shared" ca="1" si="9"/>
        <v>1</v>
      </c>
      <c r="K89">
        <f t="shared" ca="1" si="10"/>
        <v>0</v>
      </c>
      <c r="L89" s="65">
        <v>83</v>
      </c>
      <c r="M89" s="71">
        <f t="shared" ca="1" si="6"/>
        <v>3.7821437271099905</v>
      </c>
      <c r="N89" s="65"/>
    </row>
    <row r="90" spans="1:14" x14ac:dyDescent="0.25">
      <c r="A90" s="2">
        <v>84</v>
      </c>
      <c r="B90" s="11">
        <f t="shared" ca="1" si="7"/>
        <v>1</v>
      </c>
      <c r="C90" s="26">
        <f t="shared" ca="1" si="8"/>
        <v>0.71483365191924653</v>
      </c>
      <c r="J90">
        <f t="shared" ca="1" si="9"/>
        <v>1</v>
      </c>
      <c r="K90">
        <f t="shared" ca="1" si="10"/>
        <v>0</v>
      </c>
      <c r="L90" s="65">
        <v>84</v>
      </c>
      <c r="M90" s="71">
        <f t="shared" ca="1" si="6"/>
        <v>0.6192112181420738</v>
      </c>
      <c r="N90" s="65"/>
    </row>
    <row r="91" spans="1:14" x14ac:dyDescent="0.25">
      <c r="A91" s="2">
        <v>85</v>
      </c>
      <c r="B91" s="11">
        <f t="shared" ca="1" si="7"/>
        <v>1</v>
      </c>
      <c r="C91" s="26">
        <f t="shared" ca="1" si="8"/>
        <v>1.8582383125143265E-2</v>
      </c>
      <c r="J91">
        <f t="shared" ca="1" si="9"/>
        <v>0</v>
      </c>
      <c r="K91">
        <f t="shared" ca="1" si="10"/>
        <v>0</v>
      </c>
      <c r="L91" s="65">
        <v>85</v>
      </c>
      <c r="M91" s="71">
        <f t="shared" ca="1" si="6"/>
        <v>3.9381064474774194</v>
      </c>
      <c r="N91" s="65"/>
    </row>
    <row r="92" spans="1:14" x14ac:dyDescent="0.25">
      <c r="A92" s="2">
        <v>86</v>
      </c>
      <c r="B92" s="11">
        <f t="shared" ca="1" si="7"/>
        <v>0</v>
      </c>
      <c r="C92" s="26">
        <f t="shared" ca="1" si="8"/>
        <v>0.83819210490455842</v>
      </c>
      <c r="J92">
        <f t="shared" ca="1" si="9"/>
        <v>0</v>
      </c>
      <c r="K92">
        <f t="shared" ca="1" si="10"/>
        <v>0</v>
      </c>
      <c r="L92" s="65">
        <v>86</v>
      </c>
      <c r="M92" s="71">
        <f t="shared" ca="1" si="6"/>
        <v>0</v>
      </c>
      <c r="N92" s="65"/>
    </row>
    <row r="93" spans="1:14" x14ac:dyDescent="0.25">
      <c r="A93" s="2">
        <v>87</v>
      </c>
      <c r="B93" s="11">
        <f t="shared" ca="1" si="7"/>
        <v>1</v>
      </c>
      <c r="C93" s="26">
        <f t="shared" ca="1" si="8"/>
        <v>0.35659921867764399</v>
      </c>
      <c r="J93">
        <f t="shared" ca="1" si="9"/>
        <v>1</v>
      </c>
      <c r="K93">
        <f t="shared" ca="1" si="10"/>
        <v>0</v>
      </c>
      <c r="L93" s="65">
        <v>87</v>
      </c>
      <c r="M93" s="71">
        <f t="shared" ca="1" si="6"/>
        <v>1.9822803690430844</v>
      </c>
      <c r="N93" s="65"/>
    </row>
    <row r="94" spans="1:14" x14ac:dyDescent="0.25">
      <c r="A94" s="2">
        <v>88</v>
      </c>
      <c r="B94" s="11">
        <f t="shared" ca="1" si="7"/>
        <v>1</v>
      </c>
      <c r="C94" s="26">
        <f t="shared" ca="1" si="8"/>
        <v>0.42825036349920842</v>
      </c>
      <c r="J94">
        <f t="shared" ca="1" si="9"/>
        <v>1</v>
      </c>
      <c r="K94">
        <f t="shared" ca="1" si="10"/>
        <v>0</v>
      </c>
      <c r="L94" s="65">
        <v>88</v>
      </c>
      <c r="M94" s="71">
        <f t="shared" ca="1" si="6"/>
        <v>3.8051696393309999</v>
      </c>
      <c r="N94" s="65"/>
    </row>
    <row r="95" spans="1:14" x14ac:dyDescent="0.25">
      <c r="A95" s="2">
        <v>89</v>
      </c>
      <c r="B95" s="11">
        <f t="shared" ca="1" si="7"/>
        <v>1</v>
      </c>
      <c r="C95" s="26">
        <f t="shared" ca="1" si="8"/>
        <v>0.71894073377073431</v>
      </c>
      <c r="J95">
        <f t="shared" ca="1" si="9"/>
        <v>1</v>
      </c>
      <c r="K95">
        <f t="shared" ca="1" si="10"/>
        <v>0</v>
      </c>
      <c r="L95" s="65">
        <v>89</v>
      </c>
      <c r="M95" s="71">
        <f t="shared" ca="1" si="6"/>
        <v>0.74554269185843391</v>
      </c>
      <c r="N95" s="65"/>
    </row>
    <row r="96" spans="1:14" x14ac:dyDescent="0.25">
      <c r="A96" s="2">
        <v>90</v>
      </c>
      <c r="B96" s="11">
        <f t="shared" ca="1" si="7"/>
        <v>1</v>
      </c>
      <c r="C96" s="26">
        <f t="shared" ca="1" si="8"/>
        <v>0.62781491329302697</v>
      </c>
      <c r="J96">
        <f t="shared" ca="1" si="9"/>
        <v>1</v>
      </c>
      <c r="K96">
        <f t="shared" ca="1" si="10"/>
        <v>0</v>
      </c>
      <c r="L96" s="65">
        <v>90</v>
      </c>
      <c r="M96" s="71">
        <f t="shared" ca="1" si="6"/>
        <v>0.15921726953965956</v>
      </c>
      <c r="N96" s="65"/>
    </row>
    <row r="97" spans="1:14" x14ac:dyDescent="0.25">
      <c r="A97" s="2">
        <v>91</v>
      </c>
      <c r="B97" s="11">
        <f t="shared" ca="1" si="7"/>
        <v>1</v>
      </c>
      <c r="C97" s="26">
        <f t="shared" ca="1" si="8"/>
        <v>0.75951417987288683</v>
      </c>
      <c r="J97">
        <f t="shared" ca="1" si="9"/>
        <v>1</v>
      </c>
      <c r="K97">
        <f t="shared" ca="1" si="10"/>
        <v>0</v>
      </c>
      <c r="L97" s="65">
        <v>91</v>
      </c>
      <c r="M97" s="71">
        <f t="shared" ca="1" si="6"/>
        <v>0.83527558377985101</v>
      </c>
      <c r="N97" s="65"/>
    </row>
    <row r="98" spans="1:14" x14ac:dyDescent="0.25">
      <c r="A98" s="2">
        <v>92</v>
      </c>
      <c r="B98" s="11">
        <f t="shared" ca="1" si="7"/>
        <v>1</v>
      </c>
      <c r="C98" s="26">
        <f t="shared" ca="1" si="8"/>
        <v>0.14321013643256364</v>
      </c>
      <c r="J98">
        <f t="shared" ca="1" si="9"/>
        <v>1</v>
      </c>
      <c r="K98">
        <f t="shared" ca="1" si="10"/>
        <v>0</v>
      </c>
      <c r="L98" s="65">
        <v>92</v>
      </c>
      <c r="M98" s="71">
        <f t="shared" ca="1" si="6"/>
        <v>2.6877689798026254</v>
      </c>
      <c r="N98" s="65"/>
    </row>
    <row r="99" spans="1:14" x14ac:dyDescent="0.25">
      <c r="A99" s="2">
        <v>93</v>
      </c>
      <c r="B99" s="11">
        <f t="shared" ca="1" si="7"/>
        <v>1</v>
      </c>
      <c r="C99" s="26">
        <f t="shared" ca="1" si="8"/>
        <v>0.38193818958014536</v>
      </c>
      <c r="J99">
        <f t="shared" ca="1" si="9"/>
        <v>0</v>
      </c>
      <c r="K99">
        <f t="shared" ca="1" si="10"/>
        <v>0</v>
      </c>
      <c r="L99" s="65">
        <v>93</v>
      </c>
      <c r="M99" s="71">
        <f t="shared" ca="1" si="6"/>
        <v>1.9260230199807615</v>
      </c>
      <c r="N99" s="65"/>
    </row>
    <row r="100" spans="1:14" x14ac:dyDescent="0.25">
      <c r="A100" s="2">
        <v>94</v>
      </c>
      <c r="B100" s="11">
        <f t="shared" ca="1" si="7"/>
        <v>0</v>
      </c>
      <c r="C100" s="26">
        <f t="shared" ca="1" si="8"/>
        <v>0.954659038739471</v>
      </c>
      <c r="J100">
        <f t="shared" ca="1" si="9"/>
        <v>0</v>
      </c>
      <c r="K100">
        <f t="shared" ca="1" si="10"/>
        <v>0</v>
      </c>
      <c r="L100" s="65">
        <v>94</v>
      </c>
      <c r="M100" s="71">
        <f t="shared" ca="1" si="6"/>
        <v>0</v>
      </c>
      <c r="N100" s="65"/>
    </row>
    <row r="101" spans="1:14" x14ac:dyDescent="0.25">
      <c r="A101" s="2">
        <v>95</v>
      </c>
      <c r="B101" s="11">
        <f t="shared" ca="1" si="7"/>
        <v>1</v>
      </c>
      <c r="C101" s="26">
        <f t="shared" ca="1" si="8"/>
        <v>0.1710819073921146</v>
      </c>
      <c r="J101">
        <f t="shared" ca="1" si="9"/>
        <v>1</v>
      </c>
      <c r="K101">
        <f t="shared" ca="1" si="10"/>
        <v>0</v>
      </c>
      <c r="L101" s="65">
        <v>95</v>
      </c>
      <c r="M101" s="71">
        <f t="shared" ca="1" si="6"/>
        <v>2.7545289883503785</v>
      </c>
      <c r="N101" s="65"/>
    </row>
    <row r="102" spans="1:14" x14ac:dyDescent="0.25">
      <c r="A102" s="2">
        <v>96</v>
      </c>
      <c r="B102" s="11">
        <f t="shared" ca="1" si="7"/>
        <v>1</v>
      </c>
      <c r="C102" s="26">
        <f t="shared" ca="1" si="8"/>
        <v>0.17845303150950231</v>
      </c>
      <c r="J102">
        <f t="shared" ca="1" si="9"/>
        <v>1</v>
      </c>
      <c r="K102">
        <f t="shared" ca="1" si="10"/>
        <v>0</v>
      </c>
      <c r="L102" s="65">
        <v>96</v>
      </c>
      <c r="M102" s="71">
        <f t="shared" ca="1" si="6"/>
        <v>0.18821566510011081</v>
      </c>
      <c r="N102" s="65"/>
    </row>
    <row r="103" spans="1:14" x14ac:dyDescent="0.25">
      <c r="A103" s="2">
        <v>97</v>
      </c>
      <c r="B103" s="11">
        <f t="shared" ca="1" si="7"/>
        <v>1</v>
      </c>
      <c r="C103" s="26">
        <f t="shared" ca="1" si="8"/>
        <v>0.44285150509318072</v>
      </c>
      <c r="J103">
        <f t="shared" ca="1" si="9"/>
        <v>1</v>
      </c>
      <c r="K103">
        <f t="shared" ca="1" si="10"/>
        <v>0</v>
      </c>
      <c r="L103" s="65">
        <v>97</v>
      </c>
      <c r="M103" s="71">
        <f t="shared" ca="1" si="6"/>
        <v>0.38421825630413442</v>
      </c>
      <c r="N103" s="65"/>
    </row>
    <row r="104" spans="1:14" x14ac:dyDescent="0.25">
      <c r="A104" s="2">
        <v>98</v>
      </c>
      <c r="B104" s="11">
        <f t="shared" ca="1" si="7"/>
        <v>1</v>
      </c>
      <c r="C104" s="26">
        <f t="shared" ca="1" si="8"/>
        <v>2.9276218335314241E-2</v>
      </c>
      <c r="J104">
        <f t="shared" ca="1" si="9"/>
        <v>1</v>
      </c>
      <c r="K104">
        <f t="shared" ca="1" si="10"/>
        <v>0</v>
      </c>
      <c r="L104" s="65">
        <v>98</v>
      </c>
      <c r="M104" s="71">
        <f t="shared" ca="1" si="6"/>
        <v>8.2184503494015591</v>
      </c>
      <c r="N104" s="65"/>
    </row>
    <row r="105" spans="1:14" x14ac:dyDescent="0.25">
      <c r="A105" s="2">
        <v>99</v>
      </c>
      <c r="B105" s="11">
        <f t="shared" ca="1" si="7"/>
        <v>1</v>
      </c>
      <c r="C105" s="26">
        <f t="shared" ca="1" si="8"/>
        <v>0.20679927992600033</v>
      </c>
      <c r="J105">
        <f t="shared" ca="1" si="9"/>
        <v>1</v>
      </c>
      <c r="K105">
        <f t="shared" ca="1" si="10"/>
        <v>0</v>
      </c>
      <c r="L105" s="65">
        <v>99</v>
      </c>
      <c r="M105" s="71">
        <f t="shared" ca="1" si="6"/>
        <v>0.81740370486106084</v>
      </c>
      <c r="N105" s="65"/>
    </row>
    <row r="106" spans="1:14" x14ac:dyDescent="0.25">
      <c r="A106" s="2">
        <v>100</v>
      </c>
      <c r="B106" s="11">
        <f t="shared" ca="1" si="7"/>
        <v>1</v>
      </c>
      <c r="C106" s="26">
        <f t="shared" ca="1" si="8"/>
        <v>0.60959256590256772</v>
      </c>
      <c r="J106">
        <f t="shared" ca="1" si="9"/>
        <v>1</v>
      </c>
      <c r="K106">
        <f t="shared" ca="1" si="10"/>
        <v>0</v>
      </c>
      <c r="L106" s="65">
        <v>100</v>
      </c>
      <c r="M106" s="71">
        <f t="shared" ca="1" si="6"/>
        <v>8.6233052352503208</v>
      </c>
      <c r="N106" s="65"/>
    </row>
    <row r="107" spans="1:14" x14ac:dyDescent="0.25">
      <c r="A107" s="2">
        <v>101</v>
      </c>
      <c r="B107" s="11">
        <f t="shared" ca="1" si="7"/>
        <v>1</v>
      </c>
      <c r="C107" s="26">
        <f t="shared" ca="1" si="8"/>
        <v>0.19224997132001009</v>
      </c>
      <c r="J107">
        <f t="shared" ca="1" si="9"/>
        <v>1</v>
      </c>
      <c r="K107">
        <f t="shared" ca="1" si="10"/>
        <v>0</v>
      </c>
      <c r="L107" s="65">
        <v>101</v>
      </c>
      <c r="M107" s="71">
        <f t="shared" ca="1" si="6"/>
        <v>2.2355576901398142</v>
      </c>
      <c r="N107" s="65"/>
    </row>
    <row r="108" spans="1:14" x14ac:dyDescent="0.25">
      <c r="A108" s="2">
        <v>102</v>
      </c>
      <c r="B108" s="11">
        <f t="shared" ca="1" si="7"/>
        <v>1</v>
      </c>
      <c r="C108" s="26">
        <f t="shared" ca="1" si="8"/>
        <v>0.29375448482220368</v>
      </c>
      <c r="J108">
        <f t="shared" ca="1" si="9"/>
        <v>0</v>
      </c>
      <c r="K108">
        <f t="shared" ca="1" si="10"/>
        <v>0</v>
      </c>
      <c r="L108" s="65">
        <v>102</v>
      </c>
      <c r="M108" s="71">
        <f t="shared" ca="1" si="6"/>
        <v>5.0058709130673398</v>
      </c>
      <c r="N108" s="65"/>
    </row>
    <row r="109" spans="1:14" x14ac:dyDescent="0.25">
      <c r="A109" s="2">
        <v>103</v>
      </c>
      <c r="B109" s="11">
        <f t="shared" ca="1" si="7"/>
        <v>0</v>
      </c>
      <c r="C109" s="26">
        <f t="shared" ca="1" si="8"/>
        <v>0.89686538738632715</v>
      </c>
      <c r="J109">
        <f t="shared" ca="1" si="9"/>
        <v>0</v>
      </c>
      <c r="K109">
        <f t="shared" ca="1" si="10"/>
        <v>0</v>
      </c>
      <c r="L109" s="65">
        <v>103</v>
      </c>
      <c r="M109" s="71">
        <f t="shared" ca="1" si="6"/>
        <v>0</v>
      </c>
      <c r="N109" s="65"/>
    </row>
    <row r="110" spans="1:14" x14ac:dyDescent="0.25">
      <c r="A110" s="2">
        <v>104</v>
      </c>
      <c r="B110" s="11">
        <f t="shared" ca="1" si="7"/>
        <v>1</v>
      </c>
      <c r="C110" s="26">
        <f t="shared" ca="1" si="8"/>
        <v>0.21373898635938415</v>
      </c>
      <c r="J110">
        <f t="shared" ca="1" si="9"/>
        <v>1</v>
      </c>
      <c r="K110">
        <f t="shared" ca="1" si="10"/>
        <v>0</v>
      </c>
      <c r="L110" s="65">
        <v>104</v>
      </c>
      <c r="M110" s="71">
        <f t="shared" ca="1" si="6"/>
        <v>0.29193877012800507</v>
      </c>
      <c r="N110" s="65"/>
    </row>
    <row r="111" spans="1:14" x14ac:dyDescent="0.25">
      <c r="A111" s="2">
        <v>105</v>
      </c>
      <c r="B111" s="11">
        <f t="shared" ca="1" si="7"/>
        <v>1</v>
      </c>
      <c r="C111" s="26">
        <f t="shared" ca="1" si="8"/>
        <v>0.16655642826028128</v>
      </c>
      <c r="J111">
        <f t="shared" ca="1" si="9"/>
        <v>1</v>
      </c>
      <c r="K111">
        <f t="shared" ca="1" si="10"/>
        <v>0</v>
      </c>
      <c r="L111" s="65">
        <v>105</v>
      </c>
      <c r="M111" s="71">
        <f t="shared" ca="1" si="6"/>
        <v>11.63577907741289</v>
      </c>
      <c r="N111" s="65"/>
    </row>
    <row r="112" spans="1:14" x14ac:dyDescent="0.25">
      <c r="A112" s="2">
        <v>106</v>
      </c>
      <c r="B112" s="11">
        <f t="shared" ca="1" si="7"/>
        <v>1</v>
      </c>
      <c r="C112" s="26">
        <f t="shared" ca="1" si="8"/>
        <v>0.72246438571163962</v>
      </c>
      <c r="J112">
        <f t="shared" ca="1" si="9"/>
        <v>1</v>
      </c>
      <c r="K112">
        <f t="shared" ca="1" si="10"/>
        <v>0</v>
      </c>
      <c r="L112" s="65">
        <v>106</v>
      </c>
      <c r="M112" s="71">
        <f t="shared" ca="1" si="6"/>
        <v>14.245095380768428</v>
      </c>
      <c r="N112" s="65"/>
    </row>
    <row r="113" spans="1:14" x14ac:dyDescent="0.25">
      <c r="A113" s="2">
        <v>107</v>
      </c>
      <c r="B113" s="11">
        <f t="shared" ca="1" si="7"/>
        <v>1</v>
      </c>
      <c r="C113" s="26">
        <f t="shared" ca="1" si="8"/>
        <v>0.35660407508002656</v>
      </c>
      <c r="J113">
        <f t="shared" ca="1" si="9"/>
        <v>1</v>
      </c>
      <c r="K113">
        <f t="shared" ca="1" si="10"/>
        <v>0</v>
      </c>
      <c r="L113" s="65">
        <v>107</v>
      </c>
      <c r="M113" s="71">
        <f t="shared" ca="1" si="6"/>
        <v>3.5054177756368219</v>
      </c>
      <c r="N113" s="65"/>
    </row>
    <row r="114" spans="1:14" x14ac:dyDescent="0.25">
      <c r="A114" s="2">
        <v>108</v>
      </c>
      <c r="B114" s="11">
        <f t="shared" ca="1" si="7"/>
        <v>1</v>
      </c>
      <c r="C114" s="26">
        <f t="shared" ca="1" si="8"/>
        <v>0.54871566213016598</v>
      </c>
      <c r="J114">
        <f t="shared" ca="1" si="9"/>
        <v>0</v>
      </c>
      <c r="K114">
        <f t="shared" ca="1" si="10"/>
        <v>0</v>
      </c>
      <c r="L114" s="65">
        <v>108</v>
      </c>
      <c r="M114" s="71">
        <f t="shared" ca="1" si="6"/>
        <v>0.18978906252743202</v>
      </c>
      <c r="N114" s="65"/>
    </row>
    <row r="115" spans="1:14" x14ac:dyDescent="0.25">
      <c r="A115" s="2">
        <v>109</v>
      </c>
      <c r="B115" s="11">
        <f t="shared" ca="1" si="7"/>
        <v>0</v>
      </c>
      <c r="C115" s="26">
        <f t="shared" ca="1" si="8"/>
        <v>0.89641066026414906</v>
      </c>
      <c r="J115">
        <f t="shared" ca="1" si="9"/>
        <v>0</v>
      </c>
      <c r="K115">
        <f t="shared" ca="1" si="10"/>
        <v>0</v>
      </c>
      <c r="L115" s="65">
        <v>109</v>
      </c>
      <c r="M115" s="71">
        <f t="shared" ca="1" si="6"/>
        <v>0</v>
      </c>
      <c r="N115" s="65"/>
    </row>
    <row r="116" spans="1:14" x14ac:dyDescent="0.25">
      <c r="A116" s="2">
        <v>110</v>
      </c>
      <c r="B116" s="11">
        <f t="shared" ca="1" si="7"/>
        <v>1</v>
      </c>
      <c r="C116" s="26">
        <f t="shared" ca="1" si="8"/>
        <v>0.67884483086391434</v>
      </c>
      <c r="J116">
        <f t="shared" ca="1" si="9"/>
        <v>1</v>
      </c>
      <c r="K116">
        <f t="shared" ca="1" si="10"/>
        <v>0</v>
      </c>
      <c r="L116" s="65">
        <v>110</v>
      </c>
      <c r="M116" s="71">
        <f t="shared" ca="1" si="6"/>
        <v>0.29393832953651622</v>
      </c>
      <c r="N116" s="65"/>
    </row>
    <row r="117" spans="1:14" x14ac:dyDescent="0.25">
      <c r="A117" s="2">
        <v>111</v>
      </c>
      <c r="B117" s="11">
        <f t="shared" ca="1" si="7"/>
        <v>1</v>
      </c>
      <c r="C117" s="26">
        <f t="shared" ca="1" si="8"/>
        <v>1.5532294800445268E-2</v>
      </c>
      <c r="J117">
        <f t="shared" ca="1" si="9"/>
        <v>0</v>
      </c>
      <c r="K117">
        <f t="shared" ca="1" si="10"/>
        <v>0</v>
      </c>
      <c r="L117" s="65">
        <v>111</v>
      </c>
      <c r="M117" s="71">
        <f t="shared" ca="1" si="6"/>
        <v>7.3297277722939187</v>
      </c>
      <c r="N117" s="65"/>
    </row>
    <row r="118" spans="1:14" x14ac:dyDescent="0.25">
      <c r="A118" s="2">
        <v>112</v>
      </c>
      <c r="B118" s="11">
        <f t="shared" ca="1" si="7"/>
        <v>0</v>
      </c>
      <c r="C118" s="26">
        <f t="shared" ca="1" si="8"/>
        <v>0.89689606072954087</v>
      </c>
      <c r="J118">
        <f t="shared" ca="1" si="9"/>
        <v>0</v>
      </c>
      <c r="K118">
        <f t="shared" ca="1" si="10"/>
        <v>1</v>
      </c>
      <c r="L118" s="65">
        <v>112</v>
      </c>
      <c r="M118" s="71">
        <f t="shared" ca="1" si="6"/>
        <v>0</v>
      </c>
      <c r="N118" s="65"/>
    </row>
    <row r="119" spans="1:14" x14ac:dyDescent="0.25">
      <c r="A119" s="2">
        <v>113</v>
      </c>
      <c r="B119" s="11">
        <f t="shared" ca="1" si="7"/>
        <v>0</v>
      </c>
      <c r="C119" s="26">
        <f t="shared" ca="1" si="8"/>
        <v>0.96581949604604234</v>
      </c>
      <c r="J119">
        <f t="shared" ca="1" si="9"/>
        <v>0</v>
      </c>
      <c r="K119">
        <f t="shared" ca="1" si="10"/>
        <v>0</v>
      </c>
      <c r="L119" s="65">
        <v>113</v>
      </c>
      <c r="M119" s="71">
        <f t="shared" ca="1" si="6"/>
        <v>0</v>
      </c>
      <c r="N119" s="65"/>
    </row>
    <row r="120" spans="1:14" x14ac:dyDescent="0.25">
      <c r="A120" s="2">
        <v>114</v>
      </c>
      <c r="B120" s="11">
        <f t="shared" ca="1" si="7"/>
        <v>1</v>
      </c>
      <c r="C120" s="26">
        <f t="shared" ca="1" si="8"/>
        <v>0.55742008360793471</v>
      </c>
      <c r="J120">
        <f t="shared" ca="1" si="9"/>
        <v>1</v>
      </c>
      <c r="K120">
        <f t="shared" ca="1" si="10"/>
        <v>0</v>
      </c>
      <c r="L120" s="65">
        <v>114</v>
      </c>
      <c r="M120" s="71">
        <f t="shared" ca="1" si="6"/>
        <v>0.85943612876683717</v>
      </c>
      <c r="N120" s="65"/>
    </row>
    <row r="121" spans="1:14" x14ac:dyDescent="0.25">
      <c r="A121" s="2">
        <v>115</v>
      </c>
      <c r="B121" s="11">
        <f t="shared" ca="1" si="7"/>
        <v>1</v>
      </c>
      <c r="C121" s="26">
        <f t="shared" ca="1" si="8"/>
        <v>0.63860085578713677</v>
      </c>
      <c r="J121">
        <f t="shared" ca="1" si="9"/>
        <v>1</v>
      </c>
      <c r="K121">
        <f t="shared" ca="1" si="10"/>
        <v>0</v>
      </c>
      <c r="L121" s="65">
        <v>115</v>
      </c>
      <c r="M121" s="71">
        <f t="shared" ca="1" si="6"/>
        <v>1.0120003734255196</v>
      </c>
      <c r="N121" s="65"/>
    </row>
    <row r="122" spans="1:14" x14ac:dyDescent="0.25">
      <c r="A122" s="2">
        <v>116</v>
      </c>
      <c r="B122" s="11">
        <f t="shared" ca="1" si="7"/>
        <v>1</v>
      </c>
      <c r="C122" s="26">
        <f t="shared" ca="1" si="8"/>
        <v>1.5790986430280762E-3</v>
      </c>
      <c r="J122">
        <f t="shared" ca="1" si="9"/>
        <v>1</v>
      </c>
      <c r="K122">
        <f t="shared" ca="1" si="10"/>
        <v>0</v>
      </c>
      <c r="L122" s="65">
        <v>116</v>
      </c>
      <c r="M122" s="71">
        <f t="shared" ca="1" si="6"/>
        <v>0.41103596148493787</v>
      </c>
      <c r="N122" s="65"/>
    </row>
    <row r="123" spans="1:14" x14ac:dyDescent="0.25">
      <c r="A123" s="2">
        <v>117</v>
      </c>
      <c r="B123" s="11">
        <f t="shared" ca="1" si="7"/>
        <v>1</v>
      </c>
      <c r="C123" s="26">
        <f t="shared" ca="1" si="8"/>
        <v>0.36156179499797603</v>
      </c>
      <c r="J123">
        <f t="shared" ca="1" si="9"/>
        <v>1</v>
      </c>
      <c r="K123">
        <f t="shared" ca="1" si="10"/>
        <v>0</v>
      </c>
      <c r="L123" s="65">
        <v>117</v>
      </c>
      <c r="M123" s="71">
        <f t="shared" ca="1" si="6"/>
        <v>1.5276346778843506</v>
      </c>
      <c r="N123" s="65"/>
    </row>
    <row r="124" spans="1:14" x14ac:dyDescent="0.25">
      <c r="A124" s="2">
        <v>118</v>
      </c>
      <c r="B124" s="11">
        <f t="shared" ca="1" si="7"/>
        <v>1</v>
      </c>
      <c r="C124" s="26">
        <f t="shared" ca="1" si="8"/>
        <v>0.7980888927799511</v>
      </c>
      <c r="J124">
        <f t="shared" ca="1" si="9"/>
        <v>1</v>
      </c>
      <c r="K124">
        <f t="shared" ca="1" si="10"/>
        <v>0</v>
      </c>
      <c r="L124" s="65">
        <v>118</v>
      </c>
      <c r="M124" s="71">
        <f t="shared" ca="1" si="6"/>
        <v>2.8588266187275777</v>
      </c>
      <c r="N124" s="65"/>
    </row>
    <row r="125" spans="1:14" x14ac:dyDescent="0.25">
      <c r="A125" s="2">
        <v>119</v>
      </c>
      <c r="B125" s="11">
        <f t="shared" ca="1" si="7"/>
        <v>1</v>
      </c>
      <c r="C125" s="26">
        <f t="shared" ca="1" si="8"/>
        <v>0.63141231330543957</v>
      </c>
      <c r="J125">
        <f t="shared" ca="1" si="9"/>
        <v>1</v>
      </c>
      <c r="K125">
        <f t="shared" ca="1" si="10"/>
        <v>0</v>
      </c>
      <c r="L125" s="65">
        <v>119</v>
      </c>
      <c r="M125" s="71">
        <f t="shared" ca="1" si="6"/>
        <v>11.129974495446884</v>
      </c>
      <c r="N125" s="65"/>
    </row>
    <row r="126" spans="1:14" x14ac:dyDescent="0.25">
      <c r="A126" s="2">
        <v>120</v>
      </c>
      <c r="B126" s="11">
        <f t="shared" ca="1" si="7"/>
        <v>1</v>
      </c>
      <c r="C126" s="26">
        <f t="shared" ca="1" si="8"/>
        <v>0.65969782591352322</v>
      </c>
      <c r="J126">
        <f t="shared" ca="1" si="9"/>
        <v>1</v>
      </c>
      <c r="K126">
        <f t="shared" ca="1" si="10"/>
        <v>0</v>
      </c>
      <c r="L126" s="65">
        <v>120</v>
      </c>
      <c r="M126" s="71">
        <f t="shared" ca="1" si="6"/>
        <v>9.3407450941154444</v>
      </c>
      <c r="N126" s="65"/>
    </row>
    <row r="127" spans="1:14" x14ac:dyDescent="0.25">
      <c r="A127" s="2">
        <v>121</v>
      </c>
      <c r="B127" s="11">
        <f t="shared" ca="1" si="7"/>
        <v>1</v>
      </c>
      <c r="C127" s="26">
        <f t="shared" ca="1" si="8"/>
        <v>0.63597159797466696</v>
      </c>
      <c r="J127">
        <f t="shared" ca="1" si="9"/>
        <v>1</v>
      </c>
      <c r="K127">
        <f t="shared" ca="1" si="10"/>
        <v>0</v>
      </c>
      <c r="L127" s="65">
        <v>121</v>
      </c>
      <c r="M127" s="71">
        <f t="shared" ca="1" si="6"/>
        <v>1.718749780097268</v>
      </c>
      <c r="N127" s="65"/>
    </row>
    <row r="128" spans="1:14" x14ac:dyDescent="0.25">
      <c r="A128" s="2">
        <v>122</v>
      </c>
      <c r="B128" s="11">
        <f t="shared" ca="1" si="7"/>
        <v>1</v>
      </c>
      <c r="C128" s="26">
        <f t="shared" ca="1" si="8"/>
        <v>0.50000104945765622</v>
      </c>
      <c r="J128">
        <f t="shared" ca="1" si="9"/>
        <v>1</v>
      </c>
      <c r="K128">
        <f t="shared" ca="1" si="10"/>
        <v>0</v>
      </c>
      <c r="L128" s="65">
        <v>122</v>
      </c>
      <c r="M128" s="71">
        <f t="shared" ca="1" si="6"/>
        <v>1.6818826813918266</v>
      </c>
      <c r="N128" s="65"/>
    </row>
    <row r="129" spans="1:14" x14ac:dyDescent="0.25">
      <c r="A129" s="2">
        <v>123</v>
      </c>
      <c r="B129" s="11">
        <f t="shared" ca="1" si="7"/>
        <v>1</v>
      </c>
      <c r="C129" s="26">
        <f t="shared" ca="1" si="8"/>
        <v>0.17282634033887578</v>
      </c>
      <c r="J129">
        <f t="shared" ca="1" si="9"/>
        <v>1</v>
      </c>
      <c r="K129">
        <f t="shared" ca="1" si="10"/>
        <v>0</v>
      </c>
      <c r="L129" s="65">
        <v>123</v>
      </c>
      <c r="M129" s="71">
        <f t="shared" ca="1" si="6"/>
        <v>0.78182611654028145</v>
      </c>
      <c r="N129" s="65"/>
    </row>
    <row r="130" spans="1:14" x14ac:dyDescent="0.25">
      <c r="A130" s="2">
        <v>124</v>
      </c>
      <c r="B130" s="11">
        <f t="shared" ca="1" si="7"/>
        <v>1</v>
      </c>
      <c r="C130" s="26">
        <f t="shared" ca="1" si="8"/>
        <v>0.16291562862008058</v>
      </c>
      <c r="J130">
        <f t="shared" ca="1" si="9"/>
        <v>1</v>
      </c>
      <c r="K130">
        <f t="shared" ca="1" si="10"/>
        <v>0</v>
      </c>
      <c r="L130" s="65">
        <v>124</v>
      </c>
      <c r="M130" s="71">
        <f t="shared" ca="1" si="6"/>
        <v>2.3347987439371916</v>
      </c>
      <c r="N130" s="65"/>
    </row>
    <row r="131" spans="1:14" x14ac:dyDescent="0.25">
      <c r="A131" s="2">
        <v>125</v>
      </c>
      <c r="B131" s="11">
        <f t="shared" ca="1" si="7"/>
        <v>1</v>
      </c>
      <c r="C131" s="26">
        <f t="shared" ca="1" si="8"/>
        <v>0.21782357616856263</v>
      </c>
      <c r="J131">
        <f t="shared" ca="1" si="9"/>
        <v>1</v>
      </c>
      <c r="K131">
        <f t="shared" ca="1" si="10"/>
        <v>0</v>
      </c>
      <c r="L131" s="65">
        <v>125</v>
      </c>
      <c r="M131" s="71">
        <f t="shared" ca="1" si="6"/>
        <v>8.8579357713581537</v>
      </c>
      <c r="N131" s="65"/>
    </row>
    <row r="132" spans="1:14" x14ac:dyDescent="0.25">
      <c r="A132" s="2">
        <v>126</v>
      </c>
      <c r="B132" s="11">
        <f t="shared" ca="1" si="7"/>
        <v>1</v>
      </c>
      <c r="C132" s="26">
        <f t="shared" ca="1" si="8"/>
        <v>0.20522819093956124</v>
      </c>
      <c r="J132">
        <f t="shared" ca="1" si="9"/>
        <v>1</v>
      </c>
      <c r="K132">
        <f t="shared" ca="1" si="10"/>
        <v>0</v>
      </c>
      <c r="L132" s="65">
        <v>126</v>
      </c>
      <c r="M132" s="71">
        <f t="shared" ca="1" si="6"/>
        <v>4.0486898233885267</v>
      </c>
      <c r="N132" s="65"/>
    </row>
    <row r="133" spans="1:14" x14ac:dyDescent="0.25">
      <c r="A133" s="2">
        <v>127</v>
      </c>
      <c r="B133" s="11">
        <f t="shared" ca="1" si="7"/>
        <v>1</v>
      </c>
      <c r="C133" s="26">
        <f t="shared" ca="1" si="8"/>
        <v>0.46847035567787687</v>
      </c>
      <c r="J133">
        <f t="shared" ca="1" si="9"/>
        <v>1</v>
      </c>
      <c r="K133">
        <f t="shared" ca="1" si="10"/>
        <v>0</v>
      </c>
      <c r="L133" s="65">
        <v>127</v>
      </c>
      <c r="M133" s="71">
        <f t="shared" ca="1" si="6"/>
        <v>0.68214327690167098</v>
      </c>
      <c r="N133" s="65"/>
    </row>
    <row r="134" spans="1:14" x14ac:dyDescent="0.25">
      <c r="A134" s="2">
        <v>128</v>
      </c>
      <c r="B134" s="11">
        <f t="shared" ca="1" si="7"/>
        <v>1</v>
      </c>
      <c r="C134" s="26">
        <f t="shared" ca="1" si="8"/>
        <v>0.38120826165407928</v>
      </c>
      <c r="J134">
        <f t="shared" ca="1" si="9"/>
        <v>1</v>
      </c>
      <c r="K134">
        <f t="shared" ca="1" si="10"/>
        <v>0</v>
      </c>
      <c r="L134" s="65">
        <v>128</v>
      </c>
      <c r="M134" s="71">
        <f t="shared" ca="1" si="6"/>
        <v>2.6943440291580845</v>
      </c>
      <c r="N134" s="65"/>
    </row>
    <row r="135" spans="1:14" x14ac:dyDescent="0.25">
      <c r="A135" s="2">
        <v>129</v>
      </c>
      <c r="B135" s="11">
        <f t="shared" ca="1" si="7"/>
        <v>1</v>
      </c>
      <c r="C135" s="26">
        <f t="shared" ca="1" si="8"/>
        <v>0.54938786222643987</v>
      </c>
      <c r="J135">
        <f t="shared" ca="1" si="9"/>
        <v>1</v>
      </c>
      <c r="K135">
        <f t="shared" ca="1" si="10"/>
        <v>0</v>
      </c>
      <c r="L135" s="65">
        <v>129</v>
      </c>
      <c r="M135" s="71">
        <f t="shared" ref="M135:M198" ca="1" si="11">IF(B135&gt;0,-LN(1-(RAND()))/lambda,0)</f>
        <v>3.9800774381171045</v>
      </c>
      <c r="N135" s="65"/>
    </row>
    <row r="136" spans="1:14" x14ac:dyDescent="0.25">
      <c r="A136" s="2">
        <v>130</v>
      </c>
      <c r="B136" s="11">
        <f t="shared" ref="B136:B199" ca="1" si="12">IF(B135&gt;0,IF(C136&lt;pww,1,0),IF(C136&lt;pdw,1,0))</f>
        <v>1</v>
      </c>
      <c r="C136" s="26">
        <f t="shared" ref="C136:C199" ca="1" si="13">RAND()</f>
        <v>0.5804112640383815</v>
      </c>
      <c r="J136">
        <f t="shared" ref="J136:J199" ca="1" si="14">IF(AND(B136,B137),1,0)</f>
        <v>1</v>
      </c>
      <c r="K136">
        <f t="shared" ref="K136:K199" ca="1" si="15">IF(AND(NOT(B136),NOT(B137)),1,0)</f>
        <v>0</v>
      </c>
      <c r="L136" s="65">
        <v>130</v>
      </c>
      <c r="M136" s="71">
        <f t="shared" ca="1" si="11"/>
        <v>2.2045305772012984</v>
      </c>
      <c r="N136" s="65"/>
    </row>
    <row r="137" spans="1:14" x14ac:dyDescent="0.25">
      <c r="A137" s="2">
        <v>131</v>
      </c>
      <c r="B137" s="11">
        <f t="shared" ca="1" si="12"/>
        <v>1</v>
      </c>
      <c r="C137" s="26">
        <f t="shared" ca="1" si="13"/>
        <v>0.38346916129006903</v>
      </c>
      <c r="J137">
        <f t="shared" ca="1" si="14"/>
        <v>1</v>
      </c>
      <c r="K137">
        <f t="shared" ca="1" si="15"/>
        <v>0</v>
      </c>
      <c r="L137" s="65">
        <v>131</v>
      </c>
      <c r="M137" s="71">
        <f t="shared" ca="1" si="11"/>
        <v>7.7127017420750201</v>
      </c>
      <c r="N137" s="65"/>
    </row>
    <row r="138" spans="1:14" x14ac:dyDescent="0.25">
      <c r="A138" s="2">
        <v>132</v>
      </c>
      <c r="B138" s="11">
        <f t="shared" ca="1" si="12"/>
        <v>1</v>
      </c>
      <c r="C138" s="26">
        <f t="shared" ca="1" si="13"/>
        <v>0.30681745800274041</v>
      </c>
      <c r="J138">
        <f t="shared" ca="1" si="14"/>
        <v>1</v>
      </c>
      <c r="K138">
        <f t="shared" ca="1" si="15"/>
        <v>0</v>
      </c>
      <c r="L138" s="65">
        <v>132</v>
      </c>
      <c r="M138" s="71">
        <f t="shared" ca="1" si="11"/>
        <v>0.51527962494044488</v>
      </c>
      <c r="N138" s="65"/>
    </row>
    <row r="139" spans="1:14" x14ac:dyDescent="0.25">
      <c r="A139" s="2">
        <v>133</v>
      </c>
      <c r="B139" s="11">
        <f t="shared" ca="1" si="12"/>
        <v>1</v>
      </c>
      <c r="C139" s="26">
        <f t="shared" ca="1" si="13"/>
        <v>9.754240417287896E-3</v>
      </c>
      <c r="J139">
        <f t="shared" ca="1" si="14"/>
        <v>1</v>
      </c>
      <c r="K139">
        <f t="shared" ca="1" si="15"/>
        <v>0</v>
      </c>
      <c r="L139" s="65">
        <v>133</v>
      </c>
      <c r="M139" s="71">
        <f t="shared" ca="1" si="11"/>
        <v>5.5323460032592067</v>
      </c>
      <c r="N139" s="65"/>
    </row>
    <row r="140" spans="1:14" x14ac:dyDescent="0.25">
      <c r="A140" s="2">
        <v>134</v>
      </c>
      <c r="B140" s="11">
        <f t="shared" ca="1" si="12"/>
        <v>1</v>
      </c>
      <c r="C140" s="26">
        <f t="shared" ca="1" si="13"/>
        <v>0.63841223253114898</v>
      </c>
      <c r="J140">
        <f t="shared" ca="1" si="14"/>
        <v>0</v>
      </c>
      <c r="K140">
        <f t="shared" ca="1" si="15"/>
        <v>0</v>
      </c>
      <c r="L140" s="65">
        <v>134</v>
      </c>
      <c r="M140" s="71">
        <f t="shared" ca="1" si="11"/>
        <v>6.7912847422893758</v>
      </c>
      <c r="N140" s="65"/>
    </row>
    <row r="141" spans="1:14" x14ac:dyDescent="0.25">
      <c r="A141" s="2">
        <v>135</v>
      </c>
      <c r="B141" s="11">
        <f t="shared" ca="1" si="12"/>
        <v>0</v>
      </c>
      <c r="C141" s="26">
        <f t="shared" ca="1" si="13"/>
        <v>0.96045753238887288</v>
      </c>
      <c r="J141">
        <f t="shared" ca="1" si="14"/>
        <v>0</v>
      </c>
      <c r="K141">
        <f t="shared" ca="1" si="15"/>
        <v>0</v>
      </c>
      <c r="L141" s="65">
        <v>135</v>
      </c>
      <c r="M141" s="71">
        <f t="shared" ca="1" si="11"/>
        <v>0</v>
      </c>
      <c r="N141" s="65"/>
    </row>
    <row r="142" spans="1:14" x14ac:dyDescent="0.25">
      <c r="A142" s="2">
        <v>136</v>
      </c>
      <c r="B142" s="11">
        <f t="shared" ca="1" si="12"/>
        <v>1</v>
      </c>
      <c r="C142" s="26">
        <f t="shared" ca="1" si="13"/>
        <v>0.55646810419548587</v>
      </c>
      <c r="J142">
        <f t="shared" ca="1" si="14"/>
        <v>1</v>
      </c>
      <c r="K142">
        <f t="shared" ca="1" si="15"/>
        <v>0</v>
      </c>
      <c r="L142" s="65">
        <v>136</v>
      </c>
      <c r="M142" s="71">
        <f t="shared" ca="1" si="11"/>
        <v>0.91003271204380043</v>
      </c>
      <c r="N142" s="65"/>
    </row>
    <row r="143" spans="1:14" x14ac:dyDescent="0.25">
      <c r="A143" s="2">
        <v>137</v>
      </c>
      <c r="B143" s="11">
        <f t="shared" ca="1" si="12"/>
        <v>1</v>
      </c>
      <c r="C143" s="26">
        <f t="shared" ca="1" si="13"/>
        <v>0.13681803341627419</v>
      </c>
      <c r="J143">
        <f t="shared" ca="1" si="14"/>
        <v>1</v>
      </c>
      <c r="K143">
        <f t="shared" ca="1" si="15"/>
        <v>0</v>
      </c>
      <c r="L143" s="65">
        <v>137</v>
      </c>
      <c r="M143" s="71">
        <f t="shared" ca="1" si="11"/>
        <v>2.8485168716385942</v>
      </c>
      <c r="N143" s="65"/>
    </row>
    <row r="144" spans="1:14" x14ac:dyDescent="0.25">
      <c r="A144" s="2">
        <v>138</v>
      </c>
      <c r="B144" s="11">
        <f t="shared" ca="1" si="12"/>
        <v>1</v>
      </c>
      <c r="C144" s="26">
        <f t="shared" ca="1" si="13"/>
        <v>0.66396437489794313</v>
      </c>
      <c r="J144">
        <f t="shared" ca="1" si="14"/>
        <v>1</v>
      </c>
      <c r="K144">
        <f t="shared" ca="1" si="15"/>
        <v>0</v>
      </c>
      <c r="L144" s="65">
        <v>138</v>
      </c>
      <c r="M144" s="71">
        <f t="shared" ca="1" si="11"/>
        <v>1.4155167931138914</v>
      </c>
      <c r="N144" s="65"/>
    </row>
    <row r="145" spans="1:14" x14ac:dyDescent="0.25">
      <c r="A145" s="2">
        <v>139</v>
      </c>
      <c r="B145" s="11">
        <f t="shared" ca="1" si="12"/>
        <v>1</v>
      </c>
      <c r="C145" s="26">
        <f t="shared" ca="1" si="13"/>
        <v>0.11020662291675165</v>
      </c>
      <c r="J145">
        <f t="shared" ca="1" si="14"/>
        <v>1</v>
      </c>
      <c r="K145">
        <f t="shared" ca="1" si="15"/>
        <v>0</v>
      </c>
      <c r="L145" s="65">
        <v>139</v>
      </c>
      <c r="M145" s="71">
        <f t="shared" ca="1" si="11"/>
        <v>8.1150375876976053</v>
      </c>
      <c r="N145" s="65"/>
    </row>
    <row r="146" spans="1:14" x14ac:dyDescent="0.25">
      <c r="A146" s="2">
        <v>140</v>
      </c>
      <c r="B146" s="11">
        <f t="shared" ca="1" si="12"/>
        <v>1</v>
      </c>
      <c r="C146" s="26">
        <f t="shared" ca="1" si="13"/>
        <v>0.18726893798651878</v>
      </c>
      <c r="J146">
        <f t="shared" ca="1" si="14"/>
        <v>0</v>
      </c>
      <c r="K146">
        <f t="shared" ca="1" si="15"/>
        <v>0</v>
      </c>
      <c r="L146" s="65">
        <v>140</v>
      </c>
      <c r="M146" s="71">
        <f t="shared" ca="1" si="11"/>
        <v>4.4498677612214443</v>
      </c>
      <c r="N146" s="65"/>
    </row>
    <row r="147" spans="1:14" x14ac:dyDescent="0.25">
      <c r="A147" s="2">
        <v>141</v>
      </c>
      <c r="B147" s="11">
        <f t="shared" ca="1" si="12"/>
        <v>0</v>
      </c>
      <c r="C147" s="26">
        <f t="shared" ca="1" si="13"/>
        <v>0.88607539704438776</v>
      </c>
      <c r="J147">
        <f t="shared" ca="1" si="14"/>
        <v>0</v>
      </c>
      <c r="K147">
        <f t="shared" ca="1" si="15"/>
        <v>0</v>
      </c>
      <c r="L147" s="65">
        <v>141</v>
      </c>
      <c r="M147" s="71">
        <f t="shared" ca="1" si="11"/>
        <v>0</v>
      </c>
      <c r="N147" s="65"/>
    </row>
    <row r="148" spans="1:14" x14ac:dyDescent="0.25">
      <c r="A148" s="2">
        <v>142</v>
      </c>
      <c r="B148" s="11">
        <f t="shared" ca="1" si="12"/>
        <v>1</v>
      </c>
      <c r="C148" s="26">
        <f t="shared" ca="1" si="13"/>
        <v>0.51252359842393802</v>
      </c>
      <c r="J148">
        <f t="shared" ca="1" si="14"/>
        <v>1</v>
      </c>
      <c r="K148">
        <f t="shared" ca="1" si="15"/>
        <v>0</v>
      </c>
      <c r="L148" s="65">
        <v>142</v>
      </c>
      <c r="M148" s="71">
        <f t="shared" ca="1" si="11"/>
        <v>2.2501011601250225</v>
      </c>
      <c r="N148" s="65"/>
    </row>
    <row r="149" spans="1:14" x14ac:dyDescent="0.25">
      <c r="A149" s="2">
        <v>143</v>
      </c>
      <c r="B149" s="11">
        <f t="shared" ca="1" si="12"/>
        <v>1</v>
      </c>
      <c r="C149" s="26">
        <f t="shared" ca="1" si="13"/>
        <v>7.6350984286218337E-2</v>
      </c>
      <c r="J149">
        <f t="shared" ca="1" si="14"/>
        <v>1</v>
      </c>
      <c r="K149">
        <f t="shared" ca="1" si="15"/>
        <v>0</v>
      </c>
      <c r="L149" s="65">
        <v>143</v>
      </c>
      <c r="M149" s="71">
        <f t="shared" ca="1" si="11"/>
        <v>1.6533357481770554</v>
      </c>
      <c r="N149" s="65"/>
    </row>
    <row r="150" spans="1:14" x14ac:dyDescent="0.25">
      <c r="A150" s="2">
        <v>144</v>
      </c>
      <c r="B150" s="11">
        <f t="shared" ca="1" si="12"/>
        <v>1</v>
      </c>
      <c r="C150" s="26">
        <f t="shared" ca="1" si="13"/>
        <v>0.35997364996340198</v>
      </c>
      <c r="J150">
        <f t="shared" ca="1" si="14"/>
        <v>1</v>
      </c>
      <c r="K150">
        <f t="shared" ca="1" si="15"/>
        <v>0</v>
      </c>
      <c r="L150" s="65">
        <v>144</v>
      </c>
      <c r="M150" s="71">
        <f t="shared" ca="1" si="11"/>
        <v>5.4001771190198831</v>
      </c>
      <c r="N150" s="65"/>
    </row>
    <row r="151" spans="1:14" x14ac:dyDescent="0.25">
      <c r="A151" s="2">
        <v>145</v>
      </c>
      <c r="B151" s="11">
        <f t="shared" ca="1" si="12"/>
        <v>1</v>
      </c>
      <c r="C151" s="26">
        <f t="shared" ca="1" si="13"/>
        <v>0.54283666186980672</v>
      </c>
      <c r="J151">
        <f t="shared" ca="1" si="14"/>
        <v>1</v>
      </c>
      <c r="K151">
        <f t="shared" ca="1" si="15"/>
        <v>0</v>
      </c>
      <c r="L151" s="65">
        <v>145</v>
      </c>
      <c r="M151" s="71">
        <f t="shared" ca="1" si="11"/>
        <v>4.3957157750005003</v>
      </c>
      <c r="N151" s="65"/>
    </row>
    <row r="152" spans="1:14" x14ac:dyDescent="0.25">
      <c r="A152" s="2">
        <v>146</v>
      </c>
      <c r="B152" s="11">
        <f t="shared" ca="1" si="12"/>
        <v>1</v>
      </c>
      <c r="C152" s="26">
        <f t="shared" ca="1" si="13"/>
        <v>0.67274594490097417</v>
      </c>
      <c r="J152">
        <f t="shared" ca="1" si="14"/>
        <v>1</v>
      </c>
      <c r="K152">
        <f t="shared" ca="1" si="15"/>
        <v>0</v>
      </c>
      <c r="L152" s="65">
        <v>146</v>
      </c>
      <c r="M152" s="71">
        <f t="shared" ca="1" si="11"/>
        <v>3.9010540859471332</v>
      </c>
      <c r="N152" s="65"/>
    </row>
    <row r="153" spans="1:14" x14ac:dyDescent="0.25">
      <c r="A153" s="2">
        <v>147</v>
      </c>
      <c r="B153" s="11">
        <f t="shared" ca="1" si="12"/>
        <v>1</v>
      </c>
      <c r="C153" s="26">
        <f t="shared" ca="1" si="13"/>
        <v>0.1033675171635976</v>
      </c>
      <c r="J153">
        <f t="shared" ca="1" si="14"/>
        <v>1</v>
      </c>
      <c r="K153">
        <f t="shared" ca="1" si="15"/>
        <v>0</v>
      </c>
      <c r="L153" s="65">
        <v>147</v>
      </c>
      <c r="M153" s="71">
        <f t="shared" ca="1" si="11"/>
        <v>2.2487682747224773</v>
      </c>
      <c r="N153" s="65"/>
    </row>
    <row r="154" spans="1:14" x14ac:dyDescent="0.25">
      <c r="A154" s="2">
        <v>148</v>
      </c>
      <c r="B154" s="11">
        <f t="shared" ca="1" si="12"/>
        <v>1</v>
      </c>
      <c r="C154" s="26">
        <f t="shared" ca="1" si="13"/>
        <v>0.23382466791650014</v>
      </c>
      <c r="J154">
        <f t="shared" ca="1" si="14"/>
        <v>1</v>
      </c>
      <c r="K154">
        <f t="shared" ca="1" si="15"/>
        <v>0</v>
      </c>
      <c r="L154" s="65">
        <v>148</v>
      </c>
      <c r="M154" s="71">
        <f t="shared" ca="1" si="11"/>
        <v>1.5114523499359087</v>
      </c>
      <c r="N154" s="65"/>
    </row>
    <row r="155" spans="1:14" x14ac:dyDescent="0.25">
      <c r="A155" s="2">
        <v>149</v>
      </c>
      <c r="B155" s="11">
        <f t="shared" ca="1" si="12"/>
        <v>1</v>
      </c>
      <c r="C155" s="26">
        <f t="shared" ca="1" si="13"/>
        <v>0.34934622232733381</v>
      </c>
      <c r="J155">
        <f t="shared" ca="1" si="14"/>
        <v>1</v>
      </c>
      <c r="K155">
        <f t="shared" ca="1" si="15"/>
        <v>0</v>
      </c>
      <c r="L155" s="65">
        <v>149</v>
      </c>
      <c r="M155" s="71">
        <f t="shared" ca="1" si="11"/>
        <v>5.3421234771263251</v>
      </c>
      <c r="N155" s="65"/>
    </row>
    <row r="156" spans="1:14" x14ac:dyDescent="0.25">
      <c r="A156" s="2">
        <v>150</v>
      </c>
      <c r="B156" s="11">
        <f t="shared" ca="1" si="12"/>
        <v>1</v>
      </c>
      <c r="C156" s="26">
        <f t="shared" ca="1" si="13"/>
        <v>0.491529877996144</v>
      </c>
      <c r="J156">
        <f t="shared" ca="1" si="14"/>
        <v>1</v>
      </c>
      <c r="K156">
        <f t="shared" ca="1" si="15"/>
        <v>0</v>
      </c>
      <c r="L156" s="65">
        <v>150</v>
      </c>
      <c r="M156" s="71">
        <f t="shared" ca="1" si="11"/>
        <v>0.31444086448415126</v>
      </c>
      <c r="N156" s="65"/>
    </row>
    <row r="157" spans="1:14" x14ac:dyDescent="0.25">
      <c r="A157" s="2">
        <v>151</v>
      </c>
      <c r="B157" s="11">
        <f t="shared" ca="1" si="12"/>
        <v>1</v>
      </c>
      <c r="C157" s="26">
        <f t="shared" ca="1" si="13"/>
        <v>0.24158668310276332</v>
      </c>
      <c r="J157">
        <f t="shared" ca="1" si="14"/>
        <v>0</v>
      </c>
      <c r="K157">
        <f t="shared" ca="1" si="15"/>
        <v>0</v>
      </c>
      <c r="L157" s="65">
        <v>151</v>
      </c>
      <c r="M157" s="71">
        <f t="shared" ca="1" si="11"/>
        <v>1.9307457113067492</v>
      </c>
      <c r="N157" s="65"/>
    </row>
    <row r="158" spans="1:14" x14ac:dyDescent="0.25">
      <c r="A158" s="2">
        <v>152</v>
      </c>
      <c r="B158" s="11">
        <f t="shared" ca="1" si="12"/>
        <v>0</v>
      </c>
      <c r="C158" s="26">
        <f t="shared" ca="1" si="13"/>
        <v>0.81621956998949818</v>
      </c>
      <c r="J158">
        <f t="shared" ca="1" si="14"/>
        <v>0</v>
      </c>
      <c r="K158">
        <f t="shared" ca="1" si="15"/>
        <v>0</v>
      </c>
      <c r="L158" s="65">
        <v>152</v>
      </c>
      <c r="M158" s="71">
        <f t="shared" ca="1" si="11"/>
        <v>0</v>
      </c>
      <c r="N158" s="65"/>
    </row>
    <row r="159" spans="1:14" x14ac:dyDescent="0.25">
      <c r="A159" s="2">
        <v>153</v>
      </c>
      <c r="B159" s="11">
        <f t="shared" ca="1" si="12"/>
        <v>1</v>
      </c>
      <c r="C159" s="26">
        <f t="shared" ca="1" si="13"/>
        <v>0.31164989280807975</v>
      </c>
      <c r="J159">
        <f t="shared" ca="1" si="14"/>
        <v>0</v>
      </c>
      <c r="K159">
        <f t="shared" ca="1" si="15"/>
        <v>0</v>
      </c>
      <c r="L159" s="65">
        <v>153</v>
      </c>
      <c r="M159" s="71">
        <f t="shared" ca="1" si="11"/>
        <v>13.017130466626714</v>
      </c>
      <c r="N159" s="65"/>
    </row>
    <row r="160" spans="1:14" x14ac:dyDescent="0.25">
      <c r="A160" s="2">
        <v>154</v>
      </c>
      <c r="B160" s="11">
        <f t="shared" ca="1" si="12"/>
        <v>0</v>
      </c>
      <c r="C160" s="26">
        <f t="shared" ca="1" si="13"/>
        <v>0.9129280161657769</v>
      </c>
      <c r="J160">
        <f t="shared" ca="1" si="14"/>
        <v>0</v>
      </c>
      <c r="K160">
        <f t="shared" ca="1" si="15"/>
        <v>0</v>
      </c>
      <c r="L160" s="65">
        <v>154</v>
      </c>
      <c r="M160" s="71">
        <f t="shared" ca="1" si="11"/>
        <v>0</v>
      </c>
      <c r="N160" s="65"/>
    </row>
    <row r="161" spans="1:14" x14ac:dyDescent="0.25">
      <c r="A161" s="2">
        <v>155</v>
      </c>
      <c r="B161" s="11">
        <f t="shared" ca="1" si="12"/>
        <v>1</v>
      </c>
      <c r="C161" s="26">
        <f t="shared" ca="1" si="13"/>
        <v>0.13593502661469881</v>
      </c>
      <c r="J161">
        <f t="shared" ca="1" si="14"/>
        <v>0</v>
      </c>
      <c r="K161">
        <f t="shared" ca="1" si="15"/>
        <v>0</v>
      </c>
      <c r="L161" s="65">
        <v>155</v>
      </c>
      <c r="M161" s="71">
        <f t="shared" ca="1" si="11"/>
        <v>1.2773206494783038</v>
      </c>
      <c r="N161" s="65"/>
    </row>
    <row r="162" spans="1:14" x14ac:dyDescent="0.25">
      <c r="A162" s="2">
        <v>156</v>
      </c>
      <c r="B162" s="11">
        <f t="shared" ca="1" si="12"/>
        <v>0</v>
      </c>
      <c r="C162" s="26">
        <f t="shared" ca="1" si="13"/>
        <v>0.83636394246282419</v>
      </c>
      <c r="J162">
        <f t="shared" ca="1" si="14"/>
        <v>0</v>
      </c>
      <c r="K162">
        <f t="shared" ca="1" si="15"/>
        <v>0</v>
      </c>
      <c r="L162" s="65">
        <v>156</v>
      </c>
      <c r="M162" s="71">
        <f t="shared" ca="1" si="11"/>
        <v>0</v>
      </c>
      <c r="N162" s="65"/>
    </row>
    <row r="163" spans="1:14" x14ac:dyDescent="0.25">
      <c r="A163" s="2">
        <v>157</v>
      </c>
      <c r="B163" s="11">
        <f t="shared" ca="1" si="12"/>
        <v>1</v>
      </c>
      <c r="C163" s="26">
        <f t="shared" ca="1" si="13"/>
        <v>6.7906827083216603E-2</v>
      </c>
      <c r="J163">
        <f t="shared" ca="1" si="14"/>
        <v>1</v>
      </c>
      <c r="K163">
        <f t="shared" ca="1" si="15"/>
        <v>0</v>
      </c>
      <c r="L163" s="65">
        <v>157</v>
      </c>
      <c r="M163" s="71">
        <f t="shared" ca="1" si="11"/>
        <v>0.53542693207792369</v>
      </c>
      <c r="N163" s="65"/>
    </row>
    <row r="164" spans="1:14" x14ac:dyDescent="0.25">
      <c r="A164" s="2">
        <v>158</v>
      </c>
      <c r="B164" s="11">
        <f t="shared" ca="1" si="12"/>
        <v>1</v>
      </c>
      <c r="C164" s="26">
        <f t="shared" ca="1" si="13"/>
        <v>0.19282645384083319</v>
      </c>
      <c r="J164">
        <f t="shared" ca="1" si="14"/>
        <v>1</v>
      </c>
      <c r="K164">
        <f t="shared" ca="1" si="15"/>
        <v>0</v>
      </c>
      <c r="L164" s="65">
        <v>158</v>
      </c>
      <c r="M164" s="71">
        <f t="shared" ca="1" si="11"/>
        <v>2.073809585291039</v>
      </c>
      <c r="N164" s="65"/>
    </row>
    <row r="165" spans="1:14" x14ac:dyDescent="0.25">
      <c r="A165" s="2">
        <v>159</v>
      </c>
      <c r="B165" s="11">
        <f t="shared" ca="1" si="12"/>
        <v>1</v>
      </c>
      <c r="C165" s="26">
        <f t="shared" ca="1" si="13"/>
        <v>0.36986218326328002</v>
      </c>
      <c r="J165">
        <f t="shared" ca="1" si="14"/>
        <v>0</v>
      </c>
      <c r="K165">
        <f t="shared" ca="1" si="15"/>
        <v>0</v>
      </c>
      <c r="L165" s="65">
        <v>159</v>
      </c>
      <c r="M165" s="71">
        <f t="shared" ca="1" si="11"/>
        <v>3.5316345690008935</v>
      </c>
      <c r="N165" s="65"/>
    </row>
    <row r="166" spans="1:14" x14ac:dyDescent="0.25">
      <c r="A166" s="2">
        <v>160</v>
      </c>
      <c r="B166" s="11">
        <f t="shared" ca="1" si="12"/>
        <v>0</v>
      </c>
      <c r="C166" s="26">
        <f t="shared" ca="1" si="13"/>
        <v>0.88586453052171121</v>
      </c>
      <c r="J166">
        <f t="shared" ca="1" si="14"/>
        <v>0</v>
      </c>
      <c r="K166">
        <f t="shared" ca="1" si="15"/>
        <v>1</v>
      </c>
      <c r="L166" s="65">
        <v>160</v>
      </c>
      <c r="M166" s="71">
        <f t="shared" ca="1" si="11"/>
        <v>0</v>
      </c>
      <c r="N166" s="65"/>
    </row>
    <row r="167" spans="1:14" x14ac:dyDescent="0.25">
      <c r="A167" s="2">
        <v>161</v>
      </c>
      <c r="B167" s="11">
        <f t="shared" ca="1" si="12"/>
        <v>0</v>
      </c>
      <c r="C167" s="26">
        <f t="shared" ca="1" si="13"/>
        <v>0.86933500923571583</v>
      </c>
      <c r="J167">
        <f t="shared" ca="1" si="14"/>
        <v>0</v>
      </c>
      <c r="K167">
        <f t="shared" ca="1" si="15"/>
        <v>1</v>
      </c>
      <c r="L167" s="65">
        <v>161</v>
      </c>
      <c r="M167" s="71">
        <f t="shared" ca="1" si="11"/>
        <v>0</v>
      </c>
      <c r="N167" s="65"/>
    </row>
    <row r="168" spans="1:14" x14ac:dyDescent="0.25">
      <c r="A168" s="2">
        <v>162</v>
      </c>
      <c r="B168" s="11">
        <f t="shared" ca="1" si="12"/>
        <v>0</v>
      </c>
      <c r="C168" s="26">
        <f t="shared" ca="1" si="13"/>
        <v>0.96293172881092337</v>
      </c>
      <c r="J168">
        <f t="shared" ca="1" si="14"/>
        <v>0</v>
      </c>
      <c r="K168">
        <f t="shared" ca="1" si="15"/>
        <v>0</v>
      </c>
      <c r="L168" s="65">
        <v>162</v>
      </c>
      <c r="M168" s="71">
        <f t="shared" ca="1" si="11"/>
        <v>0</v>
      </c>
      <c r="N168" s="65"/>
    </row>
    <row r="169" spans="1:14" x14ac:dyDescent="0.25">
      <c r="A169" s="2">
        <v>163</v>
      </c>
      <c r="B169" s="11">
        <f t="shared" ca="1" si="12"/>
        <v>1</v>
      </c>
      <c r="C169" s="26">
        <f t="shared" ca="1" si="13"/>
        <v>0.41946992221371826</v>
      </c>
      <c r="J169">
        <f t="shared" ca="1" si="14"/>
        <v>1</v>
      </c>
      <c r="K169">
        <f t="shared" ca="1" si="15"/>
        <v>0</v>
      </c>
      <c r="L169" s="65">
        <v>163</v>
      </c>
      <c r="M169" s="71">
        <f t="shared" ca="1" si="11"/>
        <v>6.1588632511766219</v>
      </c>
      <c r="N169" s="65"/>
    </row>
    <row r="170" spans="1:14" x14ac:dyDescent="0.25">
      <c r="A170" s="2">
        <v>164</v>
      </c>
      <c r="B170" s="11">
        <f t="shared" ca="1" si="12"/>
        <v>1</v>
      </c>
      <c r="C170" s="26">
        <f t="shared" ca="1" si="13"/>
        <v>0.74459710123427003</v>
      </c>
      <c r="J170">
        <f t="shared" ca="1" si="14"/>
        <v>1</v>
      </c>
      <c r="K170">
        <f t="shared" ca="1" si="15"/>
        <v>0</v>
      </c>
      <c r="L170" s="65">
        <v>164</v>
      </c>
      <c r="M170" s="71">
        <f t="shared" ca="1" si="11"/>
        <v>6.6035559171554983</v>
      </c>
      <c r="N170" s="65"/>
    </row>
    <row r="171" spans="1:14" x14ac:dyDescent="0.25">
      <c r="A171" s="2">
        <v>165</v>
      </c>
      <c r="B171" s="11">
        <f t="shared" ca="1" si="12"/>
        <v>1</v>
      </c>
      <c r="C171" s="26">
        <f t="shared" ca="1" si="13"/>
        <v>0.58206078559243868</v>
      </c>
      <c r="J171">
        <f t="shared" ca="1" si="14"/>
        <v>1</v>
      </c>
      <c r="K171">
        <f t="shared" ca="1" si="15"/>
        <v>0</v>
      </c>
      <c r="L171" s="65">
        <v>165</v>
      </c>
      <c r="M171" s="71">
        <f t="shared" ca="1" si="11"/>
        <v>5.1850820849843062</v>
      </c>
      <c r="N171" s="65"/>
    </row>
    <row r="172" spans="1:14" x14ac:dyDescent="0.25">
      <c r="A172" s="2">
        <v>166</v>
      </c>
      <c r="B172" s="11">
        <f t="shared" ca="1" si="12"/>
        <v>1</v>
      </c>
      <c r="C172" s="26">
        <f t="shared" ca="1" si="13"/>
        <v>0.7313660180960927</v>
      </c>
      <c r="J172">
        <f t="shared" ca="1" si="14"/>
        <v>1</v>
      </c>
      <c r="K172">
        <f t="shared" ca="1" si="15"/>
        <v>0</v>
      </c>
      <c r="L172" s="65">
        <v>166</v>
      </c>
      <c r="M172" s="71">
        <f t="shared" ca="1" si="11"/>
        <v>5.0504936278710248</v>
      </c>
      <c r="N172" s="65"/>
    </row>
    <row r="173" spans="1:14" x14ac:dyDescent="0.25">
      <c r="A173" s="2">
        <v>167</v>
      </c>
      <c r="B173" s="11">
        <f t="shared" ca="1" si="12"/>
        <v>1</v>
      </c>
      <c r="C173" s="26">
        <f t="shared" ca="1" si="13"/>
        <v>8.2932684185730521E-2</v>
      </c>
      <c r="J173">
        <f t="shared" ca="1" si="14"/>
        <v>1</v>
      </c>
      <c r="K173">
        <f t="shared" ca="1" si="15"/>
        <v>0</v>
      </c>
      <c r="L173" s="65">
        <v>167</v>
      </c>
      <c r="M173" s="71">
        <f t="shared" ca="1" si="11"/>
        <v>7.4412475844943131</v>
      </c>
      <c r="N173" s="65"/>
    </row>
    <row r="174" spans="1:14" x14ac:dyDescent="0.25">
      <c r="A174" s="2">
        <v>168</v>
      </c>
      <c r="B174" s="11">
        <f t="shared" ca="1" si="12"/>
        <v>1</v>
      </c>
      <c r="C174" s="26">
        <f t="shared" ca="1" si="13"/>
        <v>5.828192762433404E-2</v>
      </c>
      <c r="J174">
        <f t="shared" ca="1" si="14"/>
        <v>0</v>
      </c>
      <c r="K174">
        <f t="shared" ca="1" si="15"/>
        <v>0</v>
      </c>
      <c r="L174" s="65">
        <v>168</v>
      </c>
      <c r="M174" s="71">
        <f t="shared" ca="1" si="11"/>
        <v>2.7156405752251986</v>
      </c>
      <c r="N174" s="65"/>
    </row>
    <row r="175" spans="1:14" x14ac:dyDescent="0.25">
      <c r="A175" s="2">
        <v>169</v>
      </c>
      <c r="B175" s="11">
        <f t="shared" ca="1" si="12"/>
        <v>0</v>
      </c>
      <c r="C175" s="26">
        <f t="shared" ca="1" si="13"/>
        <v>0.85587999876220133</v>
      </c>
      <c r="J175">
        <f t="shared" ca="1" si="14"/>
        <v>0</v>
      </c>
      <c r="K175">
        <f t="shared" ca="1" si="15"/>
        <v>0</v>
      </c>
      <c r="L175" s="65">
        <v>169</v>
      </c>
      <c r="M175" s="71">
        <f t="shared" ca="1" si="11"/>
        <v>0</v>
      </c>
      <c r="N175" s="65"/>
    </row>
    <row r="176" spans="1:14" x14ac:dyDescent="0.25">
      <c r="A176" s="2">
        <v>170</v>
      </c>
      <c r="B176" s="11">
        <f t="shared" ca="1" si="12"/>
        <v>1</v>
      </c>
      <c r="C176" s="26">
        <f t="shared" ca="1" si="13"/>
        <v>0.41434322752905606</v>
      </c>
      <c r="J176">
        <f t="shared" ca="1" si="14"/>
        <v>1</v>
      </c>
      <c r="K176">
        <f t="shared" ca="1" si="15"/>
        <v>0</v>
      </c>
      <c r="L176" s="65">
        <v>170</v>
      </c>
      <c r="M176" s="71">
        <f t="shared" ca="1" si="11"/>
        <v>3.7929427231295052</v>
      </c>
      <c r="N176" s="65"/>
    </row>
    <row r="177" spans="1:14" x14ac:dyDescent="0.25">
      <c r="A177" s="2">
        <v>171</v>
      </c>
      <c r="B177" s="11">
        <f t="shared" ca="1" si="12"/>
        <v>1</v>
      </c>
      <c r="C177" s="26">
        <f t="shared" ca="1" si="13"/>
        <v>0.52677083928534096</v>
      </c>
      <c r="J177">
        <f t="shared" ca="1" si="14"/>
        <v>1</v>
      </c>
      <c r="K177">
        <f t="shared" ca="1" si="15"/>
        <v>0</v>
      </c>
      <c r="L177" s="65">
        <v>171</v>
      </c>
      <c r="M177" s="71">
        <f t="shared" ca="1" si="11"/>
        <v>5.9509400495406348</v>
      </c>
      <c r="N177" s="65"/>
    </row>
    <row r="178" spans="1:14" x14ac:dyDescent="0.25">
      <c r="A178" s="2">
        <v>172</v>
      </c>
      <c r="B178" s="11">
        <f t="shared" ca="1" si="12"/>
        <v>1</v>
      </c>
      <c r="C178" s="26">
        <f t="shared" ca="1" si="13"/>
        <v>0.45043832578930798</v>
      </c>
      <c r="J178">
        <f t="shared" ca="1" si="14"/>
        <v>0</v>
      </c>
      <c r="K178">
        <f t="shared" ca="1" si="15"/>
        <v>0</v>
      </c>
      <c r="L178" s="65">
        <v>172</v>
      </c>
      <c r="M178" s="71">
        <f t="shared" ca="1" si="11"/>
        <v>3.1522673620054076</v>
      </c>
      <c r="N178" s="65"/>
    </row>
    <row r="179" spans="1:14" x14ac:dyDescent="0.25">
      <c r="A179" s="2">
        <v>173</v>
      </c>
      <c r="B179" s="11">
        <f t="shared" ca="1" si="12"/>
        <v>0</v>
      </c>
      <c r="C179" s="26">
        <f t="shared" ca="1" si="13"/>
        <v>0.80790702221926725</v>
      </c>
      <c r="J179">
        <f t="shared" ca="1" si="14"/>
        <v>0</v>
      </c>
      <c r="K179">
        <f t="shared" ca="1" si="15"/>
        <v>0</v>
      </c>
      <c r="L179" s="65">
        <v>173</v>
      </c>
      <c r="M179" s="71">
        <f t="shared" ca="1" si="11"/>
        <v>0</v>
      </c>
      <c r="N179" s="65"/>
    </row>
    <row r="180" spans="1:14" x14ac:dyDescent="0.25">
      <c r="A180" s="2">
        <v>174</v>
      </c>
      <c r="B180" s="11">
        <f t="shared" ca="1" si="12"/>
        <v>1</v>
      </c>
      <c r="C180" s="26">
        <f t="shared" ca="1" si="13"/>
        <v>0.36445710737558823</v>
      </c>
      <c r="J180">
        <f t="shared" ca="1" si="14"/>
        <v>1</v>
      </c>
      <c r="K180">
        <f t="shared" ca="1" si="15"/>
        <v>0</v>
      </c>
      <c r="L180" s="65">
        <v>174</v>
      </c>
      <c r="M180" s="71">
        <f t="shared" ca="1" si="11"/>
        <v>0.38623287656271377</v>
      </c>
      <c r="N180" s="65"/>
    </row>
    <row r="181" spans="1:14" x14ac:dyDescent="0.25">
      <c r="A181" s="2">
        <v>175</v>
      </c>
      <c r="B181" s="11">
        <f t="shared" ca="1" si="12"/>
        <v>1</v>
      </c>
      <c r="C181" s="26">
        <f t="shared" ca="1" si="13"/>
        <v>0.70217160560094616</v>
      </c>
      <c r="J181">
        <f t="shared" ca="1" si="14"/>
        <v>1</v>
      </c>
      <c r="K181">
        <f t="shared" ca="1" si="15"/>
        <v>0</v>
      </c>
      <c r="L181" s="65">
        <v>175</v>
      </c>
      <c r="M181" s="71">
        <f t="shared" ca="1" si="11"/>
        <v>8.3629695825095478</v>
      </c>
      <c r="N181" s="65"/>
    </row>
    <row r="182" spans="1:14" x14ac:dyDescent="0.25">
      <c r="A182" s="2">
        <v>176</v>
      </c>
      <c r="B182" s="11">
        <f t="shared" ca="1" si="12"/>
        <v>1</v>
      </c>
      <c r="C182" s="26">
        <f t="shared" ca="1" si="13"/>
        <v>0.73230708560083624</v>
      </c>
      <c r="J182">
        <f t="shared" ca="1" si="14"/>
        <v>1</v>
      </c>
      <c r="K182">
        <f t="shared" ca="1" si="15"/>
        <v>0</v>
      </c>
      <c r="L182" s="65">
        <v>176</v>
      </c>
      <c r="M182" s="71">
        <f t="shared" ca="1" si="11"/>
        <v>1.4143256985016508</v>
      </c>
      <c r="N182" s="65"/>
    </row>
    <row r="183" spans="1:14" x14ac:dyDescent="0.25">
      <c r="A183" s="2">
        <v>177</v>
      </c>
      <c r="B183" s="11">
        <f t="shared" ca="1" si="12"/>
        <v>1</v>
      </c>
      <c r="C183" s="26">
        <f t="shared" ca="1" si="13"/>
        <v>0.43908328829962595</v>
      </c>
      <c r="J183">
        <f t="shared" ca="1" si="14"/>
        <v>1</v>
      </c>
      <c r="K183">
        <f t="shared" ca="1" si="15"/>
        <v>0</v>
      </c>
      <c r="L183" s="65">
        <v>177</v>
      </c>
      <c r="M183" s="71">
        <f t="shared" ca="1" si="11"/>
        <v>10.937172968735267</v>
      </c>
      <c r="N183" s="65"/>
    </row>
    <row r="184" spans="1:14" x14ac:dyDescent="0.25">
      <c r="A184" s="2">
        <v>178</v>
      </c>
      <c r="B184" s="11">
        <f t="shared" ca="1" si="12"/>
        <v>1</v>
      </c>
      <c r="C184" s="26">
        <f t="shared" ca="1" si="13"/>
        <v>0.20256928245267103</v>
      </c>
      <c r="J184">
        <f t="shared" ca="1" si="14"/>
        <v>1</v>
      </c>
      <c r="K184">
        <f t="shared" ca="1" si="15"/>
        <v>0</v>
      </c>
      <c r="L184" s="65">
        <v>178</v>
      </c>
      <c r="M184" s="71">
        <f t="shared" ca="1" si="11"/>
        <v>0.65317402942004776</v>
      </c>
      <c r="N184" s="65"/>
    </row>
    <row r="185" spans="1:14" x14ac:dyDescent="0.25">
      <c r="A185" s="2">
        <v>179</v>
      </c>
      <c r="B185" s="11">
        <f t="shared" ca="1" si="12"/>
        <v>1</v>
      </c>
      <c r="C185" s="26">
        <f t="shared" ca="1" si="13"/>
        <v>0.23061895106044594</v>
      </c>
      <c r="J185">
        <f t="shared" ca="1" si="14"/>
        <v>1</v>
      </c>
      <c r="K185">
        <f t="shared" ca="1" si="15"/>
        <v>0</v>
      </c>
      <c r="L185" s="65">
        <v>179</v>
      </c>
      <c r="M185" s="71">
        <f t="shared" ca="1" si="11"/>
        <v>4.1586864484325607</v>
      </c>
      <c r="N185" s="65"/>
    </row>
    <row r="186" spans="1:14" x14ac:dyDescent="0.25">
      <c r="A186" s="2">
        <v>180</v>
      </c>
      <c r="B186" s="11">
        <f t="shared" ca="1" si="12"/>
        <v>1</v>
      </c>
      <c r="C186" s="26">
        <f t="shared" ca="1" si="13"/>
        <v>0.34175368777249437</v>
      </c>
      <c r="J186">
        <f t="shared" ca="1" si="14"/>
        <v>1</v>
      </c>
      <c r="K186">
        <f t="shared" ca="1" si="15"/>
        <v>0</v>
      </c>
      <c r="L186" s="65">
        <v>180</v>
      </c>
      <c r="M186" s="71">
        <f t="shared" ca="1" si="11"/>
        <v>1.626902435880788</v>
      </c>
      <c r="N186" s="65"/>
    </row>
    <row r="187" spans="1:14" x14ac:dyDescent="0.25">
      <c r="A187" s="2">
        <v>181</v>
      </c>
      <c r="B187" s="11">
        <f t="shared" ca="1" si="12"/>
        <v>1</v>
      </c>
      <c r="C187" s="26">
        <f t="shared" ca="1" si="13"/>
        <v>0.21451910697863352</v>
      </c>
      <c r="J187">
        <f t="shared" ca="1" si="14"/>
        <v>1</v>
      </c>
      <c r="K187">
        <f t="shared" ca="1" si="15"/>
        <v>0</v>
      </c>
      <c r="L187" s="65">
        <v>181</v>
      </c>
      <c r="M187" s="71">
        <f t="shared" ca="1" si="11"/>
        <v>2.3028654276050204</v>
      </c>
      <c r="N187" s="65"/>
    </row>
    <row r="188" spans="1:14" x14ac:dyDescent="0.25">
      <c r="A188" s="2">
        <v>182</v>
      </c>
      <c r="B188" s="11">
        <f t="shared" ca="1" si="12"/>
        <v>1</v>
      </c>
      <c r="C188" s="26">
        <f t="shared" ca="1" si="13"/>
        <v>0.22701549543038668</v>
      </c>
      <c r="J188">
        <f t="shared" ca="1" si="14"/>
        <v>1</v>
      </c>
      <c r="K188">
        <f t="shared" ca="1" si="15"/>
        <v>0</v>
      </c>
      <c r="L188" s="65">
        <v>182</v>
      </c>
      <c r="M188" s="71">
        <f t="shared" ca="1" si="11"/>
        <v>2.1879693425800886</v>
      </c>
      <c r="N188" s="65"/>
    </row>
    <row r="189" spans="1:14" x14ac:dyDescent="0.25">
      <c r="A189" s="2">
        <v>183</v>
      </c>
      <c r="B189" s="11">
        <f t="shared" ca="1" si="12"/>
        <v>1</v>
      </c>
      <c r="C189" s="26">
        <f t="shared" ca="1" si="13"/>
        <v>1.7756794910707363E-2</v>
      </c>
      <c r="J189">
        <f t="shared" ca="1" si="14"/>
        <v>1</v>
      </c>
      <c r="K189">
        <f t="shared" ca="1" si="15"/>
        <v>0</v>
      </c>
      <c r="L189" s="65">
        <v>183</v>
      </c>
      <c r="M189" s="71">
        <f t="shared" ca="1" si="11"/>
        <v>3.8709706714045344</v>
      </c>
      <c r="N189" s="65"/>
    </row>
    <row r="190" spans="1:14" x14ac:dyDescent="0.25">
      <c r="A190" s="2">
        <v>184</v>
      </c>
      <c r="B190" s="11">
        <f t="shared" ca="1" si="12"/>
        <v>1</v>
      </c>
      <c r="C190" s="26">
        <f t="shared" ca="1" si="13"/>
        <v>6.5894606414138912E-2</v>
      </c>
      <c r="J190">
        <f t="shared" ca="1" si="14"/>
        <v>1</v>
      </c>
      <c r="K190">
        <f t="shared" ca="1" si="15"/>
        <v>0</v>
      </c>
      <c r="L190" s="65">
        <v>184</v>
      </c>
      <c r="M190" s="71">
        <f t="shared" ca="1" si="11"/>
        <v>1.0280165925962108</v>
      </c>
      <c r="N190" s="65"/>
    </row>
    <row r="191" spans="1:14" x14ac:dyDescent="0.25">
      <c r="A191" s="2">
        <v>185</v>
      </c>
      <c r="B191" s="11">
        <f t="shared" ca="1" si="12"/>
        <v>1</v>
      </c>
      <c r="C191" s="26">
        <f t="shared" ca="1" si="13"/>
        <v>9.2153454131792101E-2</v>
      </c>
      <c r="J191">
        <f t="shared" ca="1" si="14"/>
        <v>1</v>
      </c>
      <c r="K191">
        <f t="shared" ca="1" si="15"/>
        <v>0</v>
      </c>
      <c r="L191" s="65">
        <v>185</v>
      </c>
      <c r="M191" s="71">
        <f t="shared" ca="1" si="11"/>
        <v>11.549102433433411</v>
      </c>
      <c r="N191" s="65"/>
    </row>
    <row r="192" spans="1:14" x14ac:dyDescent="0.25">
      <c r="A192" s="2">
        <v>186</v>
      </c>
      <c r="B192" s="11">
        <f t="shared" ca="1" si="12"/>
        <v>1</v>
      </c>
      <c r="C192" s="26">
        <f t="shared" ca="1" si="13"/>
        <v>0.41391169353056756</v>
      </c>
      <c r="J192">
        <f t="shared" ca="1" si="14"/>
        <v>0</v>
      </c>
      <c r="K192">
        <f t="shared" ca="1" si="15"/>
        <v>0</v>
      </c>
      <c r="L192" s="65">
        <v>186</v>
      </c>
      <c r="M192" s="71">
        <f t="shared" ca="1" si="11"/>
        <v>3.5418402867043408</v>
      </c>
      <c r="N192" s="65"/>
    </row>
    <row r="193" spans="1:14" x14ac:dyDescent="0.25">
      <c r="A193" s="2">
        <v>187</v>
      </c>
      <c r="B193" s="11">
        <f t="shared" ca="1" si="12"/>
        <v>0</v>
      </c>
      <c r="C193" s="26">
        <f t="shared" ca="1" si="13"/>
        <v>0.88650080043253809</v>
      </c>
      <c r="J193">
        <f t="shared" ca="1" si="14"/>
        <v>0</v>
      </c>
      <c r="K193">
        <f t="shared" ca="1" si="15"/>
        <v>1</v>
      </c>
      <c r="L193" s="65">
        <v>187</v>
      </c>
      <c r="M193" s="71">
        <f t="shared" ca="1" si="11"/>
        <v>0</v>
      </c>
      <c r="N193" s="65"/>
    </row>
    <row r="194" spans="1:14" x14ac:dyDescent="0.25">
      <c r="A194" s="2">
        <v>188</v>
      </c>
      <c r="B194" s="11">
        <f t="shared" ca="1" si="12"/>
        <v>0</v>
      </c>
      <c r="C194" s="26">
        <f t="shared" ca="1" si="13"/>
        <v>0.83218741143811525</v>
      </c>
      <c r="J194">
        <f t="shared" ca="1" si="14"/>
        <v>0</v>
      </c>
      <c r="K194">
        <f t="shared" ca="1" si="15"/>
        <v>0</v>
      </c>
      <c r="L194" s="65">
        <v>188</v>
      </c>
      <c r="M194" s="71">
        <f t="shared" ca="1" si="11"/>
        <v>0</v>
      </c>
      <c r="N194" s="65"/>
    </row>
    <row r="195" spans="1:14" x14ac:dyDescent="0.25">
      <c r="A195" s="2">
        <v>189</v>
      </c>
      <c r="B195" s="11">
        <f t="shared" ca="1" si="12"/>
        <v>1</v>
      </c>
      <c r="C195" s="26">
        <f t="shared" ca="1" si="13"/>
        <v>0.15995268634779547</v>
      </c>
      <c r="J195">
        <f t="shared" ca="1" si="14"/>
        <v>1</v>
      </c>
      <c r="K195">
        <f t="shared" ca="1" si="15"/>
        <v>0</v>
      </c>
      <c r="L195" s="65">
        <v>189</v>
      </c>
      <c r="M195" s="71">
        <f t="shared" ca="1" si="11"/>
        <v>7.3298410435813262</v>
      </c>
      <c r="N195" s="65"/>
    </row>
    <row r="196" spans="1:14" x14ac:dyDescent="0.25">
      <c r="A196" s="2">
        <v>190</v>
      </c>
      <c r="B196" s="11">
        <f t="shared" ca="1" si="12"/>
        <v>1</v>
      </c>
      <c r="C196" s="26">
        <f t="shared" ca="1" si="13"/>
        <v>0.1957955262176353</v>
      </c>
      <c r="J196">
        <f t="shared" ca="1" si="14"/>
        <v>1</v>
      </c>
      <c r="K196">
        <f t="shared" ca="1" si="15"/>
        <v>0</v>
      </c>
      <c r="L196" s="65">
        <v>190</v>
      </c>
      <c r="M196" s="71">
        <f t="shared" ca="1" si="11"/>
        <v>2.2973974436166462</v>
      </c>
      <c r="N196" s="65"/>
    </row>
    <row r="197" spans="1:14" x14ac:dyDescent="0.25">
      <c r="A197" s="2">
        <v>191</v>
      </c>
      <c r="B197" s="11">
        <f t="shared" ca="1" si="12"/>
        <v>1</v>
      </c>
      <c r="C197" s="26">
        <f t="shared" ca="1" si="13"/>
        <v>0.65204519362648117</v>
      </c>
      <c r="J197">
        <f t="shared" ca="1" si="14"/>
        <v>0</v>
      </c>
      <c r="K197">
        <f t="shared" ca="1" si="15"/>
        <v>0</v>
      </c>
      <c r="L197" s="65">
        <v>191</v>
      </c>
      <c r="M197" s="71">
        <f t="shared" ca="1" si="11"/>
        <v>3.7892643186189892</v>
      </c>
      <c r="N197" s="65"/>
    </row>
    <row r="198" spans="1:14" x14ac:dyDescent="0.25">
      <c r="A198" s="2">
        <v>192</v>
      </c>
      <c r="B198" s="11">
        <f t="shared" ca="1" si="12"/>
        <v>0</v>
      </c>
      <c r="C198" s="26">
        <f t="shared" ca="1" si="13"/>
        <v>0.99575351706999715</v>
      </c>
      <c r="J198">
        <f t="shared" ca="1" si="14"/>
        <v>0</v>
      </c>
      <c r="K198">
        <f t="shared" ca="1" si="15"/>
        <v>0</v>
      </c>
      <c r="L198" s="65">
        <v>192</v>
      </c>
      <c r="M198" s="71">
        <f t="shared" ca="1" si="11"/>
        <v>0</v>
      </c>
      <c r="N198" s="65"/>
    </row>
    <row r="199" spans="1:14" x14ac:dyDescent="0.25">
      <c r="A199" s="2">
        <v>193</v>
      </c>
      <c r="B199" s="11">
        <f t="shared" ca="1" si="12"/>
        <v>1</v>
      </c>
      <c r="C199" s="26">
        <f t="shared" ca="1" si="13"/>
        <v>3.8282415123152336E-2</v>
      </c>
      <c r="J199">
        <f t="shared" ca="1" si="14"/>
        <v>1</v>
      </c>
      <c r="K199">
        <f t="shared" ca="1" si="15"/>
        <v>0</v>
      </c>
      <c r="L199" s="65">
        <v>193</v>
      </c>
      <c r="M199" s="71">
        <f t="shared" ref="M199:M262" ca="1" si="16">IF(B199&gt;0,-LN(1-(RAND()))/lambda,0)</f>
        <v>3.4263248121209346</v>
      </c>
      <c r="N199" s="65"/>
    </row>
    <row r="200" spans="1:14" x14ac:dyDescent="0.25">
      <c r="A200" s="2">
        <v>194</v>
      </c>
      <c r="B200" s="11">
        <f t="shared" ref="B200:B263" ca="1" si="17">IF(B199&gt;0,IF(C200&lt;pww,1,0),IF(C200&lt;pdw,1,0))</f>
        <v>1</v>
      </c>
      <c r="C200" s="26">
        <f t="shared" ref="C200:C263" ca="1" si="18">RAND()</f>
        <v>0.29736433399799511</v>
      </c>
      <c r="J200">
        <f t="shared" ref="J200:J263" ca="1" si="19">IF(AND(B200,B201),1,0)</f>
        <v>1</v>
      </c>
      <c r="K200">
        <f t="shared" ref="K200:K263" ca="1" si="20">IF(AND(NOT(B200),NOT(B201)),1,0)</f>
        <v>0</v>
      </c>
      <c r="L200" s="65">
        <v>194</v>
      </c>
      <c r="M200" s="71">
        <f t="shared" ca="1" si="16"/>
        <v>3.8101096450671452</v>
      </c>
      <c r="N200" s="65"/>
    </row>
    <row r="201" spans="1:14" x14ac:dyDescent="0.25">
      <c r="A201" s="2">
        <v>195</v>
      </c>
      <c r="B201" s="11">
        <f t="shared" ca="1" si="17"/>
        <v>1</v>
      </c>
      <c r="C201" s="26">
        <f t="shared" ca="1" si="18"/>
        <v>0.26038413851240194</v>
      </c>
      <c r="J201">
        <f t="shared" ca="1" si="19"/>
        <v>1</v>
      </c>
      <c r="K201">
        <f t="shared" ca="1" si="20"/>
        <v>0</v>
      </c>
      <c r="L201" s="65">
        <v>195</v>
      </c>
      <c r="M201" s="71">
        <f t="shared" ca="1" si="16"/>
        <v>1.1077218818900485</v>
      </c>
      <c r="N201" s="65"/>
    </row>
    <row r="202" spans="1:14" x14ac:dyDescent="0.25">
      <c r="A202" s="2">
        <v>196</v>
      </c>
      <c r="B202" s="11">
        <f t="shared" ca="1" si="17"/>
        <v>1</v>
      </c>
      <c r="C202" s="26">
        <f t="shared" ca="1" si="18"/>
        <v>0.18580235783644383</v>
      </c>
      <c r="J202">
        <f t="shared" ca="1" si="19"/>
        <v>1</v>
      </c>
      <c r="K202">
        <f t="shared" ca="1" si="20"/>
        <v>0</v>
      </c>
      <c r="L202" s="65">
        <v>196</v>
      </c>
      <c r="M202" s="71">
        <f t="shared" ca="1" si="16"/>
        <v>1.2765708424014626</v>
      </c>
      <c r="N202" s="65"/>
    </row>
    <row r="203" spans="1:14" x14ac:dyDescent="0.25">
      <c r="A203" s="2">
        <v>197</v>
      </c>
      <c r="B203" s="11">
        <f t="shared" ca="1" si="17"/>
        <v>1</v>
      </c>
      <c r="C203" s="26">
        <f t="shared" ca="1" si="18"/>
        <v>0.13221852539482915</v>
      </c>
      <c r="J203">
        <f t="shared" ca="1" si="19"/>
        <v>0</v>
      </c>
      <c r="K203">
        <f t="shared" ca="1" si="20"/>
        <v>0</v>
      </c>
      <c r="L203" s="65">
        <v>197</v>
      </c>
      <c r="M203" s="71">
        <f t="shared" ca="1" si="16"/>
        <v>3.5836654621299791</v>
      </c>
      <c r="N203" s="65"/>
    </row>
    <row r="204" spans="1:14" x14ac:dyDescent="0.25">
      <c r="A204" s="2">
        <v>198</v>
      </c>
      <c r="B204" s="11">
        <f t="shared" ca="1" si="17"/>
        <v>0</v>
      </c>
      <c r="C204" s="26">
        <f t="shared" ca="1" si="18"/>
        <v>0.88845574659100002</v>
      </c>
      <c r="J204">
        <f t="shared" ca="1" si="19"/>
        <v>0</v>
      </c>
      <c r="K204">
        <f t="shared" ca="1" si="20"/>
        <v>1</v>
      </c>
      <c r="L204" s="65">
        <v>198</v>
      </c>
      <c r="M204" s="71">
        <f t="shared" ca="1" si="16"/>
        <v>0</v>
      </c>
      <c r="N204" s="65"/>
    </row>
    <row r="205" spans="1:14" x14ac:dyDescent="0.25">
      <c r="A205" s="2">
        <v>199</v>
      </c>
      <c r="B205" s="11">
        <f t="shared" ca="1" si="17"/>
        <v>0</v>
      </c>
      <c r="C205" s="26">
        <f t="shared" ca="1" si="18"/>
        <v>0.89626479377537582</v>
      </c>
      <c r="J205">
        <f t="shared" ca="1" si="19"/>
        <v>0</v>
      </c>
      <c r="K205">
        <f t="shared" ca="1" si="20"/>
        <v>0</v>
      </c>
      <c r="L205" s="65">
        <v>199</v>
      </c>
      <c r="M205" s="71">
        <f t="shared" ca="1" si="16"/>
        <v>0</v>
      </c>
      <c r="N205" s="65"/>
    </row>
    <row r="206" spans="1:14" x14ac:dyDescent="0.25">
      <c r="A206" s="2">
        <v>200</v>
      </c>
      <c r="B206" s="11">
        <f t="shared" ca="1" si="17"/>
        <v>1</v>
      </c>
      <c r="C206" s="26">
        <f t="shared" ca="1" si="18"/>
        <v>0.51109552043918316</v>
      </c>
      <c r="J206">
        <f t="shared" ca="1" si="19"/>
        <v>1</v>
      </c>
      <c r="K206">
        <f t="shared" ca="1" si="20"/>
        <v>0</v>
      </c>
      <c r="L206" s="65">
        <v>200</v>
      </c>
      <c r="M206" s="71">
        <f t="shared" ca="1" si="16"/>
        <v>2.2140661905777574</v>
      </c>
      <c r="N206" s="65"/>
    </row>
    <row r="207" spans="1:14" x14ac:dyDescent="0.25">
      <c r="A207" s="2">
        <v>201</v>
      </c>
      <c r="B207" s="11">
        <f t="shared" ca="1" si="17"/>
        <v>1</v>
      </c>
      <c r="C207" s="26">
        <f t="shared" ca="1" si="18"/>
        <v>0.62973016311087082</v>
      </c>
      <c r="J207">
        <f t="shared" ca="1" si="19"/>
        <v>1</v>
      </c>
      <c r="K207">
        <f t="shared" ca="1" si="20"/>
        <v>0</v>
      </c>
      <c r="L207" s="65">
        <v>201</v>
      </c>
      <c r="M207" s="71">
        <f t="shared" ca="1" si="16"/>
        <v>3.3452837132550242</v>
      </c>
      <c r="N207" s="65"/>
    </row>
    <row r="208" spans="1:14" x14ac:dyDescent="0.25">
      <c r="A208" s="2">
        <v>202</v>
      </c>
      <c r="B208" s="11">
        <f t="shared" ca="1" si="17"/>
        <v>1</v>
      </c>
      <c r="C208" s="26">
        <f t="shared" ca="1" si="18"/>
        <v>0.64454165417560083</v>
      </c>
      <c r="J208">
        <f t="shared" ca="1" si="19"/>
        <v>1</v>
      </c>
      <c r="K208">
        <f t="shared" ca="1" si="20"/>
        <v>0</v>
      </c>
      <c r="L208" s="65">
        <v>202</v>
      </c>
      <c r="M208" s="71">
        <f t="shared" ca="1" si="16"/>
        <v>8.4229528960156408</v>
      </c>
      <c r="N208" s="65"/>
    </row>
    <row r="209" spans="1:14" x14ac:dyDescent="0.25">
      <c r="A209" s="2">
        <v>203</v>
      </c>
      <c r="B209" s="11">
        <f t="shared" ca="1" si="17"/>
        <v>1</v>
      </c>
      <c r="C209" s="26">
        <f t="shared" ca="1" si="18"/>
        <v>0.53142142221848276</v>
      </c>
      <c r="J209">
        <f t="shared" ca="1" si="19"/>
        <v>0</v>
      </c>
      <c r="K209">
        <f t="shared" ca="1" si="20"/>
        <v>0</v>
      </c>
      <c r="L209" s="65">
        <v>203</v>
      </c>
      <c r="M209" s="71">
        <f t="shared" ca="1" si="16"/>
        <v>0.78899590442526146</v>
      </c>
      <c r="N209" s="65"/>
    </row>
    <row r="210" spans="1:14" x14ac:dyDescent="0.25">
      <c r="A210" s="2">
        <v>204</v>
      </c>
      <c r="B210" s="11">
        <f t="shared" ca="1" si="17"/>
        <v>0</v>
      </c>
      <c r="C210" s="26">
        <f t="shared" ca="1" si="18"/>
        <v>0.8748794676378846</v>
      </c>
      <c r="J210">
        <f t="shared" ca="1" si="19"/>
        <v>0</v>
      </c>
      <c r="K210">
        <f t="shared" ca="1" si="20"/>
        <v>0</v>
      </c>
      <c r="L210" s="65">
        <v>204</v>
      </c>
      <c r="M210" s="71">
        <f t="shared" ca="1" si="16"/>
        <v>0</v>
      </c>
      <c r="N210" s="65"/>
    </row>
    <row r="211" spans="1:14" x14ac:dyDescent="0.25">
      <c r="A211" s="2">
        <v>205</v>
      </c>
      <c r="B211" s="11">
        <f t="shared" ca="1" si="17"/>
        <v>1</v>
      </c>
      <c r="C211" s="26">
        <f t="shared" ca="1" si="18"/>
        <v>0.67482775252135252</v>
      </c>
      <c r="J211">
        <f t="shared" ca="1" si="19"/>
        <v>0</v>
      </c>
      <c r="K211">
        <f t="shared" ca="1" si="20"/>
        <v>0</v>
      </c>
      <c r="L211" s="65">
        <v>205</v>
      </c>
      <c r="M211" s="71">
        <f t="shared" ca="1" si="16"/>
        <v>1.9692328897218665</v>
      </c>
      <c r="N211" s="65"/>
    </row>
    <row r="212" spans="1:14" x14ac:dyDescent="0.25">
      <c r="A212" s="2">
        <v>206</v>
      </c>
      <c r="B212" s="11">
        <f t="shared" ca="1" si="17"/>
        <v>0</v>
      </c>
      <c r="C212" s="26">
        <f t="shared" ca="1" si="18"/>
        <v>0.87644334750696529</v>
      </c>
      <c r="J212">
        <f t="shared" ca="1" si="19"/>
        <v>0</v>
      </c>
      <c r="K212">
        <f t="shared" ca="1" si="20"/>
        <v>0</v>
      </c>
      <c r="L212" s="65">
        <v>206</v>
      </c>
      <c r="M212" s="71">
        <f t="shared" ca="1" si="16"/>
        <v>0</v>
      </c>
      <c r="N212" s="65"/>
    </row>
    <row r="213" spans="1:14" x14ac:dyDescent="0.25">
      <c r="A213" s="2">
        <v>207</v>
      </c>
      <c r="B213" s="11">
        <f t="shared" ca="1" si="17"/>
        <v>1</v>
      </c>
      <c r="C213" s="26">
        <f t="shared" ca="1" si="18"/>
        <v>0.63600857309689884</v>
      </c>
      <c r="J213">
        <f t="shared" ca="1" si="19"/>
        <v>1</v>
      </c>
      <c r="K213">
        <f t="shared" ca="1" si="20"/>
        <v>0</v>
      </c>
      <c r="L213" s="65">
        <v>207</v>
      </c>
      <c r="M213" s="71">
        <f t="shared" ca="1" si="16"/>
        <v>0.51194790599698037</v>
      </c>
      <c r="N213" s="65"/>
    </row>
    <row r="214" spans="1:14" x14ac:dyDescent="0.25">
      <c r="A214" s="2">
        <v>208</v>
      </c>
      <c r="B214" s="11">
        <f t="shared" ca="1" si="17"/>
        <v>1</v>
      </c>
      <c r="C214" s="26">
        <f t="shared" ca="1" si="18"/>
        <v>0.60922175631743058</v>
      </c>
      <c r="J214">
        <f t="shared" ca="1" si="19"/>
        <v>1</v>
      </c>
      <c r="K214">
        <f t="shared" ca="1" si="20"/>
        <v>0</v>
      </c>
      <c r="L214" s="65">
        <v>208</v>
      </c>
      <c r="M214" s="71">
        <f t="shared" ca="1" si="16"/>
        <v>1.4450058709267901</v>
      </c>
      <c r="N214" s="65"/>
    </row>
    <row r="215" spans="1:14" x14ac:dyDescent="0.25">
      <c r="A215" s="2">
        <v>209</v>
      </c>
      <c r="B215" s="11">
        <f t="shared" ca="1" si="17"/>
        <v>1</v>
      </c>
      <c r="C215" s="26">
        <f t="shared" ca="1" si="18"/>
        <v>0.69368486770304316</v>
      </c>
      <c r="J215">
        <f t="shared" ca="1" si="19"/>
        <v>1</v>
      </c>
      <c r="K215">
        <f t="shared" ca="1" si="20"/>
        <v>0</v>
      </c>
      <c r="L215" s="65">
        <v>209</v>
      </c>
      <c r="M215" s="71">
        <f t="shared" ca="1" si="16"/>
        <v>3.0591201366470808</v>
      </c>
      <c r="N215" s="65"/>
    </row>
    <row r="216" spans="1:14" x14ac:dyDescent="0.25">
      <c r="A216" s="2">
        <v>210</v>
      </c>
      <c r="B216" s="11">
        <f t="shared" ca="1" si="17"/>
        <v>1</v>
      </c>
      <c r="C216" s="26">
        <f t="shared" ca="1" si="18"/>
        <v>0.47359753654080783</v>
      </c>
      <c r="J216">
        <f t="shared" ca="1" si="19"/>
        <v>0</v>
      </c>
      <c r="K216">
        <f t="shared" ca="1" si="20"/>
        <v>0</v>
      </c>
      <c r="L216" s="65">
        <v>210</v>
      </c>
      <c r="M216" s="71">
        <f t="shared" ca="1" si="16"/>
        <v>6.618912671369622</v>
      </c>
      <c r="N216" s="65"/>
    </row>
    <row r="217" spans="1:14" x14ac:dyDescent="0.25">
      <c r="A217" s="2">
        <v>211</v>
      </c>
      <c r="B217" s="11">
        <f t="shared" ca="1" si="17"/>
        <v>0</v>
      </c>
      <c r="C217" s="26">
        <f t="shared" ca="1" si="18"/>
        <v>0.82967166420169902</v>
      </c>
      <c r="J217">
        <f t="shared" ca="1" si="19"/>
        <v>0</v>
      </c>
      <c r="K217">
        <f t="shared" ca="1" si="20"/>
        <v>1</v>
      </c>
      <c r="L217" s="65">
        <v>211</v>
      </c>
      <c r="M217" s="71">
        <f t="shared" ca="1" si="16"/>
        <v>0</v>
      </c>
      <c r="N217" s="65"/>
    </row>
    <row r="218" spans="1:14" x14ac:dyDescent="0.25">
      <c r="A218" s="2">
        <v>212</v>
      </c>
      <c r="B218" s="11">
        <f t="shared" ca="1" si="17"/>
        <v>0</v>
      </c>
      <c r="C218" s="26">
        <f t="shared" ca="1" si="18"/>
        <v>0.99270698374966837</v>
      </c>
      <c r="J218">
        <f t="shared" ca="1" si="19"/>
        <v>0</v>
      </c>
      <c r="K218">
        <f t="shared" ca="1" si="20"/>
        <v>0</v>
      </c>
      <c r="L218" s="65">
        <v>212</v>
      </c>
      <c r="M218" s="71">
        <f t="shared" ca="1" si="16"/>
        <v>0</v>
      </c>
      <c r="N218" s="65"/>
    </row>
    <row r="219" spans="1:14" x14ac:dyDescent="0.25">
      <c r="A219" s="2">
        <v>213</v>
      </c>
      <c r="B219" s="11">
        <f t="shared" ca="1" si="17"/>
        <v>1</v>
      </c>
      <c r="C219" s="26">
        <f t="shared" ca="1" si="18"/>
        <v>0.68959642125671095</v>
      </c>
      <c r="J219">
        <f t="shared" ca="1" si="19"/>
        <v>1</v>
      </c>
      <c r="K219">
        <f t="shared" ca="1" si="20"/>
        <v>0</v>
      </c>
      <c r="L219" s="65">
        <v>213</v>
      </c>
      <c r="M219" s="71">
        <f t="shared" ca="1" si="16"/>
        <v>7.7342359168094899E-2</v>
      </c>
      <c r="N219" s="65"/>
    </row>
    <row r="220" spans="1:14" x14ac:dyDescent="0.25">
      <c r="A220" s="2">
        <v>214</v>
      </c>
      <c r="B220" s="11">
        <f t="shared" ca="1" si="17"/>
        <v>1</v>
      </c>
      <c r="C220" s="26">
        <f t="shared" ca="1" si="18"/>
        <v>0.14515723018891769</v>
      </c>
      <c r="J220">
        <f t="shared" ca="1" si="19"/>
        <v>0</v>
      </c>
      <c r="K220">
        <f t="shared" ca="1" si="20"/>
        <v>0</v>
      </c>
      <c r="L220" s="65">
        <v>214</v>
      </c>
      <c r="M220" s="71">
        <f t="shared" ca="1" si="16"/>
        <v>1.2179926062172945</v>
      </c>
      <c r="N220" s="65"/>
    </row>
    <row r="221" spans="1:14" x14ac:dyDescent="0.25">
      <c r="A221" s="2">
        <v>215</v>
      </c>
      <c r="B221" s="11">
        <f t="shared" ca="1" si="17"/>
        <v>0</v>
      </c>
      <c r="C221" s="26">
        <f t="shared" ca="1" si="18"/>
        <v>0.99407817296964285</v>
      </c>
      <c r="J221">
        <f t="shared" ca="1" si="19"/>
        <v>0</v>
      </c>
      <c r="K221">
        <f t="shared" ca="1" si="20"/>
        <v>1</v>
      </c>
      <c r="L221" s="65">
        <v>215</v>
      </c>
      <c r="M221" s="71">
        <f t="shared" ca="1" si="16"/>
        <v>0</v>
      </c>
      <c r="N221" s="65"/>
    </row>
    <row r="222" spans="1:14" x14ac:dyDescent="0.25">
      <c r="A222" s="2">
        <v>216</v>
      </c>
      <c r="B222" s="11">
        <f t="shared" ca="1" si="17"/>
        <v>0</v>
      </c>
      <c r="C222" s="26">
        <f t="shared" ca="1" si="18"/>
        <v>0.73265277543421403</v>
      </c>
      <c r="J222">
        <f t="shared" ca="1" si="19"/>
        <v>0</v>
      </c>
      <c r="K222">
        <f t="shared" ca="1" si="20"/>
        <v>1</v>
      </c>
      <c r="L222" s="65">
        <v>216</v>
      </c>
      <c r="M222" s="71">
        <f t="shared" ca="1" si="16"/>
        <v>0</v>
      </c>
      <c r="N222" s="65"/>
    </row>
    <row r="223" spans="1:14" x14ac:dyDescent="0.25">
      <c r="A223" s="2">
        <v>217</v>
      </c>
      <c r="B223" s="11">
        <f t="shared" ca="1" si="17"/>
        <v>0</v>
      </c>
      <c r="C223" s="26">
        <f t="shared" ca="1" si="18"/>
        <v>0.8759494605654814</v>
      </c>
      <c r="J223">
        <f t="shared" ca="1" si="19"/>
        <v>0</v>
      </c>
      <c r="K223">
        <f t="shared" ca="1" si="20"/>
        <v>0</v>
      </c>
      <c r="L223" s="65">
        <v>217</v>
      </c>
      <c r="M223" s="71">
        <f t="shared" ca="1" si="16"/>
        <v>0</v>
      </c>
      <c r="N223" s="65"/>
    </row>
    <row r="224" spans="1:14" x14ac:dyDescent="0.25">
      <c r="A224" s="2">
        <v>218</v>
      </c>
      <c r="B224" s="11">
        <f t="shared" ca="1" si="17"/>
        <v>1</v>
      </c>
      <c r="C224" s="26">
        <f t="shared" ca="1" si="18"/>
        <v>0.50173819243499462</v>
      </c>
      <c r="J224">
        <f t="shared" ca="1" si="19"/>
        <v>1</v>
      </c>
      <c r="K224">
        <f t="shared" ca="1" si="20"/>
        <v>0</v>
      </c>
      <c r="L224" s="65">
        <v>218</v>
      </c>
      <c r="M224" s="71">
        <f t="shared" ca="1" si="16"/>
        <v>10.484016261896565</v>
      </c>
      <c r="N224" s="65"/>
    </row>
    <row r="225" spans="1:14" x14ac:dyDescent="0.25">
      <c r="A225" s="2">
        <v>219</v>
      </c>
      <c r="B225" s="11">
        <f t="shared" ca="1" si="17"/>
        <v>1</v>
      </c>
      <c r="C225" s="26">
        <f t="shared" ca="1" si="18"/>
        <v>0.14711315129974845</v>
      </c>
      <c r="J225">
        <f t="shared" ca="1" si="19"/>
        <v>1</v>
      </c>
      <c r="K225">
        <f t="shared" ca="1" si="20"/>
        <v>0</v>
      </c>
      <c r="L225" s="65">
        <v>219</v>
      </c>
      <c r="M225" s="71">
        <f t="shared" ca="1" si="16"/>
        <v>0.78812548195266918</v>
      </c>
      <c r="N225" s="65"/>
    </row>
    <row r="226" spans="1:14" x14ac:dyDescent="0.25">
      <c r="A226" s="2">
        <v>220</v>
      </c>
      <c r="B226" s="11">
        <f t="shared" ca="1" si="17"/>
        <v>1</v>
      </c>
      <c r="C226" s="26">
        <f t="shared" ca="1" si="18"/>
        <v>6.9520072670918864E-3</v>
      </c>
      <c r="J226">
        <f t="shared" ca="1" si="19"/>
        <v>1</v>
      </c>
      <c r="K226">
        <f t="shared" ca="1" si="20"/>
        <v>0</v>
      </c>
      <c r="L226" s="65">
        <v>220</v>
      </c>
      <c r="M226" s="71">
        <f t="shared" ca="1" si="16"/>
        <v>0.58278527495629118</v>
      </c>
      <c r="N226" s="65"/>
    </row>
    <row r="227" spans="1:14" x14ac:dyDescent="0.25">
      <c r="A227" s="2">
        <v>221</v>
      </c>
      <c r="B227" s="11">
        <f t="shared" ca="1" si="17"/>
        <v>1</v>
      </c>
      <c r="C227" s="26">
        <f t="shared" ca="1" si="18"/>
        <v>0.22467365488221769</v>
      </c>
      <c r="J227">
        <f t="shared" ca="1" si="19"/>
        <v>1</v>
      </c>
      <c r="K227">
        <f t="shared" ca="1" si="20"/>
        <v>0</v>
      </c>
      <c r="L227" s="65">
        <v>221</v>
      </c>
      <c r="M227" s="71">
        <f t="shared" ca="1" si="16"/>
        <v>2.4895334851410147</v>
      </c>
      <c r="N227" s="65"/>
    </row>
    <row r="228" spans="1:14" x14ac:dyDescent="0.25">
      <c r="A228" s="2">
        <v>222</v>
      </c>
      <c r="B228" s="11">
        <f t="shared" ca="1" si="17"/>
        <v>1</v>
      </c>
      <c r="C228" s="26">
        <f t="shared" ca="1" si="18"/>
        <v>0.62782662311227133</v>
      </c>
      <c r="J228">
        <f t="shared" ca="1" si="19"/>
        <v>1</v>
      </c>
      <c r="K228">
        <f t="shared" ca="1" si="20"/>
        <v>0</v>
      </c>
      <c r="L228" s="65">
        <v>222</v>
      </c>
      <c r="M228" s="71">
        <f t="shared" ca="1" si="16"/>
        <v>0.73222770263616577</v>
      </c>
      <c r="N228" s="65"/>
    </row>
    <row r="229" spans="1:14" x14ac:dyDescent="0.25">
      <c r="A229" s="2">
        <v>223</v>
      </c>
      <c r="B229" s="11">
        <f t="shared" ca="1" si="17"/>
        <v>1</v>
      </c>
      <c r="C229" s="26">
        <f t="shared" ca="1" si="18"/>
        <v>0.33176559498937586</v>
      </c>
      <c r="J229">
        <f t="shared" ca="1" si="19"/>
        <v>1</v>
      </c>
      <c r="K229">
        <f t="shared" ca="1" si="20"/>
        <v>0</v>
      </c>
      <c r="L229" s="65">
        <v>223</v>
      </c>
      <c r="M229" s="71">
        <f t="shared" ca="1" si="16"/>
        <v>8.4152462258086072</v>
      </c>
      <c r="N229" s="65"/>
    </row>
    <row r="230" spans="1:14" x14ac:dyDescent="0.25">
      <c r="A230" s="2">
        <v>224</v>
      </c>
      <c r="B230" s="11">
        <f t="shared" ca="1" si="17"/>
        <v>1</v>
      </c>
      <c r="C230" s="26">
        <f t="shared" ca="1" si="18"/>
        <v>8.393186994871682E-2</v>
      </c>
      <c r="J230">
        <f t="shared" ca="1" si="19"/>
        <v>1</v>
      </c>
      <c r="K230">
        <f t="shared" ca="1" si="20"/>
        <v>0</v>
      </c>
      <c r="L230" s="65">
        <v>224</v>
      </c>
      <c r="M230" s="71">
        <f t="shared" ca="1" si="16"/>
        <v>0.3527639347687081</v>
      </c>
      <c r="N230" s="65"/>
    </row>
    <row r="231" spans="1:14" x14ac:dyDescent="0.25">
      <c r="A231" s="2">
        <v>225</v>
      </c>
      <c r="B231" s="11">
        <f t="shared" ca="1" si="17"/>
        <v>1</v>
      </c>
      <c r="C231" s="26">
        <f t="shared" ca="1" si="18"/>
        <v>0.36458718400071377</v>
      </c>
      <c r="J231">
        <f t="shared" ca="1" si="19"/>
        <v>0</v>
      </c>
      <c r="K231">
        <f t="shared" ca="1" si="20"/>
        <v>0</v>
      </c>
      <c r="L231" s="65">
        <v>225</v>
      </c>
      <c r="M231" s="71">
        <f t="shared" ca="1" si="16"/>
        <v>0.28090036568515975</v>
      </c>
      <c r="N231" s="65"/>
    </row>
    <row r="232" spans="1:14" x14ac:dyDescent="0.25">
      <c r="A232" s="2">
        <v>226</v>
      </c>
      <c r="B232" s="11">
        <f t="shared" ca="1" si="17"/>
        <v>0</v>
      </c>
      <c r="C232" s="26">
        <f t="shared" ca="1" si="18"/>
        <v>0.94365737555897411</v>
      </c>
      <c r="J232">
        <f t="shared" ca="1" si="19"/>
        <v>0</v>
      </c>
      <c r="K232">
        <f t="shared" ca="1" si="20"/>
        <v>0</v>
      </c>
      <c r="L232" s="65">
        <v>226</v>
      </c>
      <c r="M232" s="71">
        <f t="shared" ca="1" si="16"/>
        <v>0</v>
      </c>
      <c r="N232" s="65"/>
    </row>
    <row r="233" spans="1:14" x14ac:dyDescent="0.25">
      <c r="A233" s="2">
        <v>227</v>
      </c>
      <c r="B233" s="11">
        <f t="shared" ca="1" si="17"/>
        <v>1</v>
      </c>
      <c r="C233" s="26">
        <f t="shared" ca="1" si="18"/>
        <v>0.23468843748449164</v>
      </c>
      <c r="J233">
        <f t="shared" ca="1" si="19"/>
        <v>1</v>
      </c>
      <c r="K233">
        <f t="shared" ca="1" si="20"/>
        <v>0</v>
      </c>
      <c r="L233" s="65">
        <v>227</v>
      </c>
      <c r="M233" s="71">
        <f t="shared" ca="1" si="16"/>
        <v>0.3154637094674998</v>
      </c>
      <c r="N233" s="65"/>
    </row>
    <row r="234" spans="1:14" x14ac:dyDescent="0.25">
      <c r="A234" s="2">
        <v>228</v>
      </c>
      <c r="B234" s="11">
        <f t="shared" ca="1" si="17"/>
        <v>1</v>
      </c>
      <c r="C234" s="26">
        <f t="shared" ca="1" si="18"/>
        <v>0.12050447759419969</v>
      </c>
      <c r="J234">
        <f t="shared" ca="1" si="19"/>
        <v>1</v>
      </c>
      <c r="K234">
        <f t="shared" ca="1" si="20"/>
        <v>0</v>
      </c>
      <c r="L234" s="65">
        <v>228</v>
      </c>
      <c r="M234" s="71">
        <f t="shared" ca="1" si="16"/>
        <v>0.72691837399853343</v>
      </c>
      <c r="N234" s="65"/>
    </row>
    <row r="235" spans="1:14" x14ac:dyDescent="0.25">
      <c r="A235" s="2">
        <v>229</v>
      </c>
      <c r="B235" s="11">
        <f t="shared" ca="1" si="17"/>
        <v>1</v>
      </c>
      <c r="C235" s="26">
        <f t="shared" ca="1" si="18"/>
        <v>0.62726757961619095</v>
      </c>
      <c r="J235">
        <f t="shared" ca="1" si="19"/>
        <v>1</v>
      </c>
      <c r="K235">
        <f t="shared" ca="1" si="20"/>
        <v>0</v>
      </c>
      <c r="L235" s="65">
        <v>229</v>
      </c>
      <c r="M235" s="71">
        <f t="shared" ca="1" si="16"/>
        <v>2.3990358562463987</v>
      </c>
      <c r="N235" s="65"/>
    </row>
    <row r="236" spans="1:14" x14ac:dyDescent="0.25">
      <c r="A236" s="2">
        <v>230</v>
      </c>
      <c r="B236" s="11">
        <f t="shared" ca="1" si="17"/>
        <v>1</v>
      </c>
      <c r="C236" s="26">
        <f t="shared" ca="1" si="18"/>
        <v>0.53846547359160524</v>
      </c>
      <c r="J236">
        <f t="shared" ca="1" si="19"/>
        <v>1</v>
      </c>
      <c r="K236">
        <f t="shared" ca="1" si="20"/>
        <v>0</v>
      </c>
      <c r="L236" s="65">
        <v>230</v>
      </c>
      <c r="M236" s="71">
        <f t="shared" ca="1" si="16"/>
        <v>7.5818802003068662</v>
      </c>
      <c r="N236" s="65"/>
    </row>
    <row r="237" spans="1:14" x14ac:dyDescent="0.25">
      <c r="A237" s="2">
        <v>231</v>
      </c>
      <c r="B237" s="11">
        <f t="shared" ca="1" si="17"/>
        <v>1</v>
      </c>
      <c r="C237" s="26">
        <f t="shared" ca="1" si="18"/>
        <v>0.79550205976006128</v>
      </c>
      <c r="J237">
        <f t="shared" ca="1" si="19"/>
        <v>1</v>
      </c>
      <c r="K237">
        <f t="shared" ca="1" si="20"/>
        <v>0</v>
      </c>
      <c r="L237" s="65">
        <v>231</v>
      </c>
      <c r="M237" s="71">
        <f t="shared" ca="1" si="16"/>
        <v>6.6627862699046441</v>
      </c>
      <c r="N237" s="65"/>
    </row>
    <row r="238" spans="1:14" x14ac:dyDescent="0.25">
      <c r="A238" s="2">
        <v>232</v>
      </c>
      <c r="B238" s="11">
        <f t="shared" ca="1" si="17"/>
        <v>1</v>
      </c>
      <c r="C238" s="26">
        <f t="shared" ca="1" si="18"/>
        <v>0.41997979129033736</v>
      </c>
      <c r="J238">
        <f t="shared" ca="1" si="19"/>
        <v>1</v>
      </c>
      <c r="K238">
        <f t="shared" ca="1" si="20"/>
        <v>0</v>
      </c>
      <c r="L238" s="65">
        <v>232</v>
      </c>
      <c r="M238" s="71">
        <f t="shared" ca="1" si="16"/>
        <v>1.2458621317546066</v>
      </c>
      <c r="N238" s="65"/>
    </row>
    <row r="239" spans="1:14" x14ac:dyDescent="0.25">
      <c r="A239" s="2">
        <v>233</v>
      </c>
      <c r="B239" s="11">
        <f t="shared" ca="1" si="17"/>
        <v>1</v>
      </c>
      <c r="C239" s="26">
        <f t="shared" ca="1" si="18"/>
        <v>0.51390932720237248</v>
      </c>
      <c r="J239">
        <f t="shared" ca="1" si="19"/>
        <v>0</v>
      </c>
      <c r="K239">
        <f t="shared" ca="1" si="20"/>
        <v>0</v>
      </c>
      <c r="L239" s="65">
        <v>233</v>
      </c>
      <c r="M239" s="71">
        <f t="shared" ca="1" si="16"/>
        <v>5.5009521620220205</v>
      </c>
      <c r="N239" s="65"/>
    </row>
    <row r="240" spans="1:14" x14ac:dyDescent="0.25">
      <c r="A240" s="2">
        <v>234</v>
      </c>
      <c r="B240" s="11">
        <f t="shared" ca="1" si="17"/>
        <v>0</v>
      </c>
      <c r="C240" s="26">
        <f t="shared" ca="1" si="18"/>
        <v>0.9126004941202418</v>
      </c>
      <c r="J240">
        <f t="shared" ca="1" si="19"/>
        <v>0</v>
      </c>
      <c r="K240">
        <f t="shared" ca="1" si="20"/>
        <v>1</v>
      </c>
      <c r="L240" s="65">
        <v>234</v>
      </c>
      <c r="M240" s="71">
        <f t="shared" ca="1" si="16"/>
        <v>0</v>
      </c>
      <c r="N240" s="65"/>
    </row>
    <row r="241" spans="1:14" x14ac:dyDescent="0.25">
      <c r="A241" s="2">
        <v>235</v>
      </c>
      <c r="B241" s="11">
        <f t="shared" ca="1" si="17"/>
        <v>0</v>
      </c>
      <c r="C241" s="26">
        <f t="shared" ca="1" si="18"/>
        <v>0.75737951416529092</v>
      </c>
      <c r="J241">
        <f t="shared" ca="1" si="19"/>
        <v>0</v>
      </c>
      <c r="K241">
        <f t="shared" ca="1" si="20"/>
        <v>0</v>
      </c>
      <c r="L241" s="65">
        <v>235</v>
      </c>
      <c r="M241" s="71">
        <f t="shared" ca="1" si="16"/>
        <v>0</v>
      </c>
      <c r="N241" s="65"/>
    </row>
    <row r="242" spans="1:14" x14ac:dyDescent="0.25">
      <c r="A242" s="2">
        <v>236</v>
      </c>
      <c r="B242" s="11">
        <f t="shared" ca="1" si="17"/>
        <v>1</v>
      </c>
      <c r="C242" s="26">
        <f t="shared" ca="1" si="18"/>
        <v>0.43893190033777396</v>
      </c>
      <c r="J242">
        <f t="shared" ca="1" si="19"/>
        <v>1</v>
      </c>
      <c r="K242">
        <f t="shared" ca="1" si="20"/>
        <v>0</v>
      </c>
      <c r="L242" s="65">
        <v>236</v>
      </c>
      <c r="M242" s="71">
        <f t="shared" ca="1" si="16"/>
        <v>0.18026765295805108</v>
      </c>
      <c r="N242" s="65"/>
    </row>
    <row r="243" spans="1:14" x14ac:dyDescent="0.25">
      <c r="A243" s="2">
        <v>237</v>
      </c>
      <c r="B243" s="11">
        <f t="shared" ca="1" si="17"/>
        <v>1</v>
      </c>
      <c r="C243" s="26">
        <f t="shared" ca="1" si="18"/>
        <v>0.11746332460072306</v>
      </c>
      <c r="J243">
        <f t="shared" ca="1" si="19"/>
        <v>1</v>
      </c>
      <c r="K243">
        <f t="shared" ca="1" si="20"/>
        <v>0</v>
      </c>
      <c r="L243" s="65">
        <v>237</v>
      </c>
      <c r="M243" s="71">
        <f t="shared" ca="1" si="16"/>
        <v>1.5635322748902956</v>
      </c>
      <c r="N243" s="65"/>
    </row>
    <row r="244" spans="1:14" x14ac:dyDescent="0.25">
      <c r="A244" s="2">
        <v>238</v>
      </c>
      <c r="B244" s="11">
        <f t="shared" ca="1" si="17"/>
        <v>1</v>
      </c>
      <c r="C244" s="26">
        <f t="shared" ca="1" si="18"/>
        <v>8.5959058757028028E-2</v>
      </c>
      <c r="J244">
        <f t="shared" ca="1" si="19"/>
        <v>1</v>
      </c>
      <c r="K244">
        <f t="shared" ca="1" si="20"/>
        <v>0</v>
      </c>
      <c r="L244" s="65">
        <v>238</v>
      </c>
      <c r="M244" s="71">
        <f t="shared" ca="1" si="16"/>
        <v>1.0756552654293539</v>
      </c>
      <c r="N244" s="65"/>
    </row>
    <row r="245" spans="1:14" x14ac:dyDescent="0.25">
      <c r="A245" s="2">
        <v>239</v>
      </c>
      <c r="B245" s="11">
        <f t="shared" ca="1" si="17"/>
        <v>1</v>
      </c>
      <c r="C245" s="26">
        <f t="shared" ca="1" si="18"/>
        <v>0.54389014515217304</v>
      </c>
      <c r="J245">
        <f t="shared" ca="1" si="19"/>
        <v>1</v>
      </c>
      <c r="K245">
        <f t="shared" ca="1" si="20"/>
        <v>0</v>
      </c>
      <c r="L245" s="65">
        <v>239</v>
      </c>
      <c r="M245" s="71">
        <f t="shared" ca="1" si="16"/>
        <v>2.5337943644627825</v>
      </c>
      <c r="N245" s="65"/>
    </row>
    <row r="246" spans="1:14" x14ac:dyDescent="0.25">
      <c r="A246" s="2">
        <v>240</v>
      </c>
      <c r="B246" s="11">
        <f t="shared" ca="1" si="17"/>
        <v>1</v>
      </c>
      <c r="C246" s="26">
        <f t="shared" ca="1" si="18"/>
        <v>0.62313635931079547</v>
      </c>
      <c r="J246">
        <f t="shared" ca="1" si="19"/>
        <v>1</v>
      </c>
      <c r="K246">
        <f t="shared" ca="1" si="20"/>
        <v>0</v>
      </c>
      <c r="L246" s="65">
        <v>240</v>
      </c>
      <c r="M246" s="71">
        <f t="shared" ca="1" si="16"/>
        <v>3.438343804602122</v>
      </c>
      <c r="N246" s="65"/>
    </row>
    <row r="247" spans="1:14" x14ac:dyDescent="0.25">
      <c r="A247" s="2">
        <v>241</v>
      </c>
      <c r="B247" s="11">
        <f t="shared" ca="1" si="17"/>
        <v>1</v>
      </c>
      <c r="C247" s="26">
        <f t="shared" ca="1" si="18"/>
        <v>0.76165428245936373</v>
      </c>
      <c r="J247">
        <f t="shared" ca="1" si="19"/>
        <v>1</v>
      </c>
      <c r="K247">
        <f t="shared" ca="1" si="20"/>
        <v>0</v>
      </c>
      <c r="L247" s="65">
        <v>241</v>
      </c>
      <c r="M247" s="71">
        <f t="shared" ca="1" si="16"/>
        <v>3.4338560902985553</v>
      </c>
      <c r="N247" s="65"/>
    </row>
    <row r="248" spans="1:14" x14ac:dyDescent="0.25">
      <c r="A248" s="2">
        <v>242</v>
      </c>
      <c r="B248" s="11">
        <f t="shared" ca="1" si="17"/>
        <v>1</v>
      </c>
      <c r="C248" s="26">
        <f t="shared" ca="1" si="18"/>
        <v>0.2109932872295589</v>
      </c>
      <c r="J248">
        <f t="shared" ca="1" si="19"/>
        <v>1</v>
      </c>
      <c r="K248">
        <f t="shared" ca="1" si="20"/>
        <v>0</v>
      </c>
      <c r="L248" s="65">
        <v>242</v>
      </c>
      <c r="M248" s="71">
        <f t="shared" ca="1" si="16"/>
        <v>0.27862020737017695</v>
      </c>
      <c r="N248" s="65"/>
    </row>
    <row r="249" spans="1:14" x14ac:dyDescent="0.25">
      <c r="A249" s="2">
        <v>243</v>
      </c>
      <c r="B249" s="11">
        <f t="shared" ca="1" si="17"/>
        <v>1</v>
      </c>
      <c r="C249" s="26">
        <f t="shared" ca="1" si="18"/>
        <v>0.78722450091965723</v>
      </c>
      <c r="J249">
        <f t="shared" ca="1" si="19"/>
        <v>1</v>
      </c>
      <c r="K249">
        <f t="shared" ca="1" si="20"/>
        <v>0</v>
      </c>
      <c r="L249" s="65">
        <v>243</v>
      </c>
      <c r="M249" s="71">
        <f t="shared" ca="1" si="16"/>
        <v>8.2731951049375603</v>
      </c>
      <c r="N249" s="65"/>
    </row>
    <row r="250" spans="1:14" x14ac:dyDescent="0.25">
      <c r="A250" s="2">
        <v>244</v>
      </c>
      <c r="B250" s="11">
        <f t="shared" ca="1" si="17"/>
        <v>1</v>
      </c>
      <c r="C250" s="26">
        <f t="shared" ca="1" si="18"/>
        <v>0.67558992915596416</v>
      </c>
      <c r="J250">
        <f t="shared" ca="1" si="19"/>
        <v>1</v>
      </c>
      <c r="K250">
        <f t="shared" ca="1" si="20"/>
        <v>0</v>
      </c>
      <c r="L250" s="65">
        <v>244</v>
      </c>
      <c r="M250" s="71">
        <f t="shared" ca="1" si="16"/>
        <v>1.5362073171575961</v>
      </c>
      <c r="N250" s="65"/>
    </row>
    <row r="251" spans="1:14" x14ac:dyDescent="0.25">
      <c r="A251" s="2">
        <v>245</v>
      </c>
      <c r="B251" s="11">
        <f t="shared" ca="1" si="17"/>
        <v>1</v>
      </c>
      <c r="C251" s="26">
        <f t="shared" ca="1" si="18"/>
        <v>0.78646136099287567</v>
      </c>
      <c r="J251">
        <f t="shared" ca="1" si="19"/>
        <v>1</v>
      </c>
      <c r="K251">
        <f t="shared" ca="1" si="20"/>
        <v>0</v>
      </c>
      <c r="L251" s="65">
        <v>245</v>
      </c>
      <c r="M251" s="71">
        <f t="shared" ca="1" si="16"/>
        <v>0.92812922276187282</v>
      </c>
      <c r="N251" s="65"/>
    </row>
    <row r="252" spans="1:14" x14ac:dyDescent="0.25">
      <c r="A252" s="2">
        <v>246</v>
      </c>
      <c r="B252" s="11">
        <f t="shared" ca="1" si="17"/>
        <v>1</v>
      </c>
      <c r="C252" s="26">
        <f t="shared" ca="1" si="18"/>
        <v>0.17686568814697268</v>
      </c>
      <c r="J252">
        <f t="shared" ca="1" si="19"/>
        <v>1</v>
      </c>
      <c r="K252">
        <f t="shared" ca="1" si="20"/>
        <v>0</v>
      </c>
      <c r="L252" s="65">
        <v>246</v>
      </c>
      <c r="M252" s="71">
        <f t="shared" ca="1" si="16"/>
        <v>8.8707942305174132</v>
      </c>
      <c r="N252" s="65"/>
    </row>
    <row r="253" spans="1:14" x14ac:dyDescent="0.25">
      <c r="A253" s="2">
        <v>247</v>
      </c>
      <c r="B253" s="11">
        <f t="shared" ca="1" si="17"/>
        <v>1</v>
      </c>
      <c r="C253" s="26">
        <f t="shared" ca="1" si="18"/>
        <v>0.40307774745417979</v>
      </c>
      <c r="J253">
        <f t="shared" ca="1" si="19"/>
        <v>1</v>
      </c>
      <c r="K253">
        <f t="shared" ca="1" si="20"/>
        <v>0</v>
      </c>
      <c r="L253" s="65">
        <v>247</v>
      </c>
      <c r="M253" s="71">
        <f t="shared" ca="1" si="16"/>
        <v>0.30553722654439291</v>
      </c>
      <c r="N253" s="65"/>
    </row>
    <row r="254" spans="1:14" x14ac:dyDescent="0.25">
      <c r="A254" s="2">
        <v>248</v>
      </c>
      <c r="B254" s="11">
        <f t="shared" ca="1" si="17"/>
        <v>1</v>
      </c>
      <c r="C254" s="26">
        <f t="shared" ca="1" si="18"/>
        <v>0.31894377079683467</v>
      </c>
      <c r="J254">
        <f t="shared" ca="1" si="19"/>
        <v>0</v>
      </c>
      <c r="K254">
        <f t="shared" ca="1" si="20"/>
        <v>0</v>
      </c>
      <c r="L254" s="65">
        <v>248</v>
      </c>
      <c r="M254" s="71">
        <f t="shared" ca="1" si="16"/>
        <v>11.519093839650811</v>
      </c>
      <c r="N254" s="65"/>
    </row>
    <row r="255" spans="1:14" x14ac:dyDescent="0.25">
      <c r="A255" s="2">
        <v>249</v>
      </c>
      <c r="B255" s="11">
        <f t="shared" ca="1" si="17"/>
        <v>0</v>
      </c>
      <c r="C255" s="26">
        <f t="shared" ca="1" si="18"/>
        <v>0.92719133282056065</v>
      </c>
      <c r="J255">
        <f t="shared" ca="1" si="19"/>
        <v>0</v>
      </c>
      <c r="K255">
        <f t="shared" ca="1" si="20"/>
        <v>0</v>
      </c>
      <c r="L255" s="65">
        <v>249</v>
      </c>
      <c r="M255" s="71">
        <f t="shared" ca="1" si="16"/>
        <v>0</v>
      </c>
      <c r="N255" s="65"/>
    </row>
    <row r="256" spans="1:14" x14ac:dyDescent="0.25">
      <c r="A256" s="2">
        <v>250</v>
      </c>
      <c r="B256" s="11">
        <f t="shared" ca="1" si="17"/>
        <v>1</v>
      </c>
      <c r="C256" s="26">
        <f t="shared" ca="1" si="18"/>
        <v>0.67251627462170216</v>
      </c>
      <c r="J256">
        <f t="shared" ca="1" si="19"/>
        <v>1</v>
      </c>
      <c r="K256">
        <f t="shared" ca="1" si="20"/>
        <v>0</v>
      </c>
      <c r="L256" s="65">
        <v>250</v>
      </c>
      <c r="M256" s="71">
        <f t="shared" ca="1" si="16"/>
        <v>2.1454945573552546</v>
      </c>
      <c r="N256" s="65"/>
    </row>
    <row r="257" spans="1:14" x14ac:dyDescent="0.25">
      <c r="A257" s="2">
        <v>251</v>
      </c>
      <c r="B257" s="11">
        <f t="shared" ca="1" si="17"/>
        <v>1</v>
      </c>
      <c r="C257" s="26">
        <f t="shared" ca="1" si="18"/>
        <v>0.2731898148793992</v>
      </c>
      <c r="J257">
        <f t="shared" ca="1" si="19"/>
        <v>1</v>
      </c>
      <c r="K257">
        <f t="shared" ca="1" si="20"/>
        <v>0</v>
      </c>
      <c r="L257" s="65">
        <v>251</v>
      </c>
      <c r="M257" s="71">
        <f t="shared" ca="1" si="16"/>
        <v>2.4187458112199351</v>
      </c>
      <c r="N257" s="65"/>
    </row>
    <row r="258" spans="1:14" x14ac:dyDescent="0.25">
      <c r="A258" s="2">
        <v>252</v>
      </c>
      <c r="B258" s="11">
        <f t="shared" ca="1" si="17"/>
        <v>1</v>
      </c>
      <c r="C258" s="26">
        <f t="shared" ca="1" si="18"/>
        <v>0.13377810007385582</v>
      </c>
      <c r="J258">
        <f t="shared" ca="1" si="19"/>
        <v>1</v>
      </c>
      <c r="K258">
        <f t="shared" ca="1" si="20"/>
        <v>0</v>
      </c>
      <c r="L258" s="65">
        <v>252</v>
      </c>
      <c r="M258" s="71">
        <f t="shared" ca="1" si="16"/>
        <v>10.129106488488798</v>
      </c>
      <c r="N258" s="65"/>
    </row>
    <row r="259" spans="1:14" x14ac:dyDescent="0.25">
      <c r="A259" s="2">
        <v>253</v>
      </c>
      <c r="B259" s="11">
        <f t="shared" ca="1" si="17"/>
        <v>1</v>
      </c>
      <c r="C259" s="26">
        <f t="shared" ca="1" si="18"/>
        <v>0.4756917421716601</v>
      </c>
      <c r="J259">
        <f t="shared" ca="1" si="19"/>
        <v>0</v>
      </c>
      <c r="K259">
        <f t="shared" ca="1" si="20"/>
        <v>0</v>
      </c>
      <c r="L259" s="65">
        <v>253</v>
      </c>
      <c r="M259" s="71">
        <f t="shared" ca="1" si="16"/>
        <v>9.6645422448593685E-2</v>
      </c>
      <c r="N259" s="65"/>
    </row>
    <row r="260" spans="1:14" x14ac:dyDescent="0.25">
      <c r="A260" s="2">
        <v>254</v>
      </c>
      <c r="B260" s="11">
        <f t="shared" ca="1" si="17"/>
        <v>0</v>
      </c>
      <c r="C260" s="26">
        <f t="shared" ca="1" si="18"/>
        <v>0.87795709209504147</v>
      </c>
      <c r="J260">
        <f t="shared" ca="1" si="19"/>
        <v>0</v>
      </c>
      <c r="K260">
        <f t="shared" ca="1" si="20"/>
        <v>0</v>
      </c>
      <c r="L260" s="65">
        <v>254</v>
      </c>
      <c r="M260" s="71">
        <f t="shared" ca="1" si="16"/>
        <v>0</v>
      </c>
      <c r="N260" s="65"/>
    </row>
    <row r="261" spans="1:14" x14ac:dyDescent="0.25">
      <c r="A261" s="2">
        <v>255</v>
      </c>
      <c r="B261" s="11">
        <f t="shared" ca="1" si="17"/>
        <v>1</v>
      </c>
      <c r="C261" s="26">
        <f t="shared" ca="1" si="18"/>
        <v>6.08116985013476E-2</v>
      </c>
      <c r="J261">
        <f t="shared" ca="1" si="19"/>
        <v>1</v>
      </c>
      <c r="K261">
        <f t="shared" ca="1" si="20"/>
        <v>0</v>
      </c>
      <c r="L261" s="65">
        <v>255</v>
      </c>
      <c r="M261" s="71">
        <f t="shared" ca="1" si="16"/>
        <v>5.205996116365009</v>
      </c>
      <c r="N261" s="65"/>
    </row>
    <row r="262" spans="1:14" x14ac:dyDescent="0.25">
      <c r="A262" s="2">
        <v>256</v>
      </c>
      <c r="B262" s="11">
        <f t="shared" ca="1" si="17"/>
        <v>1</v>
      </c>
      <c r="C262" s="26">
        <f t="shared" ca="1" si="18"/>
        <v>0.59965826140927314</v>
      </c>
      <c r="J262">
        <f t="shared" ca="1" si="19"/>
        <v>1</v>
      </c>
      <c r="K262">
        <f t="shared" ca="1" si="20"/>
        <v>0</v>
      </c>
      <c r="L262" s="65">
        <v>256</v>
      </c>
      <c r="M262" s="71">
        <f t="shared" ca="1" si="16"/>
        <v>2.8189063474570792</v>
      </c>
      <c r="N262" s="65"/>
    </row>
    <row r="263" spans="1:14" x14ac:dyDescent="0.25">
      <c r="A263" s="2">
        <v>257</v>
      </c>
      <c r="B263" s="11">
        <f t="shared" ca="1" si="17"/>
        <v>1</v>
      </c>
      <c r="C263" s="26">
        <f t="shared" ca="1" si="18"/>
        <v>0.2989956881221536</v>
      </c>
      <c r="J263">
        <f t="shared" ca="1" si="19"/>
        <v>1</v>
      </c>
      <c r="K263">
        <f t="shared" ca="1" si="20"/>
        <v>0</v>
      </c>
      <c r="L263" s="65">
        <v>257</v>
      </c>
      <c r="M263" s="71">
        <f t="shared" ref="M263:M326" ca="1" si="21">IF(B263&gt;0,-LN(1-(RAND()))/lambda,0)</f>
        <v>1.3232785445744317</v>
      </c>
      <c r="N263" s="65"/>
    </row>
    <row r="264" spans="1:14" x14ac:dyDescent="0.25">
      <c r="A264" s="2">
        <v>258</v>
      </c>
      <c r="B264" s="11">
        <f t="shared" ref="B264:B327" ca="1" si="22">IF(B263&gt;0,IF(C264&lt;pww,1,0),IF(C264&lt;pdw,1,0))</f>
        <v>1</v>
      </c>
      <c r="C264" s="26">
        <f t="shared" ref="C264:C327" ca="1" si="23">RAND()</f>
        <v>0.55864633827117161</v>
      </c>
      <c r="J264">
        <f t="shared" ref="J264:J327" ca="1" si="24">IF(AND(B264,B265),1,0)</f>
        <v>1</v>
      </c>
      <c r="K264">
        <f t="shared" ref="K264:K327" ca="1" si="25">IF(AND(NOT(B264),NOT(B265)),1,0)</f>
        <v>0</v>
      </c>
      <c r="L264" s="65">
        <v>258</v>
      </c>
      <c r="M264" s="71">
        <f t="shared" ca="1" si="21"/>
        <v>7.8254052344470599</v>
      </c>
      <c r="N264" s="65"/>
    </row>
    <row r="265" spans="1:14" x14ac:dyDescent="0.25">
      <c r="A265" s="2">
        <v>259</v>
      </c>
      <c r="B265" s="11">
        <f t="shared" ca="1" si="22"/>
        <v>1</v>
      </c>
      <c r="C265" s="26">
        <f t="shared" ca="1" si="23"/>
        <v>0.27031296007252825</v>
      </c>
      <c r="J265">
        <f t="shared" ca="1" si="24"/>
        <v>1</v>
      </c>
      <c r="K265">
        <f t="shared" ca="1" si="25"/>
        <v>0</v>
      </c>
      <c r="L265" s="65">
        <v>259</v>
      </c>
      <c r="M265" s="71">
        <f t="shared" ca="1" si="21"/>
        <v>2.1056237063583563</v>
      </c>
      <c r="N265" s="65"/>
    </row>
    <row r="266" spans="1:14" x14ac:dyDescent="0.25">
      <c r="A266" s="2">
        <v>260</v>
      </c>
      <c r="B266" s="11">
        <f t="shared" ca="1" si="22"/>
        <v>1</v>
      </c>
      <c r="C266" s="26">
        <f t="shared" ca="1" si="23"/>
        <v>0.24586296176114664</v>
      </c>
      <c r="J266">
        <f t="shared" ca="1" si="24"/>
        <v>1</v>
      </c>
      <c r="K266">
        <f t="shared" ca="1" si="25"/>
        <v>0</v>
      </c>
      <c r="L266" s="65">
        <v>260</v>
      </c>
      <c r="M266" s="71">
        <f t="shared" ca="1" si="21"/>
        <v>0.35673326894786422</v>
      </c>
      <c r="N266" s="65"/>
    </row>
    <row r="267" spans="1:14" x14ac:dyDescent="0.25">
      <c r="A267" s="2">
        <v>261</v>
      </c>
      <c r="B267" s="11">
        <f t="shared" ca="1" si="22"/>
        <v>1</v>
      </c>
      <c r="C267" s="26">
        <f t="shared" ca="1" si="23"/>
        <v>0.22531327817740954</v>
      </c>
      <c r="J267">
        <f t="shared" ca="1" si="24"/>
        <v>0</v>
      </c>
      <c r="K267">
        <f t="shared" ca="1" si="25"/>
        <v>0</v>
      </c>
      <c r="L267" s="65">
        <v>261</v>
      </c>
      <c r="M267" s="71">
        <f t="shared" ca="1" si="21"/>
        <v>0.8810779669558888</v>
      </c>
      <c r="N267" s="65"/>
    </row>
    <row r="268" spans="1:14" x14ac:dyDescent="0.25">
      <c r="A268" s="2">
        <v>262</v>
      </c>
      <c r="B268" s="11">
        <f t="shared" ca="1" si="22"/>
        <v>0</v>
      </c>
      <c r="C268" s="26">
        <f t="shared" ca="1" si="23"/>
        <v>0.95473752760008546</v>
      </c>
      <c r="J268">
        <f t="shared" ca="1" si="24"/>
        <v>0</v>
      </c>
      <c r="K268">
        <f t="shared" ca="1" si="25"/>
        <v>0</v>
      </c>
      <c r="L268" s="65">
        <v>262</v>
      </c>
      <c r="M268" s="71">
        <f t="shared" ca="1" si="21"/>
        <v>0</v>
      </c>
      <c r="N268" s="65"/>
    </row>
    <row r="269" spans="1:14" x14ac:dyDescent="0.25">
      <c r="A269" s="2">
        <v>263</v>
      </c>
      <c r="B269" s="11">
        <f t="shared" ca="1" si="22"/>
        <v>1</v>
      </c>
      <c r="C269" s="26">
        <f t="shared" ca="1" si="23"/>
        <v>0.45078520775943487</v>
      </c>
      <c r="J269">
        <f t="shared" ca="1" si="24"/>
        <v>1</v>
      </c>
      <c r="K269">
        <f t="shared" ca="1" si="25"/>
        <v>0</v>
      </c>
      <c r="L269" s="65">
        <v>263</v>
      </c>
      <c r="M269" s="71">
        <f t="shared" ca="1" si="21"/>
        <v>0.12041767614737948</v>
      </c>
      <c r="N269" s="65"/>
    </row>
    <row r="270" spans="1:14" x14ac:dyDescent="0.25">
      <c r="A270" s="2">
        <v>264</v>
      </c>
      <c r="B270" s="11">
        <f t="shared" ca="1" si="22"/>
        <v>1</v>
      </c>
      <c r="C270" s="26">
        <f t="shared" ca="1" si="23"/>
        <v>0.61179926511925109</v>
      </c>
      <c r="J270">
        <f t="shared" ca="1" si="24"/>
        <v>1</v>
      </c>
      <c r="K270">
        <f t="shared" ca="1" si="25"/>
        <v>0</v>
      </c>
      <c r="L270" s="65">
        <v>264</v>
      </c>
      <c r="M270" s="71">
        <f t="shared" ca="1" si="21"/>
        <v>7.7154231187599676</v>
      </c>
      <c r="N270" s="65"/>
    </row>
    <row r="271" spans="1:14" x14ac:dyDescent="0.25">
      <c r="A271" s="2">
        <v>265</v>
      </c>
      <c r="B271" s="11">
        <f t="shared" ca="1" si="22"/>
        <v>1</v>
      </c>
      <c r="C271" s="26">
        <f t="shared" ca="1" si="23"/>
        <v>0.34845809289362006</v>
      </c>
      <c r="J271">
        <f t="shared" ca="1" si="24"/>
        <v>1</v>
      </c>
      <c r="K271">
        <f t="shared" ca="1" si="25"/>
        <v>0</v>
      </c>
      <c r="L271" s="65">
        <v>265</v>
      </c>
      <c r="M271" s="71">
        <f t="shared" ca="1" si="21"/>
        <v>11.309787129584592</v>
      </c>
      <c r="N271" s="65"/>
    </row>
    <row r="272" spans="1:14" x14ac:dyDescent="0.25">
      <c r="A272" s="2">
        <v>266</v>
      </c>
      <c r="B272" s="11">
        <f t="shared" ca="1" si="22"/>
        <v>1</v>
      </c>
      <c r="C272" s="26">
        <f t="shared" ca="1" si="23"/>
        <v>0.44484860653133085</v>
      </c>
      <c r="J272">
        <f t="shared" ca="1" si="24"/>
        <v>1</v>
      </c>
      <c r="K272">
        <f t="shared" ca="1" si="25"/>
        <v>0</v>
      </c>
      <c r="L272" s="65">
        <v>266</v>
      </c>
      <c r="M272" s="71">
        <f t="shared" ca="1" si="21"/>
        <v>2.2265729066191469</v>
      </c>
      <c r="N272" s="65"/>
    </row>
    <row r="273" spans="1:14" x14ac:dyDescent="0.25">
      <c r="A273" s="2">
        <v>267</v>
      </c>
      <c r="B273" s="11">
        <f t="shared" ca="1" si="22"/>
        <v>1</v>
      </c>
      <c r="C273" s="26">
        <f t="shared" ca="1" si="23"/>
        <v>0.34968923557255949</v>
      </c>
      <c r="J273">
        <f t="shared" ca="1" si="24"/>
        <v>1</v>
      </c>
      <c r="K273">
        <f t="shared" ca="1" si="25"/>
        <v>0</v>
      </c>
      <c r="L273" s="65">
        <v>267</v>
      </c>
      <c r="M273" s="71">
        <f t="shared" ca="1" si="21"/>
        <v>2.084686629163119E-2</v>
      </c>
      <c r="N273" s="65"/>
    </row>
    <row r="274" spans="1:14" x14ac:dyDescent="0.25">
      <c r="A274" s="2">
        <v>268</v>
      </c>
      <c r="B274" s="11">
        <f t="shared" ca="1" si="22"/>
        <v>1</v>
      </c>
      <c r="C274" s="26">
        <f t="shared" ca="1" si="23"/>
        <v>0.38578673597165092</v>
      </c>
      <c r="J274">
        <f t="shared" ca="1" si="24"/>
        <v>1</v>
      </c>
      <c r="K274">
        <f t="shared" ca="1" si="25"/>
        <v>0</v>
      </c>
      <c r="L274" s="65">
        <v>268</v>
      </c>
      <c r="M274" s="71">
        <f t="shared" ca="1" si="21"/>
        <v>0.6233037337346452</v>
      </c>
      <c r="N274" s="65"/>
    </row>
    <row r="275" spans="1:14" x14ac:dyDescent="0.25">
      <c r="A275" s="2">
        <v>269</v>
      </c>
      <c r="B275" s="11">
        <f t="shared" ca="1" si="22"/>
        <v>1</v>
      </c>
      <c r="C275" s="26">
        <f t="shared" ca="1" si="23"/>
        <v>0.22201304647611197</v>
      </c>
      <c r="J275">
        <f t="shared" ca="1" si="24"/>
        <v>1</v>
      </c>
      <c r="K275">
        <f t="shared" ca="1" si="25"/>
        <v>0</v>
      </c>
      <c r="L275" s="65">
        <v>269</v>
      </c>
      <c r="M275" s="71">
        <f t="shared" ca="1" si="21"/>
        <v>2.7328148181447989</v>
      </c>
      <c r="N275" s="65"/>
    </row>
    <row r="276" spans="1:14" x14ac:dyDescent="0.25">
      <c r="A276" s="2">
        <v>270</v>
      </c>
      <c r="B276" s="11">
        <f t="shared" ca="1" si="22"/>
        <v>1</v>
      </c>
      <c r="C276" s="26">
        <f t="shared" ca="1" si="23"/>
        <v>0.45797423238269286</v>
      </c>
      <c r="J276">
        <f t="shared" ca="1" si="24"/>
        <v>1</v>
      </c>
      <c r="K276">
        <f t="shared" ca="1" si="25"/>
        <v>0</v>
      </c>
      <c r="L276" s="65">
        <v>270</v>
      </c>
      <c r="M276" s="71">
        <f t="shared" ca="1" si="21"/>
        <v>6.3332943858142912</v>
      </c>
      <c r="N276" s="65"/>
    </row>
    <row r="277" spans="1:14" x14ac:dyDescent="0.25">
      <c r="A277" s="2">
        <v>271</v>
      </c>
      <c r="B277" s="11">
        <f t="shared" ca="1" si="22"/>
        <v>1</v>
      </c>
      <c r="C277" s="26">
        <f t="shared" ca="1" si="23"/>
        <v>0.48992917135267544</v>
      </c>
      <c r="J277">
        <f t="shared" ca="1" si="24"/>
        <v>0</v>
      </c>
      <c r="K277">
        <f t="shared" ca="1" si="25"/>
        <v>0</v>
      </c>
      <c r="L277" s="65">
        <v>271</v>
      </c>
      <c r="M277" s="71">
        <f t="shared" ca="1" si="21"/>
        <v>0.26022390664780443</v>
      </c>
      <c r="N277" s="65"/>
    </row>
    <row r="278" spans="1:14" x14ac:dyDescent="0.25">
      <c r="A278" s="2">
        <v>272</v>
      </c>
      <c r="B278" s="11">
        <f t="shared" ca="1" si="22"/>
        <v>0</v>
      </c>
      <c r="C278" s="26">
        <f t="shared" ca="1" si="23"/>
        <v>0.91613170959135171</v>
      </c>
      <c r="J278">
        <f t="shared" ca="1" si="24"/>
        <v>0</v>
      </c>
      <c r="K278">
        <f t="shared" ca="1" si="25"/>
        <v>0</v>
      </c>
      <c r="L278" s="65">
        <v>272</v>
      </c>
      <c r="M278" s="71">
        <f t="shared" ca="1" si="21"/>
        <v>0</v>
      </c>
      <c r="N278" s="65"/>
    </row>
    <row r="279" spans="1:14" x14ac:dyDescent="0.25">
      <c r="A279" s="2">
        <v>273</v>
      </c>
      <c r="B279" s="11">
        <f t="shared" ca="1" si="22"/>
        <v>1</v>
      </c>
      <c r="C279" s="26">
        <f t="shared" ca="1" si="23"/>
        <v>0.13598537192451043</v>
      </c>
      <c r="J279">
        <f t="shared" ca="1" si="24"/>
        <v>1</v>
      </c>
      <c r="K279">
        <f t="shared" ca="1" si="25"/>
        <v>0</v>
      </c>
      <c r="L279" s="65">
        <v>273</v>
      </c>
      <c r="M279" s="71">
        <f t="shared" ca="1" si="21"/>
        <v>3.1598562099573595</v>
      </c>
      <c r="N279" s="65"/>
    </row>
    <row r="280" spans="1:14" x14ac:dyDescent="0.25">
      <c r="A280" s="2">
        <v>274</v>
      </c>
      <c r="B280" s="11">
        <f t="shared" ca="1" si="22"/>
        <v>1</v>
      </c>
      <c r="C280" s="26">
        <f t="shared" ca="1" si="23"/>
        <v>0.34246608278644164</v>
      </c>
      <c r="J280">
        <f t="shared" ca="1" si="24"/>
        <v>1</v>
      </c>
      <c r="K280">
        <f t="shared" ca="1" si="25"/>
        <v>0</v>
      </c>
      <c r="L280" s="65">
        <v>274</v>
      </c>
      <c r="M280" s="71">
        <f t="shared" ca="1" si="21"/>
        <v>4.1381608284760478</v>
      </c>
      <c r="N280" s="65"/>
    </row>
    <row r="281" spans="1:14" x14ac:dyDescent="0.25">
      <c r="A281" s="2">
        <v>275</v>
      </c>
      <c r="B281" s="11">
        <f t="shared" ca="1" si="22"/>
        <v>1</v>
      </c>
      <c r="C281" s="26">
        <f t="shared" ca="1" si="23"/>
        <v>0.32106878635223435</v>
      </c>
      <c r="J281">
        <f t="shared" ca="1" si="24"/>
        <v>1</v>
      </c>
      <c r="K281">
        <f t="shared" ca="1" si="25"/>
        <v>0</v>
      </c>
      <c r="L281" s="65">
        <v>275</v>
      </c>
      <c r="M281" s="71">
        <f t="shared" ca="1" si="21"/>
        <v>0.49591868227535607</v>
      </c>
      <c r="N281" s="65"/>
    </row>
    <row r="282" spans="1:14" x14ac:dyDescent="0.25">
      <c r="A282" s="2">
        <v>276</v>
      </c>
      <c r="B282" s="11">
        <f t="shared" ca="1" si="22"/>
        <v>1</v>
      </c>
      <c r="C282" s="26">
        <f t="shared" ca="1" si="23"/>
        <v>0.64008419328818766</v>
      </c>
      <c r="J282">
        <f t="shared" ca="1" si="24"/>
        <v>1</v>
      </c>
      <c r="K282">
        <f t="shared" ca="1" si="25"/>
        <v>0</v>
      </c>
      <c r="L282" s="65">
        <v>276</v>
      </c>
      <c r="M282" s="71">
        <f t="shared" ca="1" si="21"/>
        <v>9.5043275353943399E-2</v>
      </c>
      <c r="N282" s="65"/>
    </row>
    <row r="283" spans="1:14" x14ac:dyDescent="0.25">
      <c r="A283" s="2">
        <v>277</v>
      </c>
      <c r="B283" s="11">
        <f t="shared" ca="1" si="22"/>
        <v>1</v>
      </c>
      <c r="C283" s="26">
        <f t="shared" ca="1" si="23"/>
        <v>0.3692423794905717</v>
      </c>
      <c r="J283">
        <f t="shared" ca="1" si="24"/>
        <v>0</v>
      </c>
      <c r="K283">
        <f t="shared" ca="1" si="25"/>
        <v>0</v>
      </c>
      <c r="L283" s="65">
        <v>277</v>
      </c>
      <c r="M283" s="71">
        <f t="shared" ca="1" si="21"/>
        <v>0.46012562369174081</v>
      </c>
      <c r="N283" s="65"/>
    </row>
    <row r="284" spans="1:14" x14ac:dyDescent="0.25">
      <c r="A284" s="2">
        <v>278</v>
      </c>
      <c r="B284" s="11">
        <f t="shared" ca="1" si="22"/>
        <v>0</v>
      </c>
      <c r="C284" s="26">
        <f t="shared" ca="1" si="23"/>
        <v>0.85471949404687764</v>
      </c>
      <c r="J284">
        <f t="shared" ca="1" si="24"/>
        <v>0</v>
      </c>
      <c r="K284">
        <f t="shared" ca="1" si="25"/>
        <v>0</v>
      </c>
      <c r="L284" s="65">
        <v>278</v>
      </c>
      <c r="M284" s="71">
        <f t="shared" ca="1" si="21"/>
        <v>0</v>
      </c>
      <c r="N284" s="65"/>
    </row>
    <row r="285" spans="1:14" x14ac:dyDescent="0.25">
      <c r="A285" s="2">
        <v>279</v>
      </c>
      <c r="B285" s="11">
        <f t="shared" ca="1" si="22"/>
        <v>1</v>
      </c>
      <c r="C285" s="26">
        <f t="shared" ca="1" si="23"/>
        <v>0.49157272202812552</v>
      </c>
      <c r="J285">
        <f t="shared" ca="1" si="24"/>
        <v>1</v>
      </c>
      <c r="K285">
        <f t="shared" ca="1" si="25"/>
        <v>0</v>
      </c>
      <c r="L285" s="65">
        <v>279</v>
      </c>
      <c r="M285" s="71">
        <f t="shared" ca="1" si="21"/>
        <v>1.2248651747211741</v>
      </c>
      <c r="N285" s="65"/>
    </row>
    <row r="286" spans="1:14" x14ac:dyDescent="0.25">
      <c r="A286" s="2">
        <v>280</v>
      </c>
      <c r="B286" s="11">
        <f t="shared" ca="1" si="22"/>
        <v>1</v>
      </c>
      <c r="C286" s="26">
        <f t="shared" ca="1" si="23"/>
        <v>0.60483947158422147</v>
      </c>
      <c r="J286">
        <f t="shared" ca="1" si="24"/>
        <v>1</v>
      </c>
      <c r="K286">
        <f t="shared" ca="1" si="25"/>
        <v>0</v>
      </c>
      <c r="L286" s="65">
        <v>280</v>
      </c>
      <c r="M286" s="71">
        <f t="shared" ca="1" si="21"/>
        <v>4.4204951633995195</v>
      </c>
      <c r="N286" s="65"/>
    </row>
    <row r="287" spans="1:14" x14ac:dyDescent="0.25">
      <c r="A287" s="2">
        <v>281</v>
      </c>
      <c r="B287" s="11">
        <f t="shared" ca="1" si="22"/>
        <v>1</v>
      </c>
      <c r="C287" s="26">
        <f t="shared" ca="1" si="23"/>
        <v>0.12574385025157986</v>
      </c>
      <c r="J287">
        <f t="shared" ca="1" si="24"/>
        <v>1</v>
      </c>
      <c r="K287">
        <f t="shared" ca="1" si="25"/>
        <v>0</v>
      </c>
      <c r="L287" s="65">
        <v>281</v>
      </c>
      <c r="M287" s="71">
        <f t="shared" ca="1" si="21"/>
        <v>7.127157782611071E-2</v>
      </c>
      <c r="N287" s="65"/>
    </row>
    <row r="288" spans="1:14" x14ac:dyDescent="0.25">
      <c r="A288" s="2">
        <v>282</v>
      </c>
      <c r="B288" s="11">
        <f t="shared" ca="1" si="22"/>
        <v>1</v>
      </c>
      <c r="C288" s="26">
        <f t="shared" ca="1" si="23"/>
        <v>0.53312217040690446</v>
      </c>
      <c r="J288">
        <f t="shared" ca="1" si="24"/>
        <v>1</v>
      </c>
      <c r="K288">
        <f t="shared" ca="1" si="25"/>
        <v>0</v>
      </c>
      <c r="L288" s="65">
        <v>282</v>
      </c>
      <c r="M288" s="71">
        <f t="shared" ca="1" si="21"/>
        <v>2.1934119602454418E-2</v>
      </c>
      <c r="N288" s="65"/>
    </row>
    <row r="289" spans="1:14" x14ac:dyDescent="0.25">
      <c r="A289" s="2">
        <v>283</v>
      </c>
      <c r="B289" s="11">
        <f t="shared" ca="1" si="22"/>
        <v>1</v>
      </c>
      <c r="C289" s="26">
        <f t="shared" ca="1" si="23"/>
        <v>0.48402628668147396</v>
      </c>
      <c r="J289">
        <f t="shared" ca="1" si="24"/>
        <v>0</v>
      </c>
      <c r="K289">
        <f t="shared" ca="1" si="25"/>
        <v>0</v>
      </c>
      <c r="L289" s="65">
        <v>283</v>
      </c>
      <c r="M289" s="71">
        <f t="shared" ca="1" si="21"/>
        <v>10.387849295564138</v>
      </c>
      <c r="N289" s="65"/>
    </row>
    <row r="290" spans="1:14" x14ac:dyDescent="0.25">
      <c r="A290" s="2">
        <v>284</v>
      </c>
      <c r="B290" s="11">
        <f t="shared" ca="1" si="22"/>
        <v>0</v>
      </c>
      <c r="C290" s="26">
        <f t="shared" ca="1" si="23"/>
        <v>0.97057235856454649</v>
      </c>
      <c r="J290">
        <f t="shared" ca="1" si="24"/>
        <v>0</v>
      </c>
      <c r="K290">
        <f t="shared" ca="1" si="25"/>
        <v>1</v>
      </c>
      <c r="L290" s="65">
        <v>284</v>
      </c>
      <c r="M290" s="71">
        <f t="shared" ca="1" si="21"/>
        <v>0</v>
      </c>
      <c r="N290" s="65"/>
    </row>
    <row r="291" spans="1:14" x14ac:dyDescent="0.25">
      <c r="A291" s="2">
        <v>285</v>
      </c>
      <c r="B291" s="11">
        <f t="shared" ca="1" si="22"/>
        <v>0</v>
      </c>
      <c r="C291" s="26">
        <f t="shared" ca="1" si="23"/>
        <v>0.88442318086883931</v>
      </c>
      <c r="J291">
        <f t="shared" ca="1" si="24"/>
        <v>0</v>
      </c>
      <c r="K291">
        <f t="shared" ca="1" si="25"/>
        <v>0</v>
      </c>
      <c r="L291" s="65">
        <v>285</v>
      </c>
      <c r="M291" s="71">
        <f t="shared" ca="1" si="21"/>
        <v>0</v>
      </c>
      <c r="N291" s="65"/>
    </row>
    <row r="292" spans="1:14" x14ac:dyDescent="0.25">
      <c r="A292" s="2">
        <v>286</v>
      </c>
      <c r="B292" s="11">
        <f t="shared" ca="1" si="22"/>
        <v>1</v>
      </c>
      <c r="C292" s="26">
        <f t="shared" ca="1" si="23"/>
        <v>0.14617884011611459</v>
      </c>
      <c r="J292">
        <f t="shared" ca="1" si="24"/>
        <v>1</v>
      </c>
      <c r="K292">
        <f t="shared" ca="1" si="25"/>
        <v>0</v>
      </c>
      <c r="L292" s="65">
        <v>286</v>
      </c>
      <c r="M292" s="71">
        <f t="shared" ca="1" si="21"/>
        <v>4.281748092909055</v>
      </c>
      <c r="N292" s="65"/>
    </row>
    <row r="293" spans="1:14" x14ac:dyDescent="0.25">
      <c r="A293" s="2">
        <v>287</v>
      </c>
      <c r="B293" s="11">
        <f t="shared" ca="1" si="22"/>
        <v>1</v>
      </c>
      <c r="C293" s="26">
        <f t="shared" ca="1" si="23"/>
        <v>0.6044929805946736</v>
      </c>
      <c r="J293">
        <f t="shared" ca="1" si="24"/>
        <v>1</v>
      </c>
      <c r="K293">
        <f t="shared" ca="1" si="25"/>
        <v>0</v>
      </c>
      <c r="L293" s="65">
        <v>287</v>
      </c>
      <c r="M293" s="71">
        <f t="shared" ca="1" si="21"/>
        <v>6.6469095154890718</v>
      </c>
      <c r="N293" s="65"/>
    </row>
    <row r="294" spans="1:14" x14ac:dyDescent="0.25">
      <c r="A294" s="2">
        <v>288</v>
      </c>
      <c r="B294" s="11">
        <f t="shared" ca="1" si="22"/>
        <v>1</v>
      </c>
      <c r="C294" s="26">
        <f t="shared" ca="1" si="23"/>
        <v>0.33703776692012799</v>
      </c>
      <c r="J294">
        <f t="shared" ca="1" si="24"/>
        <v>1</v>
      </c>
      <c r="K294">
        <f t="shared" ca="1" si="25"/>
        <v>0</v>
      </c>
      <c r="L294" s="65">
        <v>288</v>
      </c>
      <c r="M294" s="71">
        <f t="shared" ca="1" si="21"/>
        <v>0.80880902443112701</v>
      </c>
      <c r="N294" s="65"/>
    </row>
    <row r="295" spans="1:14" x14ac:dyDescent="0.25">
      <c r="A295" s="2">
        <v>289</v>
      </c>
      <c r="B295" s="11">
        <f t="shared" ca="1" si="22"/>
        <v>1</v>
      </c>
      <c r="C295" s="26">
        <f t="shared" ca="1" si="23"/>
        <v>0.31576644159969158</v>
      </c>
      <c r="J295">
        <f t="shared" ca="1" si="24"/>
        <v>1</v>
      </c>
      <c r="K295">
        <f t="shared" ca="1" si="25"/>
        <v>0</v>
      </c>
      <c r="L295" s="65">
        <v>289</v>
      </c>
      <c r="M295" s="71">
        <f t="shared" ca="1" si="21"/>
        <v>1.2118416300100523</v>
      </c>
      <c r="N295" s="65"/>
    </row>
    <row r="296" spans="1:14" x14ac:dyDescent="0.25">
      <c r="A296" s="2">
        <v>290</v>
      </c>
      <c r="B296" s="11">
        <f t="shared" ca="1" si="22"/>
        <v>1</v>
      </c>
      <c r="C296" s="26">
        <f t="shared" ca="1" si="23"/>
        <v>0.46778573219384001</v>
      </c>
      <c r="J296">
        <f t="shared" ca="1" si="24"/>
        <v>1</v>
      </c>
      <c r="K296">
        <f t="shared" ca="1" si="25"/>
        <v>0</v>
      </c>
      <c r="L296" s="65">
        <v>290</v>
      </c>
      <c r="M296" s="71">
        <f t="shared" ca="1" si="21"/>
        <v>1.5138119646823596</v>
      </c>
      <c r="N296" s="65"/>
    </row>
    <row r="297" spans="1:14" x14ac:dyDescent="0.25">
      <c r="A297" s="2">
        <v>291</v>
      </c>
      <c r="B297" s="11">
        <f t="shared" ca="1" si="22"/>
        <v>1</v>
      </c>
      <c r="C297" s="26">
        <f t="shared" ca="1" si="23"/>
        <v>0.57228303516825307</v>
      </c>
      <c r="J297">
        <f t="shared" ca="1" si="24"/>
        <v>1</v>
      </c>
      <c r="K297">
        <f t="shared" ca="1" si="25"/>
        <v>0</v>
      </c>
      <c r="L297" s="65">
        <v>291</v>
      </c>
      <c r="M297" s="71">
        <f t="shared" ca="1" si="21"/>
        <v>1.2580348171517168</v>
      </c>
      <c r="N297" s="65"/>
    </row>
    <row r="298" spans="1:14" x14ac:dyDescent="0.25">
      <c r="A298" s="2">
        <v>292</v>
      </c>
      <c r="B298" s="11">
        <f t="shared" ca="1" si="22"/>
        <v>1</v>
      </c>
      <c r="C298" s="26">
        <f t="shared" ca="1" si="23"/>
        <v>0.45788616636497559</v>
      </c>
      <c r="J298">
        <f t="shared" ca="1" si="24"/>
        <v>0</v>
      </c>
      <c r="K298">
        <f t="shared" ca="1" si="25"/>
        <v>0</v>
      </c>
      <c r="L298" s="65">
        <v>292</v>
      </c>
      <c r="M298" s="71">
        <f t="shared" ca="1" si="21"/>
        <v>15.623396467705861</v>
      </c>
      <c r="N298" s="65"/>
    </row>
    <row r="299" spans="1:14" x14ac:dyDescent="0.25">
      <c r="A299" s="2">
        <v>293</v>
      </c>
      <c r="B299" s="11">
        <f t="shared" ca="1" si="22"/>
        <v>0</v>
      </c>
      <c r="C299" s="26">
        <f t="shared" ca="1" si="23"/>
        <v>0.89304091076998682</v>
      </c>
      <c r="J299">
        <f t="shared" ca="1" si="24"/>
        <v>0</v>
      </c>
      <c r="K299">
        <f t="shared" ca="1" si="25"/>
        <v>0</v>
      </c>
      <c r="L299" s="65">
        <v>293</v>
      </c>
      <c r="M299" s="71">
        <f t="shared" ca="1" si="21"/>
        <v>0</v>
      </c>
      <c r="N299" s="65"/>
    </row>
    <row r="300" spans="1:14" x14ac:dyDescent="0.25">
      <c r="A300" s="2">
        <v>294</v>
      </c>
      <c r="B300" s="11">
        <f t="shared" ca="1" si="22"/>
        <v>1</v>
      </c>
      <c r="C300" s="26">
        <f t="shared" ca="1" si="23"/>
        <v>9.6826767931338265E-2</v>
      </c>
      <c r="J300">
        <f t="shared" ca="1" si="24"/>
        <v>1</v>
      </c>
      <c r="K300">
        <f t="shared" ca="1" si="25"/>
        <v>0</v>
      </c>
      <c r="L300" s="65">
        <v>294</v>
      </c>
      <c r="M300" s="71">
        <f t="shared" ca="1" si="21"/>
        <v>0.87399858256278529</v>
      </c>
      <c r="N300" s="65"/>
    </row>
    <row r="301" spans="1:14" x14ac:dyDescent="0.25">
      <c r="A301" s="2">
        <v>295</v>
      </c>
      <c r="B301" s="11">
        <f t="shared" ca="1" si="22"/>
        <v>1</v>
      </c>
      <c r="C301" s="26">
        <f t="shared" ca="1" si="23"/>
        <v>3.9426573635150008E-2</v>
      </c>
      <c r="J301">
        <f t="shared" ca="1" si="24"/>
        <v>1</v>
      </c>
      <c r="K301">
        <f t="shared" ca="1" si="25"/>
        <v>0</v>
      </c>
      <c r="L301" s="65">
        <v>295</v>
      </c>
      <c r="M301" s="71">
        <f t="shared" ca="1" si="21"/>
        <v>0.30776520285748138</v>
      </c>
      <c r="N301" s="65"/>
    </row>
    <row r="302" spans="1:14" x14ac:dyDescent="0.25">
      <c r="A302" s="2">
        <v>296</v>
      </c>
      <c r="B302" s="11">
        <f t="shared" ca="1" si="22"/>
        <v>1</v>
      </c>
      <c r="C302" s="26">
        <f t="shared" ca="1" si="23"/>
        <v>0.39936005827612919</v>
      </c>
      <c r="J302">
        <f t="shared" ca="1" si="24"/>
        <v>1</v>
      </c>
      <c r="K302">
        <f t="shared" ca="1" si="25"/>
        <v>0</v>
      </c>
      <c r="L302" s="65">
        <v>296</v>
      </c>
      <c r="M302" s="71">
        <f t="shared" ca="1" si="21"/>
        <v>6.5510574305150771</v>
      </c>
      <c r="N302" s="65"/>
    </row>
    <row r="303" spans="1:14" x14ac:dyDescent="0.25">
      <c r="A303" s="2">
        <v>297</v>
      </c>
      <c r="B303" s="11">
        <f t="shared" ca="1" si="22"/>
        <v>1</v>
      </c>
      <c r="C303" s="26">
        <f t="shared" ca="1" si="23"/>
        <v>1.662255749886854E-2</v>
      </c>
      <c r="J303">
        <f t="shared" ca="1" si="24"/>
        <v>1</v>
      </c>
      <c r="K303">
        <f t="shared" ca="1" si="25"/>
        <v>0</v>
      </c>
      <c r="L303" s="65">
        <v>297</v>
      </c>
      <c r="M303" s="71">
        <f t="shared" ca="1" si="21"/>
        <v>4.7411114953382016</v>
      </c>
      <c r="N303" s="65"/>
    </row>
    <row r="304" spans="1:14" x14ac:dyDescent="0.25">
      <c r="A304" s="2">
        <v>298</v>
      </c>
      <c r="B304" s="11">
        <f t="shared" ca="1" si="22"/>
        <v>1</v>
      </c>
      <c r="C304" s="26">
        <f t="shared" ca="1" si="23"/>
        <v>2.7727662678167952E-2</v>
      </c>
      <c r="J304">
        <f t="shared" ca="1" si="24"/>
        <v>1</v>
      </c>
      <c r="K304">
        <f t="shared" ca="1" si="25"/>
        <v>0</v>
      </c>
      <c r="L304" s="65">
        <v>298</v>
      </c>
      <c r="M304" s="71">
        <f t="shared" ca="1" si="21"/>
        <v>4.3830223578941627</v>
      </c>
      <c r="N304" s="65"/>
    </row>
    <row r="305" spans="1:14" x14ac:dyDescent="0.25">
      <c r="A305" s="2">
        <v>299</v>
      </c>
      <c r="B305" s="11">
        <f t="shared" ca="1" si="22"/>
        <v>1</v>
      </c>
      <c r="C305" s="26">
        <f t="shared" ca="1" si="23"/>
        <v>0.79566429539559358</v>
      </c>
      <c r="J305">
        <f t="shared" ca="1" si="24"/>
        <v>0</v>
      </c>
      <c r="K305">
        <f t="shared" ca="1" si="25"/>
        <v>0</v>
      </c>
      <c r="L305" s="65">
        <v>299</v>
      </c>
      <c r="M305" s="71">
        <f t="shared" ca="1" si="21"/>
        <v>3.4256304535530333</v>
      </c>
      <c r="N305" s="65"/>
    </row>
    <row r="306" spans="1:14" x14ac:dyDescent="0.25">
      <c r="A306" s="2">
        <v>300</v>
      </c>
      <c r="B306" s="11">
        <f t="shared" ca="1" si="22"/>
        <v>0</v>
      </c>
      <c r="C306" s="26">
        <f t="shared" ca="1" si="23"/>
        <v>0.96260232048675753</v>
      </c>
      <c r="J306">
        <f t="shared" ca="1" si="24"/>
        <v>0</v>
      </c>
      <c r="K306">
        <f t="shared" ca="1" si="25"/>
        <v>0</v>
      </c>
      <c r="L306" s="65">
        <v>300</v>
      </c>
      <c r="M306" s="71">
        <f t="shared" ca="1" si="21"/>
        <v>0</v>
      </c>
      <c r="N306" s="65"/>
    </row>
    <row r="307" spans="1:14" x14ac:dyDescent="0.25">
      <c r="A307" s="2">
        <v>301</v>
      </c>
      <c r="B307" s="11">
        <f t="shared" ca="1" si="22"/>
        <v>1</v>
      </c>
      <c r="C307" s="26">
        <f t="shared" ca="1" si="23"/>
        <v>7.4675620590675895E-2</v>
      </c>
      <c r="J307">
        <f t="shared" ca="1" si="24"/>
        <v>1</v>
      </c>
      <c r="K307">
        <f t="shared" ca="1" si="25"/>
        <v>0</v>
      </c>
      <c r="L307" s="65">
        <v>301</v>
      </c>
      <c r="M307" s="71">
        <f t="shared" ca="1" si="21"/>
        <v>0.35931786982309383</v>
      </c>
      <c r="N307" s="65"/>
    </row>
    <row r="308" spans="1:14" x14ac:dyDescent="0.25">
      <c r="A308" s="2">
        <v>302</v>
      </c>
      <c r="B308" s="11">
        <f t="shared" ca="1" si="22"/>
        <v>1</v>
      </c>
      <c r="C308" s="26">
        <f t="shared" ca="1" si="23"/>
        <v>0.31277852364722092</v>
      </c>
      <c r="J308">
        <f t="shared" ca="1" si="24"/>
        <v>0</v>
      </c>
      <c r="K308">
        <f t="shared" ca="1" si="25"/>
        <v>0</v>
      </c>
      <c r="L308" s="65">
        <v>302</v>
      </c>
      <c r="M308" s="71">
        <f t="shared" ca="1" si="21"/>
        <v>3.157778850449684</v>
      </c>
      <c r="N308" s="65"/>
    </row>
    <row r="309" spans="1:14" x14ac:dyDescent="0.25">
      <c r="A309" s="2">
        <v>303</v>
      </c>
      <c r="B309" s="11">
        <f t="shared" ca="1" si="22"/>
        <v>0</v>
      </c>
      <c r="C309" s="26">
        <f t="shared" ca="1" si="23"/>
        <v>0.97104673167613464</v>
      </c>
      <c r="J309">
        <f t="shared" ca="1" si="24"/>
        <v>0</v>
      </c>
      <c r="K309">
        <f t="shared" ca="1" si="25"/>
        <v>1</v>
      </c>
      <c r="L309" s="65">
        <v>303</v>
      </c>
      <c r="M309" s="71">
        <f t="shared" ca="1" si="21"/>
        <v>0</v>
      </c>
      <c r="N309" s="65"/>
    </row>
    <row r="310" spans="1:14" x14ac:dyDescent="0.25">
      <c r="A310" s="2">
        <v>304</v>
      </c>
      <c r="B310" s="11">
        <f t="shared" ca="1" si="22"/>
        <v>0</v>
      </c>
      <c r="C310" s="26">
        <f t="shared" ca="1" si="23"/>
        <v>0.73330548981544552</v>
      </c>
      <c r="J310">
        <f t="shared" ca="1" si="24"/>
        <v>0</v>
      </c>
      <c r="K310">
        <f t="shared" ca="1" si="25"/>
        <v>0</v>
      </c>
      <c r="L310" s="65">
        <v>304</v>
      </c>
      <c r="M310" s="71">
        <f t="shared" ca="1" si="21"/>
        <v>0</v>
      </c>
      <c r="N310" s="65"/>
    </row>
    <row r="311" spans="1:14" x14ac:dyDescent="0.25">
      <c r="A311" s="2">
        <v>305</v>
      </c>
      <c r="B311" s="11">
        <f t="shared" ca="1" si="22"/>
        <v>1</v>
      </c>
      <c r="C311" s="26">
        <f t="shared" ca="1" si="23"/>
        <v>0.17988877797064351</v>
      </c>
      <c r="J311">
        <f t="shared" ca="1" si="24"/>
        <v>1</v>
      </c>
      <c r="K311">
        <f t="shared" ca="1" si="25"/>
        <v>0</v>
      </c>
      <c r="L311" s="65">
        <v>305</v>
      </c>
      <c r="M311" s="71">
        <f t="shared" ca="1" si="21"/>
        <v>1.0172180702375839</v>
      </c>
      <c r="N311" s="65"/>
    </row>
    <row r="312" spans="1:14" x14ac:dyDescent="0.25">
      <c r="A312" s="2">
        <v>306</v>
      </c>
      <c r="B312" s="11">
        <f t="shared" ca="1" si="22"/>
        <v>1</v>
      </c>
      <c r="C312" s="26">
        <f t="shared" ca="1" si="23"/>
        <v>9.4286489479342483E-2</v>
      </c>
      <c r="J312">
        <f t="shared" ca="1" si="24"/>
        <v>1</v>
      </c>
      <c r="K312">
        <f t="shared" ca="1" si="25"/>
        <v>0</v>
      </c>
      <c r="L312" s="65">
        <v>306</v>
      </c>
      <c r="M312" s="71">
        <f t="shared" ca="1" si="21"/>
        <v>7.4365899854886246</v>
      </c>
      <c r="N312" s="65"/>
    </row>
    <row r="313" spans="1:14" x14ac:dyDescent="0.25">
      <c r="A313" s="2">
        <v>307</v>
      </c>
      <c r="B313" s="11">
        <f t="shared" ca="1" si="22"/>
        <v>1</v>
      </c>
      <c r="C313" s="26">
        <f t="shared" ca="1" si="23"/>
        <v>0.48827414802175961</v>
      </c>
      <c r="J313">
        <f t="shared" ca="1" si="24"/>
        <v>1</v>
      </c>
      <c r="K313">
        <f t="shared" ca="1" si="25"/>
        <v>0</v>
      </c>
      <c r="L313" s="65">
        <v>307</v>
      </c>
      <c r="M313" s="71">
        <f t="shared" ca="1" si="21"/>
        <v>3.637445388056737</v>
      </c>
      <c r="N313" s="65"/>
    </row>
    <row r="314" spans="1:14" x14ac:dyDescent="0.25">
      <c r="A314" s="2">
        <v>308</v>
      </c>
      <c r="B314" s="11">
        <f t="shared" ca="1" si="22"/>
        <v>1</v>
      </c>
      <c r="C314" s="26">
        <f t="shared" ca="1" si="23"/>
        <v>0.51045741103466247</v>
      </c>
      <c r="J314">
        <f t="shared" ca="1" si="24"/>
        <v>1</v>
      </c>
      <c r="K314">
        <f t="shared" ca="1" si="25"/>
        <v>0</v>
      </c>
      <c r="L314" s="65">
        <v>308</v>
      </c>
      <c r="M314" s="71">
        <f t="shared" ca="1" si="21"/>
        <v>6.7576012074400795</v>
      </c>
      <c r="N314" s="65"/>
    </row>
    <row r="315" spans="1:14" x14ac:dyDescent="0.25">
      <c r="A315" s="2">
        <v>309</v>
      </c>
      <c r="B315" s="11">
        <f t="shared" ca="1" si="22"/>
        <v>1</v>
      </c>
      <c r="C315" s="26">
        <f t="shared" ca="1" si="23"/>
        <v>0.333988858782581</v>
      </c>
      <c r="J315">
        <f t="shared" ca="1" si="24"/>
        <v>1</v>
      </c>
      <c r="K315">
        <f t="shared" ca="1" si="25"/>
        <v>0</v>
      </c>
      <c r="L315" s="65">
        <v>309</v>
      </c>
      <c r="M315" s="71">
        <f t="shared" ca="1" si="21"/>
        <v>4.1419464165910567</v>
      </c>
      <c r="N315" s="65"/>
    </row>
    <row r="316" spans="1:14" x14ac:dyDescent="0.25">
      <c r="A316" s="2">
        <v>310</v>
      </c>
      <c r="B316" s="11">
        <f t="shared" ca="1" si="22"/>
        <v>1</v>
      </c>
      <c r="C316" s="26">
        <f t="shared" ca="1" si="23"/>
        <v>0.77864180050356779</v>
      </c>
      <c r="J316">
        <f t="shared" ca="1" si="24"/>
        <v>1</v>
      </c>
      <c r="K316">
        <f t="shared" ca="1" si="25"/>
        <v>0</v>
      </c>
      <c r="L316" s="65">
        <v>310</v>
      </c>
      <c r="M316" s="71">
        <f t="shared" ca="1" si="21"/>
        <v>4.2822881572919247</v>
      </c>
      <c r="N316" s="65"/>
    </row>
    <row r="317" spans="1:14" x14ac:dyDescent="0.25">
      <c r="A317" s="2">
        <v>311</v>
      </c>
      <c r="B317" s="11">
        <f t="shared" ca="1" si="22"/>
        <v>1</v>
      </c>
      <c r="C317" s="26">
        <f t="shared" ca="1" si="23"/>
        <v>0.23139406383025618</v>
      </c>
      <c r="J317">
        <f t="shared" ca="1" si="24"/>
        <v>1</v>
      </c>
      <c r="K317">
        <f t="shared" ca="1" si="25"/>
        <v>0</v>
      </c>
      <c r="L317" s="65">
        <v>311</v>
      </c>
      <c r="M317" s="71">
        <f t="shared" ca="1" si="21"/>
        <v>9.2368740659662052</v>
      </c>
      <c r="N317" s="65"/>
    </row>
    <row r="318" spans="1:14" x14ac:dyDescent="0.25">
      <c r="A318" s="2">
        <v>312</v>
      </c>
      <c r="B318" s="11">
        <f t="shared" ca="1" si="22"/>
        <v>1</v>
      </c>
      <c r="C318" s="26">
        <f t="shared" ca="1" si="23"/>
        <v>0.63746258347010298</v>
      </c>
      <c r="J318">
        <f t="shared" ca="1" si="24"/>
        <v>1</v>
      </c>
      <c r="K318">
        <f t="shared" ca="1" si="25"/>
        <v>0</v>
      </c>
      <c r="L318" s="65">
        <v>312</v>
      </c>
      <c r="M318" s="71">
        <f t="shared" ca="1" si="21"/>
        <v>7.8188130894798631</v>
      </c>
      <c r="N318" s="65"/>
    </row>
    <row r="319" spans="1:14" x14ac:dyDescent="0.25">
      <c r="A319" s="2">
        <v>313</v>
      </c>
      <c r="B319" s="11">
        <f t="shared" ca="1" si="22"/>
        <v>1</v>
      </c>
      <c r="C319" s="26">
        <f t="shared" ca="1" si="23"/>
        <v>0.53345633456039865</v>
      </c>
      <c r="J319">
        <f t="shared" ca="1" si="24"/>
        <v>1</v>
      </c>
      <c r="K319">
        <f t="shared" ca="1" si="25"/>
        <v>0</v>
      </c>
      <c r="L319" s="65">
        <v>313</v>
      </c>
      <c r="M319" s="71">
        <f t="shared" ca="1" si="21"/>
        <v>23.939654922731812</v>
      </c>
      <c r="N319" s="65"/>
    </row>
    <row r="320" spans="1:14" x14ac:dyDescent="0.25">
      <c r="A320" s="2">
        <v>314</v>
      </c>
      <c r="B320" s="11">
        <f t="shared" ca="1" si="22"/>
        <v>1</v>
      </c>
      <c r="C320" s="26">
        <f t="shared" ca="1" si="23"/>
        <v>0.23149449884349194</v>
      </c>
      <c r="J320">
        <f t="shared" ca="1" si="24"/>
        <v>1</v>
      </c>
      <c r="K320">
        <f t="shared" ca="1" si="25"/>
        <v>0</v>
      </c>
      <c r="L320" s="65">
        <v>314</v>
      </c>
      <c r="M320" s="71">
        <f t="shared" ca="1" si="21"/>
        <v>17.751679870761677</v>
      </c>
      <c r="N320" s="65"/>
    </row>
    <row r="321" spans="1:14" x14ac:dyDescent="0.25">
      <c r="A321" s="2">
        <v>315</v>
      </c>
      <c r="B321" s="11">
        <f t="shared" ca="1" si="22"/>
        <v>1</v>
      </c>
      <c r="C321" s="26">
        <f t="shared" ca="1" si="23"/>
        <v>0.16820376699100381</v>
      </c>
      <c r="J321">
        <f t="shared" ca="1" si="24"/>
        <v>1</v>
      </c>
      <c r="K321">
        <f t="shared" ca="1" si="25"/>
        <v>0</v>
      </c>
      <c r="L321" s="65">
        <v>315</v>
      </c>
      <c r="M321" s="71">
        <f t="shared" ca="1" si="21"/>
        <v>4.4609078526630865</v>
      </c>
      <c r="N321" s="65"/>
    </row>
    <row r="322" spans="1:14" x14ac:dyDescent="0.25">
      <c r="A322" s="2">
        <v>316</v>
      </c>
      <c r="B322" s="11">
        <f t="shared" ca="1" si="22"/>
        <v>1</v>
      </c>
      <c r="C322" s="26">
        <f t="shared" ca="1" si="23"/>
        <v>6.8291700634968255E-2</v>
      </c>
      <c r="J322">
        <f t="shared" ca="1" si="24"/>
        <v>1</v>
      </c>
      <c r="K322">
        <f t="shared" ca="1" si="25"/>
        <v>0</v>
      </c>
      <c r="L322" s="65">
        <v>316</v>
      </c>
      <c r="M322" s="71">
        <f t="shared" ca="1" si="21"/>
        <v>1.3494320732231282</v>
      </c>
      <c r="N322" s="65"/>
    </row>
    <row r="323" spans="1:14" x14ac:dyDescent="0.25">
      <c r="A323" s="2">
        <v>317</v>
      </c>
      <c r="B323" s="11">
        <f t="shared" ca="1" si="22"/>
        <v>1</v>
      </c>
      <c r="C323" s="26">
        <f t="shared" ca="1" si="23"/>
        <v>0.47959376131892761</v>
      </c>
      <c r="J323">
        <f t="shared" ca="1" si="24"/>
        <v>1</v>
      </c>
      <c r="K323">
        <f t="shared" ca="1" si="25"/>
        <v>0</v>
      </c>
      <c r="L323" s="65">
        <v>317</v>
      </c>
      <c r="M323" s="71">
        <f t="shared" ca="1" si="21"/>
        <v>4.3989349791321573</v>
      </c>
      <c r="N323" s="65"/>
    </row>
    <row r="324" spans="1:14" x14ac:dyDescent="0.25">
      <c r="A324" s="2">
        <v>318</v>
      </c>
      <c r="B324" s="11">
        <f t="shared" ca="1" si="22"/>
        <v>1</v>
      </c>
      <c r="C324" s="26">
        <f t="shared" ca="1" si="23"/>
        <v>0.72012778956729384</v>
      </c>
      <c r="J324">
        <f t="shared" ca="1" si="24"/>
        <v>1</v>
      </c>
      <c r="K324">
        <f t="shared" ca="1" si="25"/>
        <v>0</v>
      </c>
      <c r="L324" s="65">
        <v>318</v>
      </c>
      <c r="M324" s="71">
        <f t="shared" ca="1" si="21"/>
        <v>7.5055171589422329</v>
      </c>
      <c r="N324" s="65"/>
    </row>
    <row r="325" spans="1:14" x14ac:dyDescent="0.25">
      <c r="A325" s="2">
        <v>319</v>
      </c>
      <c r="B325" s="11">
        <f t="shared" ca="1" si="22"/>
        <v>1</v>
      </c>
      <c r="C325" s="26">
        <f t="shared" ca="1" si="23"/>
        <v>5.4953951425073089E-2</v>
      </c>
      <c r="J325">
        <f t="shared" ca="1" si="24"/>
        <v>1</v>
      </c>
      <c r="K325">
        <f t="shared" ca="1" si="25"/>
        <v>0</v>
      </c>
      <c r="L325" s="65">
        <v>319</v>
      </c>
      <c r="M325" s="71">
        <f t="shared" ca="1" si="21"/>
        <v>0.35147139203475392</v>
      </c>
      <c r="N325" s="65"/>
    </row>
    <row r="326" spans="1:14" x14ac:dyDescent="0.25">
      <c r="A326" s="2">
        <v>320</v>
      </c>
      <c r="B326" s="11">
        <f t="shared" ca="1" si="22"/>
        <v>1</v>
      </c>
      <c r="C326" s="26">
        <f t="shared" ca="1" si="23"/>
        <v>0.21384635771601168</v>
      </c>
      <c r="J326">
        <f t="shared" ca="1" si="24"/>
        <v>0</v>
      </c>
      <c r="K326">
        <f t="shared" ca="1" si="25"/>
        <v>0</v>
      </c>
      <c r="L326" s="65">
        <v>320</v>
      </c>
      <c r="M326" s="71">
        <f t="shared" ca="1" si="21"/>
        <v>0.26423875287230686</v>
      </c>
      <c r="N326" s="65"/>
    </row>
    <row r="327" spans="1:14" x14ac:dyDescent="0.25">
      <c r="A327" s="2">
        <v>321</v>
      </c>
      <c r="B327" s="11">
        <f t="shared" ca="1" si="22"/>
        <v>0</v>
      </c>
      <c r="C327" s="26">
        <f t="shared" ca="1" si="23"/>
        <v>0.81755977113669143</v>
      </c>
      <c r="J327">
        <f t="shared" ca="1" si="24"/>
        <v>0</v>
      </c>
      <c r="K327">
        <f t="shared" ca="1" si="25"/>
        <v>0</v>
      </c>
      <c r="L327" s="65">
        <v>321</v>
      </c>
      <c r="M327" s="71">
        <f t="shared" ref="M327:M390" ca="1" si="26">IF(B327&gt;0,-LN(1-(RAND()))/lambda,0)</f>
        <v>0</v>
      </c>
      <c r="N327" s="65"/>
    </row>
    <row r="328" spans="1:14" x14ac:dyDescent="0.25">
      <c r="A328" s="2">
        <v>322</v>
      </c>
      <c r="B328" s="11">
        <f t="shared" ref="B328:B391" ca="1" si="27">IF(B327&gt;0,IF(C328&lt;pww,1,0),IF(C328&lt;pdw,1,0))</f>
        <v>1</v>
      </c>
      <c r="C328" s="26">
        <f t="shared" ref="C328:C391" ca="1" si="28">RAND()</f>
        <v>0.64566265851191007</v>
      </c>
      <c r="J328">
        <f t="shared" ref="J328:J391" ca="1" si="29">IF(AND(B328,B329),1,0)</f>
        <v>0</v>
      </c>
      <c r="K328">
        <f t="shared" ref="K328:K391" ca="1" si="30">IF(AND(NOT(B328),NOT(B329)),1,0)</f>
        <v>0</v>
      </c>
      <c r="L328" s="65">
        <v>322</v>
      </c>
      <c r="M328" s="71">
        <f t="shared" ca="1" si="26"/>
        <v>2.3251851410259947</v>
      </c>
      <c r="N328" s="65"/>
    </row>
    <row r="329" spans="1:14" x14ac:dyDescent="0.25">
      <c r="A329" s="2">
        <v>323</v>
      </c>
      <c r="B329" s="11">
        <f t="shared" ca="1" si="27"/>
        <v>0</v>
      </c>
      <c r="C329" s="26">
        <f t="shared" ca="1" si="28"/>
        <v>0.84736170204105321</v>
      </c>
      <c r="J329">
        <f t="shared" ca="1" si="29"/>
        <v>0</v>
      </c>
      <c r="K329">
        <f t="shared" ca="1" si="30"/>
        <v>1</v>
      </c>
      <c r="L329" s="65">
        <v>323</v>
      </c>
      <c r="M329" s="71">
        <f t="shared" ca="1" si="26"/>
        <v>0</v>
      </c>
      <c r="N329" s="65"/>
    </row>
    <row r="330" spans="1:14" x14ac:dyDescent="0.25">
      <c r="A330" s="2">
        <v>324</v>
      </c>
      <c r="B330" s="11">
        <f t="shared" ca="1" si="27"/>
        <v>0</v>
      </c>
      <c r="C330" s="26">
        <f t="shared" ca="1" si="28"/>
        <v>0.91255752382606892</v>
      </c>
      <c r="J330">
        <f t="shared" ca="1" si="29"/>
        <v>0</v>
      </c>
      <c r="K330">
        <f t="shared" ca="1" si="30"/>
        <v>0</v>
      </c>
      <c r="L330" s="65">
        <v>324</v>
      </c>
      <c r="M330" s="71">
        <f t="shared" ca="1" si="26"/>
        <v>0</v>
      </c>
      <c r="N330" s="65"/>
    </row>
    <row r="331" spans="1:14" x14ac:dyDescent="0.25">
      <c r="A331" s="2">
        <v>325</v>
      </c>
      <c r="B331" s="11">
        <f t="shared" ca="1" si="27"/>
        <v>1</v>
      </c>
      <c r="C331" s="26">
        <f t="shared" ca="1" si="28"/>
        <v>0.23762689490647571</v>
      </c>
      <c r="J331">
        <f t="shared" ca="1" si="29"/>
        <v>1</v>
      </c>
      <c r="K331">
        <f t="shared" ca="1" si="30"/>
        <v>0</v>
      </c>
      <c r="L331" s="65">
        <v>325</v>
      </c>
      <c r="M331" s="71">
        <f t="shared" ca="1" si="26"/>
        <v>0.27173685649271018</v>
      </c>
      <c r="N331" s="65"/>
    </row>
    <row r="332" spans="1:14" x14ac:dyDescent="0.25">
      <c r="A332" s="2">
        <v>326</v>
      </c>
      <c r="B332" s="11">
        <f t="shared" ca="1" si="27"/>
        <v>1</v>
      </c>
      <c r="C332" s="26">
        <f t="shared" ca="1" si="28"/>
        <v>0.70126541816048971</v>
      </c>
      <c r="J332">
        <f t="shared" ca="1" si="29"/>
        <v>0</v>
      </c>
      <c r="K332">
        <f t="shared" ca="1" si="30"/>
        <v>0</v>
      </c>
      <c r="L332" s="65">
        <v>326</v>
      </c>
      <c r="M332" s="71">
        <f t="shared" ca="1" si="26"/>
        <v>9.3208193732913163</v>
      </c>
      <c r="N332" s="65"/>
    </row>
    <row r="333" spans="1:14" x14ac:dyDescent="0.25">
      <c r="A333" s="2">
        <v>327</v>
      </c>
      <c r="B333" s="11">
        <f t="shared" ca="1" si="27"/>
        <v>0</v>
      </c>
      <c r="C333" s="26">
        <f t="shared" ca="1" si="28"/>
        <v>0.84987911708707553</v>
      </c>
      <c r="J333">
        <f t="shared" ca="1" si="29"/>
        <v>0</v>
      </c>
      <c r="K333">
        <f t="shared" ca="1" si="30"/>
        <v>0</v>
      </c>
      <c r="L333" s="65">
        <v>327</v>
      </c>
      <c r="M333" s="71">
        <f t="shared" ca="1" si="26"/>
        <v>0</v>
      </c>
      <c r="N333" s="65"/>
    </row>
    <row r="334" spans="1:14" x14ac:dyDescent="0.25">
      <c r="A334" s="2">
        <v>328</v>
      </c>
      <c r="B334" s="11">
        <f t="shared" ca="1" si="27"/>
        <v>1</v>
      </c>
      <c r="C334" s="26">
        <f t="shared" ca="1" si="28"/>
        <v>5.4698028340039229E-2</v>
      </c>
      <c r="J334">
        <f t="shared" ca="1" si="29"/>
        <v>1</v>
      </c>
      <c r="K334">
        <f t="shared" ca="1" si="30"/>
        <v>0</v>
      </c>
      <c r="L334" s="65">
        <v>328</v>
      </c>
      <c r="M334" s="71">
        <f t="shared" ca="1" si="26"/>
        <v>2.5692024418120747</v>
      </c>
      <c r="N334" s="65"/>
    </row>
    <row r="335" spans="1:14" x14ac:dyDescent="0.25">
      <c r="A335" s="2">
        <v>329</v>
      </c>
      <c r="B335" s="11">
        <f t="shared" ca="1" si="27"/>
        <v>1</v>
      </c>
      <c r="C335" s="26">
        <f t="shared" ca="1" si="28"/>
        <v>0.55623412031322561</v>
      </c>
      <c r="J335">
        <f t="shared" ca="1" si="29"/>
        <v>1</v>
      </c>
      <c r="K335">
        <f t="shared" ca="1" si="30"/>
        <v>0</v>
      </c>
      <c r="L335" s="65">
        <v>329</v>
      </c>
      <c r="M335" s="71">
        <f t="shared" ca="1" si="26"/>
        <v>0.62736748031791034</v>
      </c>
      <c r="N335" s="65"/>
    </row>
    <row r="336" spans="1:14" x14ac:dyDescent="0.25">
      <c r="A336" s="2">
        <v>330</v>
      </c>
      <c r="B336" s="11">
        <f t="shared" ca="1" si="27"/>
        <v>1</v>
      </c>
      <c r="C336" s="26">
        <f t="shared" ca="1" si="28"/>
        <v>0.35871060030897761</v>
      </c>
      <c r="J336">
        <f t="shared" ca="1" si="29"/>
        <v>0</v>
      </c>
      <c r="K336">
        <f t="shared" ca="1" si="30"/>
        <v>0</v>
      </c>
      <c r="L336" s="65">
        <v>330</v>
      </c>
      <c r="M336" s="71">
        <f t="shared" ca="1" si="26"/>
        <v>2.4076479798629249</v>
      </c>
      <c r="N336" s="65"/>
    </row>
    <row r="337" spans="1:14" x14ac:dyDescent="0.25">
      <c r="A337" s="2">
        <v>331</v>
      </c>
      <c r="B337" s="11">
        <f t="shared" ca="1" si="27"/>
        <v>0</v>
      </c>
      <c r="C337" s="26">
        <f t="shared" ca="1" si="28"/>
        <v>0.85386036361555606</v>
      </c>
      <c r="J337">
        <f t="shared" ca="1" si="29"/>
        <v>0</v>
      </c>
      <c r="K337">
        <f t="shared" ca="1" si="30"/>
        <v>0</v>
      </c>
      <c r="L337" s="65">
        <v>331</v>
      </c>
      <c r="M337" s="71">
        <f t="shared" ca="1" si="26"/>
        <v>0</v>
      </c>
      <c r="N337" s="65"/>
    </row>
    <row r="338" spans="1:14" x14ac:dyDescent="0.25">
      <c r="A338" s="2">
        <v>332</v>
      </c>
      <c r="B338" s="11">
        <f t="shared" ca="1" si="27"/>
        <v>1</v>
      </c>
      <c r="C338" s="26">
        <f t="shared" ca="1" si="28"/>
        <v>0.66887803635725263</v>
      </c>
      <c r="J338">
        <f t="shared" ca="1" si="29"/>
        <v>1</v>
      </c>
      <c r="K338">
        <f t="shared" ca="1" si="30"/>
        <v>0</v>
      </c>
      <c r="L338" s="65">
        <v>332</v>
      </c>
      <c r="M338" s="71">
        <f t="shared" ca="1" si="26"/>
        <v>0.8774388324752781</v>
      </c>
      <c r="N338" s="65"/>
    </row>
    <row r="339" spans="1:14" x14ac:dyDescent="0.25">
      <c r="A339" s="2">
        <v>333</v>
      </c>
      <c r="B339" s="11">
        <f t="shared" ca="1" si="27"/>
        <v>1</v>
      </c>
      <c r="C339" s="26">
        <f t="shared" ca="1" si="28"/>
        <v>6.9541727727689295E-2</v>
      </c>
      <c r="J339">
        <f t="shared" ca="1" si="29"/>
        <v>0</v>
      </c>
      <c r="K339">
        <f t="shared" ca="1" si="30"/>
        <v>0</v>
      </c>
      <c r="L339" s="65">
        <v>333</v>
      </c>
      <c r="M339" s="71">
        <f t="shared" ca="1" si="26"/>
        <v>1.7378150896260622</v>
      </c>
      <c r="N339" s="65"/>
    </row>
    <row r="340" spans="1:14" x14ac:dyDescent="0.25">
      <c r="A340" s="2">
        <v>334</v>
      </c>
      <c r="B340" s="11">
        <f t="shared" ca="1" si="27"/>
        <v>0</v>
      </c>
      <c r="C340" s="26">
        <f t="shared" ca="1" si="28"/>
        <v>0.89377481570503525</v>
      </c>
      <c r="J340">
        <f t="shared" ca="1" si="29"/>
        <v>0</v>
      </c>
      <c r="K340">
        <f t="shared" ca="1" si="30"/>
        <v>0</v>
      </c>
      <c r="L340" s="65">
        <v>334</v>
      </c>
      <c r="M340" s="71">
        <f t="shared" ca="1" si="26"/>
        <v>0</v>
      </c>
      <c r="N340" s="65"/>
    </row>
    <row r="341" spans="1:14" x14ac:dyDescent="0.25">
      <c r="A341" s="2">
        <v>335</v>
      </c>
      <c r="B341" s="11">
        <f t="shared" ca="1" si="27"/>
        <v>1</v>
      </c>
      <c r="C341" s="26">
        <f t="shared" ca="1" si="28"/>
        <v>0.20398190285661044</v>
      </c>
      <c r="J341">
        <f t="shared" ca="1" si="29"/>
        <v>1</v>
      </c>
      <c r="K341">
        <f t="shared" ca="1" si="30"/>
        <v>0</v>
      </c>
      <c r="L341" s="65">
        <v>335</v>
      </c>
      <c r="M341" s="71">
        <f t="shared" ca="1" si="26"/>
        <v>4.4808794189537919E-2</v>
      </c>
      <c r="N341" s="65"/>
    </row>
    <row r="342" spans="1:14" x14ac:dyDescent="0.25">
      <c r="A342" s="2">
        <v>336</v>
      </c>
      <c r="B342" s="11">
        <f t="shared" ca="1" si="27"/>
        <v>1</v>
      </c>
      <c r="C342" s="26">
        <f t="shared" ca="1" si="28"/>
        <v>0.40763474708916581</v>
      </c>
      <c r="J342">
        <f t="shared" ca="1" si="29"/>
        <v>1</v>
      </c>
      <c r="K342">
        <f t="shared" ca="1" si="30"/>
        <v>0</v>
      </c>
      <c r="L342" s="65">
        <v>336</v>
      </c>
      <c r="M342" s="71">
        <f t="shared" ca="1" si="26"/>
        <v>4.4372375134092241</v>
      </c>
      <c r="N342" s="65"/>
    </row>
    <row r="343" spans="1:14" x14ac:dyDescent="0.25">
      <c r="A343" s="2">
        <v>337</v>
      </c>
      <c r="B343" s="11">
        <f t="shared" ca="1" si="27"/>
        <v>1</v>
      </c>
      <c r="C343" s="26">
        <f t="shared" ca="1" si="28"/>
        <v>0.22570703232180922</v>
      </c>
      <c r="J343">
        <f t="shared" ca="1" si="29"/>
        <v>0</v>
      </c>
      <c r="K343">
        <f t="shared" ca="1" si="30"/>
        <v>0</v>
      </c>
      <c r="L343" s="65">
        <v>337</v>
      </c>
      <c r="M343" s="71">
        <f t="shared" ca="1" si="26"/>
        <v>0.12702001132615137</v>
      </c>
      <c r="N343" s="65"/>
    </row>
    <row r="344" spans="1:14" x14ac:dyDescent="0.25">
      <c r="A344" s="2">
        <v>338</v>
      </c>
      <c r="B344" s="11">
        <f t="shared" ca="1" si="27"/>
        <v>0</v>
      </c>
      <c r="C344" s="26">
        <f t="shared" ca="1" si="28"/>
        <v>0.93941316888221937</v>
      </c>
      <c r="J344">
        <f t="shared" ca="1" si="29"/>
        <v>0</v>
      </c>
      <c r="K344">
        <f t="shared" ca="1" si="30"/>
        <v>0</v>
      </c>
      <c r="L344" s="65">
        <v>338</v>
      </c>
      <c r="M344" s="71">
        <f t="shared" ca="1" si="26"/>
        <v>0</v>
      </c>
      <c r="N344" s="65"/>
    </row>
    <row r="345" spans="1:14" x14ac:dyDescent="0.25">
      <c r="A345" s="2">
        <v>339</v>
      </c>
      <c r="B345" s="11">
        <f t="shared" ca="1" si="27"/>
        <v>1</v>
      </c>
      <c r="C345" s="26">
        <f t="shared" ca="1" si="28"/>
        <v>5.9127222268035795E-2</v>
      </c>
      <c r="J345">
        <f t="shared" ca="1" si="29"/>
        <v>0</v>
      </c>
      <c r="K345">
        <f t="shared" ca="1" si="30"/>
        <v>0</v>
      </c>
      <c r="L345" s="65">
        <v>339</v>
      </c>
      <c r="M345" s="71">
        <f t="shared" ca="1" si="26"/>
        <v>8.4121608351678177</v>
      </c>
      <c r="N345" s="65"/>
    </row>
    <row r="346" spans="1:14" x14ac:dyDescent="0.25">
      <c r="A346" s="2">
        <v>340</v>
      </c>
      <c r="B346" s="11">
        <f t="shared" ca="1" si="27"/>
        <v>0</v>
      </c>
      <c r="C346" s="26">
        <f t="shared" ca="1" si="28"/>
        <v>0.98231202568336184</v>
      </c>
      <c r="J346">
        <f t="shared" ca="1" si="29"/>
        <v>0</v>
      </c>
      <c r="K346">
        <f t="shared" ca="1" si="30"/>
        <v>0</v>
      </c>
      <c r="L346" s="65">
        <v>340</v>
      </c>
      <c r="M346" s="71">
        <f t="shared" ca="1" si="26"/>
        <v>0</v>
      </c>
      <c r="N346" s="65"/>
    </row>
    <row r="347" spans="1:14" x14ac:dyDescent="0.25">
      <c r="A347" s="2">
        <v>341</v>
      </c>
      <c r="B347" s="11">
        <f t="shared" ca="1" si="27"/>
        <v>1</v>
      </c>
      <c r="C347" s="26">
        <f t="shared" ca="1" si="28"/>
        <v>0.57953490698570509</v>
      </c>
      <c r="J347">
        <f t="shared" ca="1" si="29"/>
        <v>0</v>
      </c>
      <c r="K347">
        <f t="shared" ca="1" si="30"/>
        <v>0</v>
      </c>
      <c r="L347" s="65">
        <v>341</v>
      </c>
      <c r="M347" s="71">
        <f t="shared" ca="1" si="26"/>
        <v>1.0213669409708968</v>
      </c>
      <c r="N347" s="65"/>
    </row>
    <row r="348" spans="1:14" x14ac:dyDescent="0.25">
      <c r="A348" s="2">
        <v>342</v>
      </c>
      <c r="B348" s="11">
        <f t="shared" ca="1" si="27"/>
        <v>0</v>
      </c>
      <c r="C348" s="26">
        <f t="shared" ca="1" si="28"/>
        <v>0.91169873511228949</v>
      </c>
      <c r="J348">
        <f t="shared" ca="1" si="29"/>
        <v>0</v>
      </c>
      <c r="K348">
        <f t="shared" ca="1" si="30"/>
        <v>0</v>
      </c>
      <c r="L348" s="65">
        <v>342</v>
      </c>
      <c r="M348" s="71">
        <f t="shared" ca="1" si="26"/>
        <v>0</v>
      </c>
      <c r="N348" s="65"/>
    </row>
    <row r="349" spans="1:14" x14ac:dyDescent="0.25">
      <c r="A349" s="2">
        <v>343</v>
      </c>
      <c r="B349" s="11">
        <f t="shared" ca="1" si="27"/>
        <v>1</v>
      </c>
      <c r="C349" s="26">
        <f t="shared" ca="1" si="28"/>
        <v>0.13037007399437961</v>
      </c>
      <c r="J349">
        <f t="shared" ca="1" si="29"/>
        <v>1</v>
      </c>
      <c r="K349">
        <f t="shared" ca="1" si="30"/>
        <v>0</v>
      </c>
      <c r="L349" s="65">
        <v>343</v>
      </c>
      <c r="M349" s="71">
        <f t="shared" ca="1" si="26"/>
        <v>0.60008409887296965</v>
      </c>
      <c r="N349" s="65"/>
    </row>
    <row r="350" spans="1:14" x14ac:dyDescent="0.25">
      <c r="A350" s="2">
        <v>344</v>
      </c>
      <c r="B350" s="11">
        <f t="shared" ca="1" si="27"/>
        <v>1</v>
      </c>
      <c r="C350" s="26">
        <f t="shared" ca="1" si="28"/>
        <v>0.56901218086300331</v>
      </c>
      <c r="J350">
        <f t="shared" ca="1" si="29"/>
        <v>1</v>
      </c>
      <c r="K350">
        <f t="shared" ca="1" si="30"/>
        <v>0</v>
      </c>
      <c r="L350" s="65">
        <v>344</v>
      </c>
      <c r="M350" s="71">
        <f t="shared" ca="1" si="26"/>
        <v>0.14487607749604389</v>
      </c>
      <c r="N350" s="65"/>
    </row>
    <row r="351" spans="1:14" x14ac:dyDescent="0.25">
      <c r="A351" s="2">
        <v>345</v>
      </c>
      <c r="B351" s="11">
        <f t="shared" ca="1" si="27"/>
        <v>1</v>
      </c>
      <c r="C351" s="26">
        <f t="shared" ca="1" si="28"/>
        <v>0.37860181425370565</v>
      </c>
      <c r="J351">
        <f t="shared" ca="1" si="29"/>
        <v>1</v>
      </c>
      <c r="K351">
        <f t="shared" ca="1" si="30"/>
        <v>0</v>
      </c>
      <c r="L351" s="65">
        <v>345</v>
      </c>
      <c r="M351" s="71">
        <f t="shared" ca="1" si="26"/>
        <v>4.6853586296085172</v>
      </c>
      <c r="N351" s="65"/>
    </row>
    <row r="352" spans="1:14" x14ac:dyDescent="0.25">
      <c r="A352" s="2">
        <v>346</v>
      </c>
      <c r="B352" s="11">
        <f t="shared" ca="1" si="27"/>
        <v>1</v>
      </c>
      <c r="C352" s="26">
        <f t="shared" ca="1" si="28"/>
        <v>0.18294870287333798</v>
      </c>
      <c r="J352">
        <f t="shared" ca="1" si="29"/>
        <v>1</v>
      </c>
      <c r="K352">
        <f t="shared" ca="1" si="30"/>
        <v>0</v>
      </c>
      <c r="L352" s="65">
        <v>346</v>
      </c>
      <c r="M352" s="71">
        <f t="shared" ca="1" si="26"/>
        <v>0.88171917392732901</v>
      </c>
      <c r="N352" s="65"/>
    </row>
    <row r="353" spans="1:14" x14ac:dyDescent="0.25">
      <c r="A353" s="2">
        <v>347</v>
      </c>
      <c r="B353" s="11">
        <f t="shared" ca="1" si="27"/>
        <v>1</v>
      </c>
      <c r="C353" s="26">
        <f t="shared" ca="1" si="28"/>
        <v>7.1643767726965346E-2</v>
      </c>
      <c r="J353">
        <f t="shared" ca="1" si="29"/>
        <v>1</v>
      </c>
      <c r="K353">
        <f t="shared" ca="1" si="30"/>
        <v>0</v>
      </c>
      <c r="L353" s="65">
        <v>347</v>
      </c>
      <c r="M353" s="71">
        <f t="shared" ca="1" si="26"/>
        <v>2.3408968181903083</v>
      </c>
      <c r="N353" s="65"/>
    </row>
    <row r="354" spans="1:14" x14ac:dyDescent="0.25">
      <c r="A354" s="2">
        <v>348</v>
      </c>
      <c r="B354" s="11">
        <f t="shared" ca="1" si="27"/>
        <v>1</v>
      </c>
      <c r="C354" s="26">
        <f t="shared" ca="1" si="28"/>
        <v>0.21128789816552351</v>
      </c>
      <c r="J354">
        <f t="shared" ca="1" si="29"/>
        <v>0</v>
      </c>
      <c r="K354">
        <f t="shared" ca="1" si="30"/>
        <v>0</v>
      </c>
      <c r="L354" s="65">
        <v>348</v>
      </c>
      <c r="M354" s="71">
        <f t="shared" ca="1" si="26"/>
        <v>16.284643693474234</v>
      </c>
      <c r="N354" s="65"/>
    </row>
    <row r="355" spans="1:14" x14ac:dyDescent="0.25">
      <c r="A355" s="2">
        <v>349</v>
      </c>
      <c r="B355" s="11">
        <f t="shared" ca="1" si="27"/>
        <v>0</v>
      </c>
      <c r="C355" s="26">
        <f t="shared" ca="1" si="28"/>
        <v>0.84210162715882897</v>
      </c>
      <c r="J355">
        <f t="shared" ca="1" si="29"/>
        <v>0</v>
      </c>
      <c r="K355">
        <f t="shared" ca="1" si="30"/>
        <v>1</v>
      </c>
      <c r="L355" s="65">
        <v>349</v>
      </c>
      <c r="M355" s="71">
        <f t="shared" ca="1" si="26"/>
        <v>0</v>
      </c>
      <c r="N355" s="65"/>
    </row>
    <row r="356" spans="1:14" x14ac:dyDescent="0.25">
      <c r="A356" s="2">
        <v>350</v>
      </c>
      <c r="B356" s="11">
        <f t="shared" ca="1" si="27"/>
        <v>0</v>
      </c>
      <c r="C356" s="26">
        <f t="shared" ca="1" si="28"/>
        <v>0.93858774528613109</v>
      </c>
      <c r="J356">
        <f t="shared" ca="1" si="29"/>
        <v>0</v>
      </c>
      <c r="K356">
        <f t="shared" ca="1" si="30"/>
        <v>1</v>
      </c>
      <c r="L356" s="65">
        <v>350</v>
      </c>
      <c r="M356" s="71">
        <f t="shared" ca="1" si="26"/>
        <v>0</v>
      </c>
      <c r="N356" s="65"/>
    </row>
    <row r="357" spans="1:14" x14ac:dyDescent="0.25">
      <c r="A357" s="2">
        <v>351</v>
      </c>
      <c r="B357" s="11">
        <f t="shared" ca="1" si="27"/>
        <v>0</v>
      </c>
      <c r="C357" s="26">
        <f t="shared" ca="1" si="28"/>
        <v>0.75588608098684151</v>
      </c>
      <c r="J357">
        <f t="shared" ca="1" si="29"/>
        <v>0</v>
      </c>
      <c r="K357">
        <f t="shared" ca="1" si="30"/>
        <v>0</v>
      </c>
      <c r="L357" s="65">
        <v>351</v>
      </c>
      <c r="M357" s="71">
        <f t="shared" ca="1" si="26"/>
        <v>0</v>
      </c>
      <c r="N357" s="65"/>
    </row>
    <row r="358" spans="1:14" x14ac:dyDescent="0.25">
      <c r="A358" s="2">
        <v>352</v>
      </c>
      <c r="B358" s="11">
        <f t="shared" ca="1" si="27"/>
        <v>1</v>
      </c>
      <c r="C358" s="26">
        <f t="shared" ca="1" si="28"/>
        <v>0.43906877793399268</v>
      </c>
      <c r="J358">
        <f t="shared" ca="1" si="29"/>
        <v>1</v>
      </c>
      <c r="K358">
        <f t="shared" ca="1" si="30"/>
        <v>0</v>
      </c>
      <c r="L358" s="65">
        <v>352</v>
      </c>
      <c r="M358" s="71">
        <f t="shared" ca="1" si="26"/>
        <v>2.4772884020271442</v>
      </c>
      <c r="N358" s="65"/>
    </row>
    <row r="359" spans="1:14" x14ac:dyDescent="0.25">
      <c r="A359" s="2">
        <v>353</v>
      </c>
      <c r="B359" s="11">
        <f t="shared" ca="1" si="27"/>
        <v>1</v>
      </c>
      <c r="C359" s="26">
        <f t="shared" ca="1" si="28"/>
        <v>0.44458461462089671</v>
      </c>
      <c r="J359">
        <f t="shared" ca="1" si="29"/>
        <v>1</v>
      </c>
      <c r="K359">
        <f t="shared" ca="1" si="30"/>
        <v>0</v>
      </c>
      <c r="L359" s="65">
        <v>353</v>
      </c>
      <c r="M359" s="71">
        <f t="shared" ca="1" si="26"/>
        <v>1.2458382026619126</v>
      </c>
      <c r="N359" s="65"/>
    </row>
    <row r="360" spans="1:14" x14ac:dyDescent="0.25">
      <c r="A360" s="2">
        <v>354</v>
      </c>
      <c r="B360" s="11">
        <f t="shared" ca="1" si="27"/>
        <v>1</v>
      </c>
      <c r="C360" s="26">
        <f t="shared" ca="1" si="28"/>
        <v>0.21432353184954389</v>
      </c>
      <c r="J360">
        <f t="shared" ca="1" si="29"/>
        <v>1</v>
      </c>
      <c r="K360">
        <f t="shared" ca="1" si="30"/>
        <v>0</v>
      </c>
      <c r="L360" s="65">
        <v>354</v>
      </c>
      <c r="M360" s="71">
        <f t="shared" ca="1" si="26"/>
        <v>22.187342944248023</v>
      </c>
      <c r="N360" s="65"/>
    </row>
    <row r="361" spans="1:14" x14ac:dyDescent="0.25">
      <c r="A361" s="2">
        <v>355</v>
      </c>
      <c r="B361" s="11">
        <f t="shared" ca="1" si="27"/>
        <v>1</v>
      </c>
      <c r="C361" s="26">
        <f t="shared" ca="1" si="28"/>
        <v>0.5670384981185892</v>
      </c>
      <c r="J361">
        <f t="shared" ca="1" si="29"/>
        <v>1</v>
      </c>
      <c r="K361">
        <f t="shared" ca="1" si="30"/>
        <v>0</v>
      </c>
      <c r="L361" s="65">
        <v>355</v>
      </c>
      <c r="M361" s="71">
        <f t="shared" ca="1" si="26"/>
        <v>1.0515069276178968</v>
      </c>
      <c r="N361" s="65"/>
    </row>
    <row r="362" spans="1:14" x14ac:dyDescent="0.25">
      <c r="A362" s="2">
        <v>356</v>
      </c>
      <c r="B362" s="11">
        <f t="shared" ca="1" si="27"/>
        <v>1</v>
      </c>
      <c r="C362" s="26">
        <f t="shared" ca="1" si="28"/>
        <v>0.2961608271357854</v>
      </c>
      <c r="J362">
        <f t="shared" ca="1" si="29"/>
        <v>0</v>
      </c>
      <c r="K362">
        <f t="shared" ca="1" si="30"/>
        <v>0</v>
      </c>
      <c r="L362" s="65">
        <v>356</v>
      </c>
      <c r="M362" s="71">
        <f t="shared" ca="1" si="26"/>
        <v>0.85814138125384054</v>
      </c>
      <c r="N362" s="65"/>
    </row>
    <row r="363" spans="1:14" x14ac:dyDescent="0.25">
      <c r="A363" s="2">
        <v>357</v>
      </c>
      <c r="B363" s="11">
        <f t="shared" ca="1" si="27"/>
        <v>0</v>
      </c>
      <c r="C363" s="26">
        <f t="shared" ca="1" si="28"/>
        <v>0.90309807368235173</v>
      </c>
      <c r="J363">
        <f t="shared" ca="1" si="29"/>
        <v>0</v>
      </c>
      <c r="K363">
        <f t="shared" ca="1" si="30"/>
        <v>0</v>
      </c>
      <c r="L363" s="65">
        <v>357</v>
      </c>
      <c r="M363" s="71">
        <f t="shared" ca="1" si="26"/>
        <v>0</v>
      </c>
      <c r="N363" s="65"/>
    </row>
    <row r="364" spans="1:14" x14ac:dyDescent="0.25">
      <c r="A364" s="2">
        <v>358</v>
      </c>
      <c r="B364" s="11">
        <f t="shared" ca="1" si="27"/>
        <v>1</v>
      </c>
      <c r="C364" s="26">
        <f t="shared" ca="1" si="28"/>
        <v>0.56470024438636124</v>
      </c>
      <c r="J364">
        <f t="shared" ca="1" si="29"/>
        <v>0</v>
      </c>
      <c r="K364">
        <f t="shared" ca="1" si="30"/>
        <v>0</v>
      </c>
      <c r="L364" s="65">
        <v>358</v>
      </c>
      <c r="M364" s="71">
        <f t="shared" ca="1" si="26"/>
        <v>1.271532012223402</v>
      </c>
      <c r="N364" s="65"/>
    </row>
    <row r="365" spans="1:14" x14ac:dyDescent="0.25">
      <c r="A365" s="2">
        <v>359</v>
      </c>
      <c r="B365" s="11">
        <f t="shared" ca="1" si="27"/>
        <v>0</v>
      </c>
      <c r="C365" s="26">
        <f t="shared" ca="1" si="28"/>
        <v>0.99914305397332492</v>
      </c>
      <c r="J365">
        <f t="shared" ca="1" si="29"/>
        <v>0</v>
      </c>
      <c r="K365">
        <f t="shared" ca="1" si="30"/>
        <v>1</v>
      </c>
      <c r="L365" s="65">
        <v>359</v>
      </c>
      <c r="M365" s="71">
        <f t="shared" ca="1" si="26"/>
        <v>0</v>
      </c>
      <c r="N365" s="65"/>
    </row>
    <row r="366" spans="1:14" x14ac:dyDescent="0.25">
      <c r="A366" s="2">
        <v>360</v>
      </c>
      <c r="B366" s="11">
        <f t="shared" ca="1" si="27"/>
        <v>0</v>
      </c>
      <c r="C366" s="26">
        <f t="shared" ca="1" si="28"/>
        <v>0.99858038001281879</v>
      </c>
      <c r="J366">
        <f t="shared" ca="1" si="29"/>
        <v>0</v>
      </c>
      <c r="K366">
        <f t="shared" ca="1" si="30"/>
        <v>1</v>
      </c>
      <c r="L366" s="65">
        <v>360</v>
      </c>
      <c r="M366" s="71">
        <f t="shared" ca="1" si="26"/>
        <v>0</v>
      </c>
      <c r="N366" s="65"/>
    </row>
    <row r="367" spans="1:14" x14ac:dyDescent="0.25">
      <c r="A367" s="2">
        <v>361</v>
      </c>
      <c r="B367" s="11">
        <f t="shared" ca="1" si="27"/>
        <v>0</v>
      </c>
      <c r="C367" s="26">
        <f t="shared" ca="1" si="28"/>
        <v>0.7748907272045612</v>
      </c>
      <c r="J367">
        <f t="shared" ca="1" si="29"/>
        <v>0</v>
      </c>
      <c r="K367">
        <f t="shared" ca="1" si="30"/>
        <v>0</v>
      </c>
      <c r="L367" s="65">
        <v>361</v>
      </c>
      <c r="M367" s="71">
        <f t="shared" ca="1" si="26"/>
        <v>0</v>
      </c>
      <c r="N367" s="65"/>
    </row>
    <row r="368" spans="1:14" x14ac:dyDescent="0.25">
      <c r="A368" s="2">
        <v>362</v>
      </c>
      <c r="B368" s="11">
        <f t="shared" ca="1" si="27"/>
        <v>1</v>
      </c>
      <c r="C368" s="26">
        <f t="shared" ca="1" si="28"/>
        <v>0.43309004570528087</v>
      </c>
      <c r="J368">
        <f t="shared" ca="1" si="29"/>
        <v>1</v>
      </c>
      <c r="K368">
        <f t="shared" ca="1" si="30"/>
        <v>0</v>
      </c>
      <c r="L368" s="65">
        <v>362</v>
      </c>
      <c r="M368" s="71">
        <f t="shared" ca="1" si="26"/>
        <v>23.611233996556148</v>
      </c>
      <c r="N368" s="65"/>
    </row>
    <row r="369" spans="1:14" x14ac:dyDescent="0.25">
      <c r="A369" s="2">
        <v>363</v>
      </c>
      <c r="B369" s="11">
        <f t="shared" ca="1" si="27"/>
        <v>1</v>
      </c>
      <c r="C369" s="26">
        <f t="shared" ca="1" si="28"/>
        <v>0.42806785578798656</v>
      </c>
      <c r="J369">
        <f t="shared" ca="1" si="29"/>
        <v>1</v>
      </c>
      <c r="K369">
        <f t="shared" ca="1" si="30"/>
        <v>0</v>
      </c>
      <c r="L369" s="65">
        <v>363</v>
      </c>
      <c r="M369" s="71">
        <f t="shared" ca="1" si="26"/>
        <v>3.4547759787246166</v>
      </c>
      <c r="N369" s="65"/>
    </row>
    <row r="370" spans="1:14" x14ac:dyDescent="0.25">
      <c r="A370" s="2">
        <v>364</v>
      </c>
      <c r="B370" s="11">
        <f t="shared" ca="1" si="27"/>
        <v>1</v>
      </c>
      <c r="C370" s="26">
        <f t="shared" ca="1" si="28"/>
        <v>0.6302641472093502</v>
      </c>
      <c r="J370">
        <f t="shared" ca="1" si="29"/>
        <v>1</v>
      </c>
      <c r="K370">
        <f t="shared" ca="1" si="30"/>
        <v>0</v>
      </c>
      <c r="L370" s="65">
        <v>364</v>
      </c>
      <c r="M370" s="71">
        <f t="shared" ca="1" si="26"/>
        <v>1.7465309258085193</v>
      </c>
      <c r="N370" s="65"/>
    </row>
    <row r="371" spans="1:14" x14ac:dyDescent="0.25">
      <c r="A371" s="2">
        <v>365</v>
      </c>
      <c r="B371" s="11">
        <f t="shared" ca="1" si="27"/>
        <v>1</v>
      </c>
      <c r="C371" s="26">
        <f t="shared" ca="1" si="28"/>
        <v>5.7875773763386151E-2</v>
      </c>
      <c r="J371">
        <f t="shared" ca="1" si="29"/>
        <v>0</v>
      </c>
      <c r="K371">
        <f t="shared" ca="1" si="30"/>
        <v>0</v>
      </c>
      <c r="L371" s="65">
        <v>365</v>
      </c>
      <c r="M371" s="71">
        <f t="shared" ca="1" si="26"/>
        <v>2.0552672587010479</v>
      </c>
      <c r="N371" s="65"/>
    </row>
    <row r="372" spans="1:14" x14ac:dyDescent="0.25">
      <c r="A372" s="2">
        <v>366</v>
      </c>
      <c r="B372" s="11">
        <f t="shared" ca="1" si="27"/>
        <v>0</v>
      </c>
      <c r="C372" s="26">
        <f t="shared" ca="1" si="28"/>
        <v>0.8505957134459956</v>
      </c>
      <c r="J372">
        <f t="shared" ca="1" si="29"/>
        <v>0</v>
      </c>
      <c r="K372">
        <f t="shared" ca="1" si="30"/>
        <v>0</v>
      </c>
      <c r="L372" s="65">
        <v>366</v>
      </c>
      <c r="M372" s="71">
        <f t="shared" ca="1" si="26"/>
        <v>0</v>
      </c>
      <c r="N372" s="65"/>
    </row>
    <row r="373" spans="1:14" x14ac:dyDescent="0.25">
      <c r="A373" s="2">
        <v>367</v>
      </c>
      <c r="B373" s="11">
        <f t="shared" ca="1" si="27"/>
        <v>1</v>
      </c>
      <c r="C373" s="26">
        <f t="shared" ca="1" si="28"/>
        <v>0.45584784599220096</v>
      </c>
      <c r="J373">
        <f t="shared" ca="1" si="29"/>
        <v>1</v>
      </c>
      <c r="K373">
        <f t="shared" ca="1" si="30"/>
        <v>0</v>
      </c>
      <c r="L373" s="65">
        <v>367</v>
      </c>
      <c r="M373" s="71">
        <f t="shared" ca="1" si="26"/>
        <v>1.8085294275337287</v>
      </c>
      <c r="N373" s="65"/>
    </row>
    <row r="374" spans="1:14" x14ac:dyDescent="0.25">
      <c r="A374" s="2">
        <v>368</v>
      </c>
      <c r="B374" s="11">
        <f t="shared" ca="1" si="27"/>
        <v>1</v>
      </c>
      <c r="C374" s="26">
        <f t="shared" ca="1" si="28"/>
        <v>0.3292946019480284</v>
      </c>
      <c r="J374">
        <f t="shared" ca="1" si="29"/>
        <v>1</v>
      </c>
      <c r="K374">
        <f t="shared" ca="1" si="30"/>
        <v>0</v>
      </c>
      <c r="L374" s="65">
        <v>368</v>
      </c>
      <c r="M374" s="71">
        <f t="shared" ca="1" si="26"/>
        <v>0.59347111455721124</v>
      </c>
      <c r="N374" s="65"/>
    </row>
    <row r="375" spans="1:14" x14ac:dyDescent="0.25">
      <c r="A375" s="2">
        <v>369</v>
      </c>
      <c r="B375" s="11">
        <f t="shared" ca="1" si="27"/>
        <v>1</v>
      </c>
      <c r="C375" s="26">
        <f t="shared" ca="1" si="28"/>
        <v>0.2739569485477934</v>
      </c>
      <c r="J375">
        <f t="shared" ca="1" si="29"/>
        <v>1</v>
      </c>
      <c r="K375">
        <f t="shared" ca="1" si="30"/>
        <v>0</v>
      </c>
      <c r="L375" s="65">
        <v>369</v>
      </c>
      <c r="M375" s="71">
        <f t="shared" ca="1" si="26"/>
        <v>3.7342430700920892</v>
      </c>
      <c r="N375" s="65"/>
    </row>
    <row r="376" spans="1:14" x14ac:dyDescent="0.25">
      <c r="A376" s="2">
        <v>370</v>
      </c>
      <c r="B376" s="11">
        <f t="shared" ca="1" si="27"/>
        <v>1</v>
      </c>
      <c r="C376" s="26">
        <f t="shared" ca="1" si="28"/>
        <v>0.31374826699776548</v>
      </c>
      <c r="J376">
        <f t="shared" ca="1" si="29"/>
        <v>1</v>
      </c>
      <c r="K376">
        <f t="shared" ca="1" si="30"/>
        <v>0</v>
      </c>
      <c r="L376" s="65">
        <v>370</v>
      </c>
      <c r="M376" s="71">
        <f t="shared" ca="1" si="26"/>
        <v>0.15017352147555271</v>
      </c>
      <c r="N376" s="65"/>
    </row>
    <row r="377" spans="1:14" x14ac:dyDescent="0.25">
      <c r="A377" s="2">
        <v>371</v>
      </c>
      <c r="B377" s="11">
        <f t="shared" ca="1" si="27"/>
        <v>1</v>
      </c>
      <c r="C377" s="26">
        <f t="shared" ca="1" si="28"/>
        <v>0.66188147606912973</v>
      </c>
      <c r="J377">
        <f t="shared" ca="1" si="29"/>
        <v>0</v>
      </c>
      <c r="K377">
        <f t="shared" ca="1" si="30"/>
        <v>0</v>
      </c>
      <c r="L377" s="65">
        <v>371</v>
      </c>
      <c r="M377" s="71">
        <f t="shared" ca="1" si="26"/>
        <v>3.2363778629037707</v>
      </c>
      <c r="N377" s="65"/>
    </row>
    <row r="378" spans="1:14" x14ac:dyDescent="0.25">
      <c r="A378" s="2">
        <v>372</v>
      </c>
      <c r="B378" s="11">
        <f t="shared" ca="1" si="27"/>
        <v>0</v>
      </c>
      <c r="C378" s="26">
        <f t="shared" ca="1" si="28"/>
        <v>0.84110041708161931</v>
      </c>
      <c r="J378">
        <f t="shared" ca="1" si="29"/>
        <v>0</v>
      </c>
      <c r="K378">
        <f t="shared" ca="1" si="30"/>
        <v>0</v>
      </c>
      <c r="L378" s="65">
        <v>372</v>
      </c>
      <c r="M378" s="71">
        <f t="shared" ca="1" si="26"/>
        <v>0</v>
      </c>
      <c r="N378" s="65"/>
    </row>
    <row r="379" spans="1:14" x14ac:dyDescent="0.25">
      <c r="A379" s="2">
        <v>373</v>
      </c>
      <c r="B379" s="11">
        <f t="shared" ca="1" si="27"/>
        <v>1</v>
      </c>
      <c r="C379" s="26">
        <f t="shared" ca="1" si="28"/>
        <v>0.65352250289063041</v>
      </c>
      <c r="J379">
        <f t="shared" ca="1" si="29"/>
        <v>1</v>
      </c>
      <c r="K379">
        <f t="shared" ca="1" si="30"/>
        <v>0</v>
      </c>
      <c r="L379" s="65">
        <v>373</v>
      </c>
      <c r="M379" s="71">
        <f t="shared" ca="1" si="26"/>
        <v>3.9150169413275986</v>
      </c>
      <c r="N379" s="65"/>
    </row>
    <row r="380" spans="1:14" x14ac:dyDescent="0.25">
      <c r="A380" s="2">
        <v>374</v>
      </c>
      <c r="B380" s="11">
        <f t="shared" ca="1" si="27"/>
        <v>1</v>
      </c>
      <c r="C380" s="26">
        <f t="shared" ca="1" si="28"/>
        <v>0.58048416510956968</v>
      </c>
      <c r="J380">
        <f t="shared" ca="1" si="29"/>
        <v>1</v>
      </c>
      <c r="K380">
        <f t="shared" ca="1" si="30"/>
        <v>0</v>
      </c>
      <c r="L380" s="65">
        <v>374</v>
      </c>
      <c r="M380" s="71">
        <f t="shared" ca="1" si="26"/>
        <v>3.0802267243945636</v>
      </c>
      <c r="N380" s="65"/>
    </row>
    <row r="381" spans="1:14" x14ac:dyDescent="0.25">
      <c r="A381" s="2">
        <v>375</v>
      </c>
      <c r="B381" s="11">
        <f t="shared" ca="1" si="27"/>
        <v>1</v>
      </c>
      <c r="C381" s="26">
        <f t="shared" ca="1" si="28"/>
        <v>0.32920981983329056</v>
      </c>
      <c r="J381">
        <f t="shared" ca="1" si="29"/>
        <v>1</v>
      </c>
      <c r="K381">
        <f t="shared" ca="1" si="30"/>
        <v>0</v>
      </c>
      <c r="L381" s="65">
        <v>375</v>
      </c>
      <c r="M381" s="71">
        <f t="shared" ca="1" si="26"/>
        <v>6.5383148245022191</v>
      </c>
      <c r="N381" s="65"/>
    </row>
    <row r="382" spans="1:14" x14ac:dyDescent="0.25">
      <c r="A382" s="2">
        <v>376</v>
      </c>
      <c r="B382" s="11">
        <f t="shared" ca="1" si="27"/>
        <v>1</v>
      </c>
      <c r="C382" s="26">
        <f t="shared" ca="1" si="28"/>
        <v>0.63196829618923078</v>
      </c>
      <c r="J382">
        <f t="shared" ca="1" si="29"/>
        <v>1</v>
      </c>
      <c r="K382">
        <f t="shared" ca="1" si="30"/>
        <v>0</v>
      </c>
      <c r="L382" s="65">
        <v>376</v>
      </c>
      <c r="M382" s="71">
        <f t="shared" ca="1" si="26"/>
        <v>0.25897910592347861</v>
      </c>
      <c r="N382" s="65"/>
    </row>
    <row r="383" spans="1:14" x14ac:dyDescent="0.25">
      <c r="A383" s="2">
        <v>377</v>
      </c>
      <c r="B383" s="11">
        <f t="shared" ca="1" si="27"/>
        <v>1</v>
      </c>
      <c r="C383" s="26">
        <f t="shared" ca="1" si="28"/>
        <v>0.3120546690810071</v>
      </c>
      <c r="J383">
        <f t="shared" ca="1" si="29"/>
        <v>1</v>
      </c>
      <c r="K383">
        <f t="shared" ca="1" si="30"/>
        <v>0</v>
      </c>
      <c r="L383" s="65">
        <v>377</v>
      </c>
      <c r="M383" s="71">
        <f t="shared" ca="1" si="26"/>
        <v>2.040115563231538</v>
      </c>
      <c r="N383" s="65"/>
    </row>
    <row r="384" spans="1:14" x14ac:dyDescent="0.25">
      <c r="A384" s="2">
        <v>378</v>
      </c>
      <c r="B384" s="11">
        <f t="shared" ca="1" si="27"/>
        <v>1</v>
      </c>
      <c r="C384" s="26">
        <f t="shared" ca="1" si="28"/>
        <v>0.73256871831486381</v>
      </c>
      <c r="J384">
        <f t="shared" ca="1" si="29"/>
        <v>1</v>
      </c>
      <c r="K384">
        <f t="shared" ca="1" si="30"/>
        <v>0</v>
      </c>
      <c r="L384" s="65">
        <v>378</v>
      </c>
      <c r="M384" s="71">
        <f t="shared" ca="1" si="26"/>
        <v>0.68333298383212382</v>
      </c>
      <c r="N384" s="65"/>
    </row>
    <row r="385" spans="1:14" x14ac:dyDescent="0.25">
      <c r="A385" s="2">
        <v>379</v>
      </c>
      <c r="B385" s="11">
        <f t="shared" ca="1" si="27"/>
        <v>1</v>
      </c>
      <c r="C385" s="26">
        <f t="shared" ca="1" si="28"/>
        <v>0.51209434274799859</v>
      </c>
      <c r="J385">
        <f t="shared" ca="1" si="29"/>
        <v>1</v>
      </c>
      <c r="K385">
        <f t="shared" ca="1" si="30"/>
        <v>0</v>
      </c>
      <c r="L385" s="65">
        <v>379</v>
      </c>
      <c r="M385" s="71">
        <f t="shared" ca="1" si="26"/>
        <v>2.7218148498910768</v>
      </c>
      <c r="N385" s="65"/>
    </row>
    <row r="386" spans="1:14" x14ac:dyDescent="0.25">
      <c r="A386" s="2">
        <v>380</v>
      </c>
      <c r="B386" s="11">
        <f t="shared" ca="1" si="27"/>
        <v>1</v>
      </c>
      <c r="C386" s="26">
        <f t="shared" ca="1" si="28"/>
        <v>0.45134272378449258</v>
      </c>
      <c r="J386">
        <f t="shared" ca="1" si="29"/>
        <v>1</v>
      </c>
      <c r="K386">
        <f t="shared" ca="1" si="30"/>
        <v>0</v>
      </c>
      <c r="L386" s="65">
        <v>380</v>
      </c>
      <c r="M386" s="71">
        <f t="shared" ca="1" si="26"/>
        <v>3.3707403635206497</v>
      </c>
      <c r="N386" s="65"/>
    </row>
    <row r="387" spans="1:14" x14ac:dyDescent="0.25">
      <c r="A387" s="2">
        <v>381</v>
      </c>
      <c r="B387" s="11">
        <f t="shared" ca="1" si="27"/>
        <v>1</v>
      </c>
      <c r="C387" s="26">
        <f t="shared" ca="1" si="28"/>
        <v>0.70827549411582114</v>
      </c>
      <c r="J387">
        <f t="shared" ca="1" si="29"/>
        <v>1</v>
      </c>
      <c r="K387">
        <f t="shared" ca="1" si="30"/>
        <v>0</v>
      </c>
      <c r="L387" s="65">
        <v>381</v>
      </c>
      <c r="M387" s="71">
        <f t="shared" ca="1" si="26"/>
        <v>0.9632272363074954</v>
      </c>
      <c r="N387" s="65"/>
    </row>
    <row r="388" spans="1:14" x14ac:dyDescent="0.25">
      <c r="A388" s="2">
        <v>382</v>
      </c>
      <c r="B388" s="11">
        <f t="shared" ca="1" si="27"/>
        <v>1</v>
      </c>
      <c r="C388" s="26">
        <f t="shared" ca="1" si="28"/>
        <v>0.4136481587062335</v>
      </c>
      <c r="J388">
        <f t="shared" ca="1" si="29"/>
        <v>1</v>
      </c>
      <c r="K388">
        <f t="shared" ca="1" si="30"/>
        <v>0</v>
      </c>
      <c r="L388" s="65">
        <v>382</v>
      </c>
      <c r="M388" s="71">
        <f t="shared" ca="1" si="26"/>
        <v>1.9979875689510815</v>
      </c>
      <c r="N388" s="65"/>
    </row>
    <row r="389" spans="1:14" x14ac:dyDescent="0.25">
      <c r="A389" s="2">
        <v>383</v>
      </c>
      <c r="B389" s="11">
        <f t="shared" ca="1" si="27"/>
        <v>1</v>
      </c>
      <c r="C389" s="26">
        <f t="shared" ca="1" si="28"/>
        <v>0.36490069698085237</v>
      </c>
      <c r="J389">
        <f t="shared" ca="1" si="29"/>
        <v>0</v>
      </c>
      <c r="K389">
        <f t="shared" ca="1" si="30"/>
        <v>0</v>
      </c>
      <c r="L389" s="65">
        <v>383</v>
      </c>
      <c r="M389" s="71">
        <f t="shared" ca="1" si="26"/>
        <v>3.4314255489549841</v>
      </c>
      <c r="N389" s="65"/>
    </row>
    <row r="390" spans="1:14" x14ac:dyDescent="0.25">
      <c r="A390" s="2">
        <v>384</v>
      </c>
      <c r="B390" s="11">
        <f t="shared" ca="1" si="27"/>
        <v>0</v>
      </c>
      <c r="C390" s="26">
        <f t="shared" ca="1" si="28"/>
        <v>0.89780034451708957</v>
      </c>
      <c r="J390">
        <f t="shared" ca="1" si="29"/>
        <v>0</v>
      </c>
      <c r="K390">
        <f t="shared" ca="1" si="30"/>
        <v>0</v>
      </c>
      <c r="L390" s="65">
        <v>384</v>
      </c>
      <c r="M390" s="71">
        <f t="shared" ca="1" si="26"/>
        <v>0</v>
      </c>
      <c r="N390" s="65"/>
    </row>
    <row r="391" spans="1:14" x14ac:dyDescent="0.25">
      <c r="A391" s="2">
        <v>385</v>
      </c>
      <c r="B391" s="11">
        <f t="shared" ca="1" si="27"/>
        <v>1</v>
      </c>
      <c r="C391" s="26">
        <f t="shared" ca="1" si="28"/>
        <v>0.45783071229667205</v>
      </c>
      <c r="J391">
        <f t="shared" ca="1" si="29"/>
        <v>1</v>
      </c>
      <c r="K391">
        <f t="shared" ca="1" si="30"/>
        <v>0</v>
      </c>
      <c r="L391" s="65">
        <v>385</v>
      </c>
      <c r="M391" s="71">
        <f t="shared" ref="M391:M454" ca="1" si="31">IF(B391&gt;0,-LN(1-(RAND()))/lambda,0)</f>
        <v>10.432354189347208</v>
      </c>
      <c r="N391" s="65"/>
    </row>
    <row r="392" spans="1:14" x14ac:dyDescent="0.25">
      <c r="A392" s="2">
        <v>386</v>
      </c>
      <c r="B392" s="11">
        <f t="shared" ref="B392:B455" ca="1" si="32">IF(B391&gt;0,IF(C392&lt;pww,1,0),IF(C392&lt;pdw,1,0))</f>
        <v>1</v>
      </c>
      <c r="C392" s="26">
        <f t="shared" ref="C392:C455" ca="1" si="33">RAND()</f>
        <v>3.9936320545655879E-2</v>
      </c>
      <c r="J392">
        <f t="shared" ref="J392:J455" ca="1" si="34">IF(AND(B392,B393),1,0)</f>
        <v>1</v>
      </c>
      <c r="K392">
        <f t="shared" ref="K392:K455" ca="1" si="35">IF(AND(NOT(B392),NOT(B393)),1,0)</f>
        <v>0</v>
      </c>
      <c r="L392" s="65">
        <v>386</v>
      </c>
      <c r="M392" s="71">
        <f t="shared" ca="1" si="31"/>
        <v>2.8470229860067118</v>
      </c>
      <c r="N392" s="65"/>
    </row>
    <row r="393" spans="1:14" x14ac:dyDescent="0.25">
      <c r="A393" s="2">
        <v>387</v>
      </c>
      <c r="B393" s="11">
        <f t="shared" ca="1" si="32"/>
        <v>1</v>
      </c>
      <c r="C393" s="26">
        <f t="shared" ca="1" si="33"/>
        <v>0.34903148907120818</v>
      </c>
      <c r="J393">
        <f t="shared" ca="1" si="34"/>
        <v>0</v>
      </c>
      <c r="K393">
        <f t="shared" ca="1" si="35"/>
        <v>0</v>
      </c>
      <c r="L393" s="65">
        <v>387</v>
      </c>
      <c r="M393" s="71">
        <f t="shared" ca="1" si="31"/>
        <v>0.96728675245594864</v>
      </c>
      <c r="N393" s="65"/>
    </row>
    <row r="394" spans="1:14" x14ac:dyDescent="0.25">
      <c r="A394" s="2">
        <v>388</v>
      </c>
      <c r="B394" s="11">
        <f t="shared" ca="1" si="32"/>
        <v>0</v>
      </c>
      <c r="C394" s="26">
        <f t="shared" ca="1" si="33"/>
        <v>0.91270082393713547</v>
      </c>
      <c r="J394">
        <f t="shared" ca="1" si="34"/>
        <v>0</v>
      </c>
      <c r="K394">
        <f t="shared" ca="1" si="35"/>
        <v>0</v>
      </c>
      <c r="L394" s="65">
        <v>388</v>
      </c>
      <c r="M394" s="71">
        <f t="shared" ca="1" si="31"/>
        <v>0</v>
      </c>
      <c r="N394" s="65"/>
    </row>
    <row r="395" spans="1:14" x14ac:dyDescent="0.25">
      <c r="A395" s="2">
        <v>389</v>
      </c>
      <c r="B395" s="11">
        <f t="shared" ca="1" si="32"/>
        <v>1</v>
      </c>
      <c r="C395" s="26">
        <f t="shared" ca="1" si="33"/>
        <v>0.44988980218091545</v>
      </c>
      <c r="J395">
        <f t="shared" ca="1" si="34"/>
        <v>0</v>
      </c>
      <c r="K395">
        <f t="shared" ca="1" si="35"/>
        <v>0</v>
      </c>
      <c r="L395" s="65">
        <v>389</v>
      </c>
      <c r="M395" s="71">
        <f t="shared" ca="1" si="31"/>
        <v>2.2130163829167819</v>
      </c>
      <c r="N395" s="65"/>
    </row>
    <row r="396" spans="1:14" x14ac:dyDescent="0.25">
      <c r="A396" s="2">
        <v>390</v>
      </c>
      <c r="B396" s="11">
        <f t="shared" ca="1" si="32"/>
        <v>0</v>
      </c>
      <c r="C396" s="26">
        <f t="shared" ca="1" si="33"/>
        <v>0.81332087548662713</v>
      </c>
      <c r="J396">
        <f t="shared" ca="1" si="34"/>
        <v>0</v>
      </c>
      <c r="K396">
        <f t="shared" ca="1" si="35"/>
        <v>0</v>
      </c>
      <c r="L396" s="65">
        <v>390</v>
      </c>
      <c r="M396" s="71">
        <f t="shared" ca="1" si="31"/>
        <v>0</v>
      </c>
      <c r="N396" s="65"/>
    </row>
    <row r="397" spans="1:14" x14ac:dyDescent="0.25">
      <c r="A397" s="2">
        <v>391</v>
      </c>
      <c r="B397" s="11">
        <f t="shared" ca="1" si="32"/>
        <v>1</v>
      </c>
      <c r="C397" s="26">
        <f t="shared" ca="1" si="33"/>
        <v>0.39398306438974484</v>
      </c>
      <c r="J397">
        <f t="shared" ca="1" si="34"/>
        <v>1</v>
      </c>
      <c r="K397">
        <f t="shared" ca="1" si="35"/>
        <v>0</v>
      </c>
      <c r="L397" s="65">
        <v>391</v>
      </c>
      <c r="M397" s="71">
        <f t="shared" ca="1" si="31"/>
        <v>1.7046658755667816</v>
      </c>
      <c r="N397" s="65"/>
    </row>
    <row r="398" spans="1:14" x14ac:dyDescent="0.25">
      <c r="A398" s="2">
        <v>392</v>
      </c>
      <c r="B398" s="11">
        <f t="shared" ca="1" si="32"/>
        <v>1</v>
      </c>
      <c r="C398" s="26">
        <f t="shared" ca="1" si="33"/>
        <v>0.28424029376055371</v>
      </c>
      <c r="J398">
        <f t="shared" ca="1" si="34"/>
        <v>1</v>
      </c>
      <c r="K398">
        <f t="shared" ca="1" si="35"/>
        <v>0</v>
      </c>
      <c r="L398" s="65">
        <v>392</v>
      </c>
      <c r="M398" s="71">
        <f t="shared" ca="1" si="31"/>
        <v>1.3528644101445308</v>
      </c>
      <c r="N398" s="65"/>
    </row>
    <row r="399" spans="1:14" x14ac:dyDescent="0.25">
      <c r="A399" s="2">
        <v>393</v>
      </c>
      <c r="B399" s="11">
        <f t="shared" ca="1" si="32"/>
        <v>1</v>
      </c>
      <c r="C399" s="26">
        <f t="shared" ca="1" si="33"/>
        <v>0.74762054643038145</v>
      </c>
      <c r="J399">
        <f t="shared" ca="1" si="34"/>
        <v>0</v>
      </c>
      <c r="K399">
        <f t="shared" ca="1" si="35"/>
        <v>0</v>
      </c>
      <c r="L399" s="65">
        <v>393</v>
      </c>
      <c r="M399" s="71">
        <f t="shared" ca="1" si="31"/>
        <v>2.7642713939738539</v>
      </c>
      <c r="N399" s="65"/>
    </row>
    <row r="400" spans="1:14" x14ac:dyDescent="0.25">
      <c r="A400" s="2">
        <v>394</v>
      </c>
      <c r="B400" s="11">
        <f t="shared" ca="1" si="32"/>
        <v>0</v>
      </c>
      <c r="C400" s="26">
        <f t="shared" ca="1" si="33"/>
        <v>0.94217248087251326</v>
      </c>
      <c r="J400">
        <f t="shared" ca="1" si="34"/>
        <v>0</v>
      </c>
      <c r="K400">
        <f t="shared" ca="1" si="35"/>
        <v>0</v>
      </c>
      <c r="L400" s="65">
        <v>394</v>
      </c>
      <c r="M400" s="71">
        <f t="shared" ca="1" si="31"/>
        <v>0</v>
      </c>
      <c r="N400" s="65"/>
    </row>
    <row r="401" spans="1:14" x14ac:dyDescent="0.25">
      <c r="A401" s="2">
        <v>395</v>
      </c>
      <c r="B401" s="11">
        <f t="shared" ca="1" si="32"/>
        <v>1</v>
      </c>
      <c r="C401" s="26">
        <f t="shared" ca="1" si="33"/>
        <v>0.31772224254722803</v>
      </c>
      <c r="J401">
        <f t="shared" ca="1" si="34"/>
        <v>1</v>
      </c>
      <c r="K401">
        <f t="shared" ca="1" si="35"/>
        <v>0</v>
      </c>
      <c r="L401" s="65">
        <v>395</v>
      </c>
      <c r="M401" s="71">
        <f t="shared" ca="1" si="31"/>
        <v>2.8626999643433373</v>
      </c>
      <c r="N401" s="65"/>
    </row>
    <row r="402" spans="1:14" x14ac:dyDescent="0.25">
      <c r="A402" s="2">
        <v>396</v>
      </c>
      <c r="B402" s="11">
        <f t="shared" ca="1" si="32"/>
        <v>1</v>
      </c>
      <c r="C402" s="26">
        <f t="shared" ca="1" si="33"/>
        <v>0.28761671901637409</v>
      </c>
      <c r="J402">
        <f t="shared" ca="1" si="34"/>
        <v>0</v>
      </c>
      <c r="K402">
        <f t="shared" ca="1" si="35"/>
        <v>0</v>
      </c>
      <c r="L402" s="65">
        <v>396</v>
      </c>
      <c r="M402" s="71">
        <f t="shared" ca="1" si="31"/>
        <v>4.954245602290289</v>
      </c>
      <c r="N402" s="65"/>
    </row>
    <row r="403" spans="1:14" x14ac:dyDescent="0.25">
      <c r="A403" s="2">
        <v>397</v>
      </c>
      <c r="B403" s="11">
        <f t="shared" ca="1" si="32"/>
        <v>0</v>
      </c>
      <c r="C403" s="26">
        <f t="shared" ca="1" si="33"/>
        <v>0.91073725704468456</v>
      </c>
      <c r="J403">
        <f t="shared" ca="1" si="34"/>
        <v>0</v>
      </c>
      <c r="K403">
        <f t="shared" ca="1" si="35"/>
        <v>1</v>
      </c>
      <c r="L403" s="65">
        <v>397</v>
      </c>
      <c r="M403" s="71">
        <f t="shared" ca="1" si="31"/>
        <v>0</v>
      </c>
      <c r="N403" s="65"/>
    </row>
    <row r="404" spans="1:14" x14ac:dyDescent="0.25">
      <c r="A404" s="2">
        <v>398</v>
      </c>
      <c r="B404" s="11">
        <f t="shared" ca="1" si="32"/>
        <v>0</v>
      </c>
      <c r="C404" s="26">
        <f t="shared" ca="1" si="33"/>
        <v>0.94619739021065674</v>
      </c>
      <c r="J404">
        <f t="shared" ca="1" si="34"/>
        <v>0</v>
      </c>
      <c r="K404">
        <f t="shared" ca="1" si="35"/>
        <v>0</v>
      </c>
      <c r="L404" s="65">
        <v>398</v>
      </c>
      <c r="M404" s="71">
        <f t="shared" ca="1" si="31"/>
        <v>0</v>
      </c>
      <c r="N404" s="65"/>
    </row>
    <row r="405" spans="1:14" x14ac:dyDescent="0.25">
      <c r="A405" s="2">
        <v>399</v>
      </c>
      <c r="B405" s="11">
        <f t="shared" ca="1" si="32"/>
        <v>1</v>
      </c>
      <c r="C405" s="26">
        <f t="shared" ca="1" si="33"/>
        <v>0.42756377752819197</v>
      </c>
      <c r="J405">
        <f t="shared" ca="1" si="34"/>
        <v>1</v>
      </c>
      <c r="K405">
        <f t="shared" ca="1" si="35"/>
        <v>0</v>
      </c>
      <c r="L405" s="65">
        <v>399</v>
      </c>
      <c r="M405" s="71">
        <f t="shared" ca="1" si="31"/>
        <v>2.5366131685134103</v>
      </c>
      <c r="N405" s="65"/>
    </row>
    <row r="406" spans="1:14" x14ac:dyDescent="0.25">
      <c r="A406" s="2">
        <v>400</v>
      </c>
      <c r="B406" s="11">
        <f t="shared" ca="1" si="32"/>
        <v>1</v>
      </c>
      <c r="C406" s="26">
        <f t="shared" ca="1" si="33"/>
        <v>0.16194362269128615</v>
      </c>
      <c r="J406">
        <f t="shared" ca="1" si="34"/>
        <v>1</v>
      </c>
      <c r="K406">
        <f t="shared" ca="1" si="35"/>
        <v>0</v>
      </c>
      <c r="L406" s="65">
        <v>400</v>
      </c>
      <c r="M406" s="71">
        <f t="shared" ca="1" si="31"/>
        <v>4.2805551769544472</v>
      </c>
      <c r="N406" s="65"/>
    </row>
    <row r="407" spans="1:14" x14ac:dyDescent="0.25">
      <c r="A407" s="2">
        <v>401</v>
      </c>
      <c r="B407" s="11">
        <f t="shared" ca="1" si="32"/>
        <v>1</v>
      </c>
      <c r="C407" s="26">
        <f t="shared" ca="1" si="33"/>
        <v>0.43473606208343851</v>
      </c>
      <c r="J407">
        <f t="shared" ca="1" si="34"/>
        <v>0</v>
      </c>
      <c r="K407">
        <f t="shared" ca="1" si="35"/>
        <v>0</v>
      </c>
      <c r="L407" s="65">
        <v>401</v>
      </c>
      <c r="M407" s="71">
        <f t="shared" ca="1" si="31"/>
        <v>1.7989376650519295</v>
      </c>
      <c r="N407" s="65"/>
    </row>
    <row r="408" spans="1:14" x14ac:dyDescent="0.25">
      <c r="A408" s="2">
        <v>402</v>
      </c>
      <c r="B408" s="11">
        <f t="shared" ca="1" si="32"/>
        <v>0</v>
      </c>
      <c r="C408" s="26">
        <f t="shared" ca="1" si="33"/>
        <v>0.93451045432821889</v>
      </c>
      <c r="J408">
        <f t="shared" ca="1" si="34"/>
        <v>0</v>
      </c>
      <c r="K408">
        <f t="shared" ca="1" si="35"/>
        <v>0</v>
      </c>
      <c r="L408" s="65">
        <v>402</v>
      </c>
      <c r="M408" s="71">
        <f t="shared" ca="1" si="31"/>
        <v>0</v>
      </c>
      <c r="N408" s="65"/>
    </row>
    <row r="409" spans="1:14" x14ac:dyDescent="0.25">
      <c r="A409" s="2">
        <v>403</v>
      </c>
      <c r="B409" s="11">
        <f t="shared" ca="1" si="32"/>
        <v>1</v>
      </c>
      <c r="C409" s="26">
        <f t="shared" ca="1" si="33"/>
        <v>0.69409452833574936</v>
      </c>
      <c r="J409">
        <f t="shared" ca="1" si="34"/>
        <v>0</v>
      </c>
      <c r="K409">
        <f t="shared" ca="1" si="35"/>
        <v>0</v>
      </c>
      <c r="L409" s="65">
        <v>403</v>
      </c>
      <c r="M409" s="71">
        <f t="shared" ca="1" si="31"/>
        <v>20.871545824407562</v>
      </c>
      <c r="N409" s="65"/>
    </row>
    <row r="410" spans="1:14" x14ac:dyDescent="0.25">
      <c r="A410" s="2">
        <v>404</v>
      </c>
      <c r="B410" s="11">
        <f t="shared" ca="1" si="32"/>
        <v>0</v>
      </c>
      <c r="C410" s="26">
        <f t="shared" ca="1" si="33"/>
        <v>0.80163801921741473</v>
      </c>
      <c r="J410">
        <f t="shared" ca="1" si="34"/>
        <v>0</v>
      </c>
      <c r="K410">
        <f t="shared" ca="1" si="35"/>
        <v>1</v>
      </c>
      <c r="L410" s="65">
        <v>404</v>
      </c>
      <c r="M410" s="71">
        <f t="shared" ca="1" si="31"/>
        <v>0</v>
      </c>
      <c r="N410" s="65"/>
    </row>
    <row r="411" spans="1:14" x14ac:dyDescent="0.25">
      <c r="A411" s="2">
        <v>405</v>
      </c>
      <c r="B411" s="11">
        <f t="shared" ca="1" si="32"/>
        <v>0</v>
      </c>
      <c r="C411" s="26">
        <f t="shared" ca="1" si="33"/>
        <v>0.72198933742752835</v>
      </c>
      <c r="J411">
        <f t="shared" ca="1" si="34"/>
        <v>0</v>
      </c>
      <c r="K411">
        <f t="shared" ca="1" si="35"/>
        <v>1</v>
      </c>
      <c r="L411" s="65">
        <v>405</v>
      </c>
      <c r="M411" s="71">
        <f t="shared" ca="1" si="31"/>
        <v>0</v>
      </c>
      <c r="N411" s="65"/>
    </row>
    <row r="412" spans="1:14" x14ac:dyDescent="0.25">
      <c r="A412" s="2">
        <v>406</v>
      </c>
      <c r="B412" s="11">
        <f t="shared" ca="1" si="32"/>
        <v>0</v>
      </c>
      <c r="C412" s="26">
        <f t="shared" ca="1" si="33"/>
        <v>0.87519393392254607</v>
      </c>
      <c r="J412">
        <f t="shared" ca="1" si="34"/>
        <v>0</v>
      </c>
      <c r="K412">
        <f t="shared" ca="1" si="35"/>
        <v>1</v>
      </c>
      <c r="L412" s="65">
        <v>406</v>
      </c>
      <c r="M412" s="71">
        <f t="shared" ca="1" si="31"/>
        <v>0</v>
      </c>
      <c r="N412" s="65"/>
    </row>
    <row r="413" spans="1:14" x14ac:dyDescent="0.25">
      <c r="A413" s="2">
        <v>407</v>
      </c>
      <c r="B413" s="11">
        <f t="shared" ca="1" si="32"/>
        <v>0</v>
      </c>
      <c r="C413" s="26">
        <f t="shared" ca="1" si="33"/>
        <v>0.8837283988743212</v>
      </c>
      <c r="J413">
        <f t="shared" ca="1" si="34"/>
        <v>0</v>
      </c>
      <c r="K413">
        <f t="shared" ca="1" si="35"/>
        <v>1</v>
      </c>
      <c r="L413" s="65">
        <v>407</v>
      </c>
      <c r="M413" s="71">
        <f t="shared" ca="1" si="31"/>
        <v>0</v>
      </c>
      <c r="N413" s="65"/>
    </row>
    <row r="414" spans="1:14" x14ac:dyDescent="0.25">
      <c r="A414" s="2">
        <v>408</v>
      </c>
      <c r="B414" s="11">
        <f t="shared" ca="1" si="32"/>
        <v>0</v>
      </c>
      <c r="C414" s="26">
        <f t="shared" ca="1" si="33"/>
        <v>0.97403076531266275</v>
      </c>
      <c r="J414">
        <f t="shared" ca="1" si="34"/>
        <v>0</v>
      </c>
      <c r="K414">
        <f t="shared" ca="1" si="35"/>
        <v>0</v>
      </c>
      <c r="L414" s="65">
        <v>408</v>
      </c>
      <c r="M414" s="71">
        <f t="shared" ca="1" si="31"/>
        <v>0</v>
      </c>
      <c r="N414" s="65"/>
    </row>
    <row r="415" spans="1:14" x14ac:dyDescent="0.25">
      <c r="A415" s="2">
        <v>409</v>
      </c>
      <c r="B415" s="11">
        <f t="shared" ca="1" si="32"/>
        <v>1</v>
      </c>
      <c r="C415" s="26">
        <f t="shared" ca="1" si="33"/>
        <v>0.55634643766571967</v>
      </c>
      <c r="J415">
        <f t="shared" ca="1" si="34"/>
        <v>1</v>
      </c>
      <c r="K415">
        <f t="shared" ca="1" si="35"/>
        <v>0</v>
      </c>
      <c r="L415" s="65">
        <v>409</v>
      </c>
      <c r="M415" s="71">
        <f t="shared" ca="1" si="31"/>
        <v>2.147219848154859</v>
      </c>
      <c r="N415" s="65"/>
    </row>
    <row r="416" spans="1:14" x14ac:dyDescent="0.25">
      <c r="A416" s="2">
        <v>410</v>
      </c>
      <c r="B416" s="11">
        <f t="shared" ca="1" si="32"/>
        <v>1</v>
      </c>
      <c r="C416" s="26">
        <f t="shared" ca="1" si="33"/>
        <v>0.15738036412319822</v>
      </c>
      <c r="J416">
        <f t="shared" ca="1" si="34"/>
        <v>1</v>
      </c>
      <c r="K416">
        <f t="shared" ca="1" si="35"/>
        <v>0</v>
      </c>
      <c r="L416" s="65">
        <v>410</v>
      </c>
      <c r="M416" s="71">
        <f t="shared" ca="1" si="31"/>
        <v>4.7357859495389336</v>
      </c>
      <c r="N416" s="65"/>
    </row>
    <row r="417" spans="1:14" x14ac:dyDescent="0.25">
      <c r="A417" s="2">
        <v>411</v>
      </c>
      <c r="B417" s="11">
        <f t="shared" ca="1" si="32"/>
        <v>1</v>
      </c>
      <c r="C417" s="26">
        <f t="shared" ca="1" si="33"/>
        <v>0.43342386555703794</v>
      </c>
      <c r="J417">
        <f t="shared" ca="1" si="34"/>
        <v>1</v>
      </c>
      <c r="K417">
        <f t="shared" ca="1" si="35"/>
        <v>0</v>
      </c>
      <c r="L417" s="65">
        <v>411</v>
      </c>
      <c r="M417" s="71">
        <f t="shared" ca="1" si="31"/>
        <v>2.7564995285999765</v>
      </c>
      <c r="N417" s="65"/>
    </row>
    <row r="418" spans="1:14" x14ac:dyDescent="0.25">
      <c r="A418" s="2">
        <v>412</v>
      </c>
      <c r="B418" s="11">
        <f t="shared" ca="1" si="32"/>
        <v>1</v>
      </c>
      <c r="C418" s="26">
        <f t="shared" ca="1" si="33"/>
        <v>0.24847595826156976</v>
      </c>
      <c r="J418">
        <f t="shared" ca="1" si="34"/>
        <v>1</v>
      </c>
      <c r="K418">
        <f t="shared" ca="1" si="35"/>
        <v>0</v>
      </c>
      <c r="L418" s="65">
        <v>412</v>
      </c>
      <c r="M418" s="71">
        <f t="shared" ca="1" si="31"/>
        <v>11.615767362490232</v>
      </c>
      <c r="N418" s="65"/>
    </row>
    <row r="419" spans="1:14" x14ac:dyDescent="0.25">
      <c r="A419" s="2">
        <v>413</v>
      </c>
      <c r="B419" s="11">
        <f t="shared" ca="1" si="32"/>
        <v>1</v>
      </c>
      <c r="C419" s="26">
        <f t="shared" ca="1" si="33"/>
        <v>1.9781729138143245E-2</v>
      </c>
      <c r="J419">
        <f t="shared" ca="1" si="34"/>
        <v>1</v>
      </c>
      <c r="K419">
        <f t="shared" ca="1" si="35"/>
        <v>0</v>
      </c>
      <c r="L419" s="65">
        <v>413</v>
      </c>
      <c r="M419" s="71">
        <f t="shared" ca="1" si="31"/>
        <v>0.62776690164357873</v>
      </c>
      <c r="N419" s="65"/>
    </row>
    <row r="420" spans="1:14" x14ac:dyDescent="0.25">
      <c r="A420" s="2">
        <v>414</v>
      </c>
      <c r="B420" s="11">
        <f t="shared" ca="1" si="32"/>
        <v>1</v>
      </c>
      <c r="C420" s="26">
        <f t="shared" ca="1" si="33"/>
        <v>0.72765969636880001</v>
      </c>
      <c r="J420">
        <f t="shared" ca="1" si="34"/>
        <v>1</v>
      </c>
      <c r="K420">
        <f t="shared" ca="1" si="35"/>
        <v>0</v>
      </c>
      <c r="L420" s="65">
        <v>414</v>
      </c>
      <c r="M420" s="71">
        <f t="shared" ca="1" si="31"/>
        <v>8.2887069625651133</v>
      </c>
      <c r="N420" s="65"/>
    </row>
    <row r="421" spans="1:14" x14ac:dyDescent="0.25">
      <c r="A421" s="2">
        <v>415</v>
      </c>
      <c r="B421" s="11">
        <f t="shared" ca="1" si="32"/>
        <v>1</v>
      </c>
      <c r="C421" s="26">
        <f t="shared" ca="1" si="33"/>
        <v>0.42393138900636973</v>
      </c>
      <c r="J421">
        <f t="shared" ca="1" si="34"/>
        <v>1</v>
      </c>
      <c r="K421">
        <f t="shared" ca="1" si="35"/>
        <v>0</v>
      </c>
      <c r="L421" s="65">
        <v>415</v>
      </c>
      <c r="M421" s="71">
        <f t="shared" ca="1" si="31"/>
        <v>3.4929344645053271</v>
      </c>
      <c r="N421" s="65"/>
    </row>
    <row r="422" spans="1:14" x14ac:dyDescent="0.25">
      <c r="A422" s="2">
        <v>416</v>
      </c>
      <c r="B422" s="11">
        <f t="shared" ca="1" si="32"/>
        <v>1</v>
      </c>
      <c r="C422" s="26">
        <f t="shared" ca="1" si="33"/>
        <v>0.17357865641724368</v>
      </c>
      <c r="J422">
        <f t="shared" ca="1" si="34"/>
        <v>1</v>
      </c>
      <c r="K422">
        <f t="shared" ca="1" si="35"/>
        <v>0</v>
      </c>
      <c r="L422" s="65">
        <v>416</v>
      </c>
      <c r="M422" s="71">
        <f t="shared" ca="1" si="31"/>
        <v>3.9395355455143313</v>
      </c>
      <c r="N422" s="65"/>
    </row>
    <row r="423" spans="1:14" x14ac:dyDescent="0.25">
      <c r="A423" s="2">
        <v>417</v>
      </c>
      <c r="B423" s="11">
        <f t="shared" ca="1" si="32"/>
        <v>1</v>
      </c>
      <c r="C423" s="26">
        <f t="shared" ca="1" si="33"/>
        <v>0.5717111271539691</v>
      </c>
      <c r="J423">
        <f t="shared" ca="1" si="34"/>
        <v>1</v>
      </c>
      <c r="K423">
        <f t="shared" ca="1" si="35"/>
        <v>0</v>
      </c>
      <c r="L423" s="65">
        <v>417</v>
      </c>
      <c r="M423" s="71">
        <f t="shared" ca="1" si="31"/>
        <v>24.856201707739267</v>
      </c>
      <c r="N423" s="65"/>
    </row>
    <row r="424" spans="1:14" x14ac:dyDescent="0.25">
      <c r="A424" s="2">
        <v>418</v>
      </c>
      <c r="B424" s="11">
        <f t="shared" ca="1" si="32"/>
        <v>1</v>
      </c>
      <c r="C424" s="26">
        <f t="shared" ca="1" si="33"/>
        <v>0.72610111647465347</v>
      </c>
      <c r="J424">
        <f t="shared" ca="1" si="34"/>
        <v>1</v>
      </c>
      <c r="K424">
        <f t="shared" ca="1" si="35"/>
        <v>0</v>
      </c>
      <c r="L424" s="65">
        <v>418</v>
      </c>
      <c r="M424" s="71">
        <f t="shared" ca="1" si="31"/>
        <v>2.5483182139784386</v>
      </c>
      <c r="N424" s="65"/>
    </row>
    <row r="425" spans="1:14" x14ac:dyDescent="0.25">
      <c r="A425" s="2">
        <v>419</v>
      </c>
      <c r="B425" s="11">
        <f t="shared" ca="1" si="32"/>
        <v>1</v>
      </c>
      <c r="C425" s="26">
        <f t="shared" ca="1" si="33"/>
        <v>7.0312427708827729E-2</v>
      </c>
      <c r="J425">
        <f t="shared" ca="1" si="34"/>
        <v>1</v>
      </c>
      <c r="K425">
        <f t="shared" ca="1" si="35"/>
        <v>0</v>
      </c>
      <c r="L425" s="65">
        <v>419</v>
      </c>
      <c r="M425" s="71">
        <f t="shared" ca="1" si="31"/>
        <v>5.1422189254981676</v>
      </c>
      <c r="N425" s="65"/>
    </row>
    <row r="426" spans="1:14" x14ac:dyDescent="0.25">
      <c r="A426" s="2">
        <v>420</v>
      </c>
      <c r="B426" s="11">
        <f t="shared" ca="1" si="32"/>
        <v>1</v>
      </c>
      <c r="C426" s="26">
        <f t="shared" ca="1" si="33"/>
        <v>0.75803005832990034</v>
      </c>
      <c r="J426">
        <f t="shared" ca="1" si="34"/>
        <v>1</v>
      </c>
      <c r="K426">
        <f t="shared" ca="1" si="35"/>
        <v>0</v>
      </c>
      <c r="L426" s="65">
        <v>420</v>
      </c>
      <c r="M426" s="71">
        <f t="shared" ca="1" si="31"/>
        <v>2.6926874451708596</v>
      </c>
      <c r="N426" s="65"/>
    </row>
    <row r="427" spans="1:14" x14ac:dyDescent="0.25">
      <c r="A427" s="2">
        <v>421</v>
      </c>
      <c r="B427" s="11">
        <f t="shared" ca="1" si="32"/>
        <v>1</v>
      </c>
      <c r="C427" s="26">
        <f t="shared" ca="1" si="33"/>
        <v>0.31767671836706124</v>
      </c>
      <c r="J427">
        <f t="shared" ca="1" si="34"/>
        <v>1</v>
      </c>
      <c r="K427">
        <f t="shared" ca="1" si="35"/>
        <v>0</v>
      </c>
      <c r="L427" s="65">
        <v>421</v>
      </c>
      <c r="M427" s="71">
        <f t="shared" ca="1" si="31"/>
        <v>1.2396359996108437</v>
      </c>
      <c r="N427" s="65"/>
    </row>
    <row r="428" spans="1:14" x14ac:dyDescent="0.25">
      <c r="A428" s="2">
        <v>422</v>
      </c>
      <c r="B428" s="11">
        <f t="shared" ca="1" si="32"/>
        <v>1</v>
      </c>
      <c r="C428" s="26">
        <f t="shared" ca="1" si="33"/>
        <v>0.76042682770372072</v>
      </c>
      <c r="J428">
        <f t="shared" ca="1" si="34"/>
        <v>0</v>
      </c>
      <c r="K428">
        <f t="shared" ca="1" si="35"/>
        <v>0</v>
      </c>
      <c r="L428" s="65">
        <v>422</v>
      </c>
      <c r="M428" s="71">
        <f t="shared" ca="1" si="31"/>
        <v>1.2325309356151408</v>
      </c>
      <c r="N428" s="65"/>
    </row>
    <row r="429" spans="1:14" x14ac:dyDescent="0.25">
      <c r="A429" s="2">
        <v>423</v>
      </c>
      <c r="B429" s="11">
        <f t="shared" ca="1" si="32"/>
        <v>0</v>
      </c>
      <c r="C429" s="26">
        <f t="shared" ca="1" si="33"/>
        <v>0.91927104937771631</v>
      </c>
      <c r="J429">
        <f t="shared" ca="1" si="34"/>
        <v>0</v>
      </c>
      <c r="K429">
        <f t="shared" ca="1" si="35"/>
        <v>0</v>
      </c>
      <c r="L429" s="65">
        <v>423</v>
      </c>
      <c r="M429" s="71">
        <f t="shared" ca="1" si="31"/>
        <v>0</v>
      </c>
      <c r="N429" s="65"/>
    </row>
    <row r="430" spans="1:14" x14ac:dyDescent="0.25">
      <c r="A430" s="2">
        <v>424</v>
      </c>
      <c r="B430" s="11">
        <f t="shared" ca="1" si="32"/>
        <v>1</v>
      </c>
      <c r="C430" s="26">
        <f t="shared" ca="1" si="33"/>
        <v>0.29617367094657754</v>
      </c>
      <c r="J430">
        <f t="shared" ca="1" si="34"/>
        <v>1</v>
      </c>
      <c r="K430">
        <f t="shared" ca="1" si="35"/>
        <v>0</v>
      </c>
      <c r="L430" s="65">
        <v>424</v>
      </c>
      <c r="M430" s="71">
        <f t="shared" ca="1" si="31"/>
        <v>5.5724065946382568</v>
      </c>
      <c r="N430" s="65"/>
    </row>
    <row r="431" spans="1:14" x14ac:dyDescent="0.25">
      <c r="A431" s="2">
        <v>425</v>
      </c>
      <c r="B431" s="11">
        <f t="shared" ca="1" si="32"/>
        <v>1</v>
      </c>
      <c r="C431" s="26">
        <f t="shared" ca="1" si="33"/>
        <v>1.9064604542077368E-2</v>
      </c>
      <c r="J431">
        <f t="shared" ca="1" si="34"/>
        <v>1</v>
      </c>
      <c r="K431">
        <f t="shared" ca="1" si="35"/>
        <v>0</v>
      </c>
      <c r="L431" s="65">
        <v>425</v>
      </c>
      <c r="M431" s="71">
        <f t="shared" ca="1" si="31"/>
        <v>1.8096347129588592</v>
      </c>
      <c r="N431" s="65"/>
    </row>
    <row r="432" spans="1:14" x14ac:dyDescent="0.25">
      <c r="A432" s="2">
        <v>426</v>
      </c>
      <c r="B432" s="11">
        <f t="shared" ca="1" si="32"/>
        <v>1</v>
      </c>
      <c r="C432" s="26">
        <f t="shared" ca="1" si="33"/>
        <v>0.66095554084766306</v>
      </c>
      <c r="J432">
        <f t="shared" ca="1" si="34"/>
        <v>1</v>
      </c>
      <c r="K432">
        <f t="shared" ca="1" si="35"/>
        <v>0</v>
      </c>
      <c r="L432" s="65">
        <v>426</v>
      </c>
      <c r="M432" s="71">
        <f t="shared" ca="1" si="31"/>
        <v>13.418603249754938</v>
      </c>
      <c r="N432" s="65"/>
    </row>
    <row r="433" spans="1:14" x14ac:dyDescent="0.25">
      <c r="A433" s="2">
        <v>427</v>
      </c>
      <c r="B433" s="11">
        <f t="shared" ca="1" si="32"/>
        <v>1</v>
      </c>
      <c r="C433" s="26">
        <f t="shared" ca="1" si="33"/>
        <v>9.1487231246914491E-2</v>
      </c>
      <c r="J433">
        <f t="shared" ca="1" si="34"/>
        <v>0</v>
      </c>
      <c r="K433">
        <f t="shared" ca="1" si="35"/>
        <v>0</v>
      </c>
      <c r="L433" s="65">
        <v>427</v>
      </c>
      <c r="M433" s="71">
        <f t="shared" ca="1" si="31"/>
        <v>10.781386815780087</v>
      </c>
      <c r="N433" s="65"/>
    </row>
    <row r="434" spans="1:14" x14ac:dyDescent="0.25">
      <c r="A434" s="2">
        <v>428</v>
      </c>
      <c r="B434" s="11">
        <f t="shared" ca="1" si="32"/>
        <v>0</v>
      </c>
      <c r="C434" s="26">
        <f t="shared" ca="1" si="33"/>
        <v>0.90882270501360096</v>
      </c>
      <c r="J434">
        <f t="shared" ca="1" si="34"/>
        <v>0</v>
      </c>
      <c r="K434">
        <f t="shared" ca="1" si="35"/>
        <v>0</v>
      </c>
      <c r="L434" s="65">
        <v>428</v>
      </c>
      <c r="M434" s="71">
        <f t="shared" ca="1" si="31"/>
        <v>0</v>
      </c>
      <c r="N434" s="65"/>
    </row>
    <row r="435" spans="1:14" x14ac:dyDescent="0.25">
      <c r="A435" s="2">
        <v>429</v>
      </c>
      <c r="B435" s="11">
        <f t="shared" ca="1" si="32"/>
        <v>1</v>
      </c>
      <c r="C435" s="26">
        <f t="shared" ca="1" si="33"/>
        <v>0.47371439404058724</v>
      </c>
      <c r="J435">
        <f t="shared" ca="1" si="34"/>
        <v>1</v>
      </c>
      <c r="K435">
        <f t="shared" ca="1" si="35"/>
        <v>0</v>
      </c>
      <c r="L435" s="65">
        <v>429</v>
      </c>
      <c r="M435" s="71">
        <f t="shared" ca="1" si="31"/>
        <v>11.450873305664024</v>
      </c>
      <c r="N435" s="65"/>
    </row>
    <row r="436" spans="1:14" x14ac:dyDescent="0.25">
      <c r="A436" s="2">
        <v>430</v>
      </c>
      <c r="B436" s="11">
        <f t="shared" ca="1" si="32"/>
        <v>1</v>
      </c>
      <c r="C436" s="26">
        <f t="shared" ca="1" si="33"/>
        <v>0.10010040549163601</v>
      </c>
      <c r="J436">
        <f t="shared" ca="1" si="34"/>
        <v>1</v>
      </c>
      <c r="K436">
        <f t="shared" ca="1" si="35"/>
        <v>0</v>
      </c>
      <c r="L436" s="65">
        <v>430</v>
      </c>
      <c r="M436" s="71">
        <f t="shared" ca="1" si="31"/>
        <v>1.5670199687525581E-2</v>
      </c>
      <c r="N436" s="65"/>
    </row>
    <row r="437" spans="1:14" x14ac:dyDescent="0.25">
      <c r="A437" s="2">
        <v>431</v>
      </c>
      <c r="B437" s="11">
        <f t="shared" ca="1" si="32"/>
        <v>1</v>
      </c>
      <c r="C437" s="26">
        <f t="shared" ca="1" si="33"/>
        <v>3.3327109202494154E-2</v>
      </c>
      <c r="J437">
        <f t="shared" ca="1" si="34"/>
        <v>0</v>
      </c>
      <c r="K437">
        <f t="shared" ca="1" si="35"/>
        <v>0</v>
      </c>
      <c r="L437" s="65">
        <v>431</v>
      </c>
      <c r="M437" s="71">
        <f t="shared" ca="1" si="31"/>
        <v>2.6564838920350868</v>
      </c>
      <c r="N437" s="65"/>
    </row>
    <row r="438" spans="1:14" x14ac:dyDescent="0.25">
      <c r="A438" s="2">
        <v>432</v>
      </c>
      <c r="B438" s="11">
        <f t="shared" ca="1" si="32"/>
        <v>0</v>
      </c>
      <c r="C438" s="26">
        <f t="shared" ca="1" si="33"/>
        <v>0.83877071270040116</v>
      </c>
      <c r="J438">
        <f t="shared" ca="1" si="34"/>
        <v>0</v>
      </c>
      <c r="K438">
        <f t="shared" ca="1" si="35"/>
        <v>0</v>
      </c>
      <c r="L438" s="65">
        <v>432</v>
      </c>
      <c r="M438" s="71">
        <f t="shared" ca="1" si="31"/>
        <v>0</v>
      </c>
      <c r="N438" s="65"/>
    </row>
    <row r="439" spans="1:14" x14ac:dyDescent="0.25">
      <c r="A439" s="2">
        <v>433</v>
      </c>
      <c r="B439" s="11">
        <f t="shared" ca="1" si="32"/>
        <v>1</v>
      </c>
      <c r="C439" s="26">
        <f t="shared" ca="1" si="33"/>
        <v>0.38888608353842424</v>
      </c>
      <c r="J439">
        <f t="shared" ca="1" si="34"/>
        <v>1</v>
      </c>
      <c r="K439">
        <f t="shared" ca="1" si="35"/>
        <v>0</v>
      </c>
      <c r="L439" s="65">
        <v>433</v>
      </c>
      <c r="M439" s="71">
        <f t="shared" ca="1" si="31"/>
        <v>0.18167379069718687</v>
      </c>
      <c r="N439" s="65"/>
    </row>
    <row r="440" spans="1:14" x14ac:dyDescent="0.25">
      <c r="A440" s="2">
        <v>434</v>
      </c>
      <c r="B440" s="11">
        <f t="shared" ca="1" si="32"/>
        <v>1</v>
      </c>
      <c r="C440" s="26">
        <f t="shared" ca="1" si="33"/>
        <v>0.46376686568690861</v>
      </c>
      <c r="J440">
        <f t="shared" ca="1" si="34"/>
        <v>0</v>
      </c>
      <c r="K440">
        <f t="shared" ca="1" si="35"/>
        <v>0</v>
      </c>
      <c r="L440" s="65">
        <v>434</v>
      </c>
      <c r="M440" s="71">
        <f t="shared" ca="1" si="31"/>
        <v>3.3848153148492619</v>
      </c>
      <c r="N440" s="65"/>
    </row>
    <row r="441" spans="1:14" x14ac:dyDescent="0.25">
      <c r="A441" s="2">
        <v>435</v>
      </c>
      <c r="B441" s="11">
        <f t="shared" ca="1" si="32"/>
        <v>0</v>
      </c>
      <c r="C441" s="26">
        <f t="shared" ca="1" si="33"/>
        <v>0.94836207466580869</v>
      </c>
      <c r="J441">
        <f t="shared" ca="1" si="34"/>
        <v>0</v>
      </c>
      <c r="K441">
        <f t="shared" ca="1" si="35"/>
        <v>0</v>
      </c>
      <c r="L441" s="65">
        <v>435</v>
      </c>
      <c r="M441" s="71">
        <f t="shared" ca="1" si="31"/>
        <v>0</v>
      </c>
      <c r="N441" s="65"/>
    </row>
    <row r="442" spans="1:14" x14ac:dyDescent="0.25">
      <c r="A442" s="2">
        <v>436</v>
      </c>
      <c r="B442" s="11">
        <f t="shared" ca="1" si="32"/>
        <v>1</v>
      </c>
      <c r="C442" s="26">
        <f t="shared" ca="1" si="33"/>
        <v>0.70558101374870608</v>
      </c>
      <c r="J442">
        <f t="shared" ca="1" si="34"/>
        <v>1</v>
      </c>
      <c r="K442">
        <f t="shared" ca="1" si="35"/>
        <v>0</v>
      </c>
      <c r="L442" s="65">
        <v>436</v>
      </c>
      <c r="M442" s="71">
        <f t="shared" ca="1" si="31"/>
        <v>5.5953678098819397</v>
      </c>
      <c r="N442" s="65"/>
    </row>
    <row r="443" spans="1:14" x14ac:dyDescent="0.25">
      <c r="A443" s="2">
        <v>437</v>
      </c>
      <c r="B443" s="11">
        <f t="shared" ca="1" si="32"/>
        <v>1</v>
      </c>
      <c r="C443" s="26">
        <f t="shared" ca="1" si="33"/>
        <v>0.71820460373419492</v>
      </c>
      <c r="J443">
        <f t="shared" ca="1" si="34"/>
        <v>1</v>
      </c>
      <c r="K443">
        <f t="shared" ca="1" si="35"/>
        <v>0</v>
      </c>
      <c r="L443" s="65">
        <v>437</v>
      </c>
      <c r="M443" s="71">
        <f t="shared" ca="1" si="31"/>
        <v>6.4443292153228402</v>
      </c>
      <c r="N443" s="65"/>
    </row>
    <row r="444" spans="1:14" x14ac:dyDescent="0.25">
      <c r="A444" s="2">
        <v>438</v>
      </c>
      <c r="B444" s="11">
        <f t="shared" ca="1" si="32"/>
        <v>1</v>
      </c>
      <c r="C444" s="26">
        <f t="shared" ca="1" si="33"/>
        <v>6.5941423719901859E-3</v>
      </c>
      <c r="J444">
        <f t="shared" ca="1" si="34"/>
        <v>0</v>
      </c>
      <c r="K444">
        <f t="shared" ca="1" si="35"/>
        <v>0</v>
      </c>
      <c r="L444" s="65">
        <v>438</v>
      </c>
      <c r="M444" s="71">
        <f t="shared" ca="1" si="31"/>
        <v>5.6158075240969843E-2</v>
      </c>
      <c r="N444" s="65"/>
    </row>
    <row r="445" spans="1:14" x14ac:dyDescent="0.25">
      <c r="A445" s="2">
        <v>439</v>
      </c>
      <c r="B445" s="11">
        <f t="shared" ca="1" si="32"/>
        <v>0</v>
      </c>
      <c r="C445" s="26">
        <f t="shared" ca="1" si="33"/>
        <v>0.97313454554444667</v>
      </c>
      <c r="J445">
        <f t="shared" ca="1" si="34"/>
        <v>0</v>
      </c>
      <c r="K445">
        <f t="shared" ca="1" si="35"/>
        <v>1</v>
      </c>
      <c r="L445" s="65">
        <v>439</v>
      </c>
      <c r="M445" s="71">
        <f t="shared" ca="1" si="31"/>
        <v>0</v>
      </c>
      <c r="N445" s="65"/>
    </row>
    <row r="446" spans="1:14" x14ac:dyDescent="0.25">
      <c r="A446" s="2">
        <v>440</v>
      </c>
      <c r="B446" s="11">
        <f t="shared" ca="1" si="32"/>
        <v>0</v>
      </c>
      <c r="C446" s="26">
        <f t="shared" ca="1" si="33"/>
        <v>0.96483640501596202</v>
      </c>
      <c r="J446">
        <f t="shared" ca="1" si="34"/>
        <v>0</v>
      </c>
      <c r="K446">
        <f t="shared" ca="1" si="35"/>
        <v>0</v>
      </c>
      <c r="L446" s="65">
        <v>440</v>
      </c>
      <c r="M446" s="71">
        <f t="shared" ca="1" si="31"/>
        <v>0</v>
      </c>
      <c r="N446" s="65"/>
    </row>
    <row r="447" spans="1:14" x14ac:dyDescent="0.25">
      <c r="A447" s="2">
        <v>441</v>
      </c>
      <c r="B447" s="11">
        <f t="shared" ca="1" si="32"/>
        <v>1</v>
      </c>
      <c r="C447" s="26">
        <f t="shared" ca="1" si="33"/>
        <v>8.3326042460571959E-3</v>
      </c>
      <c r="J447">
        <f t="shared" ca="1" si="34"/>
        <v>0</v>
      </c>
      <c r="K447">
        <f t="shared" ca="1" si="35"/>
        <v>0</v>
      </c>
      <c r="L447" s="65">
        <v>441</v>
      </c>
      <c r="M447" s="71">
        <f t="shared" ca="1" si="31"/>
        <v>6.7181242774966012</v>
      </c>
      <c r="N447" s="65"/>
    </row>
    <row r="448" spans="1:14" x14ac:dyDescent="0.25">
      <c r="A448" s="2">
        <v>442</v>
      </c>
      <c r="B448" s="11">
        <f t="shared" ca="1" si="32"/>
        <v>0</v>
      </c>
      <c r="C448" s="26">
        <f t="shared" ca="1" si="33"/>
        <v>0.88165947748753393</v>
      </c>
      <c r="J448">
        <f t="shared" ca="1" si="34"/>
        <v>0</v>
      </c>
      <c r="K448">
        <f t="shared" ca="1" si="35"/>
        <v>0</v>
      </c>
      <c r="L448" s="65">
        <v>442</v>
      </c>
      <c r="M448" s="71">
        <f t="shared" ca="1" si="31"/>
        <v>0</v>
      </c>
      <c r="N448" s="65"/>
    </row>
    <row r="449" spans="1:14" x14ac:dyDescent="0.25">
      <c r="A449" s="2">
        <v>443</v>
      </c>
      <c r="B449" s="11">
        <f t="shared" ca="1" si="32"/>
        <v>1</v>
      </c>
      <c r="C449" s="26">
        <f t="shared" ca="1" si="33"/>
        <v>0.32999291672536935</v>
      </c>
      <c r="J449">
        <f t="shared" ca="1" si="34"/>
        <v>1</v>
      </c>
      <c r="K449">
        <f t="shared" ca="1" si="35"/>
        <v>0</v>
      </c>
      <c r="L449" s="65">
        <v>443</v>
      </c>
      <c r="M449" s="71">
        <f t="shared" ca="1" si="31"/>
        <v>4.3327176485246506</v>
      </c>
      <c r="N449" s="65"/>
    </row>
    <row r="450" spans="1:14" x14ac:dyDescent="0.25">
      <c r="A450" s="2">
        <v>444</v>
      </c>
      <c r="B450" s="11">
        <f t="shared" ca="1" si="32"/>
        <v>1</v>
      </c>
      <c r="C450" s="26">
        <f t="shared" ca="1" si="33"/>
        <v>0.23968842457141459</v>
      </c>
      <c r="J450">
        <f t="shared" ca="1" si="34"/>
        <v>0</v>
      </c>
      <c r="K450">
        <f t="shared" ca="1" si="35"/>
        <v>0</v>
      </c>
      <c r="L450" s="65">
        <v>444</v>
      </c>
      <c r="M450" s="71">
        <f t="shared" ca="1" si="31"/>
        <v>6.1270752684154601</v>
      </c>
      <c r="N450" s="65"/>
    </row>
    <row r="451" spans="1:14" x14ac:dyDescent="0.25">
      <c r="A451" s="2">
        <v>445</v>
      </c>
      <c r="B451" s="11">
        <f t="shared" ca="1" si="32"/>
        <v>0</v>
      </c>
      <c r="C451" s="26">
        <f t="shared" ca="1" si="33"/>
        <v>0.81769551814204533</v>
      </c>
      <c r="J451">
        <f t="shared" ca="1" si="34"/>
        <v>0</v>
      </c>
      <c r="K451">
        <f t="shared" ca="1" si="35"/>
        <v>0</v>
      </c>
      <c r="L451" s="65">
        <v>445</v>
      </c>
      <c r="M451" s="71">
        <f t="shared" ca="1" si="31"/>
        <v>0</v>
      </c>
      <c r="N451" s="65"/>
    </row>
    <row r="452" spans="1:14" x14ac:dyDescent="0.25">
      <c r="A452" s="2">
        <v>446</v>
      </c>
      <c r="B452" s="11">
        <f t="shared" ca="1" si="32"/>
        <v>1</v>
      </c>
      <c r="C452" s="26">
        <f t="shared" ca="1" si="33"/>
        <v>0.6723004404548073</v>
      </c>
      <c r="J452">
        <f t="shared" ca="1" si="34"/>
        <v>0</v>
      </c>
      <c r="K452">
        <f t="shared" ca="1" si="35"/>
        <v>0</v>
      </c>
      <c r="L452" s="65">
        <v>446</v>
      </c>
      <c r="M452" s="71">
        <f t="shared" ca="1" si="31"/>
        <v>7.4504023002647033</v>
      </c>
      <c r="N452" s="65"/>
    </row>
    <row r="453" spans="1:14" x14ac:dyDescent="0.25">
      <c r="A453" s="2">
        <v>447</v>
      </c>
      <c r="B453" s="11">
        <f t="shared" ca="1" si="32"/>
        <v>0</v>
      </c>
      <c r="C453" s="26">
        <f t="shared" ca="1" si="33"/>
        <v>0.911852325118928</v>
      </c>
      <c r="J453">
        <f t="shared" ca="1" si="34"/>
        <v>0</v>
      </c>
      <c r="K453">
        <f t="shared" ca="1" si="35"/>
        <v>0</v>
      </c>
      <c r="L453" s="65">
        <v>447</v>
      </c>
      <c r="M453" s="71">
        <f t="shared" ca="1" si="31"/>
        <v>0</v>
      </c>
      <c r="N453" s="65"/>
    </row>
    <row r="454" spans="1:14" x14ac:dyDescent="0.25">
      <c r="A454" s="2">
        <v>448</v>
      </c>
      <c r="B454" s="11">
        <f t="shared" ca="1" si="32"/>
        <v>1</v>
      </c>
      <c r="C454" s="26">
        <f t="shared" ca="1" si="33"/>
        <v>0.29872667843525624</v>
      </c>
      <c r="J454">
        <f t="shared" ca="1" si="34"/>
        <v>1</v>
      </c>
      <c r="K454">
        <f t="shared" ca="1" si="35"/>
        <v>0</v>
      </c>
      <c r="L454" s="65">
        <v>448</v>
      </c>
      <c r="M454" s="71">
        <f t="shared" ca="1" si="31"/>
        <v>1.2630236418943004</v>
      </c>
      <c r="N454" s="65"/>
    </row>
    <row r="455" spans="1:14" x14ac:dyDescent="0.25">
      <c r="A455" s="2">
        <v>449</v>
      </c>
      <c r="B455" s="11">
        <f t="shared" ca="1" si="32"/>
        <v>1</v>
      </c>
      <c r="C455" s="26">
        <f t="shared" ca="1" si="33"/>
        <v>0.30354068138668222</v>
      </c>
      <c r="J455">
        <f t="shared" ca="1" si="34"/>
        <v>1</v>
      </c>
      <c r="K455">
        <f t="shared" ca="1" si="35"/>
        <v>0</v>
      </c>
      <c r="L455" s="65">
        <v>449</v>
      </c>
      <c r="M455" s="71">
        <f t="shared" ref="M455:M518" ca="1" si="36">IF(B455&gt;0,-LN(1-(RAND()))/lambda,0)</f>
        <v>2.7475693974475052E-2</v>
      </c>
      <c r="N455" s="65"/>
    </row>
    <row r="456" spans="1:14" x14ac:dyDescent="0.25">
      <c r="A456" s="2">
        <v>450</v>
      </c>
      <c r="B456" s="11">
        <f t="shared" ref="B456:B519" ca="1" si="37">IF(B455&gt;0,IF(C456&lt;pww,1,0),IF(C456&lt;pdw,1,0))</f>
        <v>1</v>
      </c>
      <c r="C456" s="26">
        <f t="shared" ref="C456:C519" ca="1" si="38">RAND()</f>
        <v>0.3125946593581459</v>
      </c>
      <c r="J456">
        <f t="shared" ref="J456:J519" ca="1" si="39">IF(AND(B456,B457),1,0)</f>
        <v>1</v>
      </c>
      <c r="K456">
        <f t="shared" ref="K456:K519" ca="1" si="40">IF(AND(NOT(B456),NOT(B457)),1,0)</f>
        <v>0</v>
      </c>
      <c r="L456" s="65">
        <v>450</v>
      </c>
      <c r="M456" s="71">
        <f t="shared" ca="1" si="36"/>
        <v>13.696015773299171</v>
      </c>
      <c r="N456" s="65"/>
    </row>
    <row r="457" spans="1:14" x14ac:dyDescent="0.25">
      <c r="A457" s="2">
        <v>451</v>
      </c>
      <c r="B457" s="11">
        <f t="shared" ca="1" si="37"/>
        <v>1</v>
      </c>
      <c r="C457" s="26">
        <f t="shared" ca="1" si="38"/>
        <v>0.76190753647802634</v>
      </c>
      <c r="J457">
        <f t="shared" ca="1" si="39"/>
        <v>1</v>
      </c>
      <c r="K457">
        <f t="shared" ca="1" si="40"/>
        <v>0</v>
      </c>
      <c r="L457" s="65">
        <v>451</v>
      </c>
      <c r="M457" s="71">
        <f t="shared" ca="1" si="36"/>
        <v>1.8428107384456824</v>
      </c>
      <c r="N457" s="65"/>
    </row>
    <row r="458" spans="1:14" x14ac:dyDescent="0.25">
      <c r="A458" s="2">
        <v>452</v>
      </c>
      <c r="B458" s="11">
        <f t="shared" ca="1" si="37"/>
        <v>1</v>
      </c>
      <c r="C458" s="26">
        <f t="shared" ca="1" si="38"/>
        <v>7.4589466260829962E-2</v>
      </c>
      <c r="J458">
        <f t="shared" ca="1" si="39"/>
        <v>1</v>
      </c>
      <c r="K458">
        <f t="shared" ca="1" si="40"/>
        <v>0</v>
      </c>
      <c r="L458" s="65">
        <v>452</v>
      </c>
      <c r="M458" s="71">
        <f t="shared" ca="1" si="36"/>
        <v>1.5911519349022434</v>
      </c>
      <c r="N458" s="65"/>
    </row>
    <row r="459" spans="1:14" x14ac:dyDescent="0.25">
      <c r="A459" s="2">
        <v>453</v>
      </c>
      <c r="B459" s="11">
        <f t="shared" ca="1" si="37"/>
        <v>1</v>
      </c>
      <c r="C459" s="26">
        <f t="shared" ca="1" si="38"/>
        <v>0.20577828973749179</v>
      </c>
      <c r="J459">
        <f t="shared" ca="1" si="39"/>
        <v>1</v>
      </c>
      <c r="K459">
        <f t="shared" ca="1" si="40"/>
        <v>0</v>
      </c>
      <c r="L459" s="65">
        <v>453</v>
      </c>
      <c r="M459" s="71">
        <f t="shared" ca="1" si="36"/>
        <v>0.60771625845715127</v>
      </c>
      <c r="N459" s="65"/>
    </row>
    <row r="460" spans="1:14" x14ac:dyDescent="0.25">
      <c r="A460" s="2">
        <v>454</v>
      </c>
      <c r="B460" s="11">
        <f t="shared" ca="1" si="37"/>
        <v>1</v>
      </c>
      <c r="C460" s="26">
        <f t="shared" ca="1" si="38"/>
        <v>0.11019584254987824</v>
      </c>
      <c r="J460">
        <f t="shared" ca="1" si="39"/>
        <v>1</v>
      </c>
      <c r="K460">
        <f t="shared" ca="1" si="40"/>
        <v>0</v>
      </c>
      <c r="L460" s="65">
        <v>454</v>
      </c>
      <c r="M460" s="71">
        <f t="shared" ca="1" si="36"/>
        <v>3.1345957923536378</v>
      </c>
      <c r="N460" s="65"/>
    </row>
    <row r="461" spans="1:14" x14ac:dyDescent="0.25">
      <c r="A461" s="2">
        <v>455</v>
      </c>
      <c r="B461" s="11">
        <f t="shared" ca="1" si="37"/>
        <v>1</v>
      </c>
      <c r="C461" s="26">
        <f t="shared" ca="1" si="38"/>
        <v>0.56270468467896584</v>
      </c>
      <c r="J461">
        <f t="shared" ca="1" si="39"/>
        <v>1</v>
      </c>
      <c r="K461">
        <f t="shared" ca="1" si="40"/>
        <v>0</v>
      </c>
      <c r="L461" s="65">
        <v>455</v>
      </c>
      <c r="M461" s="71">
        <f t="shared" ca="1" si="36"/>
        <v>5.3918285249692222</v>
      </c>
      <c r="N461" s="65"/>
    </row>
    <row r="462" spans="1:14" x14ac:dyDescent="0.25">
      <c r="A462" s="2">
        <v>456</v>
      </c>
      <c r="B462" s="11">
        <f t="shared" ca="1" si="37"/>
        <v>1</v>
      </c>
      <c r="C462" s="26">
        <f t="shared" ca="1" si="38"/>
        <v>0.65941221483970158</v>
      </c>
      <c r="J462">
        <f t="shared" ca="1" si="39"/>
        <v>1</v>
      </c>
      <c r="K462">
        <f t="shared" ca="1" si="40"/>
        <v>0</v>
      </c>
      <c r="L462" s="65">
        <v>456</v>
      </c>
      <c r="M462" s="71">
        <f t="shared" ca="1" si="36"/>
        <v>1.9762480029011564</v>
      </c>
      <c r="N462" s="65"/>
    </row>
    <row r="463" spans="1:14" x14ac:dyDescent="0.25">
      <c r="A463" s="2">
        <v>457</v>
      </c>
      <c r="B463" s="11">
        <f t="shared" ca="1" si="37"/>
        <v>1</v>
      </c>
      <c r="C463" s="26">
        <f t="shared" ca="1" si="38"/>
        <v>0.64833737568248229</v>
      </c>
      <c r="J463">
        <f t="shared" ca="1" si="39"/>
        <v>1</v>
      </c>
      <c r="K463">
        <f t="shared" ca="1" si="40"/>
        <v>0</v>
      </c>
      <c r="L463" s="65">
        <v>457</v>
      </c>
      <c r="M463" s="71">
        <f t="shared" ca="1" si="36"/>
        <v>0.74365099288800562</v>
      </c>
      <c r="N463" s="65"/>
    </row>
    <row r="464" spans="1:14" x14ac:dyDescent="0.25">
      <c r="A464" s="2">
        <v>458</v>
      </c>
      <c r="B464" s="11">
        <f t="shared" ca="1" si="37"/>
        <v>1</v>
      </c>
      <c r="C464" s="26">
        <f t="shared" ca="1" si="38"/>
        <v>0.22357467573866707</v>
      </c>
      <c r="J464">
        <f t="shared" ca="1" si="39"/>
        <v>1</v>
      </c>
      <c r="K464">
        <f t="shared" ca="1" si="40"/>
        <v>0</v>
      </c>
      <c r="L464" s="65">
        <v>458</v>
      </c>
      <c r="M464" s="71">
        <f t="shared" ca="1" si="36"/>
        <v>1.7638732693702224</v>
      </c>
      <c r="N464" s="65"/>
    </row>
    <row r="465" spans="1:14" x14ac:dyDescent="0.25">
      <c r="A465" s="2">
        <v>459</v>
      </c>
      <c r="B465" s="11">
        <f t="shared" ca="1" si="37"/>
        <v>1</v>
      </c>
      <c r="C465" s="26">
        <f t="shared" ca="1" si="38"/>
        <v>0.75756785328084164</v>
      </c>
      <c r="J465">
        <f t="shared" ca="1" si="39"/>
        <v>1</v>
      </c>
      <c r="K465">
        <f t="shared" ca="1" si="40"/>
        <v>0</v>
      </c>
      <c r="L465" s="65">
        <v>459</v>
      </c>
      <c r="M465" s="71">
        <f t="shared" ca="1" si="36"/>
        <v>1.3135248310093883</v>
      </c>
      <c r="N465" s="65"/>
    </row>
    <row r="466" spans="1:14" x14ac:dyDescent="0.25">
      <c r="A466" s="2">
        <v>460</v>
      </c>
      <c r="B466" s="11">
        <f t="shared" ca="1" si="37"/>
        <v>1</v>
      </c>
      <c r="C466" s="26">
        <f t="shared" ca="1" si="38"/>
        <v>0.54460250079312733</v>
      </c>
      <c r="J466">
        <f t="shared" ca="1" si="39"/>
        <v>0</v>
      </c>
      <c r="K466">
        <f t="shared" ca="1" si="40"/>
        <v>0</v>
      </c>
      <c r="L466" s="65">
        <v>460</v>
      </c>
      <c r="M466" s="71">
        <f t="shared" ca="1" si="36"/>
        <v>2.2868843475219554</v>
      </c>
      <c r="N466" s="65"/>
    </row>
    <row r="467" spans="1:14" x14ac:dyDescent="0.25">
      <c r="A467" s="2">
        <v>461</v>
      </c>
      <c r="B467" s="11">
        <f t="shared" ca="1" si="37"/>
        <v>0</v>
      </c>
      <c r="C467" s="26">
        <f t="shared" ca="1" si="38"/>
        <v>0.91415033069238605</v>
      </c>
      <c r="J467">
        <f t="shared" ca="1" si="39"/>
        <v>0</v>
      </c>
      <c r="K467">
        <f t="shared" ca="1" si="40"/>
        <v>0</v>
      </c>
      <c r="L467" s="65">
        <v>461</v>
      </c>
      <c r="M467" s="71">
        <f t="shared" ca="1" si="36"/>
        <v>0</v>
      </c>
      <c r="N467" s="65"/>
    </row>
    <row r="468" spans="1:14" x14ac:dyDescent="0.25">
      <c r="A468" s="2">
        <v>462</v>
      </c>
      <c r="B468" s="11">
        <f t="shared" ca="1" si="37"/>
        <v>1</v>
      </c>
      <c r="C468" s="26">
        <f t="shared" ca="1" si="38"/>
        <v>0.19198851553798846</v>
      </c>
      <c r="J468">
        <f t="shared" ca="1" si="39"/>
        <v>1</v>
      </c>
      <c r="K468">
        <f t="shared" ca="1" si="40"/>
        <v>0</v>
      </c>
      <c r="L468" s="65">
        <v>462</v>
      </c>
      <c r="M468" s="71">
        <f t="shared" ca="1" si="36"/>
        <v>3.2239618302486042</v>
      </c>
      <c r="N468" s="65"/>
    </row>
    <row r="469" spans="1:14" x14ac:dyDescent="0.25">
      <c r="A469" s="2">
        <v>463</v>
      </c>
      <c r="B469" s="11">
        <f t="shared" ca="1" si="37"/>
        <v>1</v>
      </c>
      <c r="C469" s="26">
        <f t="shared" ca="1" si="38"/>
        <v>0.74172089471604696</v>
      </c>
      <c r="J469">
        <f t="shared" ca="1" si="39"/>
        <v>0</v>
      </c>
      <c r="K469">
        <f t="shared" ca="1" si="40"/>
        <v>0</v>
      </c>
      <c r="L469" s="65">
        <v>463</v>
      </c>
      <c r="M469" s="71">
        <f t="shared" ca="1" si="36"/>
        <v>5.7585164876355428</v>
      </c>
      <c r="N469" s="65"/>
    </row>
    <row r="470" spans="1:14" x14ac:dyDescent="0.25">
      <c r="A470" s="2">
        <v>464</v>
      </c>
      <c r="B470" s="11">
        <f t="shared" ca="1" si="37"/>
        <v>0</v>
      </c>
      <c r="C470" s="26">
        <f t="shared" ca="1" si="38"/>
        <v>0.99517873774136956</v>
      </c>
      <c r="J470">
        <f t="shared" ca="1" si="39"/>
        <v>0</v>
      </c>
      <c r="K470">
        <f t="shared" ca="1" si="40"/>
        <v>0</v>
      </c>
      <c r="L470" s="65">
        <v>464</v>
      </c>
      <c r="M470" s="71">
        <f t="shared" ca="1" si="36"/>
        <v>0</v>
      </c>
      <c r="N470" s="65"/>
    </row>
    <row r="471" spans="1:14" x14ac:dyDescent="0.25">
      <c r="A471" s="2">
        <v>465</v>
      </c>
      <c r="B471" s="11">
        <f t="shared" ca="1" si="37"/>
        <v>1</v>
      </c>
      <c r="C471" s="26">
        <f t="shared" ca="1" si="38"/>
        <v>0.31974230532510284</v>
      </c>
      <c r="J471">
        <f t="shared" ca="1" si="39"/>
        <v>0</v>
      </c>
      <c r="K471">
        <f t="shared" ca="1" si="40"/>
        <v>0</v>
      </c>
      <c r="L471" s="65">
        <v>465</v>
      </c>
      <c r="M471" s="71">
        <f t="shared" ca="1" si="36"/>
        <v>3.1845471645064625</v>
      </c>
      <c r="N471" s="65"/>
    </row>
    <row r="472" spans="1:14" x14ac:dyDescent="0.25">
      <c r="A472" s="2">
        <v>466</v>
      </c>
      <c r="B472" s="11">
        <f t="shared" ca="1" si="37"/>
        <v>0</v>
      </c>
      <c r="C472" s="26">
        <f t="shared" ca="1" si="38"/>
        <v>0.93443703667780942</v>
      </c>
      <c r="J472">
        <f t="shared" ca="1" si="39"/>
        <v>0</v>
      </c>
      <c r="K472">
        <f t="shared" ca="1" si="40"/>
        <v>0</v>
      </c>
      <c r="L472" s="65">
        <v>466</v>
      </c>
      <c r="M472" s="71">
        <f t="shared" ca="1" si="36"/>
        <v>0</v>
      </c>
      <c r="N472" s="65"/>
    </row>
    <row r="473" spans="1:14" x14ac:dyDescent="0.25">
      <c r="A473" s="2">
        <v>467</v>
      </c>
      <c r="B473" s="11">
        <f t="shared" ca="1" si="37"/>
        <v>1</v>
      </c>
      <c r="C473" s="26">
        <f t="shared" ca="1" si="38"/>
        <v>7.3593283936405074E-3</v>
      </c>
      <c r="J473">
        <f t="shared" ca="1" si="39"/>
        <v>1</v>
      </c>
      <c r="K473">
        <f t="shared" ca="1" si="40"/>
        <v>0</v>
      </c>
      <c r="L473" s="65">
        <v>467</v>
      </c>
      <c r="M473" s="71">
        <f t="shared" ca="1" si="36"/>
        <v>3.8298395513941226</v>
      </c>
      <c r="N473" s="65"/>
    </row>
    <row r="474" spans="1:14" x14ac:dyDescent="0.25">
      <c r="A474" s="2">
        <v>468</v>
      </c>
      <c r="B474" s="11">
        <f t="shared" ca="1" si="37"/>
        <v>1</v>
      </c>
      <c r="C474" s="26">
        <f t="shared" ca="1" si="38"/>
        <v>0.19370179737560544</v>
      </c>
      <c r="J474">
        <f t="shared" ca="1" si="39"/>
        <v>1</v>
      </c>
      <c r="K474">
        <f t="shared" ca="1" si="40"/>
        <v>0</v>
      </c>
      <c r="L474" s="65">
        <v>468</v>
      </c>
      <c r="M474" s="71">
        <f t="shared" ca="1" si="36"/>
        <v>1.9532794023267905</v>
      </c>
      <c r="N474" s="65"/>
    </row>
    <row r="475" spans="1:14" x14ac:dyDescent="0.25">
      <c r="A475" s="2">
        <v>469</v>
      </c>
      <c r="B475" s="11">
        <f t="shared" ca="1" si="37"/>
        <v>1</v>
      </c>
      <c r="C475" s="26">
        <f t="shared" ca="1" si="38"/>
        <v>0.45140048868054916</v>
      </c>
      <c r="J475">
        <f t="shared" ca="1" si="39"/>
        <v>1</v>
      </c>
      <c r="K475">
        <f t="shared" ca="1" si="40"/>
        <v>0</v>
      </c>
      <c r="L475" s="65">
        <v>469</v>
      </c>
      <c r="M475" s="71">
        <f t="shared" ca="1" si="36"/>
        <v>0.45056834369267257</v>
      </c>
      <c r="N475" s="65"/>
    </row>
    <row r="476" spans="1:14" x14ac:dyDescent="0.25">
      <c r="A476" s="2">
        <v>470</v>
      </c>
      <c r="B476" s="11">
        <f t="shared" ca="1" si="37"/>
        <v>1</v>
      </c>
      <c r="C476" s="26">
        <f t="shared" ca="1" si="38"/>
        <v>0.10358019662173401</v>
      </c>
      <c r="J476">
        <f t="shared" ca="1" si="39"/>
        <v>1</v>
      </c>
      <c r="K476">
        <f t="shared" ca="1" si="40"/>
        <v>0</v>
      </c>
      <c r="L476" s="65">
        <v>470</v>
      </c>
      <c r="M476" s="71">
        <f t="shared" ca="1" si="36"/>
        <v>2.3734479310481102</v>
      </c>
      <c r="N476" s="65"/>
    </row>
    <row r="477" spans="1:14" x14ac:dyDescent="0.25">
      <c r="A477" s="2">
        <v>471</v>
      </c>
      <c r="B477" s="11">
        <f t="shared" ca="1" si="37"/>
        <v>1</v>
      </c>
      <c r="C477" s="26">
        <f t="shared" ca="1" si="38"/>
        <v>0.12752796357791452</v>
      </c>
      <c r="J477">
        <f t="shared" ca="1" si="39"/>
        <v>1</v>
      </c>
      <c r="K477">
        <f t="shared" ca="1" si="40"/>
        <v>0</v>
      </c>
      <c r="L477" s="65">
        <v>471</v>
      </c>
      <c r="M477" s="71">
        <f t="shared" ca="1" si="36"/>
        <v>6.4883121429028368</v>
      </c>
      <c r="N477" s="65"/>
    </row>
    <row r="478" spans="1:14" x14ac:dyDescent="0.25">
      <c r="A478" s="2">
        <v>472</v>
      </c>
      <c r="B478" s="11">
        <f t="shared" ca="1" si="37"/>
        <v>1</v>
      </c>
      <c r="C478" s="26">
        <f t="shared" ca="1" si="38"/>
        <v>0.4974874142308231</v>
      </c>
      <c r="J478">
        <f t="shared" ca="1" si="39"/>
        <v>0</v>
      </c>
      <c r="K478">
        <f t="shared" ca="1" si="40"/>
        <v>0</v>
      </c>
      <c r="L478" s="65">
        <v>472</v>
      </c>
      <c r="M478" s="71">
        <f t="shared" ca="1" si="36"/>
        <v>3.0787370568373427</v>
      </c>
      <c r="N478" s="65"/>
    </row>
    <row r="479" spans="1:14" x14ac:dyDescent="0.25">
      <c r="A479" s="2">
        <v>473</v>
      </c>
      <c r="B479" s="11">
        <f t="shared" ca="1" si="37"/>
        <v>0</v>
      </c>
      <c r="C479" s="26">
        <f t="shared" ca="1" si="38"/>
        <v>0.98144017922051829</v>
      </c>
      <c r="J479">
        <f t="shared" ca="1" si="39"/>
        <v>0</v>
      </c>
      <c r="K479">
        <f t="shared" ca="1" si="40"/>
        <v>1</v>
      </c>
      <c r="L479" s="65">
        <v>473</v>
      </c>
      <c r="M479" s="71">
        <f t="shared" ca="1" si="36"/>
        <v>0</v>
      </c>
      <c r="N479" s="65"/>
    </row>
    <row r="480" spans="1:14" x14ac:dyDescent="0.25">
      <c r="A480" s="2">
        <v>474</v>
      </c>
      <c r="B480" s="11">
        <f t="shared" ca="1" si="37"/>
        <v>0</v>
      </c>
      <c r="C480" s="26">
        <f t="shared" ca="1" si="38"/>
        <v>0.89248917917742143</v>
      </c>
      <c r="J480">
        <f t="shared" ca="1" si="39"/>
        <v>0</v>
      </c>
      <c r="K480">
        <f t="shared" ca="1" si="40"/>
        <v>0</v>
      </c>
      <c r="L480" s="65">
        <v>474</v>
      </c>
      <c r="M480" s="71">
        <f t="shared" ca="1" si="36"/>
        <v>0</v>
      </c>
      <c r="N480" s="65"/>
    </row>
    <row r="481" spans="1:14" x14ac:dyDescent="0.25">
      <c r="A481" s="2">
        <v>475</v>
      </c>
      <c r="B481" s="11">
        <f t="shared" ca="1" si="37"/>
        <v>1</v>
      </c>
      <c r="C481" s="26">
        <f t="shared" ca="1" si="38"/>
        <v>0.2245638128229015</v>
      </c>
      <c r="J481">
        <f t="shared" ca="1" si="39"/>
        <v>0</v>
      </c>
      <c r="K481">
        <f t="shared" ca="1" si="40"/>
        <v>0</v>
      </c>
      <c r="L481" s="65">
        <v>475</v>
      </c>
      <c r="M481" s="71">
        <f t="shared" ca="1" si="36"/>
        <v>2.152294806206402</v>
      </c>
      <c r="N481" s="65"/>
    </row>
    <row r="482" spans="1:14" x14ac:dyDescent="0.25">
      <c r="A482" s="2">
        <v>476</v>
      </c>
      <c r="B482" s="11">
        <f t="shared" ca="1" si="37"/>
        <v>0</v>
      </c>
      <c r="C482" s="26">
        <f t="shared" ca="1" si="38"/>
        <v>0.84572927473595261</v>
      </c>
      <c r="J482">
        <f t="shared" ca="1" si="39"/>
        <v>0</v>
      </c>
      <c r="K482">
        <f t="shared" ca="1" si="40"/>
        <v>0</v>
      </c>
      <c r="L482" s="65">
        <v>476</v>
      </c>
      <c r="M482" s="71">
        <f t="shared" ca="1" si="36"/>
        <v>0</v>
      </c>
      <c r="N482" s="65"/>
    </row>
    <row r="483" spans="1:14" x14ac:dyDescent="0.25">
      <c r="A483" s="2">
        <v>477</v>
      </c>
      <c r="B483" s="11">
        <f t="shared" ca="1" si="37"/>
        <v>1</v>
      </c>
      <c r="C483" s="26">
        <f t="shared" ca="1" si="38"/>
        <v>0.38434290373880586</v>
      </c>
      <c r="J483">
        <f t="shared" ca="1" si="39"/>
        <v>1</v>
      </c>
      <c r="K483">
        <f t="shared" ca="1" si="40"/>
        <v>0</v>
      </c>
      <c r="L483" s="65">
        <v>477</v>
      </c>
      <c r="M483" s="71">
        <f t="shared" ca="1" si="36"/>
        <v>9.132660024125153</v>
      </c>
      <c r="N483" s="65"/>
    </row>
    <row r="484" spans="1:14" x14ac:dyDescent="0.25">
      <c r="A484" s="2">
        <v>478</v>
      </c>
      <c r="B484" s="11">
        <f t="shared" ca="1" si="37"/>
        <v>1</v>
      </c>
      <c r="C484" s="26">
        <f t="shared" ca="1" si="38"/>
        <v>0.4798289919856934</v>
      </c>
      <c r="J484">
        <f t="shared" ca="1" si="39"/>
        <v>1</v>
      </c>
      <c r="K484">
        <f t="shared" ca="1" si="40"/>
        <v>0</v>
      </c>
      <c r="L484" s="65">
        <v>478</v>
      </c>
      <c r="M484" s="71">
        <f t="shared" ca="1" si="36"/>
        <v>1.6656050688216335</v>
      </c>
      <c r="N484" s="65"/>
    </row>
    <row r="485" spans="1:14" x14ac:dyDescent="0.25">
      <c r="A485" s="2">
        <v>479</v>
      </c>
      <c r="B485" s="11">
        <f t="shared" ca="1" si="37"/>
        <v>1</v>
      </c>
      <c r="C485" s="26">
        <f t="shared" ca="1" si="38"/>
        <v>0.38019666188928547</v>
      </c>
      <c r="J485">
        <f t="shared" ca="1" si="39"/>
        <v>1</v>
      </c>
      <c r="K485">
        <f t="shared" ca="1" si="40"/>
        <v>0</v>
      </c>
      <c r="L485" s="65">
        <v>479</v>
      </c>
      <c r="M485" s="71">
        <f t="shared" ca="1" si="36"/>
        <v>6.3354099477590511</v>
      </c>
      <c r="N485" s="65"/>
    </row>
    <row r="486" spans="1:14" x14ac:dyDescent="0.25">
      <c r="A486" s="2">
        <v>480</v>
      </c>
      <c r="B486" s="11">
        <f t="shared" ca="1" si="37"/>
        <v>1</v>
      </c>
      <c r="C486" s="26">
        <f t="shared" ca="1" si="38"/>
        <v>0.30185715654014222</v>
      </c>
      <c r="J486">
        <f t="shared" ca="1" si="39"/>
        <v>1</v>
      </c>
      <c r="K486">
        <f t="shared" ca="1" si="40"/>
        <v>0</v>
      </c>
      <c r="L486" s="65">
        <v>480</v>
      </c>
      <c r="M486" s="71">
        <f t="shared" ca="1" si="36"/>
        <v>1.2923772767315787</v>
      </c>
      <c r="N486" s="65"/>
    </row>
    <row r="487" spans="1:14" x14ac:dyDescent="0.25">
      <c r="A487" s="2">
        <v>481</v>
      </c>
      <c r="B487" s="11">
        <f t="shared" ca="1" si="37"/>
        <v>1</v>
      </c>
      <c r="C487" s="26">
        <f t="shared" ca="1" si="38"/>
        <v>0.28298286393222638</v>
      </c>
      <c r="J487">
        <f t="shared" ca="1" si="39"/>
        <v>0</v>
      </c>
      <c r="K487">
        <f t="shared" ca="1" si="40"/>
        <v>0</v>
      </c>
      <c r="L487" s="65">
        <v>481</v>
      </c>
      <c r="M487" s="71">
        <f t="shared" ca="1" si="36"/>
        <v>2.6518688228034901</v>
      </c>
      <c r="N487" s="65"/>
    </row>
    <row r="488" spans="1:14" x14ac:dyDescent="0.25">
      <c r="A488" s="2">
        <v>482</v>
      </c>
      <c r="B488" s="11">
        <f t="shared" ca="1" si="37"/>
        <v>0</v>
      </c>
      <c r="C488" s="26">
        <f t="shared" ca="1" si="38"/>
        <v>0.9167395381973219</v>
      </c>
      <c r="J488">
        <f t="shared" ca="1" si="39"/>
        <v>0</v>
      </c>
      <c r="K488">
        <f t="shared" ca="1" si="40"/>
        <v>0</v>
      </c>
      <c r="L488" s="65">
        <v>482</v>
      </c>
      <c r="M488" s="71">
        <f t="shared" ca="1" si="36"/>
        <v>0</v>
      </c>
      <c r="N488" s="65"/>
    </row>
    <row r="489" spans="1:14" x14ac:dyDescent="0.25">
      <c r="A489" s="2">
        <v>483</v>
      </c>
      <c r="B489" s="11">
        <f t="shared" ca="1" si="37"/>
        <v>1</v>
      </c>
      <c r="C489" s="26">
        <f t="shared" ca="1" si="38"/>
        <v>6.1157872702883309E-2</v>
      </c>
      <c r="J489">
        <f t="shared" ca="1" si="39"/>
        <v>1</v>
      </c>
      <c r="K489">
        <f t="shared" ca="1" si="40"/>
        <v>0</v>
      </c>
      <c r="L489" s="65">
        <v>483</v>
      </c>
      <c r="M489" s="71">
        <f t="shared" ca="1" si="36"/>
        <v>4.5326251702466971</v>
      </c>
      <c r="N489" s="65"/>
    </row>
    <row r="490" spans="1:14" x14ac:dyDescent="0.25">
      <c r="A490" s="2">
        <v>484</v>
      </c>
      <c r="B490" s="11">
        <f t="shared" ca="1" si="37"/>
        <v>1</v>
      </c>
      <c r="C490" s="26">
        <f t="shared" ca="1" si="38"/>
        <v>0.462171342193896</v>
      </c>
      <c r="J490">
        <f t="shared" ca="1" si="39"/>
        <v>1</v>
      </c>
      <c r="K490">
        <f t="shared" ca="1" si="40"/>
        <v>0</v>
      </c>
      <c r="L490" s="65">
        <v>484</v>
      </c>
      <c r="M490" s="71">
        <f t="shared" ca="1" si="36"/>
        <v>2.0153722288232374</v>
      </c>
      <c r="N490" s="65"/>
    </row>
    <row r="491" spans="1:14" x14ac:dyDescent="0.25">
      <c r="A491" s="2">
        <v>485</v>
      </c>
      <c r="B491" s="11">
        <f t="shared" ca="1" si="37"/>
        <v>1</v>
      </c>
      <c r="C491" s="26">
        <f t="shared" ca="1" si="38"/>
        <v>0.68728993924205362</v>
      </c>
      <c r="J491">
        <f t="shared" ca="1" si="39"/>
        <v>1</v>
      </c>
      <c r="K491">
        <f t="shared" ca="1" si="40"/>
        <v>0</v>
      </c>
      <c r="L491" s="65">
        <v>485</v>
      </c>
      <c r="M491" s="71">
        <f t="shared" ca="1" si="36"/>
        <v>1.547792362424445</v>
      </c>
      <c r="N491" s="65"/>
    </row>
    <row r="492" spans="1:14" x14ac:dyDescent="0.25">
      <c r="A492" s="2">
        <v>486</v>
      </c>
      <c r="B492" s="11">
        <f t="shared" ca="1" si="37"/>
        <v>1</v>
      </c>
      <c r="C492" s="26">
        <f t="shared" ca="1" si="38"/>
        <v>0.23757177803612395</v>
      </c>
      <c r="J492">
        <f t="shared" ca="1" si="39"/>
        <v>0</v>
      </c>
      <c r="K492">
        <f t="shared" ca="1" si="40"/>
        <v>0</v>
      </c>
      <c r="L492" s="65">
        <v>486</v>
      </c>
      <c r="M492" s="71">
        <f t="shared" ca="1" si="36"/>
        <v>13.146120776703125</v>
      </c>
      <c r="N492" s="65"/>
    </row>
    <row r="493" spans="1:14" x14ac:dyDescent="0.25">
      <c r="A493" s="2">
        <v>487</v>
      </c>
      <c r="B493" s="11">
        <f t="shared" ca="1" si="37"/>
        <v>0</v>
      </c>
      <c r="C493" s="26">
        <f t="shared" ca="1" si="38"/>
        <v>0.98998086663239804</v>
      </c>
      <c r="J493">
        <f t="shared" ca="1" si="39"/>
        <v>0</v>
      </c>
      <c r="K493">
        <f t="shared" ca="1" si="40"/>
        <v>0</v>
      </c>
      <c r="L493" s="65">
        <v>487</v>
      </c>
      <c r="M493" s="71">
        <f t="shared" ca="1" si="36"/>
        <v>0</v>
      </c>
      <c r="N493" s="65"/>
    </row>
    <row r="494" spans="1:14" x14ac:dyDescent="0.25">
      <c r="A494" s="2">
        <v>488</v>
      </c>
      <c r="B494" s="11">
        <f t="shared" ca="1" si="37"/>
        <v>1</v>
      </c>
      <c r="C494" s="26">
        <f t="shared" ca="1" si="38"/>
        <v>0.10144921283325947</v>
      </c>
      <c r="J494">
        <f t="shared" ca="1" si="39"/>
        <v>1</v>
      </c>
      <c r="K494">
        <f t="shared" ca="1" si="40"/>
        <v>0</v>
      </c>
      <c r="L494" s="65">
        <v>488</v>
      </c>
      <c r="M494" s="71">
        <f t="shared" ca="1" si="36"/>
        <v>1.0489422535242503</v>
      </c>
      <c r="N494" s="65"/>
    </row>
    <row r="495" spans="1:14" x14ac:dyDescent="0.25">
      <c r="A495" s="2">
        <v>489</v>
      </c>
      <c r="B495" s="11">
        <f t="shared" ca="1" si="37"/>
        <v>1</v>
      </c>
      <c r="C495" s="26">
        <f t="shared" ca="1" si="38"/>
        <v>0.4498350890666214</v>
      </c>
      <c r="J495">
        <f t="shared" ca="1" si="39"/>
        <v>1</v>
      </c>
      <c r="K495">
        <f t="shared" ca="1" si="40"/>
        <v>0</v>
      </c>
      <c r="L495" s="65">
        <v>489</v>
      </c>
      <c r="M495" s="71">
        <f t="shared" ca="1" si="36"/>
        <v>0.66918580904629144</v>
      </c>
      <c r="N495" s="65"/>
    </row>
    <row r="496" spans="1:14" x14ac:dyDescent="0.25">
      <c r="A496" s="2">
        <v>490</v>
      </c>
      <c r="B496" s="11">
        <f t="shared" ca="1" si="37"/>
        <v>1</v>
      </c>
      <c r="C496" s="26">
        <f t="shared" ca="1" si="38"/>
        <v>0.31117821099137744</v>
      </c>
      <c r="J496">
        <f t="shared" ca="1" si="39"/>
        <v>1</v>
      </c>
      <c r="K496">
        <f t="shared" ca="1" si="40"/>
        <v>0</v>
      </c>
      <c r="L496" s="65">
        <v>490</v>
      </c>
      <c r="M496" s="71">
        <f t="shared" ca="1" si="36"/>
        <v>9.1859939638950383</v>
      </c>
      <c r="N496" s="65"/>
    </row>
    <row r="497" spans="1:14" x14ac:dyDescent="0.25">
      <c r="A497" s="2">
        <v>491</v>
      </c>
      <c r="B497" s="11">
        <f t="shared" ca="1" si="37"/>
        <v>1</v>
      </c>
      <c r="C497" s="26">
        <f t="shared" ca="1" si="38"/>
        <v>0.28131648720243096</v>
      </c>
      <c r="J497">
        <f t="shared" ca="1" si="39"/>
        <v>0</v>
      </c>
      <c r="K497">
        <f t="shared" ca="1" si="40"/>
        <v>0</v>
      </c>
      <c r="L497" s="65">
        <v>491</v>
      </c>
      <c r="M497" s="71">
        <f t="shared" ca="1" si="36"/>
        <v>4.469156389008698</v>
      </c>
      <c r="N497" s="65"/>
    </row>
    <row r="498" spans="1:14" x14ac:dyDescent="0.25">
      <c r="A498" s="2">
        <v>492</v>
      </c>
      <c r="B498" s="11">
        <f t="shared" ca="1" si="37"/>
        <v>0</v>
      </c>
      <c r="C498" s="26">
        <f t="shared" ca="1" si="38"/>
        <v>0.95922894586039764</v>
      </c>
      <c r="J498">
        <f t="shared" ca="1" si="39"/>
        <v>0</v>
      </c>
      <c r="K498">
        <f t="shared" ca="1" si="40"/>
        <v>0</v>
      </c>
      <c r="L498" s="65">
        <v>492</v>
      </c>
      <c r="M498" s="71">
        <f t="shared" ca="1" si="36"/>
        <v>0</v>
      </c>
      <c r="N498" s="65"/>
    </row>
    <row r="499" spans="1:14" x14ac:dyDescent="0.25">
      <c r="A499" s="2">
        <v>493</v>
      </c>
      <c r="B499" s="11">
        <f t="shared" ca="1" si="37"/>
        <v>1</v>
      </c>
      <c r="C499" s="26">
        <f t="shared" ca="1" si="38"/>
        <v>0.33467445399452778</v>
      </c>
      <c r="J499">
        <f t="shared" ca="1" si="39"/>
        <v>1</v>
      </c>
      <c r="K499">
        <f t="shared" ca="1" si="40"/>
        <v>0</v>
      </c>
      <c r="L499" s="65">
        <v>493</v>
      </c>
      <c r="M499" s="71">
        <f t="shared" ca="1" si="36"/>
        <v>8.0872424684098263</v>
      </c>
      <c r="N499" s="65"/>
    </row>
    <row r="500" spans="1:14" x14ac:dyDescent="0.25">
      <c r="A500" s="2">
        <v>494</v>
      </c>
      <c r="B500" s="11">
        <f t="shared" ca="1" si="37"/>
        <v>1</v>
      </c>
      <c r="C500" s="26">
        <f t="shared" ca="1" si="38"/>
        <v>0.25946150587784345</v>
      </c>
      <c r="J500">
        <f t="shared" ca="1" si="39"/>
        <v>0</v>
      </c>
      <c r="K500">
        <f t="shared" ca="1" si="40"/>
        <v>0</v>
      </c>
      <c r="L500" s="65">
        <v>494</v>
      </c>
      <c r="M500" s="71">
        <f t="shared" ca="1" si="36"/>
        <v>9.9711268511451827</v>
      </c>
      <c r="N500" s="65"/>
    </row>
    <row r="501" spans="1:14" x14ac:dyDescent="0.25">
      <c r="A501" s="2">
        <v>495</v>
      </c>
      <c r="B501" s="11">
        <f t="shared" ca="1" si="37"/>
        <v>0</v>
      </c>
      <c r="C501" s="26">
        <f t="shared" ca="1" si="38"/>
        <v>0.91252770149084883</v>
      </c>
      <c r="J501">
        <f t="shared" ca="1" si="39"/>
        <v>0</v>
      </c>
      <c r="K501">
        <f t="shared" ca="1" si="40"/>
        <v>0</v>
      </c>
      <c r="L501" s="65">
        <v>495</v>
      </c>
      <c r="M501" s="71">
        <f t="shared" ca="1" si="36"/>
        <v>0</v>
      </c>
      <c r="N501" s="65"/>
    </row>
    <row r="502" spans="1:14" x14ac:dyDescent="0.25">
      <c r="A502" s="2">
        <v>496</v>
      </c>
      <c r="B502" s="11">
        <f t="shared" ca="1" si="37"/>
        <v>1</v>
      </c>
      <c r="C502" s="26">
        <f t="shared" ca="1" si="38"/>
        <v>0.17906647024042421</v>
      </c>
      <c r="J502">
        <f t="shared" ca="1" si="39"/>
        <v>0</v>
      </c>
      <c r="K502">
        <f t="shared" ca="1" si="40"/>
        <v>0</v>
      </c>
      <c r="L502" s="65">
        <v>496</v>
      </c>
      <c r="M502" s="71">
        <f t="shared" ca="1" si="36"/>
        <v>1.8139554730267669</v>
      </c>
      <c r="N502" s="65"/>
    </row>
    <row r="503" spans="1:14" x14ac:dyDescent="0.25">
      <c r="A503" s="2">
        <v>497</v>
      </c>
      <c r="B503" s="11">
        <f t="shared" ca="1" si="37"/>
        <v>0</v>
      </c>
      <c r="C503" s="26">
        <f t="shared" ca="1" si="38"/>
        <v>0.91178965942768231</v>
      </c>
      <c r="J503">
        <f t="shared" ca="1" si="39"/>
        <v>0</v>
      </c>
      <c r="K503">
        <f t="shared" ca="1" si="40"/>
        <v>1</v>
      </c>
      <c r="L503" s="65">
        <v>497</v>
      </c>
      <c r="M503" s="71">
        <f t="shared" ca="1" si="36"/>
        <v>0</v>
      </c>
      <c r="N503" s="65"/>
    </row>
    <row r="504" spans="1:14" x14ac:dyDescent="0.25">
      <c r="A504" s="2">
        <v>498</v>
      </c>
      <c r="B504" s="11">
        <f t="shared" ca="1" si="37"/>
        <v>0</v>
      </c>
      <c r="C504" s="26">
        <f t="shared" ca="1" si="38"/>
        <v>0.79588328994679869</v>
      </c>
      <c r="J504">
        <f t="shared" ca="1" si="39"/>
        <v>0</v>
      </c>
      <c r="K504">
        <f t="shared" ca="1" si="40"/>
        <v>0</v>
      </c>
      <c r="L504" s="65">
        <v>498</v>
      </c>
      <c r="M504" s="71">
        <f t="shared" ca="1" si="36"/>
        <v>0</v>
      </c>
      <c r="N504" s="65"/>
    </row>
    <row r="505" spans="1:14" x14ac:dyDescent="0.25">
      <c r="A505" s="2">
        <v>499</v>
      </c>
      <c r="B505" s="11">
        <f t="shared" ca="1" si="37"/>
        <v>1</v>
      </c>
      <c r="C505" s="26">
        <f t="shared" ca="1" si="38"/>
        <v>0.18044425133798203</v>
      </c>
      <c r="J505">
        <f t="shared" ca="1" si="39"/>
        <v>1</v>
      </c>
      <c r="K505">
        <f t="shared" ca="1" si="40"/>
        <v>0</v>
      </c>
      <c r="L505" s="65">
        <v>499</v>
      </c>
      <c r="M505" s="71">
        <f t="shared" ca="1" si="36"/>
        <v>7.7116555360013805</v>
      </c>
      <c r="N505" s="65"/>
    </row>
    <row r="506" spans="1:14" x14ac:dyDescent="0.25">
      <c r="A506" s="2">
        <v>500</v>
      </c>
      <c r="B506" s="11">
        <f t="shared" ca="1" si="37"/>
        <v>1</v>
      </c>
      <c r="C506" s="26">
        <f t="shared" ca="1" si="38"/>
        <v>0.45857152908926246</v>
      </c>
      <c r="J506">
        <f t="shared" ca="1" si="39"/>
        <v>1</v>
      </c>
      <c r="K506">
        <f t="shared" ca="1" si="40"/>
        <v>0</v>
      </c>
      <c r="L506" s="65">
        <v>500</v>
      </c>
      <c r="M506" s="71">
        <f t="shared" ca="1" si="36"/>
        <v>4.673352131103341</v>
      </c>
      <c r="N506" s="65"/>
    </row>
    <row r="507" spans="1:14" x14ac:dyDescent="0.25">
      <c r="A507" s="2">
        <v>501</v>
      </c>
      <c r="B507" s="11">
        <f t="shared" ca="1" si="37"/>
        <v>1</v>
      </c>
      <c r="C507" s="26">
        <f t="shared" ca="1" si="38"/>
        <v>0.17662103306104415</v>
      </c>
      <c r="J507">
        <f t="shared" ca="1" si="39"/>
        <v>1</v>
      </c>
      <c r="K507">
        <f t="shared" ca="1" si="40"/>
        <v>0</v>
      </c>
      <c r="L507" s="65">
        <v>501</v>
      </c>
      <c r="M507" s="71">
        <f t="shared" ca="1" si="36"/>
        <v>1.4352964305428559</v>
      </c>
      <c r="N507" s="65"/>
    </row>
    <row r="508" spans="1:14" x14ac:dyDescent="0.25">
      <c r="A508" s="2">
        <v>502</v>
      </c>
      <c r="B508" s="11">
        <f t="shared" ca="1" si="37"/>
        <v>1</v>
      </c>
      <c r="C508" s="26">
        <f t="shared" ca="1" si="38"/>
        <v>0.40931290697043266</v>
      </c>
      <c r="J508">
        <f t="shared" ca="1" si="39"/>
        <v>1</v>
      </c>
      <c r="K508">
        <f t="shared" ca="1" si="40"/>
        <v>0</v>
      </c>
      <c r="L508" s="65">
        <v>502</v>
      </c>
      <c r="M508" s="71">
        <f t="shared" ca="1" si="36"/>
        <v>7.762258366263608</v>
      </c>
      <c r="N508" s="65"/>
    </row>
    <row r="509" spans="1:14" x14ac:dyDescent="0.25">
      <c r="A509" s="2">
        <v>503</v>
      </c>
      <c r="B509" s="11">
        <f t="shared" ca="1" si="37"/>
        <v>1</v>
      </c>
      <c r="C509" s="26">
        <f t="shared" ca="1" si="38"/>
        <v>0.79451620518913002</v>
      </c>
      <c r="J509">
        <f t="shared" ca="1" si="39"/>
        <v>1</v>
      </c>
      <c r="K509">
        <f t="shared" ca="1" si="40"/>
        <v>0</v>
      </c>
      <c r="L509" s="65">
        <v>503</v>
      </c>
      <c r="M509" s="71">
        <f t="shared" ca="1" si="36"/>
        <v>1.9814458626062392</v>
      </c>
      <c r="N509" s="65"/>
    </row>
    <row r="510" spans="1:14" x14ac:dyDescent="0.25">
      <c r="A510" s="2">
        <v>504</v>
      </c>
      <c r="B510" s="11">
        <f t="shared" ca="1" si="37"/>
        <v>1</v>
      </c>
      <c r="C510" s="26">
        <f t="shared" ca="1" si="38"/>
        <v>0.57791539699270111</v>
      </c>
      <c r="J510">
        <f t="shared" ca="1" si="39"/>
        <v>1</v>
      </c>
      <c r="K510">
        <f t="shared" ca="1" si="40"/>
        <v>0</v>
      </c>
      <c r="L510" s="65">
        <v>504</v>
      </c>
      <c r="M510" s="71">
        <f t="shared" ca="1" si="36"/>
        <v>5.5888018296753605</v>
      </c>
      <c r="N510" s="65"/>
    </row>
    <row r="511" spans="1:14" x14ac:dyDescent="0.25">
      <c r="A511" s="2">
        <v>505</v>
      </c>
      <c r="B511" s="11">
        <f t="shared" ca="1" si="37"/>
        <v>1</v>
      </c>
      <c r="C511" s="26">
        <f t="shared" ca="1" si="38"/>
        <v>5.7272459087776117E-2</v>
      </c>
      <c r="J511">
        <f t="shared" ca="1" si="39"/>
        <v>1</v>
      </c>
      <c r="K511">
        <f t="shared" ca="1" si="40"/>
        <v>0</v>
      </c>
      <c r="L511" s="65">
        <v>505</v>
      </c>
      <c r="M511" s="71">
        <f t="shared" ca="1" si="36"/>
        <v>12.005180383294835</v>
      </c>
      <c r="N511" s="65"/>
    </row>
    <row r="512" spans="1:14" x14ac:dyDescent="0.25">
      <c r="A512" s="2">
        <v>506</v>
      </c>
      <c r="B512" s="11">
        <f t="shared" ca="1" si="37"/>
        <v>1</v>
      </c>
      <c r="C512" s="26">
        <f t="shared" ca="1" si="38"/>
        <v>0.1381843369715402</v>
      </c>
      <c r="J512">
        <f t="shared" ca="1" si="39"/>
        <v>1</v>
      </c>
      <c r="K512">
        <f t="shared" ca="1" si="40"/>
        <v>0</v>
      </c>
      <c r="L512" s="65">
        <v>506</v>
      </c>
      <c r="M512" s="71">
        <f t="shared" ca="1" si="36"/>
        <v>3.6188113462829166</v>
      </c>
      <c r="N512" s="65"/>
    </row>
    <row r="513" spans="1:14" x14ac:dyDescent="0.25">
      <c r="A513" s="2">
        <v>507</v>
      </c>
      <c r="B513" s="11">
        <f t="shared" ca="1" si="37"/>
        <v>1</v>
      </c>
      <c r="C513" s="26">
        <f t="shared" ca="1" si="38"/>
        <v>0.25427495880092588</v>
      </c>
      <c r="J513">
        <f t="shared" ca="1" si="39"/>
        <v>1</v>
      </c>
      <c r="K513">
        <f t="shared" ca="1" si="40"/>
        <v>0</v>
      </c>
      <c r="L513" s="65">
        <v>507</v>
      </c>
      <c r="M513" s="71">
        <f t="shared" ca="1" si="36"/>
        <v>2.9882858176153015</v>
      </c>
      <c r="N513" s="65"/>
    </row>
    <row r="514" spans="1:14" x14ac:dyDescent="0.25">
      <c r="A514" s="2">
        <v>508</v>
      </c>
      <c r="B514" s="11">
        <f t="shared" ca="1" si="37"/>
        <v>1</v>
      </c>
      <c r="C514" s="26">
        <f t="shared" ca="1" si="38"/>
        <v>0.70800296389732975</v>
      </c>
      <c r="J514">
        <f t="shared" ca="1" si="39"/>
        <v>1</v>
      </c>
      <c r="K514">
        <f t="shared" ca="1" si="40"/>
        <v>0</v>
      </c>
      <c r="L514" s="65">
        <v>508</v>
      </c>
      <c r="M514" s="71">
        <f t="shared" ca="1" si="36"/>
        <v>0.55975421809290382</v>
      </c>
      <c r="N514" s="65"/>
    </row>
    <row r="515" spans="1:14" x14ac:dyDescent="0.25">
      <c r="A515" s="2">
        <v>509</v>
      </c>
      <c r="B515" s="11">
        <f t="shared" ca="1" si="37"/>
        <v>1</v>
      </c>
      <c r="C515" s="26">
        <f t="shared" ca="1" si="38"/>
        <v>0.24749997639839172</v>
      </c>
      <c r="J515">
        <f t="shared" ca="1" si="39"/>
        <v>1</v>
      </c>
      <c r="K515">
        <f t="shared" ca="1" si="40"/>
        <v>0</v>
      </c>
      <c r="L515" s="65">
        <v>509</v>
      </c>
      <c r="M515" s="71">
        <f t="shared" ca="1" si="36"/>
        <v>4.9498020741549187</v>
      </c>
      <c r="N515" s="65"/>
    </row>
    <row r="516" spans="1:14" x14ac:dyDescent="0.25">
      <c r="A516" s="2">
        <v>510</v>
      </c>
      <c r="B516" s="11">
        <f t="shared" ca="1" si="37"/>
        <v>1</v>
      </c>
      <c r="C516" s="26">
        <f t="shared" ca="1" si="38"/>
        <v>0.27872917625327864</v>
      </c>
      <c r="J516">
        <f t="shared" ca="1" si="39"/>
        <v>1</v>
      </c>
      <c r="K516">
        <f t="shared" ca="1" si="40"/>
        <v>0</v>
      </c>
      <c r="L516" s="65">
        <v>510</v>
      </c>
      <c r="M516" s="71">
        <f t="shared" ca="1" si="36"/>
        <v>7.9935937307222247</v>
      </c>
      <c r="N516" s="65"/>
    </row>
    <row r="517" spans="1:14" x14ac:dyDescent="0.25">
      <c r="A517" s="2">
        <v>511</v>
      </c>
      <c r="B517" s="11">
        <f t="shared" ca="1" si="37"/>
        <v>1</v>
      </c>
      <c r="C517" s="26">
        <f t="shared" ca="1" si="38"/>
        <v>0.66340646424608241</v>
      </c>
      <c r="J517">
        <f t="shared" ca="1" si="39"/>
        <v>1</v>
      </c>
      <c r="K517">
        <f t="shared" ca="1" si="40"/>
        <v>0</v>
      </c>
      <c r="L517" s="65">
        <v>511</v>
      </c>
      <c r="M517" s="71">
        <f t="shared" ca="1" si="36"/>
        <v>4.0917065192857667</v>
      </c>
      <c r="N517" s="65"/>
    </row>
    <row r="518" spans="1:14" x14ac:dyDescent="0.25">
      <c r="A518" s="2">
        <v>512</v>
      </c>
      <c r="B518" s="11">
        <f t="shared" ca="1" si="37"/>
        <v>1</v>
      </c>
      <c r="C518" s="26">
        <f t="shared" ca="1" si="38"/>
        <v>0.72926350051991284</v>
      </c>
      <c r="J518">
        <f t="shared" ca="1" si="39"/>
        <v>1</v>
      </c>
      <c r="K518">
        <f t="shared" ca="1" si="40"/>
        <v>0</v>
      </c>
      <c r="L518" s="65">
        <v>512</v>
      </c>
      <c r="M518" s="71">
        <f t="shared" ca="1" si="36"/>
        <v>9.3705606318894876</v>
      </c>
      <c r="N518" s="65"/>
    </row>
    <row r="519" spans="1:14" x14ac:dyDescent="0.25">
      <c r="A519" s="2">
        <v>513</v>
      </c>
      <c r="B519" s="11">
        <f t="shared" ca="1" si="37"/>
        <v>1</v>
      </c>
      <c r="C519" s="26">
        <f t="shared" ca="1" si="38"/>
        <v>0.17480270544472432</v>
      </c>
      <c r="J519">
        <f t="shared" ca="1" si="39"/>
        <v>1</v>
      </c>
      <c r="K519">
        <f t="shared" ca="1" si="40"/>
        <v>0</v>
      </c>
      <c r="L519" s="65">
        <v>513</v>
      </c>
      <c r="M519" s="71">
        <f t="shared" ref="M519:M582" ca="1" si="41">IF(B519&gt;0,-LN(1-(RAND()))/lambda,0)</f>
        <v>9.2457504174046896</v>
      </c>
      <c r="N519" s="65"/>
    </row>
    <row r="520" spans="1:14" x14ac:dyDescent="0.25">
      <c r="A520" s="2">
        <v>514</v>
      </c>
      <c r="B520" s="11">
        <f t="shared" ref="B520:B583" ca="1" si="42">IF(B519&gt;0,IF(C520&lt;pww,1,0),IF(C520&lt;pdw,1,0))</f>
        <v>1</v>
      </c>
      <c r="C520" s="26">
        <f t="shared" ref="C520:C583" ca="1" si="43">RAND()</f>
        <v>0.79534368084461315</v>
      </c>
      <c r="J520">
        <f t="shared" ref="J520:J583" ca="1" si="44">IF(AND(B520,B521),1,0)</f>
        <v>0</v>
      </c>
      <c r="K520">
        <f t="shared" ref="K520:K583" ca="1" si="45">IF(AND(NOT(B520),NOT(B521)),1,0)</f>
        <v>0</v>
      </c>
      <c r="L520" s="65">
        <v>514</v>
      </c>
      <c r="M520" s="71">
        <f t="shared" ca="1" si="41"/>
        <v>18.128794499030803</v>
      </c>
      <c r="N520" s="65"/>
    </row>
    <row r="521" spans="1:14" x14ac:dyDescent="0.25">
      <c r="A521" s="2">
        <v>515</v>
      </c>
      <c r="B521" s="11">
        <f t="shared" ca="1" si="42"/>
        <v>0</v>
      </c>
      <c r="C521" s="26">
        <f t="shared" ca="1" si="43"/>
        <v>0.93149731222923793</v>
      </c>
      <c r="J521">
        <f t="shared" ca="1" si="44"/>
        <v>0</v>
      </c>
      <c r="K521">
        <f t="shared" ca="1" si="45"/>
        <v>0</v>
      </c>
      <c r="L521" s="65">
        <v>515</v>
      </c>
      <c r="M521" s="71">
        <f t="shared" ca="1" si="41"/>
        <v>0</v>
      </c>
      <c r="N521" s="65"/>
    </row>
    <row r="522" spans="1:14" x14ac:dyDescent="0.25">
      <c r="A522" s="2">
        <v>516</v>
      </c>
      <c r="B522" s="11">
        <f t="shared" ca="1" si="42"/>
        <v>1</v>
      </c>
      <c r="C522" s="26">
        <f t="shared" ca="1" si="43"/>
        <v>0.69848094334137112</v>
      </c>
      <c r="J522">
        <f t="shared" ca="1" si="44"/>
        <v>0</v>
      </c>
      <c r="K522">
        <f t="shared" ca="1" si="45"/>
        <v>0</v>
      </c>
      <c r="L522" s="65">
        <v>516</v>
      </c>
      <c r="M522" s="71">
        <f t="shared" ca="1" si="41"/>
        <v>0.31411505253137512</v>
      </c>
      <c r="N522" s="65"/>
    </row>
    <row r="523" spans="1:14" x14ac:dyDescent="0.25">
      <c r="A523" s="2">
        <v>517</v>
      </c>
      <c r="B523" s="11">
        <f t="shared" ca="1" si="42"/>
        <v>0</v>
      </c>
      <c r="C523" s="26">
        <f t="shared" ca="1" si="43"/>
        <v>0.83788843325282314</v>
      </c>
      <c r="J523">
        <f t="shared" ca="1" si="44"/>
        <v>0</v>
      </c>
      <c r="K523">
        <f t="shared" ca="1" si="45"/>
        <v>1</v>
      </c>
      <c r="L523" s="65">
        <v>517</v>
      </c>
      <c r="M523" s="71">
        <f t="shared" ca="1" si="41"/>
        <v>0</v>
      </c>
      <c r="N523" s="65"/>
    </row>
    <row r="524" spans="1:14" x14ac:dyDescent="0.25">
      <c r="A524" s="2">
        <v>518</v>
      </c>
      <c r="B524" s="11">
        <f t="shared" ca="1" si="42"/>
        <v>0</v>
      </c>
      <c r="C524" s="26">
        <f t="shared" ca="1" si="43"/>
        <v>0.96354153228680406</v>
      </c>
      <c r="J524">
        <f t="shared" ca="1" si="44"/>
        <v>0</v>
      </c>
      <c r="K524">
        <f t="shared" ca="1" si="45"/>
        <v>1</v>
      </c>
      <c r="L524" s="65">
        <v>518</v>
      </c>
      <c r="M524" s="71">
        <f t="shared" ca="1" si="41"/>
        <v>0</v>
      </c>
      <c r="N524" s="65"/>
    </row>
    <row r="525" spans="1:14" x14ac:dyDescent="0.25">
      <c r="A525" s="2">
        <v>519</v>
      </c>
      <c r="B525" s="11">
        <f t="shared" ca="1" si="42"/>
        <v>0</v>
      </c>
      <c r="C525" s="26">
        <f t="shared" ca="1" si="43"/>
        <v>0.92134057482229581</v>
      </c>
      <c r="J525">
        <f t="shared" ca="1" si="44"/>
        <v>0</v>
      </c>
      <c r="K525">
        <f t="shared" ca="1" si="45"/>
        <v>0</v>
      </c>
      <c r="L525" s="65">
        <v>519</v>
      </c>
      <c r="M525" s="71">
        <f t="shared" ca="1" si="41"/>
        <v>0</v>
      </c>
      <c r="N525" s="65"/>
    </row>
    <row r="526" spans="1:14" x14ac:dyDescent="0.25">
      <c r="A526" s="2">
        <v>520</v>
      </c>
      <c r="B526" s="11">
        <f t="shared" ca="1" si="42"/>
        <v>1</v>
      </c>
      <c r="C526" s="26">
        <f t="shared" ca="1" si="43"/>
        <v>0.37133692728008116</v>
      </c>
      <c r="J526">
        <f t="shared" ca="1" si="44"/>
        <v>0</v>
      </c>
      <c r="K526">
        <f t="shared" ca="1" si="45"/>
        <v>0</v>
      </c>
      <c r="L526" s="65">
        <v>520</v>
      </c>
      <c r="M526" s="71">
        <f t="shared" ca="1" si="41"/>
        <v>3.0612170306060222</v>
      </c>
      <c r="N526" s="65"/>
    </row>
    <row r="527" spans="1:14" x14ac:dyDescent="0.25">
      <c r="A527" s="2">
        <v>521</v>
      </c>
      <c r="B527" s="11">
        <f t="shared" ca="1" si="42"/>
        <v>0</v>
      </c>
      <c r="C527" s="26">
        <f t="shared" ca="1" si="43"/>
        <v>0.98545712865427648</v>
      </c>
      <c r="J527">
        <f t="shared" ca="1" si="44"/>
        <v>0</v>
      </c>
      <c r="K527">
        <f t="shared" ca="1" si="45"/>
        <v>1</v>
      </c>
      <c r="L527" s="65">
        <v>521</v>
      </c>
      <c r="M527" s="71">
        <f t="shared" ca="1" si="41"/>
        <v>0</v>
      </c>
      <c r="N527" s="65"/>
    </row>
    <row r="528" spans="1:14" x14ac:dyDescent="0.25">
      <c r="A528" s="2">
        <v>522</v>
      </c>
      <c r="B528" s="11">
        <f t="shared" ca="1" si="42"/>
        <v>0</v>
      </c>
      <c r="C528" s="26">
        <f t="shared" ca="1" si="43"/>
        <v>0.8125873158342003</v>
      </c>
      <c r="J528">
        <f t="shared" ca="1" si="44"/>
        <v>0</v>
      </c>
      <c r="K528">
        <f t="shared" ca="1" si="45"/>
        <v>0</v>
      </c>
      <c r="L528" s="65">
        <v>522</v>
      </c>
      <c r="M528" s="71">
        <f t="shared" ca="1" si="41"/>
        <v>0</v>
      </c>
      <c r="N528" s="65"/>
    </row>
    <row r="529" spans="1:14" x14ac:dyDescent="0.25">
      <c r="A529" s="2">
        <v>523</v>
      </c>
      <c r="B529" s="11">
        <f t="shared" ca="1" si="42"/>
        <v>1</v>
      </c>
      <c r="C529" s="26">
        <f t="shared" ca="1" si="43"/>
        <v>0.50019876100086502</v>
      </c>
      <c r="J529">
        <f t="shared" ca="1" si="44"/>
        <v>1</v>
      </c>
      <c r="K529">
        <f t="shared" ca="1" si="45"/>
        <v>0</v>
      </c>
      <c r="L529" s="65">
        <v>523</v>
      </c>
      <c r="M529" s="71">
        <f t="shared" ca="1" si="41"/>
        <v>1.0289205736187506</v>
      </c>
      <c r="N529" s="65"/>
    </row>
    <row r="530" spans="1:14" x14ac:dyDescent="0.25">
      <c r="A530" s="2">
        <v>524</v>
      </c>
      <c r="B530" s="11">
        <f t="shared" ca="1" si="42"/>
        <v>1</v>
      </c>
      <c r="C530" s="26">
        <f t="shared" ca="1" si="43"/>
        <v>0.30115098631549853</v>
      </c>
      <c r="J530">
        <f t="shared" ca="1" si="44"/>
        <v>1</v>
      </c>
      <c r="K530">
        <f t="shared" ca="1" si="45"/>
        <v>0</v>
      </c>
      <c r="L530" s="65">
        <v>524</v>
      </c>
      <c r="M530" s="71">
        <f t="shared" ca="1" si="41"/>
        <v>0.7546776771987419</v>
      </c>
      <c r="N530" s="65"/>
    </row>
    <row r="531" spans="1:14" x14ac:dyDescent="0.25">
      <c r="A531" s="2">
        <v>525</v>
      </c>
      <c r="B531" s="11">
        <f t="shared" ca="1" si="42"/>
        <v>1</v>
      </c>
      <c r="C531" s="26">
        <f t="shared" ca="1" si="43"/>
        <v>0.10771522844949044</v>
      </c>
      <c r="J531">
        <f t="shared" ca="1" si="44"/>
        <v>0</v>
      </c>
      <c r="K531">
        <f t="shared" ca="1" si="45"/>
        <v>0</v>
      </c>
      <c r="L531" s="65">
        <v>525</v>
      </c>
      <c r="M531" s="71">
        <f t="shared" ca="1" si="41"/>
        <v>6.0781068529215689</v>
      </c>
      <c r="N531" s="65"/>
    </row>
    <row r="532" spans="1:14" x14ac:dyDescent="0.25">
      <c r="A532" s="2">
        <v>526</v>
      </c>
      <c r="B532" s="11">
        <f t="shared" ca="1" si="42"/>
        <v>0</v>
      </c>
      <c r="C532" s="26">
        <f t="shared" ca="1" si="43"/>
        <v>0.82293042687245033</v>
      </c>
      <c r="J532">
        <f t="shared" ca="1" si="44"/>
        <v>0</v>
      </c>
      <c r="K532">
        <f t="shared" ca="1" si="45"/>
        <v>0</v>
      </c>
      <c r="L532" s="65">
        <v>526</v>
      </c>
      <c r="M532" s="71">
        <f t="shared" ca="1" si="41"/>
        <v>0</v>
      </c>
      <c r="N532" s="65"/>
    </row>
    <row r="533" spans="1:14" x14ac:dyDescent="0.25">
      <c r="A533" s="2">
        <v>527</v>
      </c>
      <c r="B533" s="11">
        <f t="shared" ca="1" si="42"/>
        <v>1</v>
      </c>
      <c r="C533" s="26">
        <f t="shared" ca="1" si="43"/>
        <v>0.37865777673625922</v>
      </c>
      <c r="J533">
        <f t="shared" ca="1" si="44"/>
        <v>0</v>
      </c>
      <c r="K533">
        <f t="shared" ca="1" si="45"/>
        <v>0</v>
      </c>
      <c r="L533" s="65">
        <v>527</v>
      </c>
      <c r="M533" s="71">
        <f t="shared" ca="1" si="41"/>
        <v>2.8920407284805112</v>
      </c>
      <c r="N533" s="65"/>
    </row>
    <row r="534" spans="1:14" x14ac:dyDescent="0.25">
      <c r="A534" s="2">
        <v>528</v>
      </c>
      <c r="B534" s="11">
        <f t="shared" ca="1" si="42"/>
        <v>0</v>
      </c>
      <c r="C534" s="26">
        <f t="shared" ca="1" si="43"/>
        <v>0.89658745620515545</v>
      </c>
      <c r="J534">
        <f t="shared" ca="1" si="44"/>
        <v>0</v>
      </c>
      <c r="K534">
        <f t="shared" ca="1" si="45"/>
        <v>0</v>
      </c>
      <c r="L534" s="65">
        <v>528</v>
      </c>
      <c r="M534" s="71">
        <f t="shared" ca="1" si="41"/>
        <v>0</v>
      </c>
      <c r="N534" s="65"/>
    </row>
    <row r="535" spans="1:14" x14ac:dyDescent="0.25">
      <c r="A535" s="2">
        <v>529</v>
      </c>
      <c r="B535" s="11">
        <f t="shared" ca="1" si="42"/>
        <v>1</v>
      </c>
      <c r="C535" s="26">
        <f t="shared" ca="1" si="43"/>
        <v>0.70628895235224376</v>
      </c>
      <c r="J535">
        <f t="shared" ca="1" si="44"/>
        <v>1</v>
      </c>
      <c r="K535">
        <f t="shared" ca="1" si="45"/>
        <v>0</v>
      </c>
      <c r="L535" s="65">
        <v>529</v>
      </c>
      <c r="M535" s="71">
        <f t="shared" ca="1" si="41"/>
        <v>8.4992326273504375</v>
      </c>
      <c r="N535" s="65"/>
    </row>
    <row r="536" spans="1:14" x14ac:dyDescent="0.25">
      <c r="A536" s="2">
        <v>530</v>
      </c>
      <c r="B536" s="11">
        <f t="shared" ca="1" si="42"/>
        <v>1</v>
      </c>
      <c r="C536" s="26">
        <f t="shared" ca="1" si="43"/>
        <v>0.22722403369646671</v>
      </c>
      <c r="J536">
        <f t="shared" ca="1" si="44"/>
        <v>1</v>
      </c>
      <c r="K536">
        <f t="shared" ca="1" si="45"/>
        <v>0</v>
      </c>
      <c r="L536" s="65">
        <v>530</v>
      </c>
      <c r="M536" s="71">
        <f t="shared" ca="1" si="41"/>
        <v>3.0878678755801072</v>
      </c>
      <c r="N536" s="65"/>
    </row>
    <row r="537" spans="1:14" x14ac:dyDescent="0.25">
      <c r="A537" s="2">
        <v>531</v>
      </c>
      <c r="B537" s="11">
        <f t="shared" ca="1" si="42"/>
        <v>1</v>
      </c>
      <c r="C537" s="26">
        <f t="shared" ca="1" si="43"/>
        <v>0.18815673677271239</v>
      </c>
      <c r="J537">
        <f t="shared" ca="1" si="44"/>
        <v>1</v>
      </c>
      <c r="K537">
        <f t="shared" ca="1" si="45"/>
        <v>0</v>
      </c>
      <c r="L537" s="65">
        <v>531</v>
      </c>
      <c r="M537" s="71">
        <f t="shared" ca="1" si="41"/>
        <v>6.7450532709064381</v>
      </c>
      <c r="N537" s="65"/>
    </row>
    <row r="538" spans="1:14" x14ac:dyDescent="0.25">
      <c r="A538" s="2">
        <v>532</v>
      </c>
      <c r="B538" s="11">
        <f t="shared" ca="1" si="42"/>
        <v>1</v>
      </c>
      <c r="C538" s="26">
        <f t="shared" ca="1" si="43"/>
        <v>0.37838341101524997</v>
      </c>
      <c r="J538">
        <f t="shared" ca="1" si="44"/>
        <v>1</v>
      </c>
      <c r="K538">
        <f t="shared" ca="1" si="45"/>
        <v>0</v>
      </c>
      <c r="L538" s="65">
        <v>532</v>
      </c>
      <c r="M538" s="71">
        <f t="shared" ca="1" si="41"/>
        <v>4.4074573752025463</v>
      </c>
      <c r="N538" s="65"/>
    </row>
    <row r="539" spans="1:14" x14ac:dyDescent="0.25">
      <c r="A539" s="2">
        <v>533</v>
      </c>
      <c r="B539" s="11">
        <f t="shared" ca="1" si="42"/>
        <v>1</v>
      </c>
      <c r="C539" s="26">
        <f t="shared" ca="1" si="43"/>
        <v>0.72814394954770068</v>
      </c>
      <c r="J539">
        <f t="shared" ca="1" si="44"/>
        <v>1</v>
      </c>
      <c r="K539">
        <f t="shared" ca="1" si="45"/>
        <v>0</v>
      </c>
      <c r="L539" s="65">
        <v>533</v>
      </c>
      <c r="M539" s="71">
        <f t="shared" ca="1" si="41"/>
        <v>8.9184294014876162</v>
      </c>
      <c r="N539" s="65"/>
    </row>
    <row r="540" spans="1:14" x14ac:dyDescent="0.25">
      <c r="A540" s="2">
        <v>534</v>
      </c>
      <c r="B540" s="11">
        <f t="shared" ca="1" si="42"/>
        <v>1</v>
      </c>
      <c r="C540" s="26">
        <f t="shared" ca="1" si="43"/>
        <v>0.22733691033772685</v>
      </c>
      <c r="J540">
        <f t="shared" ca="1" si="44"/>
        <v>0</v>
      </c>
      <c r="K540">
        <f t="shared" ca="1" si="45"/>
        <v>0</v>
      </c>
      <c r="L540" s="65">
        <v>534</v>
      </c>
      <c r="M540" s="71">
        <f t="shared" ca="1" si="41"/>
        <v>1.8243100702830066</v>
      </c>
      <c r="N540" s="65"/>
    </row>
    <row r="541" spans="1:14" x14ac:dyDescent="0.25">
      <c r="A541" s="2">
        <v>535</v>
      </c>
      <c r="B541" s="11">
        <f t="shared" ca="1" si="42"/>
        <v>0</v>
      </c>
      <c r="C541" s="26">
        <f t="shared" ca="1" si="43"/>
        <v>0.99311291812125935</v>
      </c>
      <c r="J541">
        <f t="shared" ca="1" si="44"/>
        <v>0</v>
      </c>
      <c r="K541">
        <f t="shared" ca="1" si="45"/>
        <v>0</v>
      </c>
      <c r="L541" s="65">
        <v>535</v>
      </c>
      <c r="M541" s="71">
        <f t="shared" ca="1" si="41"/>
        <v>0</v>
      </c>
      <c r="N541" s="65"/>
    </row>
    <row r="542" spans="1:14" x14ac:dyDescent="0.25">
      <c r="A542" s="2">
        <v>536</v>
      </c>
      <c r="B542" s="11">
        <f t="shared" ca="1" si="42"/>
        <v>1</v>
      </c>
      <c r="C542" s="26">
        <f t="shared" ca="1" si="43"/>
        <v>0.47568880268977609</v>
      </c>
      <c r="J542">
        <f t="shared" ca="1" si="44"/>
        <v>1</v>
      </c>
      <c r="K542">
        <f t="shared" ca="1" si="45"/>
        <v>0</v>
      </c>
      <c r="L542" s="65">
        <v>536</v>
      </c>
      <c r="M542" s="71">
        <f t="shared" ca="1" si="41"/>
        <v>2.4690382621014892</v>
      </c>
      <c r="N542" s="65"/>
    </row>
    <row r="543" spans="1:14" x14ac:dyDescent="0.25">
      <c r="A543" s="2">
        <v>537</v>
      </c>
      <c r="B543" s="11">
        <f t="shared" ca="1" si="42"/>
        <v>1</v>
      </c>
      <c r="C543" s="26">
        <f t="shared" ca="1" si="43"/>
        <v>0.39267177641443385</v>
      </c>
      <c r="J543">
        <f t="shared" ca="1" si="44"/>
        <v>1</v>
      </c>
      <c r="K543">
        <f t="shared" ca="1" si="45"/>
        <v>0</v>
      </c>
      <c r="L543" s="65">
        <v>537</v>
      </c>
      <c r="M543" s="71">
        <f t="shared" ca="1" si="41"/>
        <v>1.541136738916931</v>
      </c>
      <c r="N543" s="65"/>
    </row>
    <row r="544" spans="1:14" x14ac:dyDescent="0.25">
      <c r="A544" s="2">
        <v>538</v>
      </c>
      <c r="B544" s="11">
        <f t="shared" ca="1" si="42"/>
        <v>1</v>
      </c>
      <c r="C544" s="26">
        <f t="shared" ca="1" si="43"/>
        <v>0.28015878193769062</v>
      </c>
      <c r="J544">
        <f t="shared" ca="1" si="44"/>
        <v>0</v>
      </c>
      <c r="K544">
        <f t="shared" ca="1" si="45"/>
        <v>0</v>
      </c>
      <c r="L544" s="65">
        <v>538</v>
      </c>
      <c r="M544" s="71">
        <f t="shared" ca="1" si="41"/>
        <v>2.6266072925849051</v>
      </c>
      <c r="N544" s="65"/>
    </row>
    <row r="545" spans="1:14" x14ac:dyDescent="0.25">
      <c r="A545" s="2">
        <v>539</v>
      </c>
      <c r="B545" s="11">
        <f t="shared" ca="1" si="42"/>
        <v>0</v>
      </c>
      <c r="C545" s="26">
        <f t="shared" ca="1" si="43"/>
        <v>0.82430671092843533</v>
      </c>
      <c r="J545">
        <f t="shared" ca="1" si="44"/>
        <v>0</v>
      </c>
      <c r="K545">
        <f t="shared" ca="1" si="45"/>
        <v>1</v>
      </c>
      <c r="L545" s="65">
        <v>539</v>
      </c>
      <c r="M545" s="71">
        <f t="shared" ca="1" si="41"/>
        <v>0</v>
      </c>
      <c r="N545" s="65"/>
    </row>
    <row r="546" spans="1:14" x14ac:dyDescent="0.25">
      <c r="A546" s="2">
        <v>540</v>
      </c>
      <c r="B546" s="11">
        <f t="shared" ca="1" si="42"/>
        <v>0</v>
      </c>
      <c r="C546" s="26">
        <f t="shared" ca="1" si="43"/>
        <v>0.73971823194952147</v>
      </c>
      <c r="J546">
        <f t="shared" ca="1" si="44"/>
        <v>0</v>
      </c>
      <c r="K546">
        <f t="shared" ca="1" si="45"/>
        <v>0</v>
      </c>
      <c r="L546" s="65">
        <v>540</v>
      </c>
      <c r="M546" s="71">
        <f t="shared" ca="1" si="41"/>
        <v>0</v>
      </c>
      <c r="N546" s="65"/>
    </row>
    <row r="547" spans="1:14" x14ac:dyDescent="0.25">
      <c r="A547" s="2">
        <v>541</v>
      </c>
      <c r="B547" s="11">
        <f t="shared" ca="1" si="42"/>
        <v>1</v>
      </c>
      <c r="C547" s="26">
        <f t="shared" ca="1" si="43"/>
        <v>0.48098278608665301</v>
      </c>
      <c r="J547">
        <f t="shared" ca="1" si="44"/>
        <v>1</v>
      </c>
      <c r="K547">
        <f t="shared" ca="1" si="45"/>
        <v>0</v>
      </c>
      <c r="L547" s="65">
        <v>541</v>
      </c>
      <c r="M547" s="71">
        <f t="shared" ca="1" si="41"/>
        <v>1.7830949611094795</v>
      </c>
      <c r="N547" s="65"/>
    </row>
    <row r="548" spans="1:14" x14ac:dyDescent="0.25">
      <c r="A548" s="2">
        <v>542</v>
      </c>
      <c r="B548" s="11">
        <f t="shared" ca="1" si="42"/>
        <v>1</v>
      </c>
      <c r="C548" s="26">
        <f t="shared" ca="1" si="43"/>
        <v>0.50754776825455161</v>
      </c>
      <c r="J548">
        <f t="shared" ca="1" si="44"/>
        <v>1</v>
      </c>
      <c r="K548">
        <f t="shared" ca="1" si="45"/>
        <v>0</v>
      </c>
      <c r="L548" s="65">
        <v>542</v>
      </c>
      <c r="M548" s="71">
        <f t="shared" ca="1" si="41"/>
        <v>3.1922822495473686</v>
      </c>
      <c r="N548" s="65"/>
    </row>
    <row r="549" spans="1:14" x14ac:dyDescent="0.25">
      <c r="A549" s="2">
        <v>543</v>
      </c>
      <c r="B549" s="11">
        <f t="shared" ca="1" si="42"/>
        <v>1</v>
      </c>
      <c r="C549" s="26">
        <f t="shared" ca="1" si="43"/>
        <v>0.40857764670820962</v>
      </c>
      <c r="J549">
        <f t="shared" ca="1" si="44"/>
        <v>1</v>
      </c>
      <c r="K549">
        <f t="shared" ca="1" si="45"/>
        <v>0</v>
      </c>
      <c r="L549" s="65">
        <v>543</v>
      </c>
      <c r="M549" s="71">
        <f t="shared" ca="1" si="41"/>
        <v>0.5065279100276483</v>
      </c>
      <c r="N549" s="65"/>
    </row>
    <row r="550" spans="1:14" x14ac:dyDescent="0.25">
      <c r="A550" s="2">
        <v>544</v>
      </c>
      <c r="B550" s="11">
        <f t="shared" ca="1" si="42"/>
        <v>1</v>
      </c>
      <c r="C550" s="26">
        <f t="shared" ca="1" si="43"/>
        <v>0.23770879456362848</v>
      </c>
      <c r="J550">
        <f t="shared" ca="1" si="44"/>
        <v>1</v>
      </c>
      <c r="K550">
        <f t="shared" ca="1" si="45"/>
        <v>0</v>
      </c>
      <c r="L550" s="65">
        <v>544</v>
      </c>
      <c r="M550" s="71">
        <f t="shared" ca="1" si="41"/>
        <v>13.535602812921891</v>
      </c>
      <c r="N550" s="65"/>
    </row>
    <row r="551" spans="1:14" x14ac:dyDescent="0.25">
      <c r="A551" s="2">
        <v>545</v>
      </c>
      <c r="B551" s="11">
        <f t="shared" ca="1" si="42"/>
        <v>1</v>
      </c>
      <c r="C551" s="26">
        <f t="shared" ca="1" si="43"/>
        <v>0.657432125559963</v>
      </c>
      <c r="J551">
        <f t="shared" ca="1" si="44"/>
        <v>1</v>
      </c>
      <c r="K551">
        <f t="shared" ca="1" si="45"/>
        <v>0</v>
      </c>
      <c r="L551" s="65">
        <v>545</v>
      </c>
      <c r="M551" s="71">
        <f t="shared" ca="1" si="41"/>
        <v>0.77454848710429325</v>
      </c>
      <c r="N551" s="65"/>
    </row>
    <row r="552" spans="1:14" x14ac:dyDescent="0.25">
      <c r="A552" s="2">
        <v>546</v>
      </c>
      <c r="B552" s="11">
        <f t="shared" ca="1" si="42"/>
        <v>1</v>
      </c>
      <c r="C552" s="26">
        <f t="shared" ca="1" si="43"/>
        <v>0.32006783931871974</v>
      </c>
      <c r="J552">
        <f t="shared" ca="1" si="44"/>
        <v>1</v>
      </c>
      <c r="K552">
        <f t="shared" ca="1" si="45"/>
        <v>0</v>
      </c>
      <c r="L552" s="65">
        <v>546</v>
      </c>
      <c r="M552" s="71">
        <f t="shared" ca="1" si="41"/>
        <v>1.0861665319690401</v>
      </c>
      <c r="N552" s="65"/>
    </row>
    <row r="553" spans="1:14" x14ac:dyDescent="0.25">
      <c r="A553" s="2">
        <v>547</v>
      </c>
      <c r="B553" s="11">
        <f t="shared" ca="1" si="42"/>
        <v>1</v>
      </c>
      <c r="C553" s="26">
        <f t="shared" ca="1" si="43"/>
        <v>0.35293689058241728</v>
      </c>
      <c r="J553">
        <f t="shared" ca="1" si="44"/>
        <v>1</v>
      </c>
      <c r="K553">
        <f t="shared" ca="1" si="45"/>
        <v>0</v>
      </c>
      <c r="L553" s="65">
        <v>547</v>
      </c>
      <c r="M553" s="71">
        <f t="shared" ca="1" si="41"/>
        <v>0.69487817143614128</v>
      </c>
      <c r="N553" s="65"/>
    </row>
    <row r="554" spans="1:14" x14ac:dyDescent="0.25">
      <c r="A554" s="2">
        <v>548</v>
      </c>
      <c r="B554" s="11">
        <f t="shared" ca="1" si="42"/>
        <v>1</v>
      </c>
      <c r="C554" s="26">
        <f t="shared" ca="1" si="43"/>
        <v>0.64441989824727863</v>
      </c>
      <c r="J554">
        <f t="shared" ca="1" si="44"/>
        <v>1</v>
      </c>
      <c r="K554">
        <f t="shared" ca="1" si="45"/>
        <v>0</v>
      </c>
      <c r="L554" s="65">
        <v>548</v>
      </c>
      <c r="M554" s="71">
        <f t="shared" ca="1" si="41"/>
        <v>1.8492573743051399</v>
      </c>
      <c r="N554" s="65"/>
    </row>
    <row r="555" spans="1:14" x14ac:dyDescent="0.25">
      <c r="A555" s="2">
        <v>549</v>
      </c>
      <c r="B555" s="11">
        <f t="shared" ca="1" si="42"/>
        <v>1</v>
      </c>
      <c r="C555" s="26">
        <f t="shared" ca="1" si="43"/>
        <v>0.76448090770387034</v>
      </c>
      <c r="J555">
        <f t="shared" ca="1" si="44"/>
        <v>1</v>
      </c>
      <c r="K555">
        <f t="shared" ca="1" si="45"/>
        <v>0</v>
      </c>
      <c r="L555" s="65">
        <v>549</v>
      </c>
      <c r="M555" s="71">
        <f t="shared" ca="1" si="41"/>
        <v>0.22117588137988989</v>
      </c>
      <c r="N555" s="65"/>
    </row>
    <row r="556" spans="1:14" x14ac:dyDescent="0.25">
      <c r="A556" s="2">
        <v>550</v>
      </c>
      <c r="B556" s="11">
        <f t="shared" ca="1" si="42"/>
        <v>1</v>
      </c>
      <c r="C556" s="26">
        <f t="shared" ca="1" si="43"/>
        <v>9.853300232751605E-2</v>
      </c>
      <c r="J556">
        <f t="shared" ca="1" si="44"/>
        <v>0</v>
      </c>
      <c r="K556">
        <f t="shared" ca="1" si="45"/>
        <v>0</v>
      </c>
      <c r="L556" s="65">
        <v>550</v>
      </c>
      <c r="M556" s="71">
        <f t="shared" ca="1" si="41"/>
        <v>0.7904893345229379</v>
      </c>
      <c r="N556" s="65"/>
    </row>
    <row r="557" spans="1:14" x14ac:dyDescent="0.25">
      <c r="A557" s="2">
        <v>551</v>
      </c>
      <c r="B557" s="11">
        <f t="shared" ca="1" si="42"/>
        <v>0</v>
      </c>
      <c r="C557" s="26">
        <f t="shared" ca="1" si="43"/>
        <v>0.90219332318282819</v>
      </c>
      <c r="J557">
        <f t="shared" ca="1" si="44"/>
        <v>0</v>
      </c>
      <c r="K557">
        <f t="shared" ca="1" si="45"/>
        <v>0</v>
      </c>
      <c r="L557" s="65">
        <v>551</v>
      </c>
      <c r="M557" s="71">
        <f t="shared" ca="1" si="41"/>
        <v>0</v>
      </c>
      <c r="N557" s="65"/>
    </row>
    <row r="558" spans="1:14" x14ac:dyDescent="0.25">
      <c r="A558" s="2">
        <v>552</v>
      </c>
      <c r="B558" s="11">
        <f t="shared" ca="1" si="42"/>
        <v>1</v>
      </c>
      <c r="C558" s="26">
        <f t="shared" ca="1" si="43"/>
        <v>0.21291902212036029</v>
      </c>
      <c r="J558">
        <f t="shared" ca="1" si="44"/>
        <v>1</v>
      </c>
      <c r="K558">
        <f t="shared" ca="1" si="45"/>
        <v>0</v>
      </c>
      <c r="L558" s="65">
        <v>552</v>
      </c>
      <c r="M558" s="71">
        <f t="shared" ca="1" si="41"/>
        <v>6.047304479921582</v>
      </c>
      <c r="N558" s="65"/>
    </row>
    <row r="559" spans="1:14" x14ac:dyDescent="0.25">
      <c r="A559" s="2">
        <v>553</v>
      </c>
      <c r="B559" s="11">
        <f t="shared" ca="1" si="42"/>
        <v>1</v>
      </c>
      <c r="C559" s="26">
        <f t="shared" ca="1" si="43"/>
        <v>0.22483481110667969</v>
      </c>
      <c r="J559">
        <f t="shared" ca="1" si="44"/>
        <v>1</v>
      </c>
      <c r="K559">
        <f t="shared" ca="1" si="45"/>
        <v>0</v>
      </c>
      <c r="L559" s="65">
        <v>553</v>
      </c>
      <c r="M559" s="71">
        <f t="shared" ca="1" si="41"/>
        <v>6.1801148440240334</v>
      </c>
      <c r="N559" s="65"/>
    </row>
    <row r="560" spans="1:14" x14ac:dyDescent="0.25">
      <c r="A560" s="2">
        <v>554</v>
      </c>
      <c r="B560" s="11">
        <f t="shared" ca="1" si="42"/>
        <v>1</v>
      </c>
      <c r="C560" s="26">
        <f t="shared" ca="1" si="43"/>
        <v>0.56257602106757842</v>
      </c>
      <c r="J560">
        <f t="shared" ca="1" si="44"/>
        <v>1</v>
      </c>
      <c r="K560">
        <f t="shared" ca="1" si="45"/>
        <v>0</v>
      </c>
      <c r="L560" s="65">
        <v>554</v>
      </c>
      <c r="M560" s="71">
        <f t="shared" ca="1" si="41"/>
        <v>9.4882169265700629</v>
      </c>
      <c r="N560" s="65"/>
    </row>
    <row r="561" spans="1:14" x14ac:dyDescent="0.25">
      <c r="A561" s="2">
        <v>555</v>
      </c>
      <c r="B561" s="11">
        <f t="shared" ca="1" si="42"/>
        <v>1</v>
      </c>
      <c r="C561" s="26">
        <f t="shared" ca="1" si="43"/>
        <v>0.17765103771580715</v>
      </c>
      <c r="J561">
        <f t="shared" ca="1" si="44"/>
        <v>1</v>
      </c>
      <c r="K561">
        <f t="shared" ca="1" si="45"/>
        <v>0</v>
      </c>
      <c r="L561" s="65">
        <v>555</v>
      </c>
      <c r="M561" s="71">
        <f t="shared" ca="1" si="41"/>
        <v>3.124800131317147</v>
      </c>
      <c r="N561" s="65"/>
    </row>
    <row r="562" spans="1:14" x14ac:dyDescent="0.25">
      <c r="A562" s="2">
        <v>556</v>
      </c>
      <c r="B562" s="11">
        <f t="shared" ca="1" si="42"/>
        <v>1</v>
      </c>
      <c r="C562" s="26">
        <f t="shared" ca="1" si="43"/>
        <v>8.4145032367584971E-2</v>
      </c>
      <c r="J562">
        <f t="shared" ca="1" si="44"/>
        <v>1</v>
      </c>
      <c r="K562">
        <f t="shared" ca="1" si="45"/>
        <v>0</v>
      </c>
      <c r="L562" s="65">
        <v>556</v>
      </c>
      <c r="M562" s="71">
        <f t="shared" ca="1" si="41"/>
        <v>0.87630974519834515</v>
      </c>
      <c r="N562" s="65"/>
    </row>
    <row r="563" spans="1:14" x14ac:dyDescent="0.25">
      <c r="A563" s="2">
        <v>557</v>
      </c>
      <c r="B563" s="11">
        <f t="shared" ca="1" si="42"/>
        <v>1</v>
      </c>
      <c r="C563" s="26">
        <f t="shared" ca="1" si="43"/>
        <v>0.66435515449987614</v>
      </c>
      <c r="J563">
        <f t="shared" ca="1" si="44"/>
        <v>1</v>
      </c>
      <c r="K563">
        <f t="shared" ca="1" si="45"/>
        <v>0</v>
      </c>
      <c r="L563" s="65">
        <v>557</v>
      </c>
      <c r="M563" s="71">
        <f t="shared" ca="1" si="41"/>
        <v>1.032524307600954</v>
      </c>
      <c r="N563" s="65"/>
    </row>
    <row r="564" spans="1:14" x14ac:dyDescent="0.25">
      <c r="A564" s="2">
        <v>558</v>
      </c>
      <c r="B564" s="11">
        <f t="shared" ca="1" si="42"/>
        <v>1</v>
      </c>
      <c r="C564" s="26">
        <f t="shared" ca="1" si="43"/>
        <v>0.19774364564341784</v>
      </c>
      <c r="J564">
        <f t="shared" ca="1" si="44"/>
        <v>1</v>
      </c>
      <c r="K564">
        <f t="shared" ca="1" si="45"/>
        <v>0</v>
      </c>
      <c r="L564" s="65">
        <v>558</v>
      </c>
      <c r="M564" s="71">
        <f t="shared" ca="1" si="41"/>
        <v>3.9874175857657637</v>
      </c>
      <c r="N564" s="65"/>
    </row>
    <row r="565" spans="1:14" x14ac:dyDescent="0.25">
      <c r="A565" s="2">
        <v>559</v>
      </c>
      <c r="B565" s="11">
        <f t="shared" ca="1" si="42"/>
        <v>1</v>
      </c>
      <c r="C565" s="26">
        <f t="shared" ca="1" si="43"/>
        <v>8.1458244528636259E-2</v>
      </c>
      <c r="J565">
        <f t="shared" ca="1" si="44"/>
        <v>1</v>
      </c>
      <c r="K565">
        <f t="shared" ca="1" si="45"/>
        <v>0</v>
      </c>
      <c r="L565" s="65">
        <v>559</v>
      </c>
      <c r="M565" s="71">
        <f t="shared" ca="1" si="41"/>
        <v>0.93684503991166168</v>
      </c>
      <c r="N565" s="65"/>
    </row>
    <row r="566" spans="1:14" x14ac:dyDescent="0.25">
      <c r="A566" s="2">
        <v>560</v>
      </c>
      <c r="B566" s="11">
        <f t="shared" ca="1" si="42"/>
        <v>1</v>
      </c>
      <c r="C566" s="26">
        <f t="shared" ca="1" si="43"/>
        <v>0.78330458800624847</v>
      </c>
      <c r="J566">
        <f t="shared" ca="1" si="44"/>
        <v>1</v>
      </c>
      <c r="K566">
        <f t="shared" ca="1" si="45"/>
        <v>0</v>
      </c>
      <c r="L566" s="65">
        <v>560</v>
      </c>
      <c r="M566" s="71">
        <f t="shared" ca="1" si="41"/>
        <v>0.11854410903652923</v>
      </c>
      <c r="N566" s="65"/>
    </row>
    <row r="567" spans="1:14" x14ac:dyDescent="0.25">
      <c r="A567" s="2">
        <v>561</v>
      </c>
      <c r="B567" s="11">
        <f t="shared" ca="1" si="42"/>
        <v>1</v>
      </c>
      <c r="C567" s="26">
        <f t="shared" ca="1" si="43"/>
        <v>0.14137804918889874</v>
      </c>
      <c r="J567">
        <f t="shared" ca="1" si="44"/>
        <v>1</v>
      </c>
      <c r="K567">
        <f t="shared" ca="1" si="45"/>
        <v>0</v>
      </c>
      <c r="L567" s="65">
        <v>561</v>
      </c>
      <c r="M567" s="71">
        <f t="shared" ca="1" si="41"/>
        <v>0.88331029225547064</v>
      </c>
      <c r="N567" s="65"/>
    </row>
    <row r="568" spans="1:14" x14ac:dyDescent="0.25">
      <c r="A568" s="2">
        <v>562</v>
      </c>
      <c r="B568" s="11">
        <f t="shared" ca="1" si="42"/>
        <v>1</v>
      </c>
      <c r="C568" s="26">
        <f t="shared" ca="1" si="43"/>
        <v>6.5896882657955014E-2</v>
      </c>
      <c r="J568">
        <f t="shared" ca="1" si="44"/>
        <v>1</v>
      </c>
      <c r="K568">
        <f t="shared" ca="1" si="45"/>
        <v>0</v>
      </c>
      <c r="L568" s="65">
        <v>562</v>
      </c>
      <c r="M568" s="71">
        <f t="shared" ca="1" si="41"/>
        <v>0.2547970698571434</v>
      </c>
      <c r="N568" s="65"/>
    </row>
    <row r="569" spans="1:14" x14ac:dyDescent="0.25">
      <c r="A569" s="2">
        <v>563</v>
      </c>
      <c r="B569" s="11">
        <f t="shared" ca="1" si="42"/>
        <v>1</v>
      </c>
      <c r="C569" s="26">
        <f t="shared" ca="1" si="43"/>
        <v>0.71673996868960621</v>
      </c>
      <c r="J569">
        <f t="shared" ca="1" si="44"/>
        <v>1</v>
      </c>
      <c r="K569">
        <f t="shared" ca="1" si="45"/>
        <v>0</v>
      </c>
      <c r="L569" s="65">
        <v>563</v>
      </c>
      <c r="M569" s="71">
        <f t="shared" ca="1" si="41"/>
        <v>3.7686442216571385</v>
      </c>
      <c r="N569" s="65"/>
    </row>
    <row r="570" spans="1:14" x14ac:dyDescent="0.25">
      <c r="A570" s="2">
        <v>564</v>
      </c>
      <c r="B570" s="11">
        <f t="shared" ca="1" si="42"/>
        <v>1</v>
      </c>
      <c r="C570" s="26">
        <f t="shared" ca="1" si="43"/>
        <v>0.21531492115914763</v>
      </c>
      <c r="J570">
        <f t="shared" ca="1" si="44"/>
        <v>1</v>
      </c>
      <c r="K570">
        <f t="shared" ca="1" si="45"/>
        <v>0</v>
      </c>
      <c r="L570" s="65">
        <v>564</v>
      </c>
      <c r="M570" s="71">
        <f t="shared" ca="1" si="41"/>
        <v>1.4220072878344232</v>
      </c>
      <c r="N570" s="65"/>
    </row>
    <row r="571" spans="1:14" x14ac:dyDescent="0.25">
      <c r="A571" s="2">
        <v>565</v>
      </c>
      <c r="B571" s="11">
        <f t="shared" ca="1" si="42"/>
        <v>1</v>
      </c>
      <c r="C571" s="26">
        <f t="shared" ca="1" si="43"/>
        <v>0.42260983875660896</v>
      </c>
      <c r="J571">
        <f t="shared" ca="1" si="44"/>
        <v>1</v>
      </c>
      <c r="K571">
        <f t="shared" ca="1" si="45"/>
        <v>0</v>
      </c>
      <c r="L571" s="65">
        <v>565</v>
      </c>
      <c r="M571" s="71">
        <f t="shared" ca="1" si="41"/>
        <v>0.57553000837910884</v>
      </c>
      <c r="N571" s="65"/>
    </row>
    <row r="572" spans="1:14" x14ac:dyDescent="0.25">
      <c r="A572" s="2">
        <v>566</v>
      </c>
      <c r="B572" s="11">
        <f t="shared" ca="1" si="42"/>
        <v>1</v>
      </c>
      <c r="C572" s="26">
        <f t="shared" ca="1" si="43"/>
        <v>0.16040441979845221</v>
      </c>
      <c r="J572">
        <f t="shared" ca="1" si="44"/>
        <v>1</v>
      </c>
      <c r="K572">
        <f t="shared" ca="1" si="45"/>
        <v>0</v>
      </c>
      <c r="L572" s="65">
        <v>566</v>
      </c>
      <c r="M572" s="71">
        <f t="shared" ca="1" si="41"/>
        <v>0.35675094428105636</v>
      </c>
      <c r="N572" s="65"/>
    </row>
    <row r="573" spans="1:14" x14ac:dyDescent="0.25">
      <c r="A573" s="2">
        <v>567</v>
      </c>
      <c r="B573" s="11">
        <f t="shared" ca="1" si="42"/>
        <v>1</v>
      </c>
      <c r="C573" s="26">
        <f t="shared" ca="1" si="43"/>
        <v>0.33531741720987762</v>
      </c>
      <c r="J573">
        <f t="shared" ca="1" si="44"/>
        <v>1</v>
      </c>
      <c r="K573">
        <f t="shared" ca="1" si="45"/>
        <v>0</v>
      </c>
      <c r="L573" s="65">
        <v>567</v>
      </c>
      <c r="M573" s="71">
        <f t="shared" ca="1" si="41"/>
        <v>6.6922556869361722</v>
      </c>
      <c r="N573" s="65"/>
    </row>
    <row r="574" spans="1:14" x14ac:dyDescent="0.25">
      <c r="A574" s="2">
        <v>568</v>
      </c>
      <c r="B574" s="11">
        <f t="shared" ca="1" si="42"/>
        <v>1</v>
      </c>
      <c r="C574" s="26">
        <f t="shared" ca="1" si="43"/>
        <v>0.12004354706908549</v>
      </c>
      <c r="J574">
        <f t="shared" ca="1" si="44"/>
        <v>1</v>
      </c>
      <c r="K574">
        <f t="shared" ca="1" si="45"/>
        <v>0</v>
      </c>
      <c r="L574" s="65">
        <v>568</v>
      </c>
      <c r="M574" s="71">
        <f t="shared" ca="1" si="41"/>
        <v>9.3546862064323637</v>
      </c>
      <c r="N574" s="65"/>
    </row>
    <row r="575" spans="1:14" x14ac:dyDescent="0.25">
      <c r="A575" s="2">
        <v>569</v>
      </c>
      <c r="B575" s="11">
        <f t="shared" ca="1" si="42"/>
        <v>1</v>
      </c>
      <c r="C575" s="26">
        <f t="shared" ca="1" si="43"/>
        <v>0.56742873094857227</v>
      </c>
      <c r="J575">
        <f t="shared" ca="1" si="44"/>
        <v>1</v>
      </c>
      <c r="K575">
        <f t="shared" ca="1" si="45"/>
        <v>0</v>
      </c>
      <c r="L575" s="65">
        <v>569</v>
      </c>
      <c r="M575" s="71">
        <f t="shared" ca="1" si="41"/>
        <v>0.4752011769657945</v>
      </c>
      <c r="N575" s="65"/>
    </row>
    <row r="576" spans="1:14" x14ac:dyDescent="0.25">
      <c r="A576" s="2">
        <v>570</v>
      </c>
      <c r="B576" s="11">
        <f t="shared" ca="1" si="42"/>
        <v>1</v>
      </c>
      <c r="C576" s="26">
        <f t="shared" ca="1" si="43"/>
        <v>0.28912026328180818</v>
      </c>
      <c r="J576">
        <f t="shared" ca="1" si="44"/>
        <v>1</v>
      </c>
      <c r="K576">
        <f t="shared" ca="1" si="45"/>
        <v>0</v>
      </c>
      <c r="L576" s="65">
        <v>570</v>
      </c>
      <c r="M576" s="71">
        <f t="shared" ca="1" si="41"/>
        <v>0.7372783441097801</v>
      </c>
      <c r="N576" s="65"/>
    </row>
    <row r="577" spans="1:14" x14ac:dyDescent="0.25">
      <c r="A577" s="2">
        <v>571</v>
      </c>
      <c r="B577" s="11">
        <f t="shared" ca="1" si="42"/>
        <v>1</v>
      </c>
      <c r="C577" s="26">
        <f t="shared" ca="1" si="43"/>
        <v>0.41626058965469992</v>
      </c>
      <c r="J577">
        <f t="shared" ca="1" si="44"/>
        <v>1</v>
      </c>
      <c r="K577">
        <f t="shared" ca="1" si="45"/>
        <v>0</v>
      </c>
      <c r="L577" s="65">
        <v>571</v>
      </c>
      <c r="M577" s="71">
        <f t="shared" ca="1" si="41"/>
        <v>2.5940477640373794</v>
      </c>
      <c r="N577" s="65"/>
    </row>
    <row r="578" spans="1:14" x14ac:dyDescent="0.25">
      <c r="A578" s="2">
        <v>572</v>
      </c>
      <c r="B578" s="11">
        <f t="shared" ca="1" si="42"/>
        <v>1</v>
      </c>
      <c r="C578" s="26">
        <f t="shared" ca="1" si="43"/>
        <v>8.5940170147725925E-2</v>
      </c>
      <c r="J578">
        <f t="shared" ca="1" si="44"/>
        <v>0</v>
      </c>
      <c r="K578">
        <f t="shared" ca="1" si="45"/>
        <v>0</v>
      </c>
      <c r="L578" s="65">
        <v>572</v>
      </c>
      <c r="M578" s="71">
        <f t="shared" ca="1" si="41"/>
        <v>3.793576971103791</v>
      </c>
      <c r="N578" s="65"/>
    </row>
    <row r="579" spans="1:14" x14ac:dyDescent="0.25">
      <c r="A579" s="2">
        <v>573</v>
      </c>
      <c r="B579" s="11">
        <f t="shared" ca="1" si="42"/>
        <v>0</v>
      </c>
      <c r="C579" s="26">
        <f t="shared" ca="1" si="43"/>
        <v>0.82483598130103708</v>
      </c>
      <c r="J579">
        <f t="shared" ca="1" si="44"/>
        <v>0</v>
      </c>
      <c r="K579">
        <f t="shared" ca="1" si="45"/>
        <v>0</v>
      </c>
      <c r="L579" s="65">
        <v>573</v>
      </c>
      <c r="M579" s="71">
        <f t="shared" ca="1" si="41"/>
        <v>0</v>
      </c>
      <c r="N579" s="65"/>
    </row>
    <row r="580" spans="1:14" x14ac:dyDescent="0.25">
      <c r="A580" s="2">
        <v>574</v>
      </c>
      <c r="B580" s="11">
        <f t="shared" ca="1" si="42"/>
        <v>1</v>
      </c>
      <c r="C580" s="26">
        <f t="shared" ca="1" si="43"/>
        <v>0.6275979821876263</v>
      </c>
      <c r="J580">
        <f t="shared" ca="1" si="44"/>
        <v>1</v>
      </c>
      <c r="K580">
        <f t="shared" ca="1" si="45"/>
        <v>0</v>
      </c>
      <c r="L580" s="65">
        <v>574</v>
      </c>
      <c r="M580" s="71">
        <f t="shared" ca="1" si="41"/>
        <v>1.7670268915863212</v>
      </c>
      <c r="N580" s="65"/>
    </row>
    <row r="581" spans="1:14" x14ac:dyDescent="0.25">
      <c r="A581" s="2">
        <v>575</v>
      </c>
      <c r="B581" s="11">
        <f t="shared" ca="1" si="42"/>
        <v>1</v>
      </c>
      <c r="C581" s="26">
        <f t="shared" ca="1" si="43"/>
        <v>0.29159973655551819</v>
      </c>
      <c r="J581">
        <f t="shared" ca="1" si="44"/>
        <v>1</v>
      </c>
      <c r="K581">
        <f t="shared" ca="1" si="45"/>
        <v>0</v>
      </c>
      <c r="L581" s="65">
        <v>575</v>
      </c>
      <c r="M581" s="71">
        <f t="shared" ca="1" si="41"/>
        <v>2.6107569971682101</v>
      </c>
      <c r="N581" s="65"/>
    </row>
    <row r="582" spans="1:14" x14ac:dyDescent="0.25">
      <c r="A582" s="2">
        <v>576</v>
      </c>
      <c r="B582" s="11">
        <f t="shared" ca="1" si="42"/>
        <v>1</v>
      </c>
      <c r="C582" s="26">
        <f t="shared" ca="1" si="43"/>
        <v>0.37071739171031504</v>
      </c>
      <c r="J582">
        <f t="shared" ca="1" si="44"/>
        <v>0</v>
      </c>
      <c r="K582">
        <f t="shared" ca="1" si="45"/>
        <v>0</v>
      </c>
      <c r="L582" s="65">
        <v>576</v>
      </c>
      <c r="M582" s="71">
        <f t="shared" ca="1" si="41"/>
        <v>2.479163595904176</v>
      </c>
      <c r="N582" s="65"/>
    </row>
    <row r="583" spans="1:14" x14ac:dyDescent="0.25">
      <c r="A583" s="2">
        <v>577</v>
      </c>
      <c r="B583" s="11">
        <f t="shared" ca="1" si="42"/>
        <v>0</v>
      </c>
      <c r="C583" s="26">
        <f t="shared" ca="1" si="43"/>
        <v>0.93832782290347949</v>
      </c>
      <c r="J583">
        <f t="shared" ca="1" si="44"/>
        <v>0</v>
      </c>
      <c r="K583">
        <f t="shared" ca="1" si="45"/>
        <v>0</v>
      </c>
      <c r="L583" s="65">
        <v>577</v>
      </c>
      <c r="M583" s="71">
        <f t="shared" ref="M583:M646" ca="1" si="46">IF(B583&gt;0,-LN(1-(RAND()))/lambda,0)</f>
        <v>0</v>
      </c>
      <c r="N583" s="65"/>
    </row>
    <row r="584" spans="1:14" x14ac:dyDescent="0.25">
      <c r="A584" s="2">
        <v>578</v>
      </c>
      <c r="B584" s="11">
        <f t="shared" ref="B584:B647" ca="1" si="47">IF(B583&gt;0,IF(C584&lt;pww,1,0),IF(C584&lt;pdw,1,0))</f>
        <v>1</v>
      </c>
      <c r="C584" s="26">
        <f t="shared" ref="C584:C647" ca="1" si="48">RAND()</f>
        <v>3.7019471950789362E-2</v>
      </c>
      <c r="J584">
        <f t="shared" ref="J584:J647" ca="1" si="49">IF(AND(B584,B585),1,0)</f>
        <v>0</v>
      </c>
      <c r="K584">
        <f t="shared" ref="K584:K647" ca="1" si="50">IF(AND(NOT(B584),NOT(B585)),1,0)</f>
        <v>0</v>
      </c>
      <c r="L584" s="65">
        <v>578</v>
      </c>
      <c r="M584" s="71">
        <f t="shared" ca="1" si="46"/>
        <v>3.6686588654323362</v>
      </c>
      <c r="N584" s="65"/>
    </row>
    <row r="585" spans="1:14" x14ac:dyDescent="0.25">
      <c r="A585" s="2">
        <v>579</v>
      </c>
      <c r="B585" s="11">
        <f t="shared" ca="1" si="47"/>
        <v>0</v>
      </c>
      <c r="C585" s="26">
        <f t="shared" ca="1" si="48"/>
        <v>0.89167686273135816</v>
      </c>
      <c r="J585">
        <f t="shared" ca="1" si="49"/>
        <v>0</v>
      </c>
      <c r="K585">
        <f t="shared" ca="1" si="50"/>
        <v>0</v>
      </c>
      <c r="L585" s="65">
        <v>579</v>
      </c>
      <c r="M585" s="71">
        <f t="shared" ca="1" si="46"/>
        <v>0</v>
      </c>
      <c r="N585" s="65"/>
    </row>
    <row r="586" spans="1:14" x14ac:dyDescent="0.25">
      <c r="A586" s="2">
        <v>580</v>
      </c>
      <c r="B586" s="11">
        <f t="shared" ca="1" si="47"/>
        <v>1</v>
      </c>
      <c r="C586" s="26">
        <f t="shared" ca="1" si="48"/>
        <v>5.5504725439366576E-2</v>
      </c>
      <c r="J586">
        <f t="shared" ca="1" si="49"/>
        <v>1</v>
      </c>
      <c r="K586">
        <f t="shared" ca="1" si="50"/>
        <v>0</v>
      </c>
      <c r="L586" s="65">
        <v>580</v>
      </c>
      <c r="M586" s="71">
        <f t="shared" ca="1" si="46"/>
        <v>10.956009029132309</v>
      </c>
      <c r="N586" s="65"/>
    </row>
    <row r="587" spans="1:14" x14ac:dyDescent="0.25">
      <c r="A587" s="2">
        <v>581</v>
      </c>
      <c r="B587" s="11">
        <f t="shared" ca="1" si="47"/>
        <v>1</v>
      </c>
      <c r="C587" s="26">
        <f t="shared" ca="1" si="48"/>
        <v>0.6109169683912451</v>
      </c>
      <c r="J587">
        <f t="shared" ca="1" si="49"/>
        <v>0</v>
      </c>
      <c r="K587">
        <f t="shared" ca="1" si="50"/>
        <v>0</v>
      </c>
      <c r="L587" s="65">
        <v>581</v>
      </c>
      <c r="M587" s="71">
        <f t="shared" ca="1" si="46"/>
        <v>3.9299700856187574</v>
      </c>
      <c r="N587" s="65"/>
    </row>
    <row r="588" spans="1:14" x14ac:dyDescent="0.25">
      <c r="A588" s="2">
        <v>582</v>
      </c>
      <c r="B588" s="11">
        <f t="shared" ca="1" si="47"/>
        <v>0</v>
      </c>
      <c r="C588" s="26">
        <f t="shared" ca="1" si="48"/>
        <v>0.91549152850490101</v>
      </c>
      <c r="J588">
        <f t="shared" ca="1" si="49"/>
        <v>0</v>
      </c>
      <c r="K588">
        <f t="shared" ca="1" si="50"/>
        <v>0</v>
      </c>
      <c r="L588" s="65">
        <v>582</v>
      </c>
      <c r="M588" s="71">
        <f t="shared" ca="1" si="46"/>
        <v>0</v>
      </c>
      <c r="N588" s="65"/>
    </row>
    <row r="589" spans="1:14" x14ac:dyDescent="0.25">
      <c r="A589" s="2">
        <v>583</v>
      </c>
      <c r="B589" s="11">
        <f t="shared" ca="1" si="47"/>
        <v>1</v>
      </c>
      <c r="C589" s="26">
        <f t="shared" ca="1" si="48"/>
        <v>0.59467255881307723</v>
      </c>
      <c r="J589">
        <f t="shared" ca="1" si="49"/>
        <v>0</v>
      </c>
      <c r="K589">
        <f t="shared" ca="1" si="50"/>
        <v>0</v>
      </c>
      <c r="L589" s="65">
        <v>583</v>
      </c>
      <c r="M589" s="71">
        <f t="shared" ca="1" si="46"/>
        <v>0.99796587524042391</v>
      </c>
      <c r="N589" s="65"/>
    </row>
    <row r="590" spans="1:14" x14ac:dyDescent="0.25">
      <c r="A590" s="2">
        <v>584</v>
      </c>
      <c r="B590" s="11">
        <f t="shared" ca="1" si="47"/>
        <v>0</v>
      </c>
      <c r="C590" s="26">
        <f t="shared" ca="1" si="48"/>
        <v>0.97240394237549466</v>
      </c>
      <c r="J590">
        <f t="shared" ca="1" si="49"/>
        <v>0</v>
      </c>
      <c r="K590">
        <f t="shared" ca="1" si="50"/>
        <v>0</v>
      </c>
      <c r="L590" s="65">
        <v>584</v>
      </c>
      <c r="M590" s="71">
        <f t="shared" ca="1" si="46"/>
        <v>0</v>
      </c>
      <c r="N590" s="65"/>
    </row>
    <row r="591" spans="1:14" x14ac:dyDescent="0.25">
      <c r="A591" s="2">
        <v>585</v>
      </c>
      <c r="B591" s="11">
        <f t="shared" ca="1" si="47"/>
        <v>1</v>
      </c>
      <c r="C591" s="26">
        <f t="shared" ca="1" si="48"/>
        <v>0.57233128398587507</v>
      </c>
      <c r="J591">
        <f t="shared" ca="1" si="49"/>
        <v>1</v>
      </c>
      <c r="K591">
        <f t="shared" ca="1" si="50"/>
        <v>0</v>
      </c>
      <c r="L591" s="65">
        <v>585</v>
      </c>
      <c r="M591" s="71">
        <f t="shared" ca="1" si="46"/>
        <v>15.482926208379892</v>
      </c>
      <c r="N591" s="65"/>
    </row>
    <row r="592" spans="1:14" x14ac:dyDescent="0.25">
      <c r="A592" s="2">
        <v>586</v>
      </c>
      <c r="B592" s="11">
        <f t="shared" ca="1" si="47"/>
        <v>1</v>
      </c>
      <c r="C592" s="26">
        <f t="shared" ca="1" si="48"/>
        <v>0.74713301791713804</v>
      </c>
      <c r="J592">
        <f t="shared" ca="1" si="49"/>
        <v>1</v>
      </c>
      <c r="K592">
        <f t="shared" ca="1" si="50"/>
        <v>0</v>
      </c>
      <c r="L592" s="65">
        <v>586</v>
      </c>
      <c r="M592" s="71">
        <f t="shared" ca="1" si="46"/>
        <v>2.1435944058265943</v>
      </c>
      <c r="N592" s="65"/>
    </row>
    <row r="593" spans="1:14" x14ac:dyDescent="0.25">
      <c r="A593" s="2">
        <v>587</v>
      </c>
      <c r="B593" s="11">
        <f t="shared" ca="1" si="47"/>
        <v>1</v>
      </c>
      <c r="C593" s="26">
        <f t="shared" ca="1" si="48"/>
        <v>0.60943188465784059</v>
      </c>
      <c r="J593">
        <f t="shared" ca="1" si="49"/>
        <v>1</v>
      </c>
      <c r="K593">
        <f t="shared" ca="1" si="50"/>
        <v>0</v>
      </c>
      <c r="L593" s="65">
        <v>587</v>
      </c>
      <c r="M593" s="71">
        <f t="shared" ca="1" si="46"/>
        <v>2.2865780131194282</v>
      </c>
      <c r="N593" s="65"/>
    </row>
    <row r="594" spans="1:14" x14ac:dyDescent="0.25">
      <c r="A594" s="2">
        <v>588</v>
      </c>
      <c r="B594" s="11">
        <f t="shared" ca="1" si="47"/>
        <v>1</v>
      </c>
      <c r="C594" s="26">
        <f t="shared" ca="1" si="48"/>
        <v>0.38673516069145875</v>
      </c>
      <c r="J594">
        <f t="shared" ca="1" si="49"/>
        <v>1</v>
      </c>
      <c r="K594">
        <f t="shared" ca="1" si="50"/>
        <v>0</v>
      </c>
      <c r="L594" s="65">
        <v>588</v>
      </c>
      <c r="M594" s="71">
        <f t="shared" ca="1" si="46"/>
        <v>1.3535899853282187</v>
      </c>
      <c r="N594" s="65"/>
    </row>
    <row r="595" spans="1:14" x14ac:dyDescent="0.25">
      <c r="A595" s="2">
        <v>589</v>
      </c>
      <c r="B595" s="11">
        <f t="shared" ca="1" si="47"/>
        <v>1</v>
      </c>
      <c r="C595" s="26">
        <f t="shared" ca="1" si="48"/>
        <v>0.5938572667301093</v>
      </c>
      <c r="J595">
        <f t="shared" ca="1" si="49"/>
        <v>1</v>
      </c>
      <c r="K595">
        <f t="shared" ca="1" si="50"/>
        <v>0</v>
      </c>
      <c r="L595" s="65">
        <v>589</v>
      </c>
      <c r="M595" s="71">
        <f t="shared" ca="1" si="46"/>
        <v>4.301680171306721</v>
      </c>
      <c r="N595" s="65"/>
    </row>
    <row r="596" spans="1:14" x14ac:dyDescent="0.25">
      <c r="A596" s="2">
        <v>590</v>
      </c>
      <c r="B596" s="11">
        <f t="shared" ca="1" si="47"/>
        <v>1</v>
      </c>
      <c r="C596" s="26">
        <f t="shared" ca="1" si="48"/>
        <v>0.38861392936087946</v>
      </c>
      <c r="J596">
        <f t="shared" ca="1" si="49"/>
        <v>1</v>
      </c>
      <c r="K596">
        <f t="shared" ca="1" si="50"/>
        <v>0</v>
      </c>
      <c r="L596" s="65">
        <v>590</v>
      </c>
      <c r="M596" s="71">
        <f t="shared" ca="1" si="46"/>
        <v>3.3667174008793994</v>
      </c>
      <c r="N596" s="65"/>
    </row>
    <row r="597" spans="1:14" x14ac:dyDescent="0.25">
      <c r="A597" s="2">
        <v>591</v>
      </c>
      <c r="B597" s="11">
        <f t="shared" ca="1" si="47"/>
        <v>1</v>
      </c>
      <c r="C597" s="26">
        <f t="shared" ca="1" si="48"/>
        <v>0.18334594846014518</v>
      </c>
      <c r="J597">
        <f t="shared" ca="1" si="49"/>
        <v>1</v>
      </c>
      <c r="K597">
        <f t="shared" ca="1" si="50"/>
        <v>0</v>
      </c>
      <c r="L597" s="65">
        <v>591</v>
      </c>
      <c r="M597" s="71">
        <f t="shared" ca="1" si="46"/>
        <v>5.9976455195854559</v>
      </c>
      <c r="N597" s="65"/>
    </row>
    <row r="598" spans="1:14" x14ac:dyDescent="0.25">
      <c r="A598" s="2">
        <v>592</v>
      </c>
      <c r="B598" s="11">
        <f t="shared" ca="1" si="47"/>
        <v>1</v>
      </c>
      <c r="C598" s="26">
        <f t="shared" ca="1" si="48"/>
        <v>0.70463436170870364</v>
      </c>
      <c r="J598">
        <f t="shared" ca="1" si="49"/>
        <v>1</v>
      </c>
      <c r="K598">
        <f t="shared" ca="1" si="50"/>
        <v>0</v>
      </c>
      <c r="L598" s="65">
        <v>592</v>
      </c>
      <c r="M598" s="71">
        <f t="shared" ca="1" si="46"/>
        <v>0.86746353470643078</v>
      </c>
      <c r="N598" s="65"/>
    </row>
    <row r="599" spans="1:14" x14ac:dyDescent="0.25">
      <c r="A599" s="2">
        <v>593</v>
      </c>
      <c r="B599" s="11">
        <f t="shared" ca="1" si="47"/>
        <v>1</v>
      </c>
      <c r="C599" s="26">
        <f t="shared" ca="1" si="48"/>
        <v>0.20956881437267627</v>
      </c>
      <c r="J599">
        <f t="shared" ca="1" si="49"/>
        <v>0</v>
      </c>
      <c r="K599">
        <f t="shared" ca="1" si="50"/>
        <v>0</v>
      </c>
      <c r="L599" s="65">
        <v>593</v>
      </c>
      <c r="M599" s="71">
        <f t="shared" ca="1" si="46"/>
        <v>0.76950336520293106</v>
      </c>
      <c r="N599" s="65"/>
    </row>
    <row r="600" spans="1:14" x14ac:dyDescent="0.25">
      <c r="A600" s="2">
        <v>594</v>
      </c>
      <c r="B600" s="11">
        <f t="shared" ca="1" si="47"/>
        <v>0</v>
      </c>
      <c r="C600" s="26">
        <f t="shared" ca="1" si="48"/>
        <v>0.90723430729804122</v>
      </c>
      <c r="J600">
        <f t="shared" ca="1" si="49"/>
        <v>0</v>
      </c>
      <c r="K600">
        <f t="shared" ca="1" si="50"/>
        <v>0</v>
      </c>
      <c r="L600" s="65">
        <v>594</v>
      </c>
      <c r="M600" s="71">
        <f t="shared" ca="1" si="46"/>
        <v>0</v>
      </c>
      <c r="N600" s="65"/>
    </row>
    <row r="601" spans="1:14" x14ac:dyDescent="0.25">
      <c r="A601" s="2">
        <v>595</v>
      </c>
      <c r="B601" s="11">
        <f t="shared" ca="1" si="47"/>
        <v>1</v>
      </c>
      <c r="C601" s="26">
        <f t="shared" ca="1" si="48"/>
        <v>0.51646901631225628</v>
      </c>
      <c r="J601">
        <f t="shared" ca="1" si="49"/>
        <v>1</v>
      </c>
      <c r="K601">
        <f t="shared" ca="1" si="50"/>
        <v>0</v>
      </c>
      <c r="L601" s="65">
        <v>595</v>
      </c>
      <c r="M601" s="71">
        <f t="shared" ca="1" si="46"/>
        <v>1.2919315690209929</v>
      </c>
      <c r="N601" s="65"/>
    </row>
    <row r="602" spans="1:14" x14ac:dyDescent="0.25">
      <c r="A602" s="2">
        <v>596</v>
      </c>
      <c r="B602" s="11">
        <f t="shared" ca="1" si="47"/>
        <v>1</v>
      </c>
      <c r="C602" s="26">
        <f t="shared" ca="1" si="48"/>
        <v>0.44996408235899643</v>
      </c>
      <c r="J602">
        <f t="shared" ca="1" si="49"/>
        <v>1</v>
      </c>
      <c r="K602">
        <f t="shared" ca="1" si="50"/>
        <v>0</v>
      </c>
      <c r="L602" s="65">
        <v>596</v>
      </c>
      <c r="M602" s="71">
        <f t="shared" ca="1" si="46"/>
        <v>4.0863462431765232</v>
      </c>
      <c r="N602" s="65"/>
    </row>
    <row r="603" spans="1:14" x14ac:dyDescent="0.25">
      <c r="A603" s="2">
        <v>597</v>
      </c>
      <c r="B603" s="11">
        <f t="shared" ca="1" si="47"/>
        <v>1</v>
      </c>
      <c r="C603" s="26">
        <f t="shared" ca="1" si="48"/>
        <v>0.12761391574292258</v>
      </c>
      <c r="J603">
        <f t="shared" ca="1" si="49"/>
        <v>0</v>
      </c>
      <c r="K603">
        <f t="shared" ca="1" si="50"/>
        <v>0</v>
      </c>
      <c r="L603" s="65">
        <v>597</v>
      </c>
      <c r="M603" s="71">
        <f t="shared" ca="1" si="46"/>
        <v>0.5837099459771854</v>
      </c>
      <c r="N603" s="65"/>
    </row>
    <row r="604" spans="1:14" x14ac:dyDescent="0.25">
      <c r="A604" s="2">
        <v>598</v>
      </c>
      <c r="B604" s="11">
        <f t="shared" ca="1" si="47"/>
        <v>0</v>
      </c>
      <c r="C604" s="26">
        <f t="shared" ca="1" si="48"/>
        <v>0.84893950809312568</v>
      </c>
      <c r="J604">
        <f t="shared" ca="1" si="49"/>
        <v>0</v>
      </c>
      <c r="K604">
        <f t="shared" ca="1" si="50"/>
        <v>0</v>
      </c>
      <c r="L604" s="65">
        <v>598</v>
      </c>
      <c r="M604" s="71">
        <f t="shared" ca="1" si="46"/>
        <v>0</v>
      </c>
      <c r="N604" s="65"/>
    </row>
    <row r="605" spans="1:14" x14ac:dyDescent="0.25">
      <c r="A605" s="2">
        <v>599</v>
      </c>
      <c r="B605" s="11">
        <f t="shared" ca="1" si="47"/>
        <v>1</v>
      </c>
      <c r="C605" s="26">
        <f t="shared" ca="1" si="48"/>
        <v>0.57632546536553675</v>
      </c>
      <c r="J605">
        <f t="shared" ca="1" si="49"/>
        <v>1</v>
      </c>
      <c r="K605">
        <f t="shared" ca="1" si="50"/>
        <v>0</v>
      </c>
      <c r="L605" s="65">
        <v>599</v>
      </c>
      <c r="M605" s="71">
        <f t="shared" ca="1" si="46"/>
        <v>0.92798487193719037</v>
      </c>
      <c r="N605" s="65"/>
    </row>
    <row r="606" spans="1:14" x14ac:dyDescent="0.25">
      <c r="A606" s="2">
        <v>600</v>
      </c>
      <c r="B606" s="11">
        <f t="shared" ca="1" si="47"/>
        <v>1</v>
      </c>
      <c r="C606" s="26">
        <f t="shared" ca="1" si="48"/>
        <v>0.12544314342418961</v>
      </c>
      <c r="J606">
        <f t="shared" ca="1" si="49"/>
        <v>1</v>
      </c>
      <c r="K606">
        <f t="shared" ca="1" si="50"/>
        <v>0</v>
      </c>
      <c r="L606" s="65">
        <v>600</v>
      </c>
      <c r="M606" s="71">
        <f t="shared" ca="1" si="46"/>
        <v>0.4688741764978161</v>
      </c>
      <c r="N606" s="65"/>
    </row>
    <row r="607" spans="1:14" x14ac:dyDescent="0.25">
      <c r="A607" s="2">
        <v>601</v>
      </c>
      <c r="B607" s="11">
        <f t="shared" ca="1" si="47"/>
        <v>1</v>
      </c>
      <c r="C607" s="26">
        <f t="shared" ca="1" si="48"/>
        <v>0.73602651637967731</v>
      </c>
      <c r="J607">
        <f t="shared" ca="1" si="49"/>
        <v>1</v>
      </c>
      <c r="K607">
        <f t="shared" ca="1" si="50"/>
        <v>0</v>
      </c>
      <c r="L607" s="65">
        <v>601</v>
      </c>
      <c r="M607" s="71">
        <f t="shared" ca="1" si="46"/>
        <v>0.72143649628219608</v>
      </c>
      <c r="N607" s="65"/>
    </row>
    <row r="608" spans="1:14" x14ac:dyDescent="0.25">
      <c r="A608" s="2">
        <v>602</v>
      </c>
      <c r="B608" s="11">
        <f t="shared" ca="1" si="47"/>
        <v>1</v>
      </c>
      <c r="C608" s="26">
        <f t="shared" ca="1" si="48"/>
        <v>3.9045550586039091E-2</v>
      </c>
      <c r="J608">
        <f t="shared" ca="1" si="49"/>
        <v>1</v>
      </c>
      <c r="K608">
        <f t="shared" ca="1" si="50"/>
        <v>0</v>
      </c>
      <c r="L608" s="65">
        <v>602</v>
      </c>
      <c r="M608" s="71">
        <f t="shared" ca="1" si="46"/>
        <v>0.75252063025818261</v>
      </c>
      <c r="N608" s="65"/>
    </row>
    <row r="609" spans="1:14" x14ac:dyDescent="0.25">
      <c r="A609" s="2">
        <v>603</v>
      </c>
      <c r="B609" s="11">
        <f t="shared" ca="1" si="47"/>
        <v>1</v>
      </c>
      <c r="C609" s="26">
        <f t="shared" ca="1" si="48"/>
        <v>0.43831265522363649</v>
      </c>
      <c r="J609">
        <f t="shared" ca="1" si="49"/>
        <v>1</v>
      </c>
      <c r="K609">
        <f t="shared" ca="1" si="50"/>
        <v>0</v>
      </c>
      <c r="L609" s="65">
        <v>603</v>
      </c>
      <c r="M609" s="71">
        <f t="shared" ca="1" si="46"/>
        <v>0.82679410803754905</v>
      </c>
      <c r="N609" s="65"/>
    </row>
    <row r="610" spans="1:14" x14ac:dyDescent="0.25">
      <c r="A610" s="2">
        <v>604</v>
      </c>
      <c r="B610" s="11">
        <f t="shared" ca="1" si="47"/>
        <v>1</v>
      </c>
      <c r="C610" s="26">
        <f t="shared" ca="1" si="48"/>
        <v>0.78879880792235768</v>
      </c>
      <c r="J610">
        <f t="shared" ca="1" si="49"/>
        <v>1</v>
      </c>
      <c r="K610">
        <f t="shared" ca="1" si="50"/>
        <v>0</v>
      </c>
      <c r="L610" s="65">
        <v>604</v>
      </c>
      <c r="M610" s="71">
        <f t="shared" ca="1" si="46"/>
        <v>2.8506968076402302E-2</v>
      </c>
      <c r="N610" s="65"/>
    </row>
    <row r="611" spans="1:14" x14ac:dyDescent="0.25">
      <c r="A611" s="2">
        <v>605</v>
      </c>
      <c r="B611" s="11">
        <f t="shared" ca="1" si="47"/>
        <v>1</v>
      </c>
      <c r="C611" s="26">
        <f t="shared" ca="1" si="48"/>
        <v>0.37526037758818265</v>
      </c>
      <c r="J611">
        <f t="shared" ca="1" si="49"/>
        <v>1</v>
      </c>
      <c r="K611">
        <f t="shared" ca="1" si="50"/>
        <v>0</v>
      </c>
      <c r="L611" s="65">
        <v>605</v>
      </c>
      <c r="M611" s="71">
        <f t="shared" ca="1" si="46"/>
        <v>3.0236073479151933</v>
      </c>
      <c r="N611" s="65"/>
    </row>
    <row r="612" spans="1:14" x14ac:dyDescent="0.25">
      <c r="A612" s="2">
        <v>606</v>
      </c>
      <c r="B612" s="11">
        <f t="shared" ca="1" si="47"/>
        <v>1</v>
      </c>
      <c r="C612" s="26">
        <f t="shared" ca="1" si="48"/>
        <v>0.58383583049070309</v>
      </c>
      <c r="J612">
        <f t="shared" ca="1" si="49"/>
        <v>1</v>
      </c>
      <c r="K612">
        <f t="shared" ca="1" si="50"/>
        <v>0</v>
      </c>
      <c r="L612" s="65">
        <v>606</v>
      </c>
      <c r="M612" s="71">
        <f t="shared" ca="1" si="46"/>
        <v>2.8405242486631912</v>
      </c>
      <c r="N612" s="65"/>
    </row>
    <row r="613" spans="1:14" x14ac:dyDescent="0.25">
      <c r="A613" s="2">
        <v>607</v>
      </c>
      <c r="B613" s="11">
        <f t="shared" ca="1" si="47"/>
        <v>1</v>
      </c>
      <c r="C613" s="26">
        <f t="shared" ca="1" si="48"/>
        <v>0.66536694082760639</v>
      </c>
      <c r="J613">
        <f t="shared" ca="1" si="49"/>
        <v>1</v>
      </c>
      <c r="K613">
        <f t="shared" ca="1" si="50"/>
        <v>0</v>
      </c>
      <c r="L613" s="65">
        <v>607</v>
      </c>
      <c r="M613" s="71">
        <f t="shared" ca="1" si="46"/>
        <v>5.6300477595360396</v>
      </c>
      <c r="N613" s="65"/>
    </row>
    <row r="614" spans="1:14" x14ac:dyDescent="0.25">
      <c r="A614" s="2">
        <v>608</v>
      </c>
      <c r="B614" s="11">
        <f t="shared" ca="1" si="47"/>
        <v>1</v>
      </c>
      <c r="C614" s="26">
        <f t="shared" ca="1" si="48"/>
        <v>0.2449409133321685</v>
      </c>
      <c r="J614">
        <f t="shared" ca="1" si="49"/>
        <v>1</v>
      </c>
      <c r="K614">
        <f t="shared" ca="1" si="50"/>
        <v>0</v>
      </c>
      <c r="L614" s="65">
        <v>608</v>
      </c>
      <c r="M614" s="71">
        <f t="shared" ca="1" si="46"/>
        <v>5.3411633238551436E-2</v>
      </c>
      <c r="N614" s="65"/>
    </row>
    <row r="615" spans="1:14" x14ac:dyDescent="0.25">
      <c r="A615" s="2">
        <v>609</v>
      </c>
      <c r="B615" s="11">
        <f t="shared" ca="1" si="47"/>
        <v>1</v>
      </c>
      <c r="C615" s="26">
        <f t="shared" ca="1" si="48"/>
        <v>0.30167078581301809</v>
      </c>
      <c r="J615">
        <f t="shared" ca="1" si="49"/>
        <v>1</v>
      </c>
      <c r="K615">
        <f t="shared" ca="1" si="50"/>
        <v>0</v>
      </c>
      <c r="L615" s="65">
        <v>609</v>
      </c>
      <c r="M615" s="71">
        <f t="shared" ca="1" si="46"/>
        <v>0.32323442774853717</v>
      </c>
      <c r="N615" s="65"/>
    </row>
    <row r="616" spans="1:14" x14ac:dyDescent="0.25">
      <c r="A616" s="2">
        <v>610</v>
      </c>
      <c r="B616" s="11">
        <f t="shared" ca="1" si="47"/>
        <v>1</v>
      </c>
      <c r="C616" s="26">
        <f t="shared" ca="1" si="48"/>
        <v>0.51397267055211548</v>
      </c>
      <c r="J616">
        <f t="shared" ca="1" si="49"/>
        <v>1</v>
      </c>
      <c r="K616">
        <f t="shared" ca="1" si="50"/>
        <v>0</v>
      </c>
      <c r="L616" s="65">
        <v>610</v>
      </c>
      <c r="M616" s="71">
        <f t="shared" ca="1" si="46"/>
        <v>1.7523064151758303</v>
      </c>
      <c r="N616" s="65"/>
    </row>
    <row r="617" spans="1:14" x14ac:dyDescent="0.25">
      <c r="A617" s="2">
        <v>611</v>
      </c>
      <c r="B617" s="11">
        <f t="shared" ca="1" si="47"/>
        <v>1</v>
      </c>
      <c r="C617" s="26">
        <f t="shared" ca="1" si="48"/>
        <v>7.2336204472335242E-3</v>
      </c>
      <c r="J617">
        <f t="shared" ca="1" si="49"/>
        <v>1</v>
      </c>
      <c r="K617">
        <f t="shared" ca="1" si="50"/>
        <v>0</v>
      </c>
      <c r="L617" s="65">
        <v>611</v>
      </c>
      <c r="M617" s="71">
        <f t="shared" ca="1" si="46"/>
        <v>2.4226222799962285</v>
      </c>
      <c r="N617" s="65"/>
    </row>
    <row r="618" spans="1:14" x14ac:dyDescent="0.25">
      <c r="A618" s="2">
        <v>612</v>
      </c>
      <c r="B618" s="11">
        <f t="shared" ca="1" si="47"/>
        <v>1</v>
      </c>
      <c r="C618" s="26">
        <f t="shared" ca="1" si="48"/>
        <v>6.2184640590363438E-2</v>
      </c>
      <c r="J618">
        <f t="shared" ca="1" si="49"/>
        <v>0</v>
      </c>
      <c r="K618">
        <f t="shared" ca="1" si="50"/>
        <v>0</v>
      </c>
      <c r="L618" s="65">
        <v>612</v>
      </c>
      <c r="M618" s="71">
        <f t="shared" ca="1" si="46"/>
        <v>1.1713418839821752</v>
      </c>
      <c r="N618" s="65"/>
    </row>
    <row r="619" spans="1:14" x14ac:dyDescent="0.25">
      <c r="A619" s="2">
        <v>613</v>
      </c>
      <c r="B619" s="11">
        <f t="shared" ca="1" si="47"/>
        <v>0</v>
      </c>
      <c r="C619" s="26">
        <f t="shared" ca="1" si="48"/>
        <v>0.91542700565254997</v>
      </c>
      <c r="J619">
        <f t="shared" ca="1" si="49"/>
        <v>0</v>
      </c>
      <c r="K619">
        <f t="shared" ca="1" si="50"/>
        <v>0</v>
      </c>
      <c r="L619" s="65">
        <v>613</v>
      </c>
      <c r="M619" s="71">
        <f t="shared" ca="1" si="46"/>
        <v>0</v>
      </c>
      <c r="N619" s="65"/>
    </row>
    <row r="620" spans="1:14" x14ac:dyDescent="0.25">
      <c r="A620" s="2">
        <v>614</v>
      </c>
      <c r="B620" s="11">
        <f t="shared" ca="1" si="47"/>
        <v>1</v>
      </c>
      <c r="C620" s="26">
        <f t="shared" ca="1" si="48"/>
        <v>0.26328727563017784</v>
      </c>
      <c r="J620">
        <f t="shared" ca="1" si="49"/>
        <v>1</v>
      </c>
      <c r="K620">
        <f t="shared" ca="1" si="50"/>
        <v>0</v>
      </c>
      <c r="L620" s="65">
        <v>614</v>
      </c>
      <c r="M620" s="71">
        <f t="shared" ca="1" si="46"/>
        <v>1.5049096270980022</v>
      </c>
      <c r="N620" s="65"/>
    </row>
    <row r="621" spans="1:14" x14ac:dyDescent="0.25">
      <c r="A621" s="2">
        <v>615</v>
      </c>
      <c r="B621" s="11">
        <f t="shared" ca="1" si="47"/>
        <v>1</v>
      </c>
      <c r="C621" s="26">
        <f t="shared" ca="1" si="48"/>
        <v>0.3905197940959676</v>
      </c>
      <c r="J621">
        <f t="shared" ca="1" si="49"/>
        <v>1</v>
      </c>
      <c r="K621">
        <f t="shared" ca="1" si="50"/>
        <v>0</v>
      </c>
      <c r="L621" s="65">
        <v>615</v>
      </c>
      <c r="M621" s="71">
        <f t="shared" ca="1" si="46"/>
        <v>0.36149110542220564</v>
      </c>
      <c r="N621" s="65"/>
    </row>
    <row r="622" spans="1:14" x14ac:dyDescent="0.25">
      <c r="A622" s="2">
        <v>616</v>
      </c>
      <c r="B622" s="11">
        <f t="shared" ca="1" si="47"/>
        <v>1</v>
      </c>
      <c r="C622" s="26">
        <f t="shared" ca="1" si="48"/>
        <v>0.64585075152781224</v>
      </c>
      <c r="J622">
        <f t="shared" ca="1" si="49"/>
        <v>1</v>
      </c>
      <c r="K622">
        <f t="shared" ca="1" si="50"/>
        <v>0</v>
      </c>
      <c r="L622" s="65">
        <v>616</v>
      </c>
      <c r="M622" s="71">
        <f t="shared" ca="1" si="46"/>
        <v>3.5894986662113006</v>
      </c>
      <c r="N622" s="65"/>
    </row>
    <row r="623" spans="1:14" x14ac:dyDescent="0.25">
      <c r="A623" s="2">
        <v>617</v>
      </c>
      <c r="B623" s="11">
        <f t="shared" ca="1" si="47"/>
        <v>1</v>
      </c>
      <c r="C623" s="26">
        <f t="shared" ca="1" si="48"/>
        <v>0.21486303101677884</v>
      </c>
      <c r="J623">
        <f t="shared" ca="1" si="49"/>
        <v>0</v>
      </c>
      <c r="K623">
        <f t="shared" ca="1" si="50"/>
        <v>0</v>
      </c>
      <c r="L623" s="65">
        <v>617</v>
      </c>
      <c r="M623" s="71">
        <f t="shared" ca="1" si="46"/>
        <v>6.5551806536893809</v>
      </c>
      <c r="N623" s="65"/>
    </row>
    <row r="624" spans="1:14" x14ac:dyDescent="0.25">
      <c r="A624" s="2">
        <v>618</v>
      </c>
      <c r="B624" s="11">
        <f t="shared" ca="1" si="47"/>
        <v>0</v>
      </c>
      <c r="C624" s="26">
        <f t="shared" ca="1" si="48"/>
        <v>0.94077491084135001</v>
      </c>
      <c r="J624">
        <f t="shared" ca="1" si="49"/>
        <v>0</v>
      </c>
      <c r="K624">
        <f t="shared" ca="1" si="50"/>
        <v>1</v>
      </c>
      <c r="L624" s="65">
        <v>618</v>
      </c>
      <c r="M624" s="71">
        <f t="shared" ca="1" si="46"/>
        <v>0</v>
      </c>
      <c r="N624" s="65"/>
    </row>
    <row r="625" spans="1:14" x14ac:dyDescent="0.25">
      <c r="A625" s="2">
        <v>619</v>
      </c>
      <c r="B625" s="11">
        <f t="shared" ca="1" si="47"/>
        <v>0</v>
      </c>
      <c r="C625" s="26">
        <f t="shared" ca="1" si="48"/>
        <v>0.74967626268113041</v>
      </c>
      <c r="J625">
        <f t="shared" ca="1" si="49"/>
        <v>0</v>
      </c>
      <c r="K625">
        <f t="shared" ca="1" si="50"/>
        <v>0</v>
      </c>
      <c r="L625" s="65">
        <v>619</v>
      </c>
      <c r="M625" s="71">
        <f t="shared" ca="1" si="46"/>
        <v>0</v>
      </c>
      <c r="N625" s="65"/>
    </row>
    <row r="626" spans="1:14" x14ac:dyDescent="0.25">
      <c r="A626" s="2">
        <v>620</v>
      </c>
      <c r="B626" s="11">
        <f t="shared" ca="1" si="47"/>
        <v>1</v>
      </c>
      <c r="C626" s="26">
        <f t="shared" ca="1" si="48"/>
        <v>0.51485195410207074</v>
      </c>
      <c r="J626">
        <f t="shared" ca="1" si="49"/>
        <v>1</v>
      </c>
      <c r="K626">
        <f t="shared" ca="1" si="50"/>
        <v>0</v>
      </c>
      <c r="L626" s="65">
        <v>620</v>
      </c>
      <c r="M626" s="71">
        <f t="shared" ca="1" si="46"/>
        <v>7.4515160061467047E-3</v>
      </c>
      <c r="N626" s="65"/>
    </row>
    <row r="627" spans="1:14" x14ac:dyDescent="0.25">
      <c r="A627" s="2">
        <v>621</v>
      </c>
      <c r="B627" s="11">
        <f t="shared" ca="1" si="47"/>
        <v>1</v>
      </c>
      <c r="C627" s="26">
        <f t="shared" ca="1" si="48"/>
        <v>0.39588423724452149</v>
      </c>
      <c r="J627">
        <f t="shared" ca="1" si="49"/>
        <v>1</v>
      </c>
      <c r="K627">
        <f t="shared" ca="1" si="50"/>
        <v>0</v>
      </c>
      <c r="L627" s="65">
        <v>621</v>
      </c>
      <c r="M627" s="71">
        <f t="shared" ca="1" si="46"/>
        <v>2.3926409632769365</v>
      </c>
      <c r="N627" s="65"/>
    </row>
    <row r="628" spans="1:14" x14ac:dyDescent="0.25">
      <c r="A628" s="2">
        <v>622</v>
      </c>
      <c r="B628" s="11">
        <f t="shared" ca="1" si="47"/>
        <v>1</v>
      </c>
      <c r="C628" s="26">
        <f t="shared" ca="1" si="48"/>
        <v>0.51631246450331714</v>
      </c>
      <c r="J628">
        <f t="shared" ca="1" si="49"/>
        <v>1</v>
      </c>
      <c r="K628">
        <f t="shared" ca="1" si="50"/>
        <v>0</v>
      </c>
      <c r="L628" s="65">
        <v>622</v>
      </c>
      <c r="M628" s="71">
        <f t="shared" ca="1" si="46"/>
        <v>1.6743689310211578</v>
      </c>
      <c r="N628" s="65"/>
    </row>
    <row r="629" spans="1:14" x14ac:dyDescent="0.25">
      <c r="A629" s="2">
        <v>623</v>
      </c>
      <c r="B629" s="11">
        <f t="shared" ca="1" si="47"/>
        <v>1</v>
      </c>
      <c r="C629" s="26">
        <f t="shared" ca="1" si="48"/>
        <v>0.33663725809419898</v>
      </c>
      <c r="J629">
        <f t="shared" ca="1" si="49"/>
        <v>1</v>
      </c>
      <c r="K629">
        <f t="shared" ca="1" si="50"/>
        <v>0</v>
      </c>
      <c r="L629" s="65">
        <v>623</v>
      </c>
      <c r="M629" s="71">
        <f t="shared" ca="1" si="46"/>
        <v>17.299655788020392</v>
      </c>
      <c r="N629" s="65"/>
    </row>
    <row r="630" spans="1:14" x14ac:dyDescent="0.25">
      <c r="A630" s="2">
        <v>624</v>
      </c>
      <c r="B630" s="11">
        <f t="shared" ca="1" si="47"/>
        <v>1</v>
      </c>
      <c r="C630" s="26">
        <f t="shared" ca="1" si="48"/>
        <v>0.60750301872484624</v>
      </c>
      <c r="J630">
        <f t="shared" ca="1" si="49"/>
        <v>1</v>
      </c>
      <c r="K630">
        <f t="shared" ca="1" si="50"/>
        <v>0</v>
      </c>
      <c r="L630" s="65">
        <v>624</v>
      </c>
      <c r="M630" s="71">
        <f t="shared" ca="1" si="46"/>
        <v>0.59331890335065807</v>
      </c>
      <c r="N630" s="65"/>
    </row>
    <row r="631" spans="1:14" x14ac:dyDescent="0.25">
      <c r="A631" s="2">
        <v>625</v>
      </c>
      <c r="B631" s="11">
        <f t="shared" ca="1" si="47"/>
        <v>1</v>
      </c>
      <c r="C631" s="26">
        <f t="shared" ca="1" si="48"/>
        <v>0.76754840169403493</v>
      </c>
      <c r="J631">
        <f t="shared" ca="1" si="49"/>
        <v>1</v>
      </c>
      <c r="K631">
        <f t="shared" ca="1" si="50"/>
        <v>0</v>
      </c>
      <c r="L631" s="65">
        <v>625</v>
      </c>
      <c r="M631" s="71">
        <f t="shared" ca="1" si="46"/>
        <v>3.0257686979816185</v>
      </c>
      <c r="N631" s="65"/>
    </row>
    <row r="632" spans="1:14" x14ac:dyDescent="0.25">
      <c r="A632" s="2">
        <v>626</v>
      </c>
      <c r="B632" s="11">
        <f t="shared" ca="1" si="47"/>
        <v>1</v>
      </c>
      <c r="C632" s="26">
        <f t="shared" ca="1" si="48"/>
        <v>0.17088484182342423</v>
      </c>
      <c r="J632">
        <f t="shared" ca="1" si="49"/>
        <v>1</v>
      </c>
      <c r="K632">
        <f t="shared" ca="1" si="50"/>
        <v>0</v>
      </c>
      <c r="L632" s="65">
        <v>626</v>
      </c>
      <c r="M632" s="71">
        <f t="shared" ca="1" si="46"/>
        <v>1.6931783818105608</v>
      </c>
      <c r="N632" s="65"/>
    </row>
    <row r="633" spans="1:14" x14ac:dyDescent="0.25">
      <c r="A633" s="2">
        <v>627</v>
      </c>
      <c r="B633" s="11">
        <f t="shared" ca="1" si="47"/>
        <v>1</v>
      </c>
      <c r="C633" s="26">
        <f t="shared" ca="1" si="48"/>
        <v>0.58368489098911724</v>
      </c>
      <c r="J633">
        <f t="shared" ca="1" si="49"/>
        <v>1</v>
      </c>
      <c r="K633">
        <f t="shared" ca="1" si="50"/>
        <v>0</v>
      </c>
      <c r="L633" s="65">
        <v>627</v>
      </c>
      <c r="M633" s="71">
        <f t="shared" ca="1" si="46"/>
        <v>1.5658011309115083</v>
      </c>
      <c r="N633" s="65"/>
    </row>
    <row r="634" spans="1:14" x14ac:dyDescent="0.25">
      <c r="A634" s="2">
        <v>628</v>
      </c>
      <c r="B634" s="11">
        <f t="shared" ca="1" si="47"/>
        <v>1</v>
      </c>
      <c r="C634" s="26">
        <f t="shared" ca="1" si="48"/>
        <v>0.67652320365319896</v>
      </c>
      <c r="J634">
        <f t="shared" ca="1" si="49"/>
        <v>0</v>
      </c>
      <c r="K634">
        <f t="shared" ca="1" si="50"/>
        <v>0</v>
      </c>
      <c r="L634" s="65">
        <v>628</v>
      </c>
      <c r="M634" s="71">
        <f t="shared" ca="1" si="46"/>
        <v>8.4375417791370158</v>
      </c>
      <c r="N634" s="65"/>
    </row>
    <row r="635" spans="1:14" x14ac:dyDescent="0.25">
      <c r="A635" s="2">
        <v>629</v>
      </c>
      <c r="B635" s="11">
        <f t="shared" ca="1" si="47"/>
        <v>0</v>
      </c>
      <c r="C635" s="26">
        <f t="shared" ca="1" si="48"/>
        <v>0.84954960231743781</v>
      </c>
      <c r="J635">
        <f t="shared" ca="1" si="49"/>
        <v>0</v>
      </c>
      <c r="K635">
        <f t="shared" ca="1" si="50"/>
        <v>0</v>
      </c>
      <c r="L635" s="65">
        <v>629</v>
      </c>
      <c r="M635" s="71">
        <f t="shared" ca="1" si="46"/>
        <v>0</v>
      </c>
      <c r="N635" s="65"/>
    </row>
    <row r="636" spans="1:14" x14ac:dyDescent="0.25">
      <c r="A636" s="2">
        <v>630</v>
      </c>
      <c r="B636" s="11">
        <f t="shared" ca="1" si="47"/>
        <v>1</v>
      </c>
      <c r="C636" s="26">
        <f t="shared" ca="1" si="48"/>
        <v>0.10986456865309757</v>
      </c>
      <c r="J636">
        <f t="shared" ca="1" si="49"/>
        <v>1</v>
      </c>
      <c r="K636">
        <f t="shared" ca="1" si="50"/>
        <v>0</v>
      </c>
      <c r="L636" s="65">
        <v>630</v>
      </c>
      <c r="M636" s="71">
        <f t="shared" ca="1" si="46"/>
        <v>3.2314846455030479</v>
      </c>
      <c r="N636" s="65"/>
    </row>
    <row r="637" spans="1:14" x14ac:dyDescent="0.25">
      <c r="A637" s="2">
        <v>631</v>
      </c>
      <c r="B637" s="11">
        <f t="shared" ca="1" si="47"/>
        <v>1</v>
      </c>
      <c r="C637" s="26">
        <f t="shared" ca="1" si="48"/>
        <v>0.27007089412732344</v>
      </c>
      <c r="J637">
        <f t="shared" ca="1" si="49"/>
        <v>1</v>
      </c>
      <c r="K637">
        <f t="shared" ca="1" si="50"/>
        <v>0</v>
      </c>
      <c r="L637" s="65">
        <v>631</v>
      </c>
      <c r="M637" s="71">
        <f t="shared" ca="1" si="46"/>
        <v>6.69435404365889E-2</v>
      </c>
      <c r="N637" s="65"/>
    </row>
    <row r="638" spans="1:14" x14ac:dyDescent="0.25">
      <c r="A638" s="2">
        <v>632</v>
      </c>
      <c r="B638" s="11">
        <f t="shared" ca="1" si="47"/>
        <v>1</v>
      </c>
      <c r="C638" s="26">
        <f t="shared" ca="1" si="48"/>
        <v>0.49671549236989265</v>
      </c>
      <c r="J638">
        <f t="shared" ca="1" si="49"/>
        <v>1</v>
      </c>
      <c r="K638">
        <f t="shared" ca="1" si="50"/>
        <v>0</v>
      </c>
      <c r="L638" s="65">
        <v>632</v>
      </c>
      <c r="M638" s="71">
        <f t="shared" ca="1" si="46"/>
        <v>3.4090205572323451</v>
      </c>
      <c r="N638" s="65"/>
    </row>
    <row r="639" spans="1:14" x14ac:dyDescent="0.25">
      <c r="A639" s="2">
        <v>633</v>
      </c>
      <c r="B639" s="11">
        <f t="shared" ca="1" si="47"/>
        <v>1</v>
      </c>
      <c r="C639" s="26">
        <f t="shared" ca="1" si="48"/>
        <v>0.55272473710794034</v>
      </c>
      <c r="J639">
        <f t="shared" ca="1" si="49"/>
        <v>0</v>
      </c>
      <c r="K639">
        <f t="shared" ca="1" si="50"/>
        <v>0</v>
      </c>
      <c r="L639" s="65">
        <v>633</v>
      </c>
      <c r="M639" s="71">
        <f t="shared" ca="1" si="46"/>
        <v>7.0252872911677408E-2</v>
      </c>
      <c r="N639" s="65"/>
    </row>
    <row r="640" spans="1:14" x14ac:dyDescent="0.25">
      <c r="A640" s="2">
        <v>634</v>
      </c>
      <c r="B640" s="11">
        <f t="shared" ca="1" si="47"/>
        <v>0</v>
      </c>
      <c r="C640" s="26">
        <f t="shared" ca="1" si="48"/>
        <v>0.83428792166184773</v>
      </c>
      <c r="J640">
        <f t="shared" ca="1" si="49"/>
        <v>0</v>
      </c>
      <c r="K640">
        <f t="shared" ca="1" si="50"/>
        <v>0</v>
      </c>
      <c r="L640" s="65">
        <v>634</v>
      </c>
      <c r="M640" s="71">
        <f t="shared" ca="1" si="46"/>
        <v>0</v>
      </c>
      <c r="N640" s="65"/>
    </row>
    <row r="641" spans="1:14" x14ac:dyDescent="0.25">
      <c r="A641" s="2">
        <v>635</v>
      </c>
      <c r="B641" s="11">
        <f t="shared" ca="1" si="47"/>
        <v>1</v>
      </c>
      <c r="C641" s="26">
        <f t="shared" ca="1" si="48"/>
        <v>0.19300462782424677</v>
      </c>
      <c r="J641">
        <f t="shared" ca="1" si="49"/>
        <v>1</v>
      </c>
      <c r="K641">
        <f t="shared" ca="1" si="50"/>
        <v>0</v>
      </c>
      <c r="L641" s="65">
        <v>635</v>
      </c>
      <c r="M641" s="71">
        <f t="shared" ca="1" si="46"/>
        <v>3.735083072023238</v>
      </c>
      <c r="N641" s="65"/>
    </row>
    <row r="642" spans="1:14" x14ac:dyDescent="0.25">
      <c r="A642" s="2">
        <v>636</v>
      </c>
      <c r="B642" s="11">
        <f t="shared" ca="1" si="47"/>
        <v>1</v>
      </c>
      <c r="C642" s="26">
        <f t="shared" ca="1" si="48"/>
        <v>0.18307395901213019</v>
      </c>
      <c r="J642">
        <f t="shared" ca="1" si="49"/>
        <v>0</v>
      </c>
      <c r="K642">
        <f t="shared" ca="1" si="50"/>
        <v>0</v>
      </c>
      <c r="L642" s="65">
        <v>636</v>
      </c>
      <c r="M642" s="71">
        <f t="shared" ca="1" si="46"/>
        <v>7.4749402831153686</v>
      </c>
      <c r="N642" s="65"/>
    </row>
    <row r="643" spans="1:14" x14ac:dyDescent="0.25">
      <c r="A643" s="2">
        <v>637</v>
      </c>
      <c r="B643" s="11">
        <f t="shared" ca="1" si="47"/>
        <v>0</v>
      </c>
      <c r="C643" s="26">
        <f t="shared" ca="1" si="48"/>
        <v>0.83484620053140901</v>
      </c>
      <c r="J643">
        <f t="shared" ca="1" si="49"/>
        <v>0</v>
      </c>
      <c r="K643">
        <f t="shared" ca="1" si="50"/>
        <v>0</v>
      </c>
      <c r="L643" s="65">
        <v>637</v>
      </c>
      <c r="M643" s="71">
        <f t="shared" ca="1" si="46"/>
        <v>0</v>
      </c>
      <c r="N643" s="65"/>
    </row>
    <row r="644" spans="1:14" x14ac:dyDescent="0.25">
      <c r="A644" s="2">
        <v>638</v>
      </c>
      <c r="B644" s="11">
        <f t="shared" ca="1" si="47"/>
        <v>1</v>
      </c>
      <c r="C644" s="26">
        <f t="shared" ca="1" si="48"/>
        <v>0.56106720047574077</v>
      </c>
      <c r="J644">
        <f t="shared" ca="1" si="49"/>
        <v>0</v>
      </c>
      <c r="K644">
        <f t="shared" ca="1" si="50"/>
        <v>0</v>
      </c>
      <c r="L644" s="65">
        <v>638</v>
      </c>
      <c r="M644" s="71">
        <f t="shared" ca="1" si="46"/>
        <v>2.2033337364385317</v>
      </c>
      <c r="N644" s="65"/>
    </row>
    <row r="645" spans="1:14" x14ac:dyDescent="0.25">
      <c r="A645" s="2">
        <v>639</v>
      </c>
      <c r="B645" s="11">
        <f t="shared" ca="1" si="47"/>
        <v>0</v>
      </c>
      <c r="C645" s="26">
        <f t="shared" ca="1" si="48"/>
        <v>0.8302447060896786</v>
      </c>
      <c r="J645">
        <f t="shared" ca="1" si="49"/>
        <v>0</v>
      </c>
      <c r="K645">
        <f t="shared" ca="1" si="50"/>
        <v>0</v>
      </c>
      <c r="L645" s="65">
        <v>639</v>
      </c>
      <c r="M645" s="71">
        <f t="shared" ca="1" si="46"/>
        <v>0</v>
      </c>
      <c r="N645" s="65"/>
    </row>
    <row r="646" spans="1:14" x14ac:dyDescent="0.25">
      <c r="A646" s="2">
        <v>640</v>
      </c>
      <c r="B646" s="11">
        <f t="shared" ca="1" si="47"/>
        <v>1</v>
      </c>
      <c r="C646" s="26">
        <f t="shared" ca="1" si="48"/>
        <v>0.29496484156011737</v>
      </c>
      <c r="J646">
        <f t="shared" ca="1" si="49"/>
        <v>1</v>
      </c>
      <c r="K646">
        <f t="shared" ca="1" si="50"/>
        <v>0</v>
      </c>
      <c r="L646" s="65">
        <v>640</v>
      </c>
      <c r="M646" s="71">
        <f t="shared" ca="1" si="46"/>
        <v>3.697883155254635</v>
      </c>
      <c r="N646" s="65"/>
    </row>
    <row r="647" spans="1:14" x14ac:dyDescent="0.25">
      <c r="A647" s="2">
        <v>641</v>
      </c>
      <c r="B647" s="11">
        <f t="shared" ca="1" si="47"/>
        <v>1</v>
      </c>
      <c r="C647" s="26">
        <f t="shared" ca="1" si="48"/>
        <v>0.55031167138815928</v>
      </c>
      <c r="J647">
        <f t="shared" ca="1" si="49"/>
        <v>1</v>
      </c>
      <c r="K647">
        <f t="shared" ca="1" si="50"/>
        <v>0</v>
      </c>
      <c r="L647" s="65">
        <v>641</v>
      </c>
      <c r="M647" s="71">
        <f t="shared" ref="M647:M710" ca="1" si="51">IF(B647&gt;0,-LN(1-(RAND()))/lambda,0)</f>
        <v>12.683971038914715</v>
      </c>
      <c r="N647" s="65"/>
    </row>
    <row r="648" spans="1:14" x14ac:dyDescent="0.25">
      <c r="A648" s="2">
        <v>642</v>
      </c>
      <c r="B648" s="11">
        <f t="shared" ref="B648:B711" ca="1" si="52">IF(B647&gt;0,IF(C648&lt;pww,1,0),IF(C648&lt;pdw,1,0))</f>
        <v>1</v>
      </c>
      <c r="C648" s="26">
        <f t="shared" ref="C648:C711" ca="1" si="53">RAND()</f>
        <v>0.64547904679908052</v>
      </c>
      <c r="J648">
        <f t="shared" ref="J648:J711" ca="1" si="54">IF(AND(B648,B649),1,0)</f>
        <v>1</v>
      </c>
      <c r="K648">
        <f t="shared" ref="K648:K711" ca="1" si="55">IF(AND(NOT(B648),NOT(B649)),1,0)</f>
        <v>0</v>
      </c>
      <c r="L648" s="65">
        <v>642</v>
      </c>
      <c r="M648" s="71">
        <f t="shared" ca="1" si="51"/>
        <v>0.63545444431170728</v>
      </c>
      <c r="N648" s="65"/>
    </row>
    <row r="649" spans="1:14" x14ac:dyDescent="0.25">
      <c r="A649" s="2">
        <v>643</v>
      </c>
      <c r="B649" s="11">
        <f t="shared" ca="1" si="52"/>
        <v>1</v>
      </c>
      <c r="C649" s="26">
        <f t="shared" ca="1" si="53"/>
        <v>0.24456919439781</v>
      </c>
      <c r="J649">
        <f t="shared" ca="1" si="54"/>
        <v>1</v>
      </c>
      <c r="K649">
        <f t="shared" ca="1" si="55"/>
        <v>0</v>
      </c>
      <c r="L649" s="65">
        <v>643</v>
      </c>
      <c r="M649" s="71">
        <f t="shared" ca="1" si="51"/>
        <v>1.8848974466436748</v>
      </c>
      <c r="N649" s="65"/>
    </row>
    <row r="650" spans="1:14" x14ac:dyDescent="0.25">
      <c r="A650" s="2">
        <v>644</v>
      </c>
      <c r="B650" s="11">
        <f t="shared" ca="1" si="52"/>
        <v>1</v>
      </c>
      <c r="C650" s="26">
        <f t="shared" ca="1" si="53"/>
        <v>0.70958546563732994</v>
      </c>
      <c r="J650">
        <f t="shared" ca="1" si="54"/>
        <v>1</v>
      </c>
      <c r="K650">
        <f t="shared" ca="1" si="55"/>
        <v>0</v>
      </c>
      <c r="L650" s="65">
        <v>644</v>
      </c>
      <c r="M650" s="71">
        <f t="shared" ca="1" si="51"/>
        <v>2.2684349368378731</v>
      </c>
      <c r="N650" s="65"/>
    </row>
    <row r="651" spans="1:14" x14ac:dyDescent="0.25">
      <c r="A651" s="2">
        <v>645</v>
      </c>
      <c r="B651" s="11">
        <f t="shared" ca="1" si="52"/>
        <v>1</v>
      </c>
      <c r="C651" s="26">
        <f t="shared" ca="1" si="53"/>
        <v>0.60683179044704605</v>
      </c>
      <c r="J651">
        <f t="shared" ca="1" si="54"/>
        <v>1</v>
      </c>
      <c r="K651">
        <f t="shared" ca="1" si="55"/>
        <v>0</v>
      </c>
      <c r="L651" s="65">
        <v>645</v>
      </c>
      <c r="M651" s="71">
        <f t="shared" ca="1" si="51"/>
        <v>1.2562943267263527</v>
      </c>
      <c r="N651" s="65"/>
    </row>
    <row r="652" spans="1:14" x14ac:dyDescent="0.25">
      <c r="A652" s="2">
        <v>646</v>
      </c>
      <c r="B652" s="11">
        <f t="shared" ca="1" si="52"/>
        <v>1</v>
      </c>
      <c r="C652" s="26">
        <f t="shared" ca="1" si="53"/>
        <v>0.17748299461763417</v>
      </c>
      <c r="J652">
        <f t="shared" ca="1" si="54"/>
        <v>1</v>
      </c>
      <c r="K652">
        <f t="shared" ca="1" si="55"/>
        <v>0</v>
      </c>
      <c r="L652" s="65">
        <v>646</v>
      </c>
      <c r="M652" s="71">
        <f t="shared" ca="1" si="51"/>
        <v>1.4614725771354171</v>
      </c>
      <c r="N652" s="65"/>
    </row>
    <row r="653" spans="1:14" x14ac:dyDescent="0.25">
      <c r="A653" s="2">
        <v>647</v>
      </c>
      <c r="B653" s="11">
        <f t="shared" ca="1" si="52"/>
        <v>1</v>
      </c>
      <c r="C653" s="26">
        <f t="shared" ca="1" si="53"/>
        <v>0.60117265725661428</v>
      </c>
      <c r="J653">
        <f t="shared" ca="1" si="54"/>
        <v>1</v>
      </c>
      <c r="K653">
        <f t="shared" ca="1" si="55"/>
        <v>0</v>
      </c>
      <c r="L653" s="65">
        <v>647</v>
      </c>
      <c r="M653" s="71">
        <f t="shared" ca="1" si="51"/>
        <v>0.27476431250462274</v>
      </c>
      <c r="N653" s="65"/>
    </row>
    <row r="654" spans="1:14" x14ac:dyDescent="0.25">
      <c r="A654" s="2">
        <v>648</v>
      </c>
      <c r="B654" s="11">
        <f t="shared" ca="1" si="52"/>
        <v>1</v>
      </c>
      <c r="C654" s="26">
        <f t="shared" ca="1" si="53"/>
        <v>3.340664725936171E-2</v>
      </c>
      <c r="J654">
        <f t="shared" ca="1" si="54"/>
        <v>1</v>
      </c>
      <c r="K654">
        <f t="shared" ca="1" si="55"/>
        <v>0</v>
      </c>
      <c r="L654" s="65">
        <v>648</v>
      </c>
      <c r="M654" s="71">
        <f t="shared" ca="1" si="51"/>
        <v>0.15186380263289323</v>
      </c>
      <c r="N654" s="65"/>
    </row>
    <row r="655" spans="1:14" x14ac:dyDescent="0.25">
      <c r="A655" s="2">
        <v>649</v>
      </c>
      <c r="B655" s="11">
        <f t="shared" ca="1" si="52"/>
        <v>1</v>
      </c>
      <c r="C655" s="26">
        <f t="shared" ca="1" si="53"/>
        <v>0.47762676980948671</v>
      </c>
      <c r="J655">
        <f t="shared" ca="1" si="54"/>
        <v>0</v>
      </c>
      <c r="K655">
        <f t="shared" ca="1" si="55"/>
        <v>0</v>
      </c>
      <c r="L655" s="65">
        <v>649</v>
      </c>
      <c r="M655" s="71">
        <f t="shared" ca="1" si="51"/>
        <v>1.9524881548215667</v>
      </c>
      <c r="N655" s="65"/>
    </row>
    <row r="656" spans="1:14" x14ac:dyDescent="0.25">
      <c r="A656" s="2">
        <v>650</v>
      </c>
      <c r="B656" s="11">
        <f t="shared" ca="1" si="52"/>
        <v>0</v>
      </c>
      <c r="C656" s="26">
        <f t="shared" ca="1" si="53"/>
        <v>0.86120270986970815</v>
      </c>
      <c r="J656">
        <f t="shared" ca="1" si="54"/>
        <v>0</v>
      </c>
      <c r="K656">
        <f t="shared" ca="1" si="55"/>
        <v>0</v>
      </c>
      <c r="L656" s="65">
        <v>650</v>
      </c>
      <c r="M656" s="71">
        <f t="shared" ca="1" si="51"/>
        <v>0</v>
      </c>
      <c r="N656" s="65"/>
    </row>
    <row r="657" spans="1:14" x14ac:dyDescent="0.25">
      <c r="A657" s="2">
        <v>651</v>
      </c>
      <c r="B657" s="11">
        <f t="shared" ca="1" si="52"/>
        <v>1</v>
      </c>
      <c r="C657" s="26">
        <f t="shared" ca="1" si="53"/>
        <v>3.0072631239513981E-2</v>
      </c>
      <c r="J657">
        <f t="shared" ca="1" si="54"/>
        <v>1</v>
      </c>
      <c r="K657">
        <f t="shared" ca="1" si="55"/>
        <v>0</v>
      </c>
      <c r="L657" s="65">
        <v>651</v>
      </c>
      <c r="M657" s="71">
        <f t="shared" ca="1" si="51"/>
        <v>6.5964972947391343E-2</v>
      </c>
      <c r="N657" s="65"/>
    </row>
    <row r="658" spans="1:14" x14ac:dyDescent="0.25">
      <c r="A658" s="2">
        <v>652</v>
      </c>
      <c r="B658" s="11">
        <f t="shared" ca="1" si="52"/>
        <v>1</v>
      </c>
      <c r="C658" s="26">
        <f t="shared" ca="1" si="53"/>
        <v>0.14306393871225587</v>
      </c>
      <c r="J658">
        <f t="shared" ca="1" si="54"/>
        <v>0</v>
      </c>
      <c r="K658">
        <f t="shared" ca="1" si="55"/>
        <v>0</v>
      </c>
      <c r="L658" s="65">
        <v>652</v>
      </c>
      <c r="M658" s="71">
        <f t="shared" ca="1" si="51"/>
        <v>4.3289536788672098</v>
      </c>
      <c r="N658" s="65"/>
    </row>
    <row r="659" spans="1:14" x14ac:dyDescent="0.25">
      <c r="A659" s="2">
        <v>653</v>
      </c>
      <c r="B659" s="11">
        <f t="shared" ca="1" si="52"/>
        <v>0</v>
      </c>
      <c r="C659" s="26">
        <f t="shared" ca="1" si="53"/>
        <v>0.88661052180182165</v>
      </c>
      <c r="J659">
        <f t="shared" ca="1" si="54"/>
        <v>0</v>
      </c>
      <c r="K659">
        <f t="shared" ca="1" si="55"/>
        <v>1</v>
      </c>
      <c r="L659" s="65">
        <v>653</v>
      </c>
      <c r="M659" s="71">
        <f t="shared" ca="1" si="51"/>
        <v>0</v>
      </c>
      <c r="N659" s="65"/>
    </row>
    <row r="660" spans="1:14" x14ac:dyDescent="0.25">
      <c r="A660" s="2">
        <v>654</v>
      </c>
      <c r="B660" s="11">
        <f t="shared" ca="1" si="52"/>
        <v>0</v>
      </c>
      <c r="C660" s="26">
        <f t="shared" ca="1" si="53"/>
        <v>0.72584668041047096</v>
      </c>
      <c r="J660">
        <f t="shared" ca="1" si="54"/>
        <v>0</v>
      </c>
      <c r="K660">
        <f t="shared" ca="1" si="55"/>
        <v>0</v>
      </c>
      <c r="L660" s="65">
        <v>654</v>
      </c>
      <c r="M660" s="71">
        <f t="shared" ca="1" si="51"/>
        <v>0</v>
      </c>
      <c r="N660" s="65"/>
    </row>
    <row r="661" spans="1:14" x14ac:dyDescent="0.25">
      <c r="A661" s="2">
        <v>655</v>
      </c>
      <c r="B661" s="11">
        <f t="shared" ca="1" si="52"/>
        <v>1</v>
      </c>
      <c r="C661" s="26">
        <f t="shared" ca="1" si="53"/>
        <v>0.11553488057520367</v>
      </c>
      <c r="J661">
        <f t="shared" ca="1" si="54"/>
        <v>1</v>
      </c>
      <c r="K661">
        <f t="shared" ca="1" si="55"/>
        <v>0</v>
      </c>
      <c r="L661" s="65">
        <v>655</v>
      </c>
      <c r="M661" s="71">
        <f t="shared" ca="1" si="51"/>
        <v>6.6132959753179774E-3</v>
      </c>
      <c r="N661" s="65"/>
    </row>
    <row r="662" spans="1:14" x14ac:dyDescent="0.25">
      <c r="A662" s="2">
        <v>656</v>
      </c>
      <c r="B662" s="11">
        <f t="shared" ca="1" si="52"/>
        <v>1</v>
      </c>
      <c r="C662" s="26">
        <f t="shared" ca="1" si="53"/>
        <v>0.74247307190150114</v>
      </c>
      <c r="J662">
        <f t="shared" ca="1" si="54"/>
        <v>0</v>
      </c>
      <c r="K662">
        <f t="shared" ca="1" si="55"/>
        <v>0</v>
      </c>
      <c r="L662" s="65">
        <v>656</v>
      </c>
      <c r="M662" s="71">
        <f t="shared" ca="1" si="51"/>
        <v>7.5607931532657515</v>
      </c>
      <c r="N662" s="65"/>
    </row>
    <row r="663" spans="1:14" x14ac:dyDescent="0.25">
      <c r="A663" s="2">
        <v>657</v>
      </c>
      <c r="B663" s="11">
        <f t="shared" ca="1" si="52"/>
        <v>0</v>
      </c>
      <c r="C663" s="26">
        <f t="shared" ca="1" si="53"/>
        <v>0.82350567602148517</v>
      </c>
      <c r="J663">
        <f t="shared" ca="1" si="54"/>
        <v>0</v>
      </c>
      <c r="K663">
        <f t="shared" ca="1" si="55"/>
        <v>0</v>
      </c>
      <c r="L663" s="65">
        <v>657</v>
      </c>
      <c r="M663" s="71">
        <f t="shared" ca="1" si="51"/>
        <v>0</v>
      </c>
      <c r="N663" s="65"/>
    </row>
    <row r="664" spans="1:14" x14ac:dyDescent="0.25">
      <c r="A664" s="2">
        <v>658</v>
      </c>
      <c r="B664" s="11">
        <f t="shared" ca="1" si="52"/>
        <v>1</v>
      </c>
      <c r="C664" s="26">
        <f t="shared" ca="1" si="53"/>
        <v>0.64754989606939872</v>
      </c>
      <c r="J664">
        <f t="shared" ca="1" si="54"/>
        <v>1</v>
      </c>
      <c r="K664">
        <f t="shared" ca="1" si="55"/>
        <v>0</v>
      </c>
      <c r="L664" s="65">
        <v>658</v>
      </c>
      <c r="M664" s="71">
        <f t="shared" ca="1" si="51"/>
        <v>2.2526260329889873</v>
      </c>
      <c r="N664" s="65"/>
    </row>
    <row r="665" spans="1:14" x14ac:dyDescent="0.25">
      <c r="A665" s="2">
        <v>659</v>
      </c>
      <c r="B665" s="11">
        <f t="shared" ca="1" si="52"/>
        <v>1</v>
      </c>
      <c r="C665" s="26">
        <f t="shared" ca="1" si="53"/>
        <v>0.68250316230277341</v>
      </c>
      <c r="J665">
        <f t="shared" ca="1" si="54"/>
        <v>1</v>
      </c>
      <c r="K665">
        <f t="shared" ca="1" si="55"/>
        <v>0</v>
      </c>
      <c r="L665" s="65">
        <v>659</v>
      </c>
      <c r="M665" s="71">
        <f t="shared" ca="1" si="51"/>
        <v>4.720889211863585</v>
      </c>
      <c r="N665" s="65"/>
    </row>
    <row r="666" spans="1:14" x14ac:dyDescent="0.25">
      <c r="A666" s="2">
        <v>660</v>
      </c>
      <c r="B666" s="11">
        <f t="shared" ca="1" si="52"/>
        <v>1</v>
      </c>
      <c r="C666" s="26">
        <f t="shared" ca="1" si="53"/>
        <v>0.16730744650912188</v>
      </c>
      <c r="J666">
        <f t="shared" ca="1" si="54"/>
        <v>1</v>
      </c>
      <c r="K666">
        <f t="shared" ca="1" si="55"/>
        <v>0</v>
      </c>
      <c r="L666" s="65">
        <v>660</v>
      </c>
      <c r="M666" s="71">
        <f t="shared" ca="1" si="51"/>
        <v>2.0048517741898038</v>
      </c>
      <c r="N666" s="65"/>
    </row>
    <row r="667" spans="1:14" x14ac:dyDescent="0.25">
      <c r="A667" s="2">
        <v>661</v>
      </c>
      <c r="B667" s="11">
        <f t="shared" ca="1" si="52"/>
        <v>1</v>
      </c>
      <c r="C667" s="26">
        <f t="shared" ca="1" si="53"/>
        <v>0.57333994234993224</v>
      </c>
      <c r="J667">
        <f t="shared" ca="1" si="54"/>
        <v>0</v>
      </c>
      <c r="K667">
        <f t="shared" ca="1" si="55"/>
        <v>0</v>
      </c>
      <c r="L667" s="65">
        <v>661</v>
      </c>
      <c r="M667" s="71">
        <f t="shared" ca="1" si="51"/>
        <v>1.9221291848202933</v>
      </c>
      <c r="N667" s="65"/>
    </row>
    <row r="668" spans="1:14" x14ac:dyDescent="0.25">
      <c r="A668" s="2">
        <v>662</v>
      </c>
      <c r="B668" s="11">
        <f t="shared" ca="1" si="52"/>
        <v>0</v>
      </c>
      <c r="C668" s="26">
        <f t="shared" ca="1" si="53"/>
        <v>0.85448761488420732</v>
      </c>
      <c r="J668">
        <f t="shared" ca="1" si="54"/>
        <v>0</v>
      </c>
      <c r="K668">
        <f t="shared" ca="1" si="55"/>
        <v>1</v>
      </c>
      <c r="L668" s="65">
        <v>662</v>
      </c>
      <c r="M668" s="71">
        <f t="shared" ca="1" si="51"/>
        <v>0</v>
      </c>
      <c r="N668" s="65"/>
    </row>
    <row r="669" spans="1:14" x14ac:dyDescent="0.25">
      <c r="A669" s="2">
        <v>663</v>
      </c>
      <c r="B669" s="11">
        <f t="shared" ca="1" si="52"/>
        <v>0</v>
      </c>
      <c r="C669" s="26">
        <f t="shared" ca="1" si="53"/>
        <v>0.76276823312350017</v>
      </c>
      <c r="J669">
        <f t="shared" ca="1" si="54"/>
        <v>0</v>
      </c>
      <c r="K669">
        <f t="shared" ca="1" si="55"/>
        <v>0</v>
      </c>
      <c r="L669" s="65">
        <v>663</v>
      </c>
      <c r="M669" s="71">
        <f t="shared" ca="1" si="51"/>
        <v>0</v>
      </c>
      <c r="N669" s="65"/>
    </row>
    <row r="670" spans="1:14" x14ac:dyDescent="0.25">
      <c r="A670" s="2">
        <v>664</v>
      </c>
      <c r="B670" s="11">
        <f t="shared" ca="1" si="52"/>
        <v>1</v>
      </c>
      <c r="C670" s="26">
        <f t="shared" ca="1" si="53"/>
        <v>0.54807864833936726</v>
      </c>
      <c r="J670">
        <f t="shared" ca="1" si="54"/>
        <v>0</v>
      </c>
      <c r="K670">
        <f t="shared" ca="1" si="55"/>
        <v>0</v>
      </c>
      <c r="L670" s="65">
        <v>664</v>
      </c>
      <c r="M670" s="71">
        <f t="shared" ca="1" si="51"/>
        <v>2.0252199242415432</v>
      </c>
      <c r="N670" s="65"/>
    </row>
    <row r="671" spans="1:14" x14ac:dyDescent="0.25">
      <c r="A671" s="2">
        <v>665</v>
      </c>
      <c r="B671" s="11">
        <f t="shared" ca="1" si="52"/>
        <v>0</v>
      </c>
      <c r="C671" s="26">
        <f t="shared" ca="1" si="53"/>
        <v>0.92748116402553604</v>
      </c>
      <c r="J671">
        <f t="shared" ca="1" si="54"/>
        <v>0</v>
      </c>
      <c r="K671">
        <f t="shared" ca="1" si="55"/>
        <v>0</v>
      </c>
      <c r="L671" s="65">
        <v>665</v>
      </c>
      <c r="M671" s="71">
        <f t="shared" ca="1" si="51"/>
        <v>0</v>
      </c>
      <c r="N671" s="65"/>
    </row>
    <row r="672" spans="1:14" x14ac:dyDescent="0.25">
      <c r="A672" s="2">
        <v>666</v>
      </c>
      <c r="B672" s="11">
        <f t="shared" ca="1" si="52"/>
        <v>1</v>
      </c>
      <c r="C672" s="26">
        <f t="shared" ca="1" si="53"/>
        <v>0.16825652351393572</v>
      </c>
      <c r="J672">
        <f t="shared" ca="1" si="54"/>
        <v>1</v>
      </c>
      <c r="K672">
        <f t="shared" ca="1" si="55"/>
        <v>0</v>
      </c>
      <c r="L672" s="65">
        <v>666</v>
      </c>
      <c r="M672" s="71">
        <f t="shared" ca="1" si="51"/>
        <v>0.15984033677141482</v>
      </c>
      <c r="N672" s="65"/>
    </row>
    <row r="673" spans="1:14" x14ac:dyDescent="0.25">
      <c r="A673" s="2">
        <v>667</v>
      </c>
      <c r="B673" s="11">
        <f t="shared" ca="1" si="52"/>
        <v>1</v>
      </c>
      <c r="C673" s="26">
        <f t="shared" ca="1" si="53"/>
        <v>0.46444097878419011</v>
      </c>
      <c r="J673">
        <f t="shared" ca="1" si="54"/>
        <v>1</v>
      </c>
      <c r="K673">
        <f t="shared" ca="1" si="55"/>
        <v>0</v>
      </c>
      <c r="L673" s="65">
        <v>667</v>
      </c>
      <c r="M673" s="71">
        <f t="shared" ca="1" si="51"/>
        <v>2.2407550781755003</v>
      </c>
      <c r="N673" s="65"/>
    </row>
    <row r="674" spans="1:14" x14ac:dyDescent="0.25">
      <c r="A674" s="2">
        <v>668</v>
      </c>
      <c r="B674" s="11">
        <f t="shared" ca="1" si="52"/>
        <v>1</v>
      </c>
      <c r="C674" s="26">
        <f t="shared" ca="1" si="53"/>
        <v>0.33921637933946214</v>
      </c>
      <c r="J674">
        <f t="shared" ca="1" si="54"/>
        <v>1</v>
      </c>
      <c r="K674">
        <f t="shared" ca="1" si="55"/>
        <v>0</v>
      </c>
      <c r="L674" s="65">
        <v>668</v>
      </c>
      <c r="M674" s="71">
        <f t="shared" ca="1" si="51"/>
        <v>1.3941863268639634</v>
      </c>
      <c r="N674" s="65"/>
    </row>
    <row r="675" spans="1:14" x14ac:dyDescent="0.25">
      <c r="A675" s="2">
        <v>669</v>
      </c>
      <c r="B675" s="11">
        <f t="shared" ca="1" si="52"/>
        <v>1</v>
      </c>
      <c r="C675" s="26">
        <f t="shared" ca="1" si="53"/>
        <v>0.55089725994531136</v>
      </c>
      <c r="J675">
        <f t="shared" ca="1" si="54"/>
        <v>1</v>
      </c>
      <c r="K675">
        <f t="shared" ca="1" si="55"/>
        <v>0</v>
      </c>
      <c r="L675" s="65">
        <v>669</v>
      </c>
      <c r="M675" s="71">
        <f t="shared" ca="1" si="51"/>
        <v>9.6542186247676618</v>
      </c>
      <c r="N675" s="65"/>
    </row>
    <row r="676" spans="1:14" x14ac:dyDescent="0.25">
      <c r="A676" s="2">
        <v>670</v>
      </c>
      <c r="B676" s="11">
        <f t="shared" ca="1" si="52"/>
        <v>1</v>
      </c>
      <c r="C676" s="26">
        <f t="shared" ca="1" si="53"/>
        <v>0.30231929496242715</v>
      </c>
      <c r="J676">
        <f t="shared" ca="1" si="54"/>
        <v>0</v>
      </c>
      <c r="K676">
        <f t="shared" ca="1" si="55"/>
        <v>0</v>
      </c>
      <c r="L676" s="65">
        <v>670</v>
      </c>
      <c r="M676" s="71">
        <f t="shared" ca="1" si="51"/>
        <v>13.777981703304413</v>
      </c>
      <c r="N676" s="65"/>
    </row>
    <row r="677" spans="1:14" x14ac:dyDescent="0.25">
      <c r="A677" s="2">
        <v>671</v>
      </c>
      <c r="B677" s="11">
        <f t="shared" ca="1" si="52"/>
        <v>0</v>
      </c>
      <c r="C677" s="26">
        <f t="shared" ca="1" si="53"/>
        <v>0.90594788255758785</v>
      </c>
      <c r="J677">
        <f t="shared" ca="1" si="54"/>
        <v>0</v>
      </c>
      <c r="K677">
        <f t="shared" ca="1" si="55"/>
        <v>0</v>
      </c>
      <c r="L677" s="65">
        <v>671</v>
      </c>
      <c r="M677" s="71">
        <f t="shared" ca="1" si="51"/>
        <v>0</v>
      </c>
      <c r="N677" s="65"/>
    </row>
    <row r="678" spans="1:14" x14ac:dyDescent="0.25">
      <c r="A678" s="2">
        <v>672</v>
      </c>
      <c r="B678" s="11">
        <f t="shared" ca="1" si="52"/>
        <v>1</v>
      </c>
      <c r="C678" s="26">
        <f t="shared" ca="1" si="53"/>
        <v>0.11189959904163815</v>
      </c>
      <c r="J678">
        <f t="shared" ca="1" si="54"/>
        <v>1</v>
      </c>
      <c r="K678">
        <f t="shared" ca="1" si="55"/>
        <v>0</v>
      </c>
      <c r="L678" s="65">
        <v>672</v>
      </c>
      <c r="M678" s="71">
        <f t="shared" ca="1" si="51"/>
        <v>10.759027680565815</v>
      </c>
      <c r="N678" s="65"/>
    </row>
    <row r="679" spans="1:14" x14ac:dyDescent="0.25">
      <c r="A679" s="2">
        <v>673</v>
      </c>
      <c r="B679" s="11">
        <f t="shared" ca="1" si="52"/>
        <v>1</v>
      </c>
      <c r="C679" s="26">
        <f t="shared" ca="1" si="53"/>
        <v>5.2052897812871035E-2</v>
      </c>
      <c r="J679">
        <f t="shared" ca="1" si="54"/>
        <v>1</v>
      </c>
      <c r="K679">
        <f t="shared" ca="1" si="55"/>
        <v>0</v>
      </c>
      <c r="L679" s="65">
        <v>673</v>
      </c>
      <c r="M679" s="71">
        <f t="shared" ca="1" si="51"/>
        <v>9.7129843465949737</v>
      </c>
      <c r="N679" s="65"/>
    </row>
    <row r="680" spans="1:14" x14ac:dyDescent="0.25">
      <c r="A680" s="2">
        <v>674</v>
      </c>
      <c r="B680" s="11">
        <f t="shared" ca="1" si="52"/>
        <v>1</v>
      </c>
      <c r="C680" s="26">
        <f t="shared" ca="1" si="53"/>
        <v>0.78385291205979946</v>
      </c>
      <c r="J680">
        <f t="shared" ca="1" si="54"/>
        <v>1</v>
      </c>
      <c r="K680">
        <f t="shared" ca="1" si="55"/>
        <v>0</v>
      </c>
      <c r="L680" s="65">
        <v>674</v>
      </c>
      <c r="M680" s="71">
        <f t="shared" ca="1" si="51"/>
        <v>3.6578983117502113</v>
      </c>
      <c r="N680" s="65"/>
    </row>
    <row r="681" spans="1:14" x14ac:dyDescent="0.25">
      <c r="A681" s="2">
        <v>675</v>
      </c>
      <c r="B681" s="11">
        <f t="shared" ca="1" si="52"/>
        <v>1</v>
      </c>
      <c r="C681" s="26">
        <f t="shared" ca="1" si="53"/>
        <v>0.26068254752222886</v>
      </c>
      <c r="J681">
        <f t="shared" ca="1" si="54"/>
        <v>1</v>
      </c>
      <c r="K681">
        <f t="shared" ca="1" si="55"/>
        <v>0</v>
      </c>
      <c r="L681" s="65">
        <v>675</v>
      </c>
      <c r="M681" s="71">
        <f t="shared" ca="1" si="51"/>
        <v>4.9502521311932304</v>
      </c>
      <c r="N681" s="65"/>
    </row>
    <row r="682" spans="1:14" x14ac:dyDescent="0.25">
      <c r="A682" s="2">
        <v>676</v>
      </c>
      <c r="B682" s="11">
        <f t="shared" ca="1" si="52"/>
        <v>1</v>
      </c>
      <c r="C682" s="26">
        <f t="shared" ca="1" si="53"/>
        <v>0.75078377931054185</v>
      </c>
      <c r="J682">
        <f t="shared" ca="1" si="54"/>
        <v>1</v>
      </c>
      <c r="K682">
        <f t="shared" ca="1" si="55"/>
        <v>0</v>
      </c>
      <c r="L682" s="65">
        <v>676</v>
      </c>
      <c r="M682" s="71">
        <f t="shared" ca="1" si="51"/>
        <v>1.8176235798483538</v>
      </c>
      <c r="N682" s="65"/>
    </row>
    <row r="683" spans="1:14" x14ac:dyDescent="0.25">
      <c r="A683" s="2">
        <v>677</v>
      </c>
      <c r="B683" s="11">
        <f t="shared" ca="1" si="52"/>
        <v>1</v>
      </c>
      <c r="C683" s="26">
        <f t="shared" ca="1" si="53"/>
        <v>0.69443681080404995</v>
      </c>
      <c r="J683">
        <f t="shared" ca="1" si="54"/>
        <v>1</v>
      </c>
      <c r="K683">
        <f t="shared" ca="1" si="55"/>
        <v>0</v>
      </c>
      <c r="L683" s="65">
        <v>677</v>
      </c>
      <c r="M683" s="71">
        <f t="shared" ca="1" si="51"/>
        <v>0.67020573979998022</v>
      </c>
      <c r="N683" s="65"/>
    </row>
    <row r="684" spans="1:14" x14ac:dyDescent="0.25">
      <c r="A684" s="2">
        <v>678</v>
      </c>
      <c r="B684" s="11">
        <f t="shared" ca="1" si="52"/>
        <v>1</v>
      </c>
      <c r="C684" s="26">
        <f t="shared" ca="1" si="53"/>
        <v>0.7228640716188669</v>
      </c>
      <c r="J684">
        <f t="shared" ca="1" si="54"/>
        <v>1</v>
      </c>
      <c r="K684">
        <f t="shared" ca="1" si="55"/>
        <v>0</v>
      </c>
      <c r="L684" s="65">
        <v>678</v>
      </c>
      <c r="M684" s="71">
        <f t="shared" ca="1" si="51"/>
        <v>1.6385936760613502</v>
      </c>
      <c r="N684" s="65"/>
    </row>
    <row r="685" spans="1:14" x14ac:dyDescent="0.25">
      <c r="A685" s="2">
        <v>679</v>
      </c>
      <c r="B685" s="11">
        <f t="shared" ca="1" si="52"/>
        <v>1</v>
      </c>
      <c r="C685" s="26">
        <f t="shared" ca="1" si="53"/>
        <v>0.14125705795801646</v>
      </c>
      <c r="J685">
        <f t="shared" ca="1" si="54"/>
        <v>0</v>
      </c>
      <c r="K685">
        <f t="shared" ca="1" si="55"/>
        <v>0</v>
      </c>
      <c r="L685" s="65">
        <v>679</v>
      </c>
      <c r="M685" s="71">
        <f t="shared" ca="1" si="51"/>
        <v>2.2744971999474237</v>
      </c>
      <c r="N685" s="65"/>
    </row>
    <row r="686" spans="1:14" x14ac:dyDescent="0.25">
      <c r="A686" s="2">
        <v>680</v>
      </c>
      <c r="B686" s="11">
        <f t="shared" ca="1" si="52"/>
        <v>0</v>
      </c>
      <c r="C686" s="26">
        <f t="shared" ca="1" si="53"/>
        <v>0.8869600532055042</v>
      </c>
      <c r="J686">
        <f t="shared" ca="1" si="54"/>
        <v>0</v>
      </c>
      <c r="K686">
        <f t="shared" ca="1" si="55"/>
        <v>1</v>
      </c>
      <c r="L686" s="65">
        <v>680</v>
      </c>
      <c r="M686" s="71">
        <f t="shared" ca="1" si="51"/>
        <v>0</v>
      </c>
      <c r="N686" s="65"/>
    </row>
    <row r="687" spans="1:14" x14ac:dyDescent="0.25">
      <c r="A687" s="2">
        <v>681</v>
      </c>
      <c r="B687" s="11">
        <f t="shared" ca="1" si="52"/>
        <v>0</v>
      </c>
      <c r="C687" s="26">
        <f t="shared" ca="1" si="53"/>
        <v>0.73569154981722396</v>
      </c>
      <c r="J687">
        <f t="shared" ca="1" si="54"/>
        <v>0</v>
      </c>
      <c r="K687">
        <f t="shared" ca="1" si="55"/>
        <v>0</v>
      </c>
      <c r="L687" s="65">
        <v>681</v>
      </c>
      <c r="M687" s="71">
        <f t="shared" ca="1" si="51"/>
        <v>0</v>
      </c>
      <c r="N687" s="65"/>
    </row>
    <row r="688" spans="1:14" x14ac:dyDescent="0.25">
      <c r="A688" s="2">
        <v>682</v>
      </c>
      <c r="B688" s="11">
        <f t="shared" ca="1" si="52"/>
        <v>1</v>
      </c>
      <c r="C688" s="26">
        <f t="shared" ca="1" si="53"/>
        <v>6.4383171274023931E-3</v>
      </c>
      <c r="J688">
        <f t="shared" ca="1" si="54"/>
        <v>1</v>
      </c>
      <c r="K688">
        <f t="shared" ca="1" si="55"/>
        <v>0</v>
      </c>
      <c r="L688" s="65">
        <v>682</v>
      </c>
      <c r="M688" s="71">
        <f t="shared" ca="1" si="51"/>
        <v>2.7391961341666389</v>
      </c>
      <c r="N688" s="65"/>
    </row>
    <row r="689" spans="1:14" x14ac:dyDescent="0.25">
      <c r="A689" s="2">
        <v>683</v>
      </c>
      <c r="B689" s="11">
        <f t="shared" ca="1" si="52"/>
        <v>1</v>
      </c>
      <c r="C689" s="26">
        <f t="shared" ca="1" si="53"/>
        <v>0.64883235661822214</v>
      </c>
      <c r="J689">
        <f t="shared" ca="1" si="54"/>
        <v>1</v>
      </c>
      <c r="K689">
        <f t="shared" ca="1" si="55"/>
        <v>0</v>
      </c>
      <c r="L689" s="65">
        <v>683</v>
      </c>
      <c r="M689" s="71">
        <f t="shared" ca="1" si="51"/>
        <v>1.9868567778806296</v>
      </c>
      <c r="N689" s="65"/>
    </row>
    <row r="690" spans="1:14" x14ac:dyDescent="0.25">
      <c r="A690" s="2">
        <v>684</v>
      </c>
      <c r="B690" s="11">
        <f t="shared" ca="1" si="52"/>
        <v>1</v>
      </c>
      <c r="C690" s="26">
        <f t="shared" ca="1" si="53"/>
        <v>0.19782575824251669</v>
      </c>
      <c r="J690">
        <f t="shared" ca="1" si="54"/>
        <v>1</v>
      </c>
      <c r="K690">
        <f t="shared" ca="1" si="55"/>
        <v>0</v>
      </c>
      <c r="L690" s="65">
        <v>684</v>
      </c>
      <c r="M690" s="71">
        <f t="shared" ca="1" si="51"/>
        <v>2.265515932193281</v>
      </c>
      <c r="N690" s="65"/>
    </row>
    <row r="691" spans="1:14" x14ac:dyDescent="0.25">
      <c r="A691" s="2">
        <v>685</v>
      </c>
      <c r="B691" s="11">
        <f t="shared" ca="1" si="52"/>
        <v>1</v>
      </c>
      <c r="C691" s="26">
        <f t="shared" ca="1" si="53"/>
        <v>2.3486571337117179E-2</v>
      </c>
      <c r="J691">
        <f t="shared" ca="1" si="54"/>
        <v>1</v>
      </c>
      <c r="K691">
        <f t="shared" ca="1" si="55"/>
        <v>0</v>
      </c>
      <c r="L691" s="65">
        <v>685</v>
      </c>
      <c r="M691" s="71">
        <f t="shared" ca="1" si="51"/>
        <v>2.5926225961810085</v>
      </c>
      <c r="N691" s="65"/>
    </row>
    <row r="692" spans="1:14" x14ac:dyDescent="0.25">
      <c r="A692" s="2">
        <v>686</v>
      </c>
      <c r="B692" s="11">
        <f t="shared" ca="1" si="52"/>
        <v>1</v>
      </c>
      <c r="C692" s="26">
        <f t="shared" ca="1" si="53"/>
        <v>0.65036164756479464</v>
      </c>
      <c r="J692">
        <f t="shared" ca="1" si="54"/>
        <v>1</v>
      </c>
      <c r="K692">
        <f t="shared" ca="1" si="55"/>
        <v>0</v>
      </c>
      <c r="L692" s="65">
        <v>686</v>
      </c>
      <c r="M692" s="71">
        <f t="shared" ca="1" si="51"/>
        <v>8.2015981971202496</v>
      </c>
      <c r="N692" s="65"/>
    </row>
    <row r="693" spans="1:14" x14ac:dyDescent="0.25">
      <c r="A693" s="2">
        <v>687</v>
      </c>
      <c r="B693" s="11">
        <f t="shared" ca="1" si="52"/>
        <v>1</v>
      </c>
      <c r="C693" s="26">
        <f t="shared" ca="1" si="53"/>
        <v>0.69121926012904034</v>
      </c>
      <c r="J693">
        <f t="shared" ca="1" si="54"/>
        <v>1</v>
      </c>
      <c r="K693">
        <f t="shared" ca="1" si="55"/>
        <v>0</v>
      </c>
      <c r="L693" s="65">
        <v>687</v>
      </c>
      <c r="M693" s="71">
        <f t="shared" ca="1" si="51"/>
        <v>4.6105315533369327</v>
      </c>
      <c r="N693" s="65"/>
    </row>
    <row r="694" spans="1:14" x14ac:dyDescent="0.25">
      <c r="A694" s="2">
        <v>688</v>
      </c>
      <c r="B694" s="11">
        <f t="shared" ca="1" si="52"/>
        <v>1</v>
      </c>
      <c r="C694" s="26">
        <f t="shared" ca="1" si="53"/>
        <v>0.39468461084342166</v>
      </c>
      <c r="J694">
        <f t="shared" ca="1" si="54"/>
        <v>1</v>
      </c>
      <c r="K694">
        <f t="shared" ca="1" si="55"/>
        <v>0</v>
      </c>
      <c r="L694" s="65">
        <v>688</v>
      </c>
      <c r="M694" s="71">
        <f t="shared" ca="1" si="51"/>
        <v>3.1274524864423889</v>
      </c>
      <c r="N694" s="65"/>
    </row>
    <row r="695" spans="1:14" x14ac:dyDescent="0.25">
      <c r="A695" s="2">
        <v>689</v>
      </c>
      <c r="B695" s="11">
        <f t="shared" ca="1" si="52"/>
        <v>1</v>
      </c>
      <c r="C695" s="26">
        <f t="shared" ca="1" si="53"/>
        <v>0.47976903406043359</v>
      </c>
      <c r="J695">
        <f t="shared" ca="1" si="54"/>
        <v>1</v>
      </c>
      <c r="K695">
        <f t="shared" ca="1" si="55"/>
        <v>0</v>
      </c>
      <c r="L695" s="65">
        <v>689</v>
      </c>
      <c r="M695" s="71">
        <f t="shared" ca="1" si="51"/>
        <v>2.900270721654699</v>
      </c>
      <c r="N695" s="65"/>
    </row>
    <row r="696" spans="1:14" x14ac:dyDescent="0.25">
      <c r="A696" s="2">
        <v>690</v>
      </c>
      <c r="B696" s="11">
        <f t="shared" ca="1" si="52"/>
        <v>1</v>
      </c>
      <c r="C696" s="26">
        <f t="shared" ca="1" si="53"/>
        <v>0.18111475105283736</v>
      </c>
      <c r="J696">
        <f t="shared" ca="1" si="54"/>
        <v>0</v>
      </c>
      <c r="K696">
        <f t="shared" ca="1" si="55"/>
        <v>0</v>
      </c>
      <c r="L696" s="65">
        <v>690</v>
      </c>
      <c r="M696" s="71">
        <f t="shared" ca="1" si="51"/>
        <v>23.876853473549875</v>
      </c>
      <c r="N696" s="65"/>
    </row>
    <row r="697" spans="1:14" x14ac:dyDescent="0.25">
      <c r="A697" s="2">
        <v>691</v>
      </c>
      <c r="B697" s="11">
        <f t="shared" ca="1" si="52"/>
        <v>0</v>
      </c>
      <c r="C697" s="26">
        <f t="shared" ca="1" si="53"/>
        <v>0.90922779111631002</v>
      </c>
      <c r="J697">
        <f t="shared" ca="1" si="54"/>
        <v>0</v>
      </c>
      <c r="K697">
        <f t="shared" ca="1" si="55"/>
        <v>0</v>
      </c>
      <c r="L697" s="65">
        <v>691</v>
      </c>
      <c r="M697" s="71">
        <f t="shared" ca="1" si="51"/>
        <v>0</v>
      </c>
      <c r="N697" s="65"/>
    </row>
    <row r="698" spans="1:14" x14ac:dyDescent="0.25">
      <c r="A698" s="2">
        <v>692</v>
      </c>
      <c r="B698" s="11">
        <f t="shared" ca="1" si="52"/>
        <v>1</v>
      </c>
      <c r="C698" s="26">
        <f t="shared" ca="1" si="53"/>
        <v>0.70425482664058003</v>
      </c>
      <c r="J698">
        <f t="shared" ca="1" si="54"/>
        <v>1</v>
      </c>
      <c r="K698">
        <f t="shared" ca="1" si="55"/>
        <v>0</v>
      </c>
      <c r="L698" s="65">
        <v>692</v>
      </c>
      <c r="M698" s="71">
        <f t="shared" ca="1" si="51"/>
        <v>0.78063825488571914</v>
      </c>
      <c r="N698" s="65"/>
    </row>
    <row r="699" spans="1:14" x14ac:dyDescent="0.25">
      <c r="A699" s="2">
        <v>693</v>
      </c>
      <c r="B699" s="11">
        <f t="shared" ca="1" si="52"/>
        <v>1</v>
      </c>
      <c r="C699" s="26">
        <f t="shared" ca="1" si="53"/>
        <v>0.14877592448543953</v>
      </c>
      <c r="J699">
        <f t="shared" ca="1" si="54"/>
        <v>1</v>
      </c>
      <c r="K699">
        <f t="shared" ca="1" si="55"/>
        <v>0</v>
      </c>
      <c r="L699" s="65">
        <v>693</v>
      </c>
      <c r="M699" s="71">
        <f t="shared" ca="1" si="51"/>
        <v>3.891077267471116</v>
      </c>
      <c r="N699" s="65"/>
    </row>
    <row r="700" spans="1:14" x14ac:dyDescent="0.25">
      <c r="A700" s="2">
        <v>694</v>
      </c>
      <c r="B700" s="11">
        <f t="shared" ca="1" si="52"/>
        <v>1</v>
      </c>
      <c r="C700" s="26">
        <f t="shared" ca="1" si="53"/>
        <v>0.43214695569660644</v>
      </c>
      <c r="J700">
        <f t="shared" ca="1" si="54"/>
        <v>0</v>
      </c>
      <c r="K700">
        <f t="shared" ca="1" si="55"/>
        <v>0</v>
      </c>
      <c r="L700" s="65">
        <v>694</v>
      </c>
      <c r="M700" s="71">
        <f t="shared" ca="1" si="51"/>
        <v>4.5011877108635101</v>
      </c>
      <c r="N700" s="65"/>
    </row>
    <row r="701" spans="1:14" x14ac:dyDescent="0.25">
      <c r="A701" s="2">
        <v>695</v>
      </c>
      <c r="B701" s="11">
        <f t="shared" ca="1" si="52"/>
        <v>0</v>
      </c>
      <c r="C701" s="26">
        <f t="shared" ca="1" si="53"/>
        <v>0.8636705446915065</v>
      </c>
      <c r="J701">
        <f t="shared" ca="1" si="54"/>
        <v>0</v>
      </c>
      <c r="K701">
        <f t="shared" ca="1" si="55"/>
        <v>0</v>
      </c>
      <c r="L701" s="65">
        <v>695</v>
      </c>
      <c r="M701" s="71">
        <f t="shared" ca="1" si="51"/>
        <v>0</v>
      </c>
      <c r="N701" s="65"/>
    </row>
    <row r="702" spans="1:14" x14ac:dyDescent="0.25">
      <c r="A702" s="2">
        <v>696</v>
      </c>
      <c r="B702" s="11">
        <f t="shared" ca="1" si="52"/>
        <v>1</v>
      </c>
      <c r="C702" s="26">
        <f t="shared" ca="1" si="53"/>
        <v>0.68831284316994545</v>
      </c>
      <c r="J702">
        <f t="shared" ca="1" si="54"/>
        <v>1</v>
      </c>
      <c r="K702">
        <f t="shared" ca="1" si="55"/>
        <v>0</v>
      </c>
      <c r="L702" s="65">
        <v>696</v>
      </c>
      <c r="M702" s="71">
        <f t="shared" ca="1" si="51"/>
        <v>0.84963044213821837</v>
      </c>
      <c r="N702" s="65"/>
    </row>
    <row r="703" spans="1:14" x14ac:dyDescent="0.25">
      <c r="A703" s="2">
        <v>697</v>
      </c>
      <c r="B703" s="11">
        <f t="shared" ca="1" si="52"/>
        <v>1</v>
      </c>
      <c r="C703" s="26">
        <f t="shared" ca="1" si="53"/>
        <v>0.42344177787791182</v>
      </c>
      <c r="J703">
        <f t="shared" ca="1" si="54"/>
        <v>0</v>
      </c>
      <c r="K703">
        <f t="shared" ca="1" si="55"/>
        <v>0</v>
      </c>
      <c r="L703" s="65">
        <v>697</v>
      </c>
      <c r="M703" s="71">
        <f t="shared" ca="1" si="51"/>
        <v>2.3618182474073772</v>
      </c>
      <c r="N703" s="65"/>
    </row>
    <row r="704" spans="1:14" x14ac:dyDescent="0.25">
      <c r="A704" s="2">
        <v>698</v>
      </c>
      <c r="B704" s="11">
        <f t="shared" ca="1" si="52"/>
        <v>0</v>
      </c>
      <c r="C704" s="26">
        <f t="shared" ca="1" si="53"/>
        <v>0.85941461376531036</v>
      </c>
      <c r="J704">
        <f t="shared" ca="1" si="54"/>
        <v>0</v>
      </c>
      <c r="K704">
        <f t="shared" ca="1" si="55"/>
        <v>0</v>
      </c>
      <c r="L704" s="65">
        <v>698</v>
      </c>
      <c r="M704" s="71">
        <f t="shared" ca="1" si="51"/>
        <v>0</v>
      </c>
      <c r="N704" s="65"/>
    </row>
    <row r="705" spans="1:14" x14ac:dyDescent="0.25">
      <c r="A705" s="2">
        <v>699</v>
      </c>
      <c r="B705" s="11">
        <f t="shared" ca="1" si="52"/>
        <v>1</v>
      </c>
      <c r="C705" s="26">
        <f t="shared" ca="1" si="53"/>
        <v>0.16418646138664439</v>
      </c>
      <c r="J705">
        <f t="shared" ca="1" si="54"/>
        <v>0</v>
      </c>
      <c r="K705">
        <f t="shared" ca="1" si="55"/>
        <v>0</v>
      </c>
      <c r="L705" s="65">
        <v>699</v>
      </c>
      <c r="M705" s="71">
        <f t="shared" ca="1" si="51"/>
        <v>11.859254926172957</v>
      </c>
      <c r="N705" s="65"/>
    </row>
    <row r="706" spans="1:14" x14ac:dyDescent="0.25">
      <c r="A706" s="2">
        <v>700</v>
      </c>
      <c r="B706" s="11">
        <f t="shared" ca="1" si="52"/>
        <v>0</v>
      </c>
      <c r="C706" s="26">
        <f t="shared" ca="1" si="53"/>
        <v>0.98103720987013199</v>
      </c>
      <c r="J706">
        <f t="shared" ca="1" si="54"/>
        <v>0</v>
      </c>
      <c r="K706">
        <f t="shared" ca="1" si="55"/>
        <v>0</v>
      </c>
      <c r="L706" s="65">
        <v>700</v>
      </c>
      <c r="M706" s="71">
        <f t="shared" ca="1" si="51"/>
        <v>0</v>
      </c>
      <c r="N706" s="65"/>
    </row>
    <row r="707" spans="1:14" x14ac:dyDescent="0.25">
      <c r="A707" s="2">
        <v>701</v>
      </c>
      <c r="B707" s="11">
        <f t="shared" ca="1" si="52"/>
        <v>1</v>
      </c>
      <c r="C707" s="26">
        <f t="shared" ca="1" si="53"/>
        <v>0.38395288379535109</v>
      </c>
      <c r="J707">
        <f t="shared" ca="1" si="54"/>
        <v>1</v>
      </c>
      <c r="K707">
        <f t="shared" ca="1" si="55"/>
        <v>0</v>
      </c>
      <c r="L707" s="65">
        <v>701</v>
      </c>
      <c r="M707" s="71">
        <f t="shared" ca="1" si="51"/>
        <v>1.6846662599716224</v>
      </c>
      <c r="N707" s="65"/>
    </row>
    <row r="708" spans="1:14" x14ac:dyDescent="0.25">
      <c r="A708" s="2">
        <v>702</v>
      </c>
      <c r="B708" s="11">
        <f t="shared" ca="1" si="52"/>
        <v>1</v>
      </c>
      <c r="C708" s="26">
        <f t="shared" ca="1" si="53"/>
        <v>0.50085386351269412</v>
      </c>
      <c r="J708">
        <f t="shared" ca="1" si="54"/>
        <v>1</v>
      </c>
      <c r="K708">
        <f t="shared" ca="1" si="55"/>
        <v>0</v>
      </c>
      <c r="L708" s="65">
        <v>702</v>
      </c>
      <c r="M708" s="71">
        <f t="shared" ca="1" si="51"/>
        <v>2.0252809298808052</v>
      </c>
      <c r="N708" s="65"/>
    </row>
    <row r="709" spans="1:14" x14ac:dyDescent="0.25">
      <c r="A709" s="2">
        <v>703</v>
      </c>
      <c r="B709" s="11">
        <f t="shared" ca="1" si="52"/>
        <v>1</v>
      </c>
      <c r="C709" s="26">
        <f t="shared" ca="1" si="53"/>
        <v>0.34059484698273379</v>
      </c>
      <c r="J709">
        <f t="shared" ca="1" si="54"/>
        <v>1</v>
      </c>
      <c r="K709">
        <f t="shared" ca="1" si="55"/>
        <v>0</v>
      </c>
      <c r="L709" s="65">
        <v>703</v>
      </c>
      <c r="M709" s="71">
        <f t="shared" ca="1" si="51"/>
        <v>2.6516162920915138</v>
      </c>
      <c r="N709" s="65"/>
    </row>
    <row r="710" spans="1:14" x14ac:dyDescent="0.25">
      <c r="A710" s="2">
        <v>704</v>
      </c>
      <c r="B710" s="11">
        <f t="shared" ca="1" si="52"/>
        <v>1</v>
      </c>
      <c r="C710" s="26">
        <f t="shared" ca="1" si="53"/>
        <v>0.38968826402292744</v>
      </c>
      <c r="J710">
        <f t="shared" ca="1" si="54"/>
        <v>1</v>
      </c>
      <c r="K710">
        <f t="shared" ca="1" si="55"/>
        <v>0</v>
      </c>
      <c r="L710" s="65">
        <v>704</v>
      </c>
      <c r="M710" s="71">
        <f t="shared" ca="1" si="51"/>
        <v>8.1123581440420747</v>
      </c>
      <c r="N710" s="65"/>
    </row>
    <row r="711" spans="1:14" x14ac:dyDescent="0.25">
      <c r="A711" s="2">
        <v>705</v>
      </c>
      <c r="B711" s="11">
        <f t="shared" ca="1" si="52"/>
        <v>1</v>
      </c>
      <c r="C711" s="26">
        <f t="shared" ca="1" si="53"/>
        <v>0.12128947892138886</v>
      </c>
      <c r="J711">
        <f t="shared" ca="1" si="54"/>
        <v>1</v>
      </c>
      <c r="K711">
        <f t="shared" ca="1" si="55"/>
        <v>0</v>
      </c>
      <c r="L711" s="65">
        <v>705</v>
      </c>
      <c r="M711" s="71">
        <f t="shared" ref="M711:M774" ca="1" si="56">IF(B711&gt;0,-LN(1-(RAND()))/lambda,0)</f>
        <v>0.74645465129707511</v>
      </c>
      <c r="N711" s="65"/>
    </row>
    <row r="712" spans="1:14" x14ac:dyDescent="0.25">
      <c r="A712" s="2">
        <v>706</v>
      </c>
      <c r="B712" s="11">
        <f t="shared" ref="B712:B775" ca="1" si="57">IF(B711&gt;0,IF(C712&lt;pww,1,0),IF(C712&lt;pdw,1,0))</f>
        <v>1</v>
      </c>
      <c r="C712" s="26">
        <f t="shared" ref="C712:C775" ca="1" si="58">RAND()</f>
        <v>0.78890402361950795</v>
      </c>
      <c r="J712">
        <f t="shared" ref="J712:J775" ca="1" si="59">IF(AND(B712,B713),1,0)</f>
        <v>1</v>
      </c>
      <c r="K712">
        <f t="shared" ref="K712:K775" ca="1" si="60">IF(AND(NOT(B712),NOT(B713)),1,0)</f>
        <v>0</v>
      </c>
      <c r="L712" s="65">
        <v>706</v>
      </c>
      <c r="M712" s="71">
        <f t="shared" ca="1" si="56"/>
        <v>0.18224173661328624</v>
      </c>
      <c r="N712" s="65"/>
    </row>
    <row r="713" spans="1:14" x14ac:dyDescent="0.25">
      <c r="A713" s="2">
        <v>707</v>
      </c>
      <c r="B713" s="11">
        <f t="shared" ca="1" si="57"/>
        <v>1</v>
      </c>
      <c r="C713" s="26">
        <f t="shared" ca="1" si="58"/>
        <v>0.48219179507810883</v>
      </c>
      <c r="J713">
        <f t="shared" ca="1" si="59"/>
        <v>1</v>
      </c>
      <c r="K713">
        <f t="shared" ca="1" si="60"/>
        <v>0</v>
      </c>
      <c r="L713" s="65">
        <v>707</v>
      </c>
      <c r="M713" s="71">
        <f t="shared" ca="1" si="56"/>
        <v>0.81615420375736392</v>
      </c>
      <c r="N713" s="65"/>
    </row>
    <row r="714" spans="1:14" x14ac:dyDescent="0.25">
      <c r="A714" s="2">
        <v>708</v>
      </c>
      <c r="B714" s="11">
        <f t="shared" ca="1" si="57"/>
        <v>1</v>
      </c>
      <c r="C714" s="26">
        <f t="shared" ca="1" si="58"/>
        <v>0.4165827148064627</v>
      </c>
      <c r="J714">
        <f t="shared" ca="1" si="59"/>
        <v>1</v>
      </c>
      <c r="K714">
        <f t="shared" ca="1" si="60"/>
        <v>0</v>
      </c>
      <c r="L714" s="65">
        <v>708</v>
      </c>
      <c r="M714" s="71">
        <f t="shared" ca="1" si="56"/>
        <v>1.3509450669539771</v>
      </c>
      <c r="N714" s="65"/>
    </row>
    <row r="715" spans="1:14" x14ac:dyDescent="0.25">
      <c r="A715" s="2">
        <v>709</v>
      </c>
      <c r="B715" s="11">
        <f t="shared" ca="1" si="57"/>
        <v>1</v>
      </c>
      <c r="C715" s="26">
        <f t="shared" ca="1" si="58"/>
        <v>0.50663886689475601</v>
      </c>
      <c r="J715">
        <f t="shared" ca="1" si="59"/>
        <v>0</v>
      </c>
      <c r="K715">
        <f t="shared" ca="1" si="60"/>
        <v>0</v>
      </c>
      <c r="L715" s="65">
        <v>709</v>
      </c>
      <c r="M715" s="71">
        <f t="shared" ca="1" si="56"/>
        <v>1.9143794865308088</v>
      </c>
      <c r="N715" s="65"/>
    </row>
    <row r="716" spans="1:14" x14ac:dyDescent="0.25">
      <c r="A716" s="2">
        <v>710</v>
      </c>
      <c r="B716" s="11">
        <f t="shared" ca="1" si="57"/>
        <v>0</v>
      </c>
      <c r="C716" s="26">
        <f t="shared" ca="1" si="58"/>
        <v>0.89082227743465514</v>
      </c>
      <c r="J716">
        <f t="shared" ca="1" si="59"/>
        <v>0</v>
      </c>
      <c r="K716">
        <f t="shared" ca="1" si="60"/>
        <v>0</v>
      </c>
      <c r="L716" s="65">
        <v>710</v>
      </c>
      <c r="M716" s="71">
        <f t="shared" ca="1" si="56"/>
        <v>0</v>
      </c>
      <c r="N716" s="65"/>
    </row>
    <row r="717" spans="1:14" x14ac:dyDescent="0.25">
      <c r="A717" s="2">
        <v>711</v>
      </c>
      <c r="B717" s="11">
        <f t="shared" ca="1" si="57"/>
        <v>1</v>
      </c>
      <c r="C717" s="26">
        <f t="shared" ca="1" si="58"/>
        <v>0.67357528861981464</v>
      </c>
      <c r="J717">
        <f t="shared" ca="1" si="59"/>
        <v>1</v>
      </c>
      <c r="K717">
        <f t="shared" ca="1" si="60"/>
        <v>0</v>
      </c>
      <c r="L717" s="65">
        <v>711</v>
      </c>
      <c r="M717" s="71">
        <f t="shared" ca="1" si="56"/>
        <v>1.2358508194677225</v>
      </c>
      <c r="N717" s="65"/>
    </row>
    <row r="718" spans="1:14" x14ac:dyDescent="0.25">
      <c r="A718" s="2">
        <v>712</v>
      </c>
      <c r="B718" s="11">
        <f t="shared" ca="1" si="57"/>
        <v>1</v>
      </c>
      <c r="C718" s="26">
        <f t="shared" ca="1" si="58"/>
        <v>0.16371576510920427</v>
      </c>
      <c r="J718">
        <f t="shared" ca="1" si="59"/>
        <v>1</v>
      </c>
      <c r="K718">
        <f t="shared" ca="1" si="60"/>
        <v>0</v>
      </c>
      <c r="L718" s="65">
        <v>712</v>
      </c>
      <c r="M718" s="71">
        <f t="shared" ca="1" si="56"/>
        <v>2.9534964996359072</v>
      </c>
      <c r="N718" s="65"/>
    </row>
    <row r="719" spans="1:14" x14ac:dyDescent="0.25">
      <c r="A719" s="2">
        <v>713</v>
      </c>
      <c r="B719" s="11">
        <f t="shared" ca="1" si="57"/>
        <v>1</v>
      </c>
      <c r="C719" s="26">
        <f t="shared" ca="1" si="58"/>
        <v>0.58902997226739862</v>
      </c>
      <c r="J719">
        <f t="shared" ca="1" si="59"/>
        <v>1</v>
      </c>
      <c r="K719">
        <f t="shared" ca="1" si="60"/>
        <v>0</v>
      </c>
      <c r="L719" s="65">
        <v>713</v>
      </c>
      <c r="M719" s="71">
        <f t="shared" ca="1" si="56"/>
        <v>2.0432590066839165</v>
      </c>
      <c r="N719" s="65"/>
    </row>
    <row r="720" spans="1:14" x14ac:dyDescent="0.25">
      <c r="A720" s="2">
        <v>714</v>
      </c>
      <c r="B720" s="11">
        <f t="shared" ca="1" si="57"/>
        <v>1</v>
      </c>
      <c r="C720" s="26">
        <f t="shared" ca="1" si="58"/>
        <v>0.6344080234834496</v>
      </c>
      <c r="J720">
        <f t="shared" ca="1" si="59"/>
        <v>0</v>
      </c>
      <c r="K720">
        <f t="shared" ca="1" si="60"/>
        <v>0</v>
      </c>
      <c r="L720" s="65">
        <v>714</v>
      </c>
      <c r="M720" s="71">
        <f t="shared" ca="1" si="56"/>
        <v>1.7506050169665186</v>
      </c>
      <c r="N720" s="65"/>
    </row>
    <row r="721" spans="1:14" x14ac:dyDescent="0.25">
      <c r="A721" s="2">
        <v>715</v>
      </c>
      <c r="B721" s="11">
        <f t="shared" ca="1" si="57"/>
        <v>0</v>
      </c>
      <c r="C721" s="26">
        <f t="shared" ca="1" si="58"/>
        <v>0.91985215101234241</v>
      </c>
      <c r="J721">
        <f t="shared" ca="1" si="59"/>
        <v>0</v>
      </c>
      <c r="K721">
        <f t="shared" ca="1" si="60"/>
        <v>0</v>
      </c>
      <c r="L721" s="65">
        <v>715</v>
      </c>
      <c r="M721" s="71">
        <f t="shared" ca="1" si="56"/>
        <v>0</v>
      </c>
      <c r="N721" s="65"/>
    </row>
    <row r="722" spans="1:14" x14ac:dyDescent="0.25">
      <c r="A722" s="2">
        <v>716</v>
      </c>
      <c r="B722" s="11">
        <f t="shared" ca="1" si="57"/>
        <v>1</v>
      </c>
      <c r="C722" s="26">
        <f t="shared" ca="1" si="58"/>
        <v>0.58727119027701546</v>
      </c>
      <c r="J722">
        <f t="shared" ca="1" si="59"/>
        <v>1</v>
      </c>
      <c r="K722">
        <f t="shared" ca="1" si="60"/>
        <v>0</v>
      </c>
      <c r="L722" s="65">
        <v>716</v>
      </c>
      <c r="M722" s="71">
        <f t="shared" ca="1" si="56"/>
        <v>7.8230469768006845</v>
      </c>
      <c r="N722" s="65"/>
    </row>
    <row r="723" spans="1:14" x14ac:dyDescent="0.25">
      <c r="A723" s="2">
        <v>717</v>
      </c>
      <c r="B723" s="11">
        <f t="shared" ca="1" si="57"/>
        <v>1</v>
      </c>
      <c r="C723" s="26">
        <f t="shared" ca="1" si="58"/>
        <v>6.5494969071225873E-3</v>
      </c>
      <c r="J723">
        <f t="shared" ca="1" si="59"/>
        <v>1</v>
      </c>
      <c r="K723">
        <f t="shared" ca="1" si="60"/>
        <v>0</v>
      </c>
      <c r="L723" s="65">
        <v>717</v>
      </c>
      <c r="M723" s="71">
        <f t="shared" ca="1" si="56"/>
        <v>0.22035377384577087</v>
      </c>
      <c r="N723" s="65"/>
    </row>
    <row r="724" spans="1:14" x14ac:dyDescent="0.25">
      <c r="A724" s="2">
        <v>718</v>
      </c>
      <c r="B724" s="11">
        <f t="shared" ca="1" si="57"/>
        <v>1</v>
      </c>
      <c r="C724" s="26">
        <f t="shared" ca="1" si="58"/>
        <v>0.12166128221623496</v>
      </c>
      <c r="J724">
        <f t="shared" ca="1" si="59"/>
        <v>1</v>
      </c>
      <c r="K724">
        <f t="shared" ca="1" si="60"/>
        <v>0</v>
      </c>
      <c r="L724" s="65">
        <v>718</v>
      </c>
      <c r="M724" s="71">
        <f t="shared" ca="1" si="56"/>
        <v>12.568878522218899</v>
      </c>
      <c r="N724" s="65"/>
    </row>
    <row r="725" spans="1:14" x14ac:dyDescent="0.25">
      <c r="A725" s="2">
        <v>719</v>
      </c>
      <c r="B725" s="11">
        <f t="shared" ca="1" si="57"/>
        <v>1</v>
      </c>
      <c r="C725" s="26">
        <f t="shared" ca="1" si="58"/>
        <v>0.79119136321829941</v>
      </c>
      <c r="J725">
        <f t="shared" ca="1" si="59"/>
        <v>1</v>
      </c>
      <c r="K725">
        <f t="shared" ca="1" si="60"/>
        <v>0</v>
      </c>
      <c r="L725" s="65">
        <v>719</v>
      </c>
      <c r="M725" s="71">
        <f t="shared" ca="1" si="56"/>
        <v>2.2879265840318173</v>
      </c>
      <c r="N725" s="65"/>
    </row>
    <row r="726" spans="1:14" x14ac:dyDescent="0.25">
      <c r="A726" s="2">
        <v>720</v>
      </c>
      <c r="B726" s="11">
        <f t="shared" ca="1" si="57"/>
        <v>1</v>
      </c>
      <c r="C726" s="26">
        <f t="shared" ca="1" si="58"/>
        <v>0.3665258346351683</v>
      </c>
      <c r="J726">
        <f t="shared" ca="1" si="59"/>
        <v>1</v>
      </c>
      <c r="K726">
        <f t="shared" ca="1" si="60"/>
        <v>0</v>
      </c>
      <c r="L726" s="65">
        <v>720</v>
      </c>
      <c r="M726" s="71">
        <f t="shared" ca="1" si="56"/>
        <v>3.3158038315997929</v>
      </c>
      <c r="N726" s="65"/>
    </row>
    <row r="727" spans="1:14" x14ac:dyDescent="0.25">
      <c r="A727" s="2">
        <v>721</v>
      </c>
      <c r="B727" s="11">
        <f t="shared" ca="1" si="57"/>
        <v>1</v>
      </c>
      <c r="C727" s="26">
        <f t="shared" ca="1" si="58"/>
        <v>0.69477573915570023</v>
      </c>
      <c r="J727">
        <f t="shared" ca="1" si="59"/>
        <v>0</v>
      </c>
      <c r="K727">
        <f t="shared" ca="1" si="60"/>
        <v>0</v>
      </c>
      <c r="L727" s="65">
        <v>721</v>
      </c>
      <c r="M727" s="71">
        <f t="shared" ca="1" si="56"/>
        <v>4.6903766497480248</v>
      </c>
      <c r="N727" s="65"/>
    </row>
    <row r="728" spans="1:14" x14ac:dyDescent="0.25">
      <c r="A728" s="2">
        <v>722</v>
      </c>
      <c r="B728" s="11">
        <f t="shared" ca="1" si="57"/>
        <v>0</v>
      </c>
      <c r="C728" s="26">
        <f t="shared" ca="1" si="58"/>
        <v>0.97145681300833475</v>
      </c>
      <c r="J728">
        <f t="shared" ca="1" si="59"/>
        <v>0</v>
      </c>
      <c r="K728">
        <f t="shared" ca="1" si="60"/>
        <v>0</v>
      </c>
      <c r="L728" s="65">
        <v>722</v>
      </c>
      <c r="M728" s="71">
        <f t="shared" ca="1" si="56"/>
        <v>0</v>
      </c>
      <c r="N728" s="65"/>
    </row>
    <row r="729" spans="1:14" x14ac:dyDescent="0.25">
      <c r="A729" s="2">
        <v>723</v>
      </c>
      <c r="B729" s="11">
        <f t="shared" ca="1" si="57"/>
        <v>1</v>
      </c>
      <c r="C729" s="26">
        <f t="shared" ca="1" si="58"/>
        <v>0.16615911871609768</v>
      </c>
      <c r="J729">
        <f t="shared" ca="1" si="59"/>
        <v>1</v>
      </c>
      <c r="K729">
        <f t="shared" ca="1" si="60"/>
        <v>0</v>
      </c>
      <c r="L729" s="65">
        <v>723</v>
      </c>
      <c r="M729" s="71">
        <f t="shared" ca="1" si="56"/>
        <v>7.0127485084736101</v>
      </c>
      <c r="N729" s="65"/>
    </row>
    <row r="730" spans="1:14" x14ac:dyDescent="0.25">
      <c r="A730" s="2">
        <v>724</v>
      </c>
      <c r="B730" s="11">
        <f t="shared" ca="1" si="57"/>
        <v>1</v>
      </c>
      <c r="C730" s="26">
        <f t="shared" ca="1" si="58"/>
        <v>0.75358333190891857</v>
      </c>
      <c r="J730">
        <f t="shared" ca="1" si="59"/>
        <v>0</v>
      </c>
      <c r="K730">
        <f t="shared" ca="1" si="60"/>
        <v>0</v>
      </c>
      <c r="L730" s="65">
        <v>724</v>
      </c>
      <c r="M730" s="71">
        <f t="shared" ca="1" si="56"/>
        <v>12.475886607716411</v>
      </c>
      <c r="N730" s="65"/>
    </row>
    <row r="731" spans="1:14" x14ac:dyDescent="0.25">
      <c r="A731" s="2">
        <v>725</v>
      </c>
      <c r="B731" s="11">
        <f t="shared" ca="1" si="57"/>
        <v>0</v>
      </c>
      <c r="C731" s="26">
        <f t="shared" ca="1" si="58"/>
        <v>0.84128791939818737</v>
      </c>
      <c r="J731">
        <f t="shared" ca="1" si="59"/>
        <v>0</v>
      </c>
      <c r="K731">
        <f t="shared" ca="1" si="60"/>
        <v>0</v>
      </c>
      <c r="L731" s="65">
        <v>725</v>
      </c>
      <c r="M731" s="71">
        <f t="shared" ca="1" si="56"/>
        <v>0</v>
      </c>
      <c r="N731" s="65"/>
    </row>
    <row r="732" spans="1:14" x14ac:dyDescent="0.25">
      <c r="A732" s="2">
        <v>726</v>
      </c>
      <c r="B732" s="11">
        <f t="shared" ca="1" si="57"/>
        <v>1</v>
      </c>
      <c r="C732" s="26">
        <f t="shared" ca="1" si="58"/>
        <v>0.56124465017096603</v>
      </c>
      <c r="J732">
        <f t="shared" ca="1" si="59"/>
        <v>1</v>
      </c>
      <c r="K732">
        <f t="shared" ca="1" si="60"/>
        <v>0</v>
      </c>
      <c r="L732" s="65">
        <v>726</v>
      </c>
      <c r="M732" s="71">
        <f t="shared" ca="1" si="56"/>
        <v>1.8702098165394796</v>
      </c>
      <c r="N732" s="65"/>
    </row>
    <row r="733" spans="1:14" x14ac:dyDescent="0.25">
      <c r="A733" s="2">
        <v>727</v>
      </c>
      <c r="B733" s="11">
        <f t="shared" ca="1" si="57"/>
        <v>1</v>
      </c>
      <c r="C733" s="26">
        <f t="shared" ca="1" si="58"/>
        <v>0.74244961102567941</v>
      </c>
      <c r="J733">
        <f t="shared" ca="1" si="59"/>
        <v>1</v>
      </c>
      <c r="K733">
        <f t="shared" ca="1" si="60"/>
        <v>0</v>
      </c>
      <c r="L733" s="65">
        <v>727</v>
      </c>
      <c r="M733" s="71">
        <f t="shared" ca="1" si="56"/>
        <v>5.055703163935612</v>
      </c>
      <c r="N733" s="65"/>
    </row>
    <row r="734" spans="1:14" x14ac:dyDescent="0.25">
      <c r="A734" s="2">
        <v>728</v>
      </c>
      <c r="B734" s="11">
        <f t="shared" ca="1" si="57"/>
        <v>1</v>
      </c>
      <c r="C734" s="26">
        <f t="shared" ca="1" si="58"/>
        <v>0.12562261765313154</v>
      </c>
      <c r="J734">
        <f t="shared" ca="1" si="59"/>
        <v>1</v>
      </c>
      <c r="K734">
        <f t="shared" ca="1" si="60"/>
        <v>0</v>
      </c>
      <c r="L734" s="65">
        <v>728</v>
      </c>
      <c r="M734" s="71">
        <f t="shared" ca="1" si="56"/>
        <v>3.7789968504403282</v>
      </c>
      <c r="N734" s="65"/>
    </row>
    <row r="735" spans="1:14" x14ac:dyDescent="0.25">
      <c r="A735" s="2">
        <v>729</v>
      </c>
      <c r="B735" s="11">
        <f t="shared" ca="1" si="57"/>
        <v>1</v>
      </c>
      <c r="C735" s="26">
        <f t="shared" ca="1" si="58"/>
        <v>0.42599059964843211</v>
      </c>
      <c r="J735">
        <f t="shared" ca="1" si="59"/>
        <v>1</v>
      </c>
      <c r="K735">
        <f t="shared" ca="1" si="60"/>
        <v>0</v>
      </c>
      <c r="L735" s="65">
        <v>729</v>
      </c>
      <c r="M735" s="71">
        <f t="shared" ca="1" si="56"/>
        <v>1.2474803700493757</v>
      </c>
      <c r="N735" s="65"/>
    </row>
    <row r="736" spans="1:14" x14ac:dyDescent="0.25">
      <c r="A736" s="2">
        <v>730</v>
      </c>
      <c r="B736" s="11">
        <f t="shared" ca="1" si="57"/>
        <v>1</v>
      </c>
      <c r="C736" s="26">
        <f t="shared" ca="1" si="58"/>
        <v>9.8137421291292326E-2</v>
      </c>
      <c r="J736">
        <f t="shared" ca="1" si="59"/>
        <v>1</v>
      </c>
      <c r="K736">
        <f t="shared" ca="1" si="60"/>
        <v>0</v>
      </c>
      <c r="L736" s="65">
        <v>730</v>
      </c>
      <c r="M736" s="71">
        <f t="shared" ca="1" si="56"/>
        <v>4.9430788743121958</v>
      </c>
      <c r="N736" s="65"/>
    </row>
    <row r="737" spans="1:14" x14ac:dyDescent="0.25">
      <c r="A737" s="2">
        <v>731</v>
      </c>
      <c r="B737" s="11">
        <f t="shared" ca="1" si="57"/>
        <v>1</v>
      </c>
      <c r="C737" s="26">
        <f t="shared" ca="1" si="58"/>
        <v>9.7782805387346849E-2</v>
      </c>
      <c r="J737">
        <f t="shared" ca="1" si="59"/>
        <v>0</v>
      </c>
      <c r="K737">
        <f t="shared" ca="1" si="60"/>
        <v>0</v>
      </c>
      <c r="L737" s="65">
        <v>731</v>
      </c>
      <c r="M737" s="71">
        <f t="shared" ca="1" si="56"/>
        <v>8.4143259721107704</v>
      </c>
      <c r="N737" s="65"/>
    </row>
    <row r="738" spans="1:14" x14ac:dyDescent="0.25">
      <c r="A738" s="2">
        <v>732</v>
      </c>
      <c r="B738" s="11">
        <f t="shared" ca="1" si="57"/>
        <v>0</v>
      </c>
      <c r="C738" s="26">
        <f t="shared" ca="1" si="58"/>
        <v>0.97764832925979661</v>
      </c>
      <c r="J738">
        <f t="shared" ca="1" si="59"/>
        <v>0</v>
      </c>
      <c r="K738">
        <f t="shared" ca="1" si="60"/>
        <v>1</v>
      </c>
      <c r="L738" s="65">
        <v>732</v>
      </c>
      <c r="M738" s="71">
        <f t="shared" ca="1" si="56"/>
        <v>0</v>
      </c>
      <c r="N738" s="65"/>
    </row>
    <row r="739" spans="1:14" x14ac:dyDescent="0.25">
      <c r="A739" s="2">
        <v>733</v>
      </c>
      <c r="B739" s="11">
        <f t="shared" ca="1" si="57"/>
        <v>0</v>
      </c>
      <c r="C739" s="26">
        <f t="shared" ca="1" si="58"/>
        <v>0.91526992020535125</v>
      </c>
      <c r="J739">
        <f t="shared" ca="1" si="59"/>
        <v>0</v>
      </c>
      <c r="K739">
        <f t="shared" ca="1" si="60"/>
        <v>0</v>
      </c>
      <c r="L739" s="65">
        <v>733</v>
      </c>
      <c r="M739" s="71">
        <f t="shared" ca="1" si="56"/>
        <v>0</v>
      </c>
      <c r="N739" s="65"/>
    </row>
    <row r="740" spans="1:14" x14ac:dyDescent="0.25">
      <c r="A740" s="2">
        <v>734</v>
      </c>
      <c r="B740" s="11">
        <f t="shared" ca="1" si="57"/>
        <v>1</v>
      </c>
      <c r="C740" s="26">
        <f t="shared" ca="1" si="58"/>
        <v>4.2681434429968634E-3</v>
      </c>
      <c r="J740">
        <f t="shared" ca="1" si="59"/>
        <v>1</v>
      </c>
      <c r="K740">
        <f t="shared" ca="1" si="60"/>
        <v>0</v>
      </c>
      <c r="L740" s="65">
        <v>734</v>
      </c>
      <c r="M740" s="71">
        <f t="shared" ca="1" si="56"/>
        <v>14.191062589827757</v>
      </c>
      <c r="N740" s="65"/>
    </row>
    <row r="741" spans="1:14" x14ac:dyDescent="0.25">
      <c r="A741" s="2">
        <v>735</v>
      </c>
      <c r="B741" s="11">
        <f t="shared" ca="1" si="57"/>
        <v>1</v>
      </c>
      <c r="C741" s="26">
        <f t="shared" ca="1" si="58"/>
        <v>0.63645519048857524</v>
      </c>
      <c r="J741">
        <f t="shared" ca="1" si="59"/>
        <v>1</v>
      </c>
      <c r="K741">
        <f t="shared" ca="1" si="60"/>
        <v>0</v>
      </c>
      <c r="L741" s="65">
        <v>735</v>
      </c>
      <c r="M741" s="71">
        <f t="shared" ca="1" si="56"/>
        <v>2.9900122229691228</v>
      </c>
      <c r="N741" s="65"/>
    </row>
    <row r="742" spans="1:14" x14ac:dyDescent="0.25">
      <c r="A742" s="2">
        <v>736</v>
      </c>
      <c r="B742" s="11">
        <f t="shared" ca="1" si="57"/>
        <v>1</v>
      </c>
      <c r="C742" s="26">
        <f t="shared" ca="1" si="58"/>
        <v>0.43169375405759447</v>
      </c>
      <c r="J742">
        <f t="shared" ca="1" si="59"/>
        <v>0</v>
      </c>
      <c r="K742">
        <f t="shared" ca="1" si="60"/>
        <v>0</v>
      </c>
      <c r="L742" s="65">
        <v>736</v>
      </c>
      <c r="M742" s="71">
        <f t="shared" ca="1" si="56"/>
        <v>12.346270941882304</v>
      </c>
      <c r="N742" s="65"/>
    </row>
    <row r="743" spans="1:14" x14ac:dyDescent="0.25">
      <c r="A743" s="2">
        <v>737</v>
      </c>
      <c r="B743" s="11">
        <f t="shared" ca="1" si="57"/>
        <v>0</v>
      </c>
      <c r="C743" s="26">
        <f t="shared" ca="1" si="58"/>
        <v>0.90799855845509336</v>
      </c>
      <c r="J743">
        <f t="shared" ca="1" si="59"/>
        <v>0</v>
      </c>
      <c r="K743">
        <f t="shared" ca="1" si="60"/>
        <v>0</v>
      </c>
      <c r="L743" s="65">
        <v>737</v>
      </c>
      <c r="M743" s="71">
        <f t="shared" ca="1" si="56"/>
        <v>0</v>
      </c>
      <c r="N743" s="65"/>
    </row>
    <row r="744" spans="1:14" x14ac:dyDescent="0.25">
      <c r="A744" s="2">
        <v>738</v>
      </c>
      <c r="B744" s="11">
        <f t="shared" ca="1" si="57"/>
        <v>1</v>
      </c>
      <c r="C744" s="26">
        <f t="shared" ca="1" si="58"/>
        <v>0.36350949116981268</v>
      </c>
      <c r="J744">
        <f t="shared" ca="1" si="59"/>
        <v>1</v>
      </c>
      <c r="K744">
        <f t="shared" ca="1" si="60"/>
        <v>0</v>
      </c>
      <c r="L744" s="65">
        <v>738</v>
      </c>
      <c r="M744" s="71">
        <f t="shared" ca="1" si="56"/>
        <v>11.627781685141626</v>
      </c>
      <c r="N744" s="65"/>
    </row>
    <row r="745" spans="1:14" x14ac:dyDescent="0.25">
      <c r="A745" s="2">
        <v>739</v>
      </c>
      <c r="B745" s="11">
        <f t="shared" ca="1" si="57"/>
        <v>1</v>
      </c>
      <c r="C745" s="26">
        <f t="shared" ca="1" si="58"/>
        <v>0.3351806084398844</v>
      </c>
      <c r="J745">
        <f t="shared" ca="1" si="59"/>
        <v>1</v>
      </c>
      <c r="K745">
        <f t="shared" ca="1" si="60"/>
        <v>0</v>
      </c>
      <c r="L745" s="65">
        <v>739</v>
      </c>
      <c r="M745" s="71">
        <f t="shared" ca="1" si="56"/>
        <v>0.76885494985719482</v>
      </c>
      <c r="N745" s="65"/>
    </row>
    <row r="746" spans="1:14" x14ac:dyDescent="0.25">
      <c r="A746" s="2">
        <v>740</v>
      </c>
      <c r="B746" s="11">
        <f t="shared" ca="1" si="57"/>
        <v>1</v>
      </c>
      <c r="C746" s="26">
        <f t="shared" ca="1" si="58"/>
        <v>0.14904426591831532</v>
      </c>
      <c r="J746">
        <f t="shared" ca="1" si="59"/>
        <v>0</v>
      </c>
      <c r="K746">
        <f t="shared" ca="1" si="60"/>
        <v>0</v>
      </c>
      <c r="L746" s="65">
        <v>740</v>
      </c>
      <c r="M746" s="71">
        <f t="shared" ca="1" si="56"/>
        <v>2.4269915017816324</v>
      </c>
      <c r="N746" s="65"/>
    </row>
    <row r="747" spans="1:14" x14ac:dyDescent="0.25">
      <c r="A747" s="2">
        <v>741</v>
      </c>
      <c r="B747" s="11">
        <f t="shared" ca="1" si="57"/>
        <v>0</v>
      </c>
      <c r="C747" s="26">
        <f t="shared" ca="1" si="58"/>
        <v>0.95424248460091288</v>
      </c>
      <c r="J747">
        <f t="shared" ca="1" si="59"/>
        <v>0</v>
      </c>
      <c r="K747">
        <f t="shared" ca="1" si="60"/>
        <v>0</v>
      </c>
      <c r="L747" s="65">
        <v>741</v>
      </c>
      <c r="M747" s="71">
        <f t="shared" ca="1" si="56"/>
        <v>0</v>
      </c>
      <c r="N747" s="65"/>
    </row>
    <row r="748" spans="1:14" x14ac:dyDescent="0.25">
      <c r="A748" s="2">
        <v>742</v>
      </c>
      <c r="B748" s="11">
        <f t="shared" ca="1" si="57"/>
        <v>1</v>
      </c>
      <c r="C748" s="26">
        <f t="shared" ca="1" si="58"/>
        <v>0.40572507777860611</v>
      </c>
      <c r="J748">
        <f t="shared" ca="1" si="59"/>
        <v>1</v>
      </c>
      <c r="K748">
        <f t="shared" ca="1" si="60"/>
        <v>0</v>
      </c>
      <c r="L748" s="65">
        <v>742</v>
      </c>
      <c r="M748" s="71">
        <f t="shared" ca="1" si="56"/>
        <v>10.297511992901638</v>
      </c>
      <c r="N748" s="65"/>
    </row>
    <row r="749" spans="1:14" x14ac:dyDescent="0.25">
      <c r="A749" s="2">
        <v>743</v>
      </c>
      <c r="B749" s="11">
        <f t="shared" ca="1" si="57"/>
        <v>1</v>
      </c>
      <c r="C749" s="26">
        <f t="shared" ca="1" si="58"/>
        <v>0.10245049505877712</v>
      </c>
      <c r="J749">
        <f t="shared" ca="1" si="59"/>
        <v>1</v>
      </c>
      <c r="K749">
        <f t="shared" ca="1" si="60"/>
        <v>0</v>
      </c>
      <c r="L749" s="65">
        <v>743</v>
      </c>
      <c r="M749" s="71">
        <f t="shared" ca="1" si="56"/>
        <v>3.8402994678770654</v>
      </c>
      <c r="N749" s="65"/>
    </row>
    <row r="750" spans="1:14" x14ac:dyDescent="0.25">
      <c r="A750" s="2">
        <v>744</v>
      </c>
      <c r="B750" s="11">
        <f t="shared" ca="1" si="57"/>
        <v>1</v>
      </c>
      <c r="C750" s="26">
        <f t="shared" ca="1" si="58"/>
        <v>0.48752319866902194</v>
      </c>
      <c r="J750">
        <f t="shared" ca="1" si="59"/>
        <v>0</v>
      </c>
      <c r="K750">
        <f t="shared" ca="1" si="60"/>
        <v>0</v>
      </c>
      <c r="L750" s="65">
        <v>744</v>
      </c>
      <c r="M750" s="71">
        <f t="shared" ca="1" si="56"/>
        <v>0.1826622242960661</v>
      </c>
      <c r="N750" s="65"/>
    </row>
    <row r="751" spans="1:14" x14ac:dyDescent="0.25">
      <c r="A751" s="2">
        <v>745</v>
      </c>
      <c r="B751" s="11">
        <f t="shared" ca="1" si="57"/>
        <v>0</v>
      </c>
      <c r="C751" s="26">
        <f t="shared" ca="1" si="58"/>
        <v>0.8813237237108813</v>
      </c>
      <c r="J751">
        <f t="shared" ca="1" si="59"/>
        <v>0</v>
      </c>
      <c r="K751">
        <f t="shared" ca="1" si="60"/>
        <v>0</v>
      </c>
      <c r="L751" s="65">
        <v>745</v>
      </c>
      <c r="M751" s="71">
        <f t="shared" ca="1" si="56"/>
        <v>0</v>
      </c>
      <c r="N751" s="65"/>
    </row>
    <row r="752" spans="1:14" x14ac:dyDescent="0.25">
      <c r="A752" s="2">
        <v>746</v>
      </c>
      <c r="B752" s="11">
        <f t="shared" ca="1" si="57"/>
        <v>1</v>
      </c>
      <c r="C752" s="26">
        <f t="shared" ca="1" si="58"/>
        <v>0.57475906592414794</v>
      </c>
      <c r="J752">
        <f t="shared" ca="1" si="59"/>
        <v>1</v>
      </c>
      <c r="K752">
        <f t="shared" ca="1" si="60"/>
        <v>0</v>
      </c>
      <c r="L752" s="65">
        <v>746</v>
      </c>
      <c r="M752" s="71">
        <f t="shared" ca="1" si="56"/>
        <v>1.5365439517277908</v>
      </c>
      <c r="N752" s="65"/>
    </row>
    <row r="753" spans="1:14" x14ac:dyDescent="0.25">
      <c r="A753" s="2">
        <v>747</v>
      </c>
      <c r="B753" s="11">
        <f t="shared" ca="1" si="57"/>
        <v>1</v>
      </c>
      <c r="C753" s="26">
        <f t="shared" ca="1" si="58"/>
        <v>4.8509141536457023E-2</v>
      </c>
      <c r="J753">
        <f t="shared" ca="1" si="59"/>
        <v>1</v>
      </c>
      <c r="K753">
        <f t="shared" ca="1" si="60"/>
        <v>0</v>
      </c>
      <c r="L753" s="65">
        <v>747</v>
      </c>
      <c r="M753" s="71">
        <f t="shared" ca="1" si="56"/>
        <v>3.1951670246869437</v>
      </c>
      <c r="N753" s="65"/>
    </row>
    <row r="754" spans="1:14" x14ac:dyDescent="0.25">
      <c r="A754" s="2">
        <v>748</v>
      </c>
      <c r="B754" s="11">
        <f t="shared" ca="1" si="57"/>
        <v>1</v>
      </c>
      <c r="C754" s="26">
        <f t="shared" ca="1" si="58"/>
        <v>0.70362205376792053</v>
      </c>
      <c r="J754">
        <f t="shared" ca="1" si="59"/>
        <v>1</v>
      </c>
      <c r="K754">
        <f t="shared" ca="1" si="60"/>
        <v>0</v>
      </c>
      <c r="L754" s="65">
        <v>748</v>
      </c>
      <c r="M754" s="71">
        <f t="shared" ca="1" si="56"/>
        <v>2.2471431652332741</v>
      </c>
      <c r="N754" s="65"/>
    </row>
    <row r="755" spans="1:14" x14ac:dyDescent="0.25">
      <c r="A755" s="2">
        <v>749</v>
      </c>
      <c r="B755" s="11">
        <f t="shared" ca="1" si="57"/>
        <v>1</v>
      </c>
      <c r="C755" s="26">
        <f t="shared" ca="1" si="58"/>
        <v>5.6102185503050794E-2</v>
      </c>
      <c r="J755">
        <f t="shared" ca="1" si="59"/>
        <v>1</v>
      </c>
      <c r="K755">
        <f t="shared" ca="1" si="60"/>
        <v>0</v>
      </c>
      <c r="L755" s="65">
        <v>749</v>
      </c>
      <c r="M755" s="71">
        <f t="shared" ca="1" si="56"/>
        <v>8.2350819071763031</v>
      </c>
      <c r="N755" s="65"/>
    </row>
    <row r="756" spans="1:14" x14ac:dyDescent="0.25">
      <c r="A756" s="2">
        <v>750</v>
      </c>
      <c r="B756" s="11">
        <f t="shared" ca="1" si="57"/>
        <v>1</v>
      </c>
      <c r="C756" s="26">
        <f t="shared" ca="1" si="58"/>
        <v>0.75347768601754106</v>
      </c>
      <c r="J756">
        <f t="shared" ca="1" si="59"/>
        <v>1</v>
      </c>
      <c r="K756">
        <f t="shared" ca="1" si="60"/>
        <v>0</v>
      </c>
      <c r="L756" s="65">
        <v>750</v>
      </c>
      <c r="M756" s="71">
        <f t="shared" ca="1" si="56"/>
        <v>3.0021056991403547</v>
      </c>
      <c r="N756" s="65"/>
    </row>
    <row r="757" spans="1:14" x14ac:dyDescent="0.25">
      <c r="A757" s="2">
        <v>751</v>
      </c>
      <c r="B757" s="11">
        <f t="shared" ca="1" si="57"/>
        <v>1</v>
      </c>
      <c r="C757" s="26">
        <f t="shared" ca="1" si="58"/>
        <v>0.36397320593169424</v>
      </c>
      <c r="J757">
        <f t="shared" ca="1" si="59"/>
        <v>0</v>
      </c>
      <c r="K757">
        <f t="shared" ca="1" si="60"/>
        <v>0</v>
      </c>
      <c r="L757" s="65">
        <v>751</v>
      </c>
      <c r="M757" s="71">
        <f t="shared" ca="1" si="56"/>
        <v>2.5650994669595253</v>
      </c>
      <c r="N757" s="65"/>
    </row>
    <row r="758" spans="1:14" x14ac:dyDescent="0.25">
      <c r="A758" s="2">
        <v>752</v>
      </c>
      <c r="B758" s="11">
        <f t="shared" ca="1" si="57"/>
        <v>0</v>
      </c>
      <c r="C758" s="26">
        <f t="shared" ca="1" si="58"/>
        <v>0.97046302525747064</v>
      </c>
      <c r="J758">
        <f t="shared" ca="1" si="59"/>
        <v>0</v>
      </c>
      <c r="K758">
        <f t="shared" ca="1" si="60"/>
        <v>1</v>
      </c>
      <c r="L758" s="65">
        <v>752</v>
      </c>
      <c r="M758" s="71">
        <f t="shared" ca="1" si="56"/>
        <v>0</v>
      </c>
      <c r="N758" s="65"/>
    </row>
    <row r="759" spans="1:14" x14ac:dyDescent="0.25">
      <c r="A759" s="2">
        <v>753</v>
      </c>
      <c r="B759" s="11">
        <f t="shared" ca="1" si="57"/>
        <v>0</v>
      </c>
      <c r="C759" s="26">
        <f t="shared" ca="1" si="58"/>
        <v>0.76348268984386636</v>
      </c>
      <c r="J759">
        <f t="shared" ca="1" si="59"/>
        <v>0</v>
      </c>
      <c r="K759">
        <f t="shared" ca="1" si="60"/>
        <v>0</v>
      </c>
      <c r="L759" s="65">
        <v>753</v>
      </c>
      <c r="M759" s="71">
        <f t="shared" ca="1" si="56"/>
        <v>0</v>
      </c>
      <c r="N759" s="65"/>
    </row>
    <row r="760" spans="1:14" x14ac:dyDescent="0.25">
      <c r="A760" s="2">
        <v>754</v>
      </c>
      <c r="B760" s="11">
        <f t="shared" ca="1" si="57"/>
        <v>1</v>
      </c>
      <c r="C760" s="26">
        <f t="shared" ca="1" si="58"/>
        <v>1.635972611306391E-2</v>
      </c>
      <c r="J760">
        <f t="shared" ca="1" si="59"/>
        <v>1</v>
      </c>
      <c r="K760">
        <f t="shared" ca="1" si="60"/>
        <v>0</v>
      </c>
      <c r="L760" s="65">
        <v>754</v>
      </c>
      <c r="M760" s="71">
        <f t="shared" ca="1" si="56"/>
        <v>0.44137590398284149</v>
      </c>
      <c r="N760" s="65"/>
    </row>
    <row r="761" spans="1:14" x14ac:dyDescent="0.25">
      <c r="A761" s="2">
        <v>755</v>
      </c>
      <c r="B761" s="11">
        <f t="shared" ca="1" si="57"/>
        <v>1</v>
      </c>
      <c r="C761" s="26">
        <f t="shared" ca="1" si="58"/>
        <v>9.9360216124292688E-2</v>
      </c>
      <c r="J761">
        <f t="shared" ca="1" si="59"/>
        <v>1</v>
      </c>
      <c r="K761">
        <f t="shared" ca="1" si="60"/>
        <v>0</v>
      </c>
      <c r="L761" s="65">
        <v>755</v>
      </c>
      <c r="M761" s="71">
        <f t="shared" ca="1" si="56"/>
        <v>8.3814748427775569</v>
      </c>
      <c r="N761" s="65"/>
    </row>
    <row r="762" spans="1:14" x14ac:dyDescent="0.25">
      <c r="A762" s="2">
        <v>756</v>
      </c>
      <c r="B762" s="11">
        <f t="shared" ca="1" si="57"/>
        <v>1</v>
      </c>
      <c r="C762" s="26">
        <f t="shared" ca="1" si="58"/>
        <v>0.46418941352599508</v>
      </c>
      <c r="J762">
        <f t="shared" ca="1" si="59"/>
        <v>1</v>
      </c>
      <c r="K762">
        <f t="shared" ca="1" si="60"/>
        <v>0</v>
      </c>
      <c r="L762" s="65">
        <v>756</v>
      </c>
      <c r="M762" s="71">
        <f t="shared" ca="1" si="56"/>
        <v>0.71209012546387862</v>
      </c>
      <c r="N762" s="65"/>
    </row>
    <row r="763" spans="1:14" x14ac:dyDescent="0.25">
      <c r="A763" s="2">
        <v>757</v>
      </c>
      <c r="B763" s="11">
        <f t="shared" ca="1" si="57"/>
        <v>1</v>
      </c>
      <c r="C763" s="26">
        <f t="shared" ca="1" si="58"/>
        <v>0.67949583534599023</v>
      </c>
      <c r="J763">
        <f t="shared" ca="1" si="59"/>
        <v>1</v>
      </c>
      <c r="K763">
        <f t="shared" ca="1" si="60"/>
        <v>0</v>
      </c>
      <c r="L763" s="65">
        <v>757</v>
      </c>
      <c r="M763" s="71">
        <f t="shared" ca="1" si="56"/>
        <v>0.44723732010458228</v>
      </c>
      <c r="N763" s="65"/>
    </row>
    <row r="764" spans="1:14" x14ac:dyDescent="0.25">
      <c r="A764" s="2">
        <v>758</v>
      </c>
      <c r="B764" s="11">
        <f t="shared" ca="1" si="57"/>
        <v>1</v>
      </c>
      <c r="C764" s="26">
        <f t="shared" ca="1" si="58"/>
        <v>0.65144156492874727</v>
      </c>
      <c r="J764">
        <f t="shared" ca="1" si="59"/>
        <v>0</v>
      </c>
      <c r="K764">
        <f t="shared" ca="1" si="60"/>
        <v>0</v>
      </c>
      <c r="L764" s="65">
        <v>758</v>
      </c>
      <c r="M764" s="71">
        <f t="shared" ca="1" si="56"/>
        <v>0.78756949121790509</v>
      </c>
      <c r="N764" s="65"/>
    </row>
    <row r="765" spans="1:14" x14ac:dyDescent="0.25">
      <c r="A765" s="2">
        <v>759</v>
      </c>
      <c r="B765" s="11">
        <f t="shared" ca="1" si="57"/>
        <v>0</v>
      </c>
      <c r="C765" s="26">
        <f t="shared" ca="1" si="58"/>
        <v>0.81235902546074423</v>
      </c>
      <c r="J765">
        <f t="shared" ca="1" si="59"/>
        <v>0</v>
      </c>
      <c r="K765">
        <f t="shared" ca="1" si="60"/>
        <v>0</v>
      </c>
      <c r="L765" s="65">
        <v>759</v>
      </c>
      <c r="M765" s="71">
        <f t="shared" ca="1" si="56"/>
        <v>0</v>
      </c>
      <c r="N765" s="65"/>
    </row>
    <row r="766" spans="1:14" x14ac:dyDescent="0.25">
      <c r="A766" s="2">
        <v>760</v>
      </c>
      <c r="B766" s="11">
        <f t="shared" ca="1" si="57"/>
        <v>1</v>
      </c>
      <c r="C766" s="26">
        <f t="shared" ca="1" si="58"/>
        <v>0.29007275925501941</v>
      </c>
      <c r="J766">
        <f t="shared" ca="1" si="59"/>
        <v>1</v>
      </c>
      <c r="K766">
        <f t="shared" ca="1" si="60"/>
        <v>0</v>
      </c>
      <c r="L766" s="65">
        <v>760</v>
      </c>
      <c r="M766" s="71">
        <f t="shared" ca="1" si="56"/>
        <v>3.1377693516468033</v>
      </c>
      <c r="N766" s="65"/>
    </row>
    <row r="767" spans="1:14" x14ac:dyDescent="0.25">
      <c r="A767" s="2">
        <v>761</v>
      </c>
      <c r="B767" s="11">
        <f t="shared" ca="1" si="57"/>
        <v>1</v>
      </c>
      <c r="C767" s="26">
        <f t="shared" ca="1" si="58"/>
        <v>0.76203245744918846</v>
      </c>
      <c r="J767">
        <f t="shared" ca="1" si="59"/>
        <v>1</v>
      </c>
      <c r="K767">
        <f t="shared" ca="1" si="60"/>
        <v>0</v>
      </c>
      <c r="L767" s="65">
        <v>761</v>
      </c>
      <c r="M767" s="71">
        <f t="shared" ca="1" si="56"/>
        <v>4.4728320403119808</v>
      </c>
      <c r="N767" s="65"/>
    </row>
    <row r="768" spans="1:14" x14ac:dyDescent="0.25">
      <c r="A768" s="2">
        <v>762</v>
      </c>
      <c r="B768" s="11">
        <f t="shared" ca="1" si="57"/>
        <v>1</v>
      </c>
      <c r="C768" s="26">
        <f t="shared" ca="1" si="58"/>
        <v>0.26784321622485663</v>
      </c>
      <c r="J768">
        <f t="shared" ca="1" si="59"/>
        <v>1</v>
      </c>
      <c r="K768">
        <f t="shared" ca="1" si="60"/>
        <v>0</v>
      </c>
      <c r="L768" s="65">
        <v>762</v>
      </c>
      <c r="M768" s="71">
        <f t="shared" ca="1" si="56"/>
        <v>2.7035442781439234</v>
      </c>
      <c r="N768" s="65"/>
    </row>
    <row r="769" spans="1:14" x14ac:dyDescent="0.25">
      <c r="A769" s="2">
        <v>763</v>
      </c>
      <c r="B769" s="11">
        <f t="shared" ca="1" si="57"/>
        <v>1</v>
      </c>
      <c r="C769" s="26">
        <f t="shared" ca="1" si="58"/>
        <v>0.44200330399972265</v>
      </c>
      <c r="J769">
        <f t="shared" ca="1" si="59"/>
        <v>1</v>
      </c>
      <c r="K769">
        <f t="shared" ca="1" si="60"/>
        <v>0</v>
      </c>
      <c r="L769" s="65">
        <v>763</v>
      </c>
      <c r="M769" s="71">
        <f t="shared" ca="1" si="56"/>
        <v>1.671933634728515</v>
      </c>
      <c r="N769" s="65"/>
    </row>
    <row r="770" spans="1:14" x14ac:dyDescent="0.25">
      <c r="A770" s="2">
        <v>764</v>
      </c>
      <c r="B770" s="11">
        <f t="shared" ca="1" si="57"/>
        <v>1</v>
      </c>
      <c r="C770" s="26">
        <f t="shared" ca="1" si="58"/>
        <v>0.13074451507899199</v>
      </c>
      <c r="J770">
        <f t="shared" ca="1" si="59"/>
        <v>1</v>
      </c>
      <c r="K770">
        <f t="shared" ca="1" si="60"/>
        <v>0</v>
      </c>
      <c r="L770" s="65">
        <v>764</v>
      </c>
      <c r="M770" s="71">
        <f t="shared" ca="1" si="56"/>
        <v>1.9042786192628411</v>
      </c>
      <c r="N770" s="65"/>
    </row>
    <row r="771" spans="1:14" x14ac:dyDescent="0.25">
      <c r="A771" s="2">
        <v>765</v>
      </c>
      <c r="B771" s="11">
        <f t="shared" ca="1" si="57"/>
        <v>1</v>
      </c>
      <c r="C771" s="26">
        <f t="shared" ca="1" si="58"/>
        <v>0.59142351365626178</v>
      </c>
      <c r="J771">
        <f t="shared" ca="1" si="59"/>
        <v>1</v>
      </c>
      <c r="K771">
        <f t="shared" ca="1" si="60"/>
        <v>0</v>
      </c>
      <c r="L771" s="65">
        <v>765</v>
      </c>
      <c r="M771" s="71">
        <f t="shared" ca="1" si="56"/>
        <v>0.60561624637134803</v>
      </c>
      <c r="N771" s="65"/>
    </row>
    <row r="772" spans="1:14" x14ac:dyDescent="0.25">
      <c r="A772" s="2">
        <v>766</v>
      </c>
      <c r="B772" s="11">
        <f t="shared" ca="1" si="57"/>
        <v>1</v>
      </c>
      <c r="C772" s="26">
        <f t="shared" ca="1" si="58"/>
        <v>5.3826691975105923E-2</v>
      </c>
      <c r="J772">
        <f t="shared" ca="1" si="59"/>
        <v>1</v>
      </c>
      <c r="K772">
        <f t="shared" ca="1" si="60"/>
        <v>0</v>
      </c>
      <c r="L772" s="65">
        <v>766</v>
      </c>
      <c r="M772" s="71">
        <f t="shared" ca="1" si="56"/>
        <v>1.5408301309396899</v>
      </c>
      <c r="N772" s="65"/>
    </row>
    <row r="773" spans="1:14" x14ac:dyDescent="0.25">
      <c r="A773" s="2">
        <v>767</v>
      </c>
      <c r="B773" s="11">
        <f t="shared" ca="1" si="57"/>
        <v>1</v>
      </c>
      <c r="C773" s="26">
        <f t="shared" ca="1" si="58"/>
        <v>0.47152939083115508</v>
      </c>
      <c r="J773">
        <f t="shared" ca="1" si="59"/>
        <v>1</v>
      </c>
      <c r="K773">
        <f t="shared" ca="1" si="60"/>
        <v>0</v>
      </c>
      <c r="L773" s="65">
        <v>767</v>
      </c>
      <c r="M773" s="71">
        <f t="shared" ca="1" si="56"/>
        <v>0.19292121717306729</v>
      </c>
      <c r="N773" s="65"/>
    </row>
    <row r="774" spans="1:14" x14ac:dyDescent="0.25">
      <c r="A774" s="2">
        <v>768</v>
      </c>
      <c r="B774" s="11">
        <f t="shared" ca="1" si="57"/>
        <v>1</v>
      </c>
      <c r="C774" s="26">
        <f t="shared" ca="1" si="58"/>
        <v>0.63953429557095398</v>
      </c>
      <c r="J774">
        <f t="shared" ca="1" si="59"/>
        <v>1</v>
      </c>
      <c r="K774">
        <f t="shared" ca="1" si="60"/>
        <v>0</v>
      </c>
      <c r="L774" s="65">
        <v>768</v>
      </c>
      <c r="M774" s="71">
        <f t="shared" ca="1" si="56"/>
        <v>0.63643206764099669</v>
      </c>
      <c r="N774" s="65"/>
    </row>
    <row r="775" spans="1:14" x14ac:dyDescent="0.25">
      <c r="A775" s="2">
        <v>769</v>
      </c>
      <c r="B775" s="11">
        <f t="shared" ca="1" si="57"/>
        <v>1</v>
      </c>
      <c r="C775" s="26">
        <f t="shared" ca="1" si="58"/>
        <v>0.51512999748855071</v>
      </c>
      <c r="J775">
        <f t="shared" ca="1" si="59"/>
        <v>1</v>
      </c>
      <c r="K775">
        <f t="shared" ca="1" si="60"/>
        <v>0</v>
      </c>
      <c r="L775" s="65">
        <v>769</v>
      </c>
      <c r="M775" s="71">
        <f t="shared" ref="M775:M838" ca="1" si="61">IF(B775&gt;0,-LN(1-(RAND()))/lambda,0)</f>
        <v>5.6470443418621974</v>
      </c>
      <c r="N775" s="65"/>
    </row>
    <row r="776" spans="1:14" x14ac:dyDescent="0.25">
      <c r="A776" s="2">
        <v>770</v>
      </c>
      <c r="B776" s="11">
        <f t="shared" ref="B776:B839" ca="1" si="62">IF(B775&gt;0,IF(C776&lt;pww,1,0),IF(C776&lt;pdw,1,0))</f>
        <v>1</v>
      </c>
      <c r="C776" s="26">
        <f t="shared" ref="C776:C839" ca="1" si="63">RAND()</f>
        <v>0.1759573049151778</v>
      </c>
      <c r="J776">
        <f t="shared" ref="J776:J839" ca="1" si="64">IF(AND(B776,B777),1,0)</f>
        <v>1</v>
      </c>
      <c r="K776">
        <f t="shared" ref="K776:K839" ca="1" si="65">IF(AND(NOT(B776),NOT(B777)),1,0)</f>
        <v>0</v>
      </c>
      <c r="L776" s="65">
        <v>770</v>
      </c>
      <c r="M776" s="71">
        <f t="shared" ca="1" si="61"/>
        <v>1.0541218294669044</v>
      </c>
      <c r="N776" s="65"/>
    </row>
    <row r="777" spans="1:14" x14ac:dyDescent="0.25">
      <c r="A777" s="2">
        <v>771</v>
      </c>
      <c r="B777" s="11">
        <f t="shared" ca="1" si="62"/>
        <v>1</v>
      </c>
      <c r="C777" s="26">
        <f t="shared" ca="1" si="63"/>
        <v>0.25578235860643372</v>
      </c>
      <c r="J777">
        <f t="shared" ca="1" si="64"/>
        <v>0</v>
      </c>
      <c r="K777">
        <f t="shared" ca="1" si="65"/>
        <v>0</v>
      </c>
      <c r="L777" s="65">
        <v>771</v>
      </c>
      <c r="M777" s="71">
        <f t="shared" ca="1" si="61"/>
        <v>2.4511967701131452</v>
      </c>
      <c r="N777" s="65"/>
    </row>
    <row r="778" spans="1:14" x14ac:dyDescent="0.25">
      <c r="A778" s="2">
        <v>772</v>
      </c>
      <c r="B778" s="11">
        <f t="shared" ca="1" si="62"/>
        <v>0</v>
      </c>
      <c r="C778" s="26">
        <f t="shared" ca="1" si="63"/>
        <v>0.97013584994102631</v>
      </c>
      <c r="J778">
        <f t="shared" ca="1" si="64"/>
        <v>0</v>
      </c>
      <c r="K778">
        <f t="shared" ca="1" si="65"/>
        <v>1</v>
      </c>
      <c r="L778" s="65">
        <v>772</v>
      </c>
      <c r="M778" s="71">
        <f t="shared" ca="1" si="61"/>
        <v>0</v>
      </c>
      <c r="N778" s="65"/>
    </row>
    <row r="779" spans="1:14" x14ac:dyDescent="0.25">
      <c r="A779" s="2">
        <v>773</v>
      </c>
      <c r="B779" s="11">
        <f t="shared" ca="1" si="62"/>
        <v>0</v>
      </c>
      <c r="C779" s="26">
        <f t="shared" ca="1" si="63"/>
        <v>0.73029242820296847</v>
      </c>
      <c r="J779">
        <f t="shared" ca="1" si="64"/>
        <v>0</v>
      </c>
      <c r="K779">
        <f t="shared" ca="1" si="65"/>
        <v>0</v>
      </c>
      <c r="L779" s="65">
        <v>773</v>
      </c>
      <c r="M779" s="71">
        <f t="shared" ca="1" si="61"/>
        <v>0</v>
      </c>
      <c r="N779" s="65"/>
    </row>
    <row r="780" spans="1:14" x14ac:dyDescent="0.25">
      <c r="A780" s="2">
        <v>774</v>
      </c>
      <c r="B780" s="11">
        <f t="shared" ca="1" si="62"/>
        <v>1</v>
      </c>
      <c r="C780" s="26">
        <f t="shared" ca="1" si="63"/>
        <v>0.6590468770022575</v>
      </c>
      <c r="J780">
        <f t="shared" ca="1" si="64"/>
        <v>1</v>
      </c>
      <c r="K780">
        <f t="shared" ca="1" si="65"/>
        <v>0</v>
      </c>
      <c r="L780" s="65">
        <v>774</v>
      </c>
      <c r="M780" s="71">
        <f t="shared" ca="1" si="61"/>
        <v>5.589019559115374</v>
      </c>
      <c r="N780" s="65"/>
    </row>
    <row r="781" spans="1:14" x14ac:dyDescent="0.25">
      <c r="A781" s="2">
        <v>775</v>
      </c>
      <c r="B781" s="11">
        <f t="shared" ca="1" si="62"/>
        <v>1</v>
      </c>
      <c r="C781" s="26">
        <f t="shared" ca="1" si="63"/>
        <v>0.18610620920674847</v>
      </c>
      <c r="J781">
        <f t="shared" ca="1" si="64"/>
        <v>0</v>
      </c>
      <c r="K781">
        <f t="shared" ca="1" si="65"/>
        <v>0</v>
      </c>
      <c r="L781" s="65">
        <v>775</v>
      </c>
      <c r="M781" s="71">
        <f t="shared" ca="1" si="61"/>
        <v>2.5142124471070333</v>
      </c>
      <c r="N781" s="65"/>
    </row>
    <row r="782" spans="1:14" x14ac:dyDescent="0.25">
      <c r="A782" s="2">
        <v>776</v>
      </c>
      <c r="B782" s="11">
        <f t="shared" ca="1" si="62"/>
        <v>0</v>
      </c>
      <c r="C782" s="26">
        <f t="shared" ca="1" si="63"/>
        <v>0.96435307246641611</v>
      </c>
      <c r="J782">
        <f t="shared" ca="1" si="64"/>
        <v>0</v>
      </c>
      <c r="K782">
        <f t="shared" ca="1" si="65"/>
        <v>1</v>
      </c>
      <c r="L782" s="65">
        <v>776</v>
      </c>
      <c r="M782" s="71">
        <f t="shared" ca="1" si="61"/>
        <v>0</v>
      </c>
      <c r="N782" s="65"/>
    </row>
    <row r="783" spans="1:14" x14ac:dyDescent="0.25">
      <c r="A783" s="2">
        <v>777</v>
      </c>
      <c r="B783" s="11">
        <f t="shared" ca="1" si="62"/>
        <v>0</v>
      </c>
      <c r="C783" s="26">
        <f t="shared" ca="1" si="63"/>
        <v>0.94920069122207174</v>
      </c>
      <c r="J783">
        <f t="shared" ca="1" si="64"/>
        <v>0</v>
      </c>
      <c r="K783">
        <f t="shared" ca="1" si="65"/>
        <v>0</v>
      </c>
      <c r="L783" s="65">
        <v>777</v>
      </c>
      <c r="M783" s="71">
        <f t="shared" ca="1" si="61"/>
        <v>0</v>
      </c>
      <c r="N783" s="65"/>
    </row>
    <row r="784" spans="1:14" x14ac:dyDescent="0.25">
      <c r="A784" s="2">
        <v>778</v>
      </c>
      <c r="B784" s="11">
        <f t="shared" ca="1" si="62"/>
        <v>1</v>
      </c>
      <c r="C784" s="26">
        <f t="shared" ca="1" si="63"/>
        <v>0.18191977007980897</v>
      </c>
      <c r="J784">
        <f t="shared" ca="1" si="64"/>
        <v>0</v>
      </c>
      <c r="K784">
        <f t="shared" ca="1" si="65"/>
        <v>0</v>
      </c>
      <c r="L784" s="65">
        <v>778</v>
      </c>
      <c r="M784" s="71">
        <f t="shared" ca="1" si="61"/>
        <v>10.8765708343048</v>
      </c>
      <c r="N784" s="65"/>
    </row>
    <row r="785" spans="1:14" x14ac:dyDescent="0.25">
      <c r="A785" s="2">
        <v>779</v>
      </c>
      <c r="B785" s="11">
        <f t="shared" ca="1" si="62"/>
        <v>0</v>
      </c>
      <c r="C785" s="26">
        <f t="shared" ca="1" si="63"/>
        <v>0.83949929501639109</v>
      </c>
      <c r="J785">
        <f t="shared" ca="1" si="64"/>
        <v>0</v>
      </c>
      <c r="K785">
        <f t="shared" ca="1" si="65"/>
        <v>0</v>
      </c>
      <c r="L785" s="65">
        <v>779</v>
      </c>
      <c r="M785" s="71">
        <f t="shared" ca="1" si="61"/>
        <v>0</v>
      </c>
      <c r="N785" s="65"/>
    </row>
    <row r="786" spans="1:14" x14ac:dyDescent="0.25">
      <c r="A786" s="2">
        <v>780</v>
      </c>
      <c r="B786" s="11">
        <f t="shared" ca="1" si="62"/>
        <v>1</v>
      </c>
      <c r="C786" s="26">
        <f t="shared" ca="1" si="63"/>
        <v>0.65889209925147874</v>
      </c>
      <c r="J786">
        <f t="shared" ca="1" si="64"/>
        <v>1</v>
      </c>
      <c r="K786">
        <f t="shared" ca="1" si="65"/>
        <v>0</v>
      </c>
      <c r="L786" s="65">
        <v>780</v>
      </c>
      <c r="M786" s="71">
        <f t="shared" ca="1" si="61"/>
        <v>0.20237657944856371</v>
      </c>
      <c r="N786" s="65"/>
    </row>
    <row r="787" spans="1:14" x14ac:dyDescent="0.25">
      <c r="A787" s="2">
        <v>781</v>
      </c>
      <c r="B787" s="11">
        <f t="shared" ca="1" si="62"/>
        <v>1</v>
      </c>
      <c r="C787" s="26">
        <f t="shared" ca="1" si="63"/>
        <v>0.78308446608839899</v>
      </c>
      <c r="J787">
        <f t="shared" ca="1" si="64"/>
        <v>1</v>
      </c>
      <c r="K787">
        <f t="shared" ca="1" si="65"/>
        <v>0</v>
      </c>
      <c r="L787" s="65">
        <v>781</v>
      </c>
      <c r="M787" s="71">
        <f t="shared" ca="1" si="61"/>
        <v>2.9960435030606281</v>
      </c>
      <c r="N787" s="65"/>
    </row>
    <row r="788" spans="1:14" x14ac:dyDescent="0.25">
      <c r="A788" s="2">
        <v>782</v>
      </c>
      <c r="B788" s="11">
        <f t="shared" ca="1" si="62"/>
        <v>1</v>
      </c>
      <c r="C788" s="26">
        <f t="shared" ca="1" si="63"/>
        <v>0.36020028886858901</v>
      </c>
      <c r="J788">
        <f t="shared" ca="1" si="64"/>
        <v>1</v>
      </c>
      <c r="K788">
        <f t="shared" ca="1" si="65"/>
        <v>0</v>
      </c>
      <c r="L788" s="65">
        <v>782</v>
      </c>
      <c r="M788" s="71">
        <f t="shared" ca="1" si="61"/>
        <v>1.8331451550625442</v>
      </c>
      <c r="N788" s="65"/>
    </row>
    <row r="789" spans="1:14" x14ac:dyDescent="0.25">
      <c r="A789" s="2">
        <v>783</v>
      </c>
      <c r="B789" s="11">
        <f t="shared" ca="1" si="62"/>
        <v>1</v>
      </c>
      <c r="C789" s="26">
        <f t="shared" ca="1" si="63"/>
        <v>0.69792076771608558</v>
      </c>
      <c r="J789">
        <f t="shared" ca="1" si="64"/>
        <v>1</v>
      </c>
      <c r="K789">
        <f t="shared" ca="1" si="65"/>
        <v>0</v>
      </c>
      <c r="L789" s="65">
        <v>783</v>
      </c>
      <c r="M789" s="71">
        <f t="shared" ca="1" si="61"/>
        <v>3.9194238480788735</v>
      </c>
      <c r="N789" s="65"/>
    </row>
    <row r="790" spans="1:14" x14ac:dyDescent="0.25">
      <c r="A790" s="2">
        <v>784</v>
      </c>
      <c r="B790" s="11">
        <f t="shared" ca="1" si="62"/>
        <v>1</v>
      </c>
      <c r="C790" s="26">
        <f t="shared" ca="1" si="63"/>
        <v>0.33859120995380287</v>
      </c>
      <c r="J790">
        <f t="shared" ca="1" si="64"/>
        <v>0</v>
      </c>
      <c r="K790">
        <f t="shared" ca="1" si="65"/>
        <v>0</v>
      </c>
      <c r="L790" s="65">
        <v>784</v>
      </c>
      <c r="M790" s="71">
        <f t="shared" ca="1" si="61"/>
        <v>19.680395448647122</v>
      </c>
      <c r="N790" s="65"/>
    </row>
    <row r="791" spans="1:14" x14ac:dyDescent="0.25">
      <c r="A791" s="2">
        <v>785</v>
      </c>
      <c r="B791" s="11">
        <f t="shared" ca="1" si="62"/>
        <v>0</v>
      </c>
      <c r="C791" s="26">
        <f t="shared" ca="1" si="63"/>
        <v>0.94787897104238694</v>
      </c>
      <c r="J791">
        <f t="shared" ca="1" si="64"/>
        <v>0</v>
      </c>
      <c r="K791">
        <f t="shared" ca="1" si="65"/>
        <v>1</v>
      </c>
      <c r="L791" s="65">
        <v>785</v>
      </c>
      <c r="M791" s="71">
        <f t="shared" ca="1" si="61"/>
        <v>0</v>
      </c>
      <c r="N791" s="65"/>
    </row>
    <row r="792" spans="1:14" x14ac:dyDescent="0.25">
      <c r="A792" s="2">
        <v>786</v>
      </c>
      <c r="B792" s="11">
        <f t="shared" ca="1" si="62"/>
        <v>0</v>
      </c>
      <c r="C792" s="26">
        <f t="shared" ca="1" si="63"/>
        <v>0.89671731723178538</v>
      </c>
      <c r="J792">
        <f t="shared" ca="1" si="64"/>
        <v>0</v>
      </c>
      <c r="K792">
        <f t="shared" ca="1" si="65"/>
        <v>0</v>
      </c>
      <c r="L792" s="65">
        <v>786</v>
      </c>
      <c r="M792" s="71">
        <f t="shared" ca="1" si="61"/>
        <v>0</v>
      </c>
      <c r="N792" s="65"/>
    </row>
    <row r="793" spans="1:14" x14ac:dyDescent="0.25">
      <c r="A793" s="2">
        <v>787</v>
      </c>
      <c r="B793" s="11">
        <f t="shared" ca="1" si="62"/>
        <v>1</v>
      </c>
      <c r="C793" s="26">
        <f t="shared" ca="1" si="63"/>
        <v>0.25230565369571178</v>
      </c>
      <c r="J793">
        <f t="shared" ca="1" si="64"/>
        <v>1</v>
      </c>
      <c r="K793">
        <f t="shared" ca="1" si="65"/>
        <v>0</v>
      </c>
      <c r="L793" s="65">
        <v>787</v>
      </c>
      <c r="M793" s="71">
        <f t="shared" ca="1" si="61"/>
        <v>1.0093787372525678</v>
      </c>
      <c r="N793" s="65"/>
    </row>
    <row r="794" spans="1:14" x14ac:dyDescent="0.25">
      <c r="A794" s="2">
        <v>788</v>
      </c>
      <c r="B794" s="11">
        <f t="shared" ca="1" si="62"/>
        <v>1</v>
      </c>
      <c r="C794" s="26">
        <f t="shared" ca="1" si="63"/>
        <v>0.55838002731339387</v>
      </c>
      <c r="J794">
        <f t="shared" ca="1" si="64"/>
        <v>1</v>
      </c>
      <c r="K794">
        <f t="shared" ca="1" si="65"/>
        <v>0</v>
      </c>
      <c r="L794" s="65">
        <v>788</v>
      </c>
      <c r="M794" s="71">
        <f t="shared" ca="1" si="61"/>
        <v>3.8204857200491418</v>
      </c>
      <c r="N794" s="65"/>
    </row>
    <row r="795" spans="1:14" x14ac:dyDescent="0.25">
      <c r="A795" s="2">
        <v>789</v>
      </c>
      <c r="B795" s="11">
        <f t="shared" ca="1" si="62"/>
        <v>1</v>
      </c>
      <c r="C795" s="26">
        <f t="shared" ca="1" si="63"/>
        <v>0.67135816950104943</v>
      </c>
      <c r="J795">
        <f t="shared" ca="1" si="64"/>
        <v>1</v>
      </c>
      <c r="K795">
        <f t="shared" ca="1" si="65"/>
        <v>0</v>
      </c>
      <c r="L795" s="65">
        <v>789</v>
      </c>
      <c r="M795" s="71">
        <f t="shared" ca="1" si="61"/>
        <v>20.853008582783993</v>
      </c>
      <c r="N795" s="65"/>
    </row>
    <row r="796" spans="1:14" x14ac:dyDescent="0.25">
      <c r="A796" s="2">
        <v>790</v>
      </c>
      <c r="B796" s="11">
        <f t="shared" ca="1" si="62"/>
        <v>1</v>
      </c>
      <c r="C796" s="26">
        <f t="shared" ca="1" si="63"/>
        <v>0.79001890530902086</v>
      </c>
      <c r="J796">
        <f t="shared" ca="1" si="64"/>
        <v>1</v>
      </c>
      <c r="K796">
        <f t="shared" ca="1" si="65"/>
        <v>0</v>
      </c>
      <c r="L796" s="65">
        <v>790</v>
      </c>
      <c r="M796" s="71">
        <f t="shared" ca="1" si="61"/>
        <v>1.0982922381589031</v>
      </c>
      <c r="N796" s="65"/>
    </row>
    <row r="797" spans="1:14" x14ac:dyDescent="0.25">
      <c r="A797" s="2">
        <v>791</v>
      </c>
      <c r="B797" s="11">
        <f t="shared" ca="1" si="62"/>
        <v>1</v>
      </c>
      <c r="C797" s="26">
        <f t="shared" ca="1" si="63"/>
        <v>0.37006756570866162</v>
      </c>
      <c r="J797">
        <f t="shared" ca="1" si="64"/>
        <v>1</v>
      </c>
      <c r="K797">
        <f t="shared" ca="1" si="65"/>
        <v>0</v>
      </c>
      <c r="L797" s="65">
        <v>791</v>
      </c>
      <c r="M797" s="71">
        <f t="shared" ca="1" si="61"/>
        <v>1.2522956429573706</v>
      </c>
      <c r="N797" s="65"/>
    </row>
    <row r="798" spans="1:14" x14ac:dyDescent="0.25">
      <c r="A798" s="2">
        <v>792</v>
      </c>
      <c r="B798" s="11">
        <f t="shared" ca="1" si="62"/>
        <v>1</v>
      </c>
      <c r="C798" s="26">
        <f t="shared" ca="1" si="63"/>
        <v>0.46171544474242876</v>
      </c>
      <c r="J798">
        <f t="shared" ca="1" si="64"/>
        <v>1</v>
      </c>
      <c r="K798">
        <f t="shared" ca="1" si="65"/>
        <v>0</v>
      </c>
      <c r="L798" s="65">
        <v>792</v>
      </c>
      <c r="M798" s="71">
        <f t="shared" ca="1" si="61"/>
        <v>3.8853979542296453</v>
      </c>
      <c r="N798" s="65"/>
    </row>
    <row r="799" spans="1:14" x14ac:dyDescent="0.25">
      <c r="A799" s="2">
        <v>793</v>
      </c>
      <c r="B799" s="11">
        <f t="shared" ca="1" si="62"/>
        <v>1</v>
      </c>
      <c r="C799" s="26">
        <f t="shared" ca="1" si="63"/>
        <v>0.60289062766836454</v>
      </c>
      <c r="J799">
        <f t="shared" ca="1" si="64"/>
        <v>1</v>
      </c>
      <c r="K799">
        <f t="shared" ca="1" si="65"/>
        <v>0</v>
      </c>
      <c r="L799" s="65">
        <v>793</v>
      </c>
      <c r="M799" s="71">
        <f t="shared" ca="1" si="61"/>
        <v>3.4343436578667559</v>
      </c>
      <c r="N799" s="65"/>
    </row>
    <row r="800" spans="1:14" x14ac:dyDescent="0.25">
      <c r="A800" s="2">
        <v>794</v>
      </c>
      <c r="B800" s="11">
        <f t="shared" ca="1" si="62"/>
        <v>1</v>
      </c>
      <c r="C800" s="26">
        <f t="shared" ca="1" si="63"/>
        <v>0.16552564054935237</v>
      </c>
      <c r="J800">
        <f t="shared" ca="1" si="64"/>
        <v>1</v>
      </c>
      <c r="K800">
        <f t="shared" ca="1" si="65"/>
        <v>0</v>
      </c>
      <c r="L800" s="65">
        <v>794</v>
      </c>
      <c r="M800" s="71">
        <f t="shared" ca="1" si="61"/>
        <v>10.492766610109125</v>
      </c>
      <c r="N800" s="65"/>
    </row>
    <row r="801" spans="1:14" x14ac:dyDescent="0.25">
      <c r="A801" s="2">
        <v>795</v>
      </c>
      <c r="B801" s="11">
        <f t="shared" ca="1" si="62"/>
        <v>1</v>
      </c>
      <c r="C801" s="26">
        <f t="shared" ca="1" si="63"/>
        <v>1.5062653462250997E-2</v>
      </c>
      <c r="J801">
        <f t="shared" ca="1" si="64"/>
        <v>0</v>
      </c>
      <c r="K801">
        <f t="shared" ca="1" si="65"/>
        <v>0</v>
      </c>
      <c r="L801" s="65">
        <v>795</v>
      </c>
      <c r="M801" s="71">
        <f t="shared" ca="1" si="61"/>
        <v>3.4528036859664946</v>
      </c>
      <c r="N801" s="65"/>
    </row>
    <row r="802" spans="1:14" x14ac:dyDescent="0.25">
      <c r="A802" s="2">
        <v>796</v>
      </c>
      <c r="B802" s="11">
        <f t="shared" ca="1" si="62"/>
        <v>0</v>
      </c>
      <c r="C802" s="26">
        <f t="shared" ca="1" si="63"/>
        <v>0.83400327916487249</v>
      </c>
      <c r="J802">
        <f t="shared" ca="1" si="64"/>
        <v>0</v>
      </c>
      <c r="K802">
        <f t="shared" ca="1" si="65"/>
        <v>1</v>
      </c>
      <c r="L802" s="65">
        <v>796</v>
      </c>
      <c r="M802" s="71">
        <f t="shared" ca="1" si="61"/>
        <v>0</v>
      </c>
      <c r="N802" s="65"/>
    </row>
    <row r="803" spans="1:14" x14ac:dyDescent="0.25">
      <c r="A803" s="2">
        <v>797</v>
      </c>
      <c r="B803" s="11">
        <f t="shared" ca="1" si="62"/>
        <v>0</v>
      </c>
      <c r="C803" s="26">
        <f t="shared" ca="1" si="63"/>
        <v>0.72244691045920739</v>
      </c>
      <c r="J803">
        <f t="shared" ca="1" si="64"/>
        <v>0</v>
      </c>
      <c r="K803">
        <f t="shared" ca="1" si="65"/>
        <v>0</v>
      </c>
      <c r="L803" s="65">
        <v>797</v>
      </c>
      <c r="M803" s="71">
        <f t="shared" ca="1" si="61"/>
        <v>0</v>
      </c>
      <c r="N803" s="65"/>
    </row>
    <row r="804" spans="1:14" x14ac:dyDescent="0.25">
      <c r="A804" s="2">
        <v>798</v>
      </c>
      <c r="B804" s="11">
        <f t="shared" ca="1" si="62"/>
        <v>1</v>
      </c>
      <c r="C804" s="26">
        <f t="shared" ca="1" si="63"/>
        <v>0.60204687098219856</v>
      </c>
      <c r="J804">
        <f t="shared" ca="1" si="64"/>
        <v>1</v>
      </c>
      <c r="K804">
        <f t="shared" ca="1" si="65"/>
        <v>0</v>
      </c>
      <c r="L804" s="65">
        <v>798</v>
      </c>
      <c r="M804" s="71">
        <f t="shared" ca="1" si="61"/>
        <v>7.7460381012290833</v>
      </c>
      <c r="N804" s="65"/>
    </row>
    <row r="805" spans="1:14" x14ac:dyDescent="0.25">
      <c r="A805" s="2">
        <v>799</v>
      </c>
      <c r="B805" s="11">
        <f t="shared" ca="1" si="62"/>
        <v>1</v>
      </c>
      <c r="C805" s="26">
        <f t="shared" ca="1" si="63"/>
        <v>0.11787469256829508</v>
      </c>
      <c r="J805">
        <f t="shared" ca="1" si="64"/>
        <v>1</v>
      </c>
      <c r="K805">
        <f t="shared" ca="1" si="65"/>
        <v>0</v>
      </c>
      <c r="L805" s="65">
        <v>799</v>
      </c>
      <c r="M805" s="71">
        <f t="shared" ca="1" si="61"/>
        <v>1.249378714291937</v>
      </c>
      <c r="N805" s="65"/>
    </row>
    <row r="806" spans="1:14" x14ac:dyDescent="0.25">
      <c r="A806" s="2">
        <v>800</v>
      </c>
      <c r="B806" s="11">
        <f t="shared" ca="1" si="62"/>
        <v>1</v>
      </c>
      <c r="C806" s="26">
        <f t="shared" ca="1" si="63"/>
        <v>0.4502339854581574</v>
      </c>
      <c r="J806">
        <f t="shared" ca="1" si="64"/>
        <v>1</v>
      </c>
      <c r="K806">
        <f t="shared" ca="1" si="65"/>
        <v>0</v>
      </c>
      <c r="L806" s="65">
        <v>800</v>
      </c>
      <c r="M806" s="71">
        <f t="shared" ca="1" si="61"/>
        <v>1.1076797072610434</v>
      </c>
      <c r="N806" s="65"/>
    </row>
    <row r="807" spans="1:14" x14ac:dyDescent="0.25">
      <c r="A807" s="2">
        <v>801</v>
      </c>
      <c r="B807" s="11">
        <f t="shared" ca="1" si="62"/>
        <v>1</v>
      </c>
      <c r="C807" s="26">
        <f t="shared" ca="1" si="63"/>
        <v>0.59837001715132343</v>
      </c>
      <c r="J807">
        <f t="shared" ca="1" si="64"/>
        <v>1</v>
      </c>
      <c r="K807">
        <f t="shared" ca="1" si="65"/>
        <v>0</v>
      </c>
      <c r="L807" s="65">
        <v>801</v>
      </c>
      <c r="M807" s="71">
        <f t="shared" ca="1" si="61"/>
        <v>8.0953705070893847</v>
      </c>
      <c r="N807" s="65"/>
    </row>
    <row r="808" spans="1:14" x14ac:dyDescent="0.25">
      <c r="A808" s="2">
        <v>802</v>
      </c>
      <c r="B808" s="11">
        <f t="shared" ca="1" si="62"/>
        <v>1</v>
      </c>
      <c r="C808" s="26">
        <f t="shared" ca="1" si="63"/>
        <v>0.22603815449949938</v>
      </c>
      <c r="J808">
        <f t="shared" ca="1" si="64"/>
        <v>1</v>
      </c>
      <c r="K808">
        <f t="shared" ca="1" si="65"/>
        <v>0</v>
      </c>
      <c r="L808" s="65">
        <v>802</v>
      </c>
      <c r="M808" s="71">
        <f t="shared" ca="1" si="61"/>
        <v>0.16019305145257726</v>
      </c>
      <c r="N808" s="65"/>
    </row>
    <row r="809" spans="1:14" x14ac:dyDescent="0.25">
      <c r="A809" s="2">
        <v>803</v>
      </c>
      <c r="B809" s="11">
        <f t="shared" ca="1" si="62"/>
        <v>1</v>
      </c>
      <c r="C809" s="26">
        <f t="shared" ca="1" si="63"/>
        <v>0.27088910838824176</v>
      </c>
      <c r="J809">
        <f t="shared" ca="1" si="64"/>
        <v>1</v>
      </c>
      <c r="K809">
        <f t="shared" ca="1" si="65"/>
        <v>0</v>
      </c>
      <c r="L809" s="65">
        <v>803</v>
      </c>
      <c r="M809" s="71">
        <f t="shared" ca="1" si="61"/>
        <v>6.9720089999018153</v>
      </c>
      <c r="N809" s="65"/>
    </row>
    <row r="810" spans="1:14" x14ac:dyDescent="0.25">
      <c r="A810" s="2">
        <v>804</v>
      </c>
      <c r="B810" s="11">
        <f t="shared" ca="1" si="62"/>
        <v>1</v>
      </c>
      <c r="C810" s="26">
        <f t="shared" ca="1" si="63"/>
        <v>8.2353157523182396E-2</v>
      </c>
      <c r="J810">
        <f t="shared" ca="1" si="64"/>
        <v>1</v>
      </c>
      <c r="K810">
        <f t="shared" ca="1" si="65"/>
        <v>0</v>
      </c>
      <c r="L810" s="65">
        <v>804</v>
      </c>
      <c r="M810" s="71">
        <f t="shared" ca="1" si="61"/>
        <v>0.69980749164817602</v>
      </c>
      <c r="N810" s="65"/>
    </row>
    <row r="811" spans="1:14" x14ac:dyDescent="0.25">
      <c r="A811" s="2">
        <v>805</v>
      </c>
      <c r="B811" s="11">
        <f t="shared" ca="1" si="62"/>
        <v>1</v>
      </c>
      <c r="C811" s="26">
        <f t="shared" ca="1" si="63"/>
        <v>0.52177327057245271</v>
      </c>
      <c r="J811">
        <f t="shared" ca="1" si="64"/>
        <v>0</v>
      </c>
      <c r="K811">
        <f t="shared" ca="1" si="65"/>
        <v>0</v>
      </c>
      <c r="L811" s="65">
        <v>805</v>
      </c>
      <c r="M811" s="71">
        <f t="shared" ca="1" si="61"/>
        <v>12.327940116350376</v>
      </c>
      <c r="N811" s="65"/>
    </row>
    <row r="812" spans="1:14" x14ac:dyDescent="0.25">
      <c r="A812" s="2">
        <v>806</v>
      </c>
      <c r="B812" s="11">
        <f t="shared" ca="1" si="62"/>
        <v>0</v>
      </c>
      <c r="C812" s="26">
        <f t="shared" ca="1" si="63"/>
        <v>0.82831880586895656</v>
      </c>
      <c r="J812">
        <f t="shared" ca="1" si="64"/>
        <v>0</v>
      </c>
      <c r="K812">
        <f t="shared" ca="1" si="65"/>
        <v>0</v>
      </c>
      <c r="L812" s="65">
        <v>806</v>
      </c>
      <c r="M812" s="71">
        <f t="shared" ca="1" si="61"/>
        <v>0</v>
      </c>
      <c r="N812" s="65"/>
    </row>
    <row r="813" spans="1:14" x14ac:dyDescent="0.25">
      <c r="A813" s="2">
        <v>807</v>
      </c>
      <c r="B813" s="11">
        <f t="shared" ca="1" si="62"/>
        <v>1</v>
      </c>
      <c r="C813" s="26">
        <f t="shared" ca="1" si="63"/>
        <v>0.70662594364387943</v>
      </c>
      <c r="J813">
        <f t="shared" ca="1" si="64"/>
        <v>1</v>
      </c>
      <c r="K813">
        <f t="shared" ca="1" si="65"/>
        <v>0</v>
      </c>
      <c r="L813" s="65">
        <v>807</v>
      </c>
      <c r="M813" s="71">
        <f t="shared" ca="1" si="61"/>
        <v>5.7287638638667353</v>
      </c>
      <c r="N813" s="65"/>
    </row>
    <row r="814" spans="1:14" x14ac:dyDescent="0.25">
      <c r="A814" s="2">
        <v>808</v>
      </c>
      <c r="B814" s="11">
        <f t="shared" ca="1" si="62"/>
        <v>1</v>
      </c>
      <c r="C814" s="26">
        <f t="shared" ca="1" si="63"/>
        <v>0.30645691443046363</v>
      </c>
      <c r="J814">
        <f t="shared" ca="1" si="64"/>
        <v>0</v>
      </c>
      <c r="K814">
        <f t="shared" ca="1" si="65"/>
        <v>0</v>
      </c>
      <c r="L814" s="65">
        <v>808</v>
      </c>
      <c r="M814" s="71">
        <f t="shared" ca="1" si="61"/>
        <v>0.17000719764031091</v>
      </c>
      <c r="N814" s="65"/>
    </row>
    <row r="815" spans="1:14" x14ac:dyDescent="0.25">
      <c r="A815" s="2">
        <v>809</v>
      </c>
      <c r="B815" s="11">
        <f t="shared" ca="1" si="62"/>
        <v>0</v>
      </c>
      <c r="C815" s="26">
        <f t="shared" ca="1" si="63"/>
        <v>0.9669731762074617</v>
      </c>
      <c r="J815">
        <f t="shared" ca="1" si="64"/>
        <v>0</v>
      </c>
      <c r="K815">
        <f t="shared" ca="1" si="65"/>
        <v>1</v>
      </c>
      <c r="L815" s="65">
        <v>809</v>
      </c>
      <c r="M815" s="71">
        <f t="shared" ca="1" si="61"/>
        <v>0</v>
      </c>
      <c r="N815" s="65"/>
    </row>
    <row r="816" spans="1:14" x14ac:dyDescent="0.25">
      <c r="A816" s="2">
        <v>810</v>
      </c>
      <c r="B816" s="11">
        <f t="shared" ca="1" si="62"/>
        <v>0</v>
      </c>
      <c r="C816" s="26">
        <f t="shared" ca="1" si="63"/>
        <v>0.99135274482843205</v>
      </c>
      <c r="J816">
        <f t="shared" ca="1" si="64"/>
        <v>0</v>
      </c>
      <c r="K816">
        <f t="shared" ca="1" si="65"/>
        <v>0</v>
      </c>
      <c r="L816" s="65">
        <v>810</v>
      </c>
      <c r="M816" s="71">
        <f t="shared" ca="1" si="61"/>
        <v>0</v>
      </c>
      <c r="N816" s="65"/>
    </row>
    <row r="817" spans="1:14" x14ac:dyDescent="0.25">
      <c r="A817" s="2">
        <v>811</v>
      </c>
      <c r="B817" s="11">
        <f t="shared" ca="1" si="62"/>
        <v>1</v>
      </c>
      <c r="C817" s="26">
        <f t="shared" ca="1" si="63"/>
        <v>8.3905066984612864E-2</v>
      </c>
      <c r="J817">
        <f t="shared" ca="1" si="64"/>
        <v>0</v>
      </c>
      <c r="K817">
        <f t="shared" ca="1" si="65"/>
        <v>0</v>
      </c>
      <c r="L817" s="65">
        <v>811</v>
      </c>
      <c r="M817" s="71">
        <f t="shared" ca="1" si="61"/>
        <v>0.878716714802532</v>
      </c>
      <c r="N817" s="65"/>
    </row>
    <row r="818" spans="1:14" x14ac:dyDescent="0.25">
      <c r="A818" s="2">
        <v>812</v>
      </c>
      <c r="B818" s="11">
        <f t="shared" ca="1" si="62"/>
        <v>0</v>
      </c>
      <c r="C818" s="26">
        <f t="shared" ca="1" si="63"/>
        <v>0.96194795059680982</v>
      </c>
      <c r="J818">
        <f t="shared" ca="1" si="64"/>
        <v>0</v>
      </c>
      <c r="K818">
        <f t="shared" ca="1" si="65"/>
        <v>1</v>
      </c>
      <c r="L818" s="65">
        <v>812</v>
      </c>
      <c r="M818" s="71">
        <f t="shared" ca="1" si="61"/>
        <v>0</v>
      </c>
      <c r="N818" s="65"/>
    </row>
    <row r="819" spans="1:14" x14ac:dyDescent="0.25">
      <c r="A819" s="2">
        <v>813</v>
      </c>
      <c r="B819" s="11">
        <f t="shared" ca="1" si="62"/>
        <v>0</v>
      </c>
      <c r="C819" s="26">
        <f t="shared" ca="1" si="63"/>
        <v>0.78360894462094988</v>
      </c>
      <c r="J819">
        <f t="shared" ca="1" si="64"/>
        <v>0</v>
      </c>
      <c r="K819">
        <f t="shared" ca="1" si="65"/>
        <v>1</v>
      </c>
      <c r="L819" s="65">
        <v>813</v>
      </c>
      <c r="M819" s="71">
        <f t="shared" ca="1" si="61"/>
        <v>0</v>
      </c>
      <c r="N819" s="65"/>
    </row>
    <row r="820" spans="1:14" x14ac:dyDescent="0.25">
      <c r="A820" s="2">
        <v>814</v>
      </c>
      <c r="B820" s="11">
        <f t="shared" ca="1" si="62"/>
        <v>0</v>
      </c>
      <c r="C820" s="26">
        <f t="shared" ca="1" si="63"/>
        <v>0.87566510847157208</v>
      </c>
      <c r="J820">
        <f t="shared" ca="1" si="64"/>
        <v>0</v>
      </c>
      <c r="K820">
        <f t="shared" ca="1" si="65"/>
        <v>1</v>
      </c>
      <c r="L820" s="65">
        <v>814</v>
      </c>
      <c r="M820" s="71">
        <f t="shared" ca="1" si="61"/>
        <v>0</v>
      </c>
      <c r="N820" s="65"/>
    </row>
    <row r="821" spans="1:14" x14ac:dyDescent="0.25">
      <c r="A821" s="2">
        <v>815</v>
      </c>
      <c r="B821" s="11">
        <f t="shared" ca="1" si="62"/>
        <v>0</v>
      </c>
      <c r="C821" s="26">
        <f t="shared" ca="1" si="63"/>
        <v>0.85128646357531534</v>
      </c>
      <c r="J821">
        <f t="shared" ca="1" si="64"/>
        <v>0</v>
      </c>
      <c r="K821">
        <f t="shared" ca="1" si="65"/>
        <v>0</v>
      </c>
      <c r="L821" s="65">
        <v>815</v>
      </c>
      <c r="M821" s="71">
        <f t="shared" ca="1" si="61"/>
        <v>0</v>
      </c>
      <c r="N821" s="65"/>
    </row>
    <row r="822" spans="1:14" x14ac:dyDescent="0.25">
      <c r="A822" s="2">
        <v>816</v>
      </c>
      <c r="B822" s="11">
        <f t="shared" ca="1" si="62"/>
        <v>1</v>
      </c>
      <c r="C822" s="26">
        <f t="shared" ca="1" si="63"/>
        <v>0.59055280792564591</v>
      </c>
      <c r="J822">
        <f t="shared" ca="1" si="64"/>
        <v>1</v>
      </c>
      <c r="K822">
        <f t="shared" ca="1" si="65"/>
        <v>0</v>
      </c>
      <c r="L822" s="65">
        <v>816</v>
      </c>
      <c r="M822" s="71">
        <f t="shared" ca="1" si="61"/>
        <v>0.11370890522344218</v>
      </c>
      <c r="N822" s="65"/>
    </row>
    <row r="823" spans="1:14" x14ac:dyDescent="0.25">
      <c r="A823" s="2">
        <v>817</v>
      </c>
      <c r="B823" s="11">
        <f t="shared" ca="1" si="62"/>
        <v>1</v>
      </c>
      <c r="C823" s="26">
        <f t="shared" ca="1" si="63"/>
        <v>0.37994356964415743</v>
      </c>
      <c r="J823">
        <f t="shared" ca="1" si="64"/>
        <v>1</v>
      </c>
      <c r="K823">
        <f t="shared" ca="1" si="65"/>
        <v>0</v>
      </c>
      <c r="L823" s="65">
        <v>817</v>
      </c>
      <c r="M823" s="71">
        <f t="shared" ca="1" si="61"/>
        <v>1.5201335290012781</v>
      </c>
      <c r="N823" s="65"/>
    </row>
    <row r="824" spans="1:14" x14ac:dyDescent="0.25">
      <c r="A824" s="2">
        <v>818</v>
      </c>
      <c r="B824" s="11">
        <f t="shared" ca="1" si="62"/>
        <v>1</v>
      </c>
      <c r="C824" s="26">
        <f t="shared" ca="1" si="63"/>
        <v>0.60893585449049259</v>
      </c>
      <c r="J824">
        <f t="shared" ca="1" si="64"/>
        <v>1</v>
      </c>
      <c r="K824">
        <f t="shared" ca="1" si="65"/>
        <v>0</v>
      </c>
      <c r="L824" s="65">
        <v>818</v>
      </c>
      <c r="M824" s="71">
        <f t="shared" ca="1" si="61"/>
        <v>4.3723627654552972</v>
      </c>
      <c r="N824" s="65"/>
    </row>
    <row r="825" spans="1:14" x14ac:dyDescent="0.25">
      <c r="A825" s="2">
        <v>819</v>
      </c>
      <c r="B825" s="11">
        <f t="shared" ca="1" si="62"/>
        <v>1</v>
      </c>
      <c r="C825" s="26">
        <f t="shared" ca="1" si="63"/>
        <v>0.1215883216522391</v>
      </c>
      <c r="J825">
        <f t="shared" ca="1" si="64"/>
        <v>1</v>
      </c>
      <c r="K825">
        <f t="shared" ca="1" si="65"/>
        <v>0</v>
      </c>
      <c r="L825" s="65">
        <v>819</v>
      </c>
      <c r="M825" s="71">
        <f t="shared" ca="1" si="61"/>
        <v>0.7624878276931355</v>
      </c>
      <c r="N825" s="65"/>
    </row>
    <row r="826" spans="1:14" x14ac:dyDescent="0.25">
      <c r="A826" s="2">
        <v>820</v>
      </c>
      <c r="B826" s="11">
        <f t="shared" ca="1" si="62"/>
        <v>1</v>
      </c>
      <c r="C826" s="26">
        <f t="shared" ca="1" si="63"/>
        <v>5.0251587477508908E-2</v>
      </c>
      <c r="J826">
        <f t="shared" ca="1" si="64"/>
        <v>1</v>
      </c>
      <c r="K826">
        <f t="shared" ca="1" si="65"/>
        <v>0</v>
      </c>
      <c r="L826" s="65">
        <v>820</v>
      </c>
      <c r="M826" s="71">
        <f t="shared" ca="1" si="61"/>
        <v>0.84256046435708565</v>
      </c>
      <c r="N826" s="65"/>
    </row>
    <row r="827" spans="1:14" x14ac:dyDescent="0.25">
      <c r="A827" s="2">
        <v>821</v>
      </c>
      <c r="B827" s="11">
        <f t="shared" ca="1" si="62"/>
        <v>1</v>
      </c>
      <c r="C827" s="26">
        <f t="shared" ca="1" si="63"/>
        <v>0.52300981044821693</v>
      </c>
      <c r="J827">
        <f t="shared" ca="1" si="64"/>
        <v>1</v>
      </c>
      <c r="K827">
        <f t="shared" ca="1" si="65"/>
        <v>0</v>
      </c>
      <c r="L827" s="65">
        <v>821</v>
      </c>
      <c r="M827" s="71">
        <f t="shared" ca="1" si="61"/>
        <v>0.83324624153979221</v>
      </c>
      <c r="N827" s="65"/>
    </row>
    <row r="828" spans="1:14" x14ac:dyDescent="0.25">
      <c r="A828" s="2">
        <v>822</v>
      </c>
      <c r="B828" s="11">
        <f t="shared" ca="1" si="62"/>
        <v>1</v>
      </c>
      <c r="C828" s="26">
        <f t="shared" ca="1" si="63"/>
        <v>0.68092639519164666</v>
      </c>
      <c r="J828">
        <f t="shared" ca="1" si="64"/>
        <v>1</v>
      </c>
      <c r="K828">
        <f t="shared" ca="1" si="65"/>
        <v>0</v>
      </c>
      <c r="L828" s="65">
        <v>822</v>
      </c>
      <c r="M828" s="71">
        <f t="shared" ca="1" si="61"/>
        <v>5.5563858314720562</v>
      </c>
      <c r="N828" s="65"/>
    </row>
    <row r="829" spans="1:14" x14ac:dyDescent="0.25">
      <c r="A829" s="2">
        <v>823</v>
      </c>
      <c r="B829" s="11">
        <f t="shared" ca="1" si="62"/>
        <v>1</v>
      </c>
      <c r="C829" s="26">
        <f t="shared" ca="1" si="63"/>
        <v>0.57419091666556743</v>
      </c>
      <c r="J829">
        <f t="shared" ca="1" si="64"/>
        <v>1</v>
      </c>
      <c r="K829">
        <f t="shared" ca="1" si="65"/>
        <v>0</v>
      </c>
      <c r="L829" s="65">
        <v>823</v>
      </c>
      <c r="M829" s="71">
        <f t="shared" ca="1" si="61"/>
        <v>5.661153323304859</v>
      </c>
      <c r="N829" s="65"/>
    </row>
    <row r="830" spans="1:14" x14ac:dyDescent="0.25">
      <c r="A830" s="2">
        <v>824</v>
      </c>
      <c r="B830" s="11">
        <f t="shared" ca="1" si="62"/>
        <v>1</v>
      </c>
      <c r="C830" s="26">
        <f t="shared" ca="1" si="63"/>
        <v>0.70140274527768254</v>
      </c>
      <c r="J830">
        <f t="shared" ca="1" si="64"/>
        <v>1</v>
      </c>
      <c r="K830">
        <f t="shared" ca="1" si="65"/>
        <v>0</v>
      </c>
      <c r="L830" s="65">
        <v>824</v>
      </c>
      <c r="M830" s="71">
        <f t="shared" ca="1" si="61"/>
        <v>1.0995405271403222</v>
      </c>
      <c r="N830" s="65"/>
    </row>
    <row r="831" spans="1:14" x14ac:dyDescent="0.25">
      <c r="A831" s="2">
        <v>825</v>
      </c>
      <c r="B831" s="11">
        <f t="shared" ca="1" si="62"/>
        <v>1</v>
      </c>
      <c r="C831" s="26">
        <f t="shared" ca="1" si="63"/>
        <v>0.75694281008752651</v>
      </c>
      <c r="J831">
        <f t="shared" ca="1" si="64"/>
        <v>1</v>
      </c>
      <c r="K831">
        <f t="shared" ca="1" si="65"/>
        <v>0</v>
      </c>
      <c r="L831" s="65">
        <v>825</v>
      </c>
      <c r="M831" s="71">
        <f t="shared" ca="1" si="61"/>
        <v>4.3905242421732185</v>
      </c>
      <c r="N831" s="65"/>
    </row>
    <row r="832" spans="1:14" x14ac:dyDescent="0.25">
      <c r="A832" s="2">
        <v>826</v>
      </c>
      <c r="B832" s="11">
        <f t="shared" ca="1" si="62"/>
        <v>1</v>
      </c>
      <c r="C832" s="26">
        <f t="shared" ca="1" si="63"/>
        <v>0.45727234914077464</v>
      </c>
      <c r="J832">
        <f t="shared" ca="1" si="64"/>
        <v>1</v>
      </c>
      <c r="K832">
        <f t="shared" ca="1" si="65"/>
        <v>0</v>
      </c>
      <c r="L832" s="65">
        <v>826</v>
      </c>
      <c r="M832" s="71">
        <f t="shared" ca="1" si="61"/>
        <v>0.59375285525504395</v>
      </c>
      <c r="N832" s="65"/>
    </row>
    <row r="833" spans="1:14" x14ac:dyDescent="0.25">
      <c r="A833" s="2">
        <v>827</v>
      </c>
      <c r="B833" s="11">
        <f t="shared" ca="1" si="62"/>
        <v>1</v>
      </c>
      <c r="C833" s="26">
        <f t="shared" ca="1" si="63"/>
        <v>0.79137179938649038</v>
      </c>
      <c r="J833">
        <f t="shared" ca="1" si="64"/>
        <v>0</v>
      </c>
      <c r="K833">
        <f t="shared" ca="1" si="65"/>
        <v>0</v>
      </c>
      <c r="L833" s="65">
        <v>827</v>
      </c>
      <c r="M833" s="71">
        <f t="shared" ca="1" si="61"/>
        <v>3.3265365848181152</v>
      </c>
      <c r="N833" s="65"/>
    </row>
    <row r="834" spans="1:14" x14ac:dyDescent="0.25">
      <c r="A834" s="2">
        <v>828</v>
      </c>
      <c r="B834" s="11">
        <f t="shared" ca="1" si="62"/>
        <v>0</v>
      </c>
      <c r="C834" s="26">
        <f t="shared" ca="1" si="63"/>
        <v>0.82500473620503056</v>
      </c>
      <c r="J834">
        <f t="shared" ca="1" si="64"/>
        <v>0</v>
      </c>
      <c r="K834">
        <f t="shared" ca="1" si="65"/>
        <v>1</v>
      </c>
      <c r="L834" s="65">
        <v>828</v>
      </c>
      <c r="M834" s="71">
        <f t="shared" ca="1" si="61"/>
        <v>0</v>
      </c>
      <c r="N834" s="65"/>
    </row>
    <row r="835" spans="1:14" x14ac:dyDescent="0.25">
      <c r="A835" s="2">
        <v>829</v>
      </c>
      <c r="B835" s="11">
        <f t="shared" ca="1" si="62"/>
        <v>0</v>
      </c>
      <c r="C835" s="26">
        <f t="shared" ca="1" si="63"/>
        <v>0.76371358748719465</v>
      </c>
      <c r="J835">
        <f t="shared" ca="1" si="64"/>
        <v>0</v>
      </c>
      <c r="K835">
        <f t="shared" ca="1" si="65"/>
        <v>0</v>
      </c>
      <c r="L835" s="65">
        <v>829</v>
      </c>
      <c r="M835" s="71">
        <f t="shared" ca="1" si="61"/>
        <v>0</v>
      </c>
      <c r="N835" s="65"/>
    </row>
    <row r="836" spans="1:14" x14ac:dyDescent="0.25">
      <c r="A836" s="2">
        <v>830</v>
      </c>
      <c r="B836" s="11">
        <f t="shared" ca="1" si="62"/>
        <v>1</v>
      </c>
      <c r="C836" s="26">
        <f t="shared" ca="1" si="63"/>
        <v>0.20206986381224645</v>
      </c>
      <c r="J836">
        <f t="shared" ca="1" si="64"/>
        <v>1</v>
      </c>
      <c r="K836">
        <f t="shared" ca="1" si="65"/>
        <v>0</v>
      </c>
      <c r="L836" s="65">
        <v>830</v>
      </c>
      <c r="M836" s="71">
        <f t="shared" ca="1" si="61"/>
        <v>3.1119656118030656</v>
      </c>
      <c r="N836" s="65"/>
    </row>
    <row r="837" spans="1:14" x14ac:dyDescent="0.25">
      <c r="A837" s="2">
        <v>831</v>
      </c>
      <c r="B837" s="11">
        <f t="shared" ca="1" si="62"/>
        <v>1</v>
      </c>
      <c r="C837" s="26">
        <f t="shared" ca="1" si="63"/>
        <v>0.21993840748431981</v>
      </c>
      <c r="J837">
        <f t="shared" ca="1" si="64"/>
        <v>1</v>
      </c>
      <c r="K837">
        <f t="shared" ca="1" si="65"/>
        <v>0</v>
      </c>
      <c r="L837" s="65">
        <v>831</v>
      </c>
      <c r="M837" s="71">
        <f t="shared" ca="1" si="61"/>
        <v>15.055341254927081</v>
      </c>
      <c r="N837" s="65"/>
    </row>
    <row r="838" spans="1:14" x14ac:dyDescent="0.25">
      <c r="A838" s="2">
        <v>832</v>
      </c>
      <c r="B838" s="11">
        <f t="shared" ca="1" si="62"/>
        <v>1</v>
      </c>
      <c r="C838" s="26">
        <f t="shared" ca="1" si="63"/>
        <v>0.59077684745053771</v>
      </c>
      <c r="J838">
        <f t="shared" ca="1" si="64"/>
        <v>1</v>
      </c>
      <c r="K838">
        <f t="shared" ca="1" si="65"/>
        <v>0</v>
      </c>
      <c r="L838" s="65">
        <v>832</v>
      </c>
      <c r="M838" s="71">
        <f t="shared" ca="1" si="61"/>
        <v>7.1102051043372718</v>
      </c>
      <c r="N838" s="65"/>
    </row>
    <row r="839" spans="1:14" x14ac:dyDescent="0.25">
      <c r="A839" s="2">
        <v>833</v>
      </c>
      <c r="B839" s="11">
        <f t="shared" ca="1" si="62"/>
        <v>1</v>
      </c>
      <c r="C839" s="26">
        <f t="shared" ca="1" si="63"/>
        <v>0.15238187463412611</v>
      </c>
      <c r="J839">
        <f t="shared" ca="1" si="64"/>
        <v>1</v>
      </c>
      <c r="K839">
        <f t="shared" ca="1" si="65"/>
        <v>0</v>
      </c>
      <c r="L839" s="65">
        <v>833</v>
      </c>
      <c r="M839" s="71">
        <f t="shared" ref="M839:M902" ca="1" si="66">IF(B839&gt;0,-LN(1-(RAND()))/lambda,0)</f>
        <v>0.93633172668924514</v>
      </c>
      <c r="N839" s="65"/>
    </row>
    <row r="840" spans="1:14" x14ac:dyDescent="0.25">
      <c r="A840" s="2">
        <v>834</v>
      </c>
      <c r="B840" s="11">
        <f t="shared" ref="B840:B903" ca="1" si="67">IF(B839&gt;0,IF(C840&lt;pww,1,0),IF(C840&lt;pdw,1,0))</f>
        <v>1</v>
      </c>
      <c r="C840" s="26">
        <f t="shared" ref="C840:C903" ca="1" si="68">RAND()</f>
        <v>0.55404089812862523</v>
      </c>
      <c r="J840">
        <f t="shared" ref="J840:J903" ca="1" si="69">IF(AND(B840,B841),1,0)</f>
        <v>0</v>
      </c>
      <c r="K840">
        <f t="shared" ref="K840:K903" ca="1" si="70">IF(AND(NOT(B840),NOT(B841)),1,0)</f>
        <v>0</v>
      </c>
      <c r="L840" s="65">
        <v>834</v>
      </c>
      <c r="M840" s="71">
        <f t="shared" ca="1" si="66"/>
        <v>3.751989930222932</v>
      </c>
      <c r="N840" s="65"/>
    </row>
    <row r="841" spans="1:14" x14ac:dyDescent="0.25">
      <c r="A841" s="2">
        <v>835</v>
      </c>
      <c r="B841" s="11">
        <f t="shared" ca="1" si="67"/>
        <v>0</v>
      </c>
      <c r="C841" s="26">
        <f t="shared" ca="1" si="68"/>
        <v>0.85333373419643732</v>
      </c>
      <c r="J841">
        <f t="shared" ca="1" si="69"/>
        <v>0</v>
      </c>
      <c r="K841">
        <f t="shared" ca="1" si="70"/>
        <v>0</v>
      </c>
      <c r="L841" s="65">
        <v>835</v>
      </c>
      <c r="M841" s="71">
        <f t="shared" ca="1" si="66"/>
        <v>0</v>
      </c>
      <c r="N841" s="65"/>
    </row>
    <row r="842" spans="1:14" x14ac:dyDescent="0.25">
      <c r="A842" s="2">
        <v>836</v>
      </c>
      <c r="B842" s="11">
        <f t="shared" ca="1" si="67"/>
        <v>1</v>
      </c>
      <c r="C842" s="26">
        <f t="shared" ca="1" si="68"/>
        <v>0.41154484999203134</v>
      </c>
      <c r="J842">
        <f t="shared" ca="1" si="69"/>
        <v>1</v>
      </c>
      <c r="K842">
        <f t="shared" ca="1" si="70"/>
        <v>0</v>
      </c>
      <c r="L842" s="65">
        <v>836</v>
      </c>
      <c r="M842" s="71">
        <f t="shared" ca="1" si="66"/>
        <v>1.1320119583629824</v>
      </c>
      <c r="N842" s="65"/>
    </row>
    <row r="843" spans="1:14" x14ac:dyDescent="0.25">
      <c r="A843" s="2">
        <v>837</v>
      </c>
      <c r="B843" s="11">
        <f t="shared" ca="1" si="67"/>
        <v>1</v>
      </c>
      <c r="C843" s="26">
        <f t="shared" ca="1" si="68"/>
        <v>0.36057927726425598</v>
      </c>
      <c r="J843">
        <f t="shared" ca="1" si="69"/>
        <v>1</v>
      </c>
      <c r="K843">
        <f t="shared" ca="1" si="70"/>
        <v>0</v>
      </c>
      <c r="L843" s="65">
        <v>837</v>
      </c>
      <c r="M843" s="71">
        <f t="shared" ca="1" si="66"/>
        <v>3.0950360462645898</v>
      </c>
      <c r="N843" s="65"/>
    </row>
    <row r="844" spans="1:14" x14ac:dyDescent="0.25">
      <c r="A844" s="2">
        <v>838</v>
      </c>
      <c r="B844" s="11">
        <f t="shared" ca="1" si="67"/>
        <v>1</v>
      </c>
      <c r="C844" s="26">
        <f t="shared" ca="1" si="68"/>
        <v>0.54578070737446505</v>
      </c>
      <c r="J844">
        <f t="shared" ca="1" si="69"/>
        <v>0</v>
      </c>
      <c r="K844">
        <f t="shared" ca="1" si="70"/>
        <v>0</v>
      </c>
      <c r="L844" s="65">
        <v>838</v>
      </c>
      <c r="M844" s="71">
        <f t="shared" ca="1" si="66"/>
        <v>10.078444814193503</v>
      </c>
      <c r="N844" s="65"/>
    </row>
    <row r="845" spans="1:14" x14ac:dyDescent="0.25">
      <c r="A845" s="2">
        <v>839</v>
      </c>
      <c r="B845" s="11">
        <f t="shared" ca="1" si="67"/>
        <v>0</v>
      </c>
      <c r="C845" s="26">
        <f t="shared" ca="1" si="68"/>
        <v>0.99195715237092108</v>
      </c>
      <c r="J845">
        <f t="shared" ca="1" si="69"/>
        <v>0</v>
      </c>
      <c r="K845">
        <f t="shared" ca="1" si="70"/>
        <v>0</v>
      </c>
      <c r="L845" s="65">
        <v>839</v>
      </c>
      <c r="M845" s="71">
        <f t="shared" ca="1" si="66"/>
        <v>0</v>
      </c>
      <c r="N845" s="65"/>
    </row>
    <row r="846" spans="1:14" x14ac:dyDescent="0.25">
      <c r="A846" s="2">
        <v>840</v>
      </c>
      <c r="B846" s="11">
        <f t="shared" ca="1" si="67"/>
        <v>1</v>
      </c>
      <c r="C846" s="26">
        <f t="shared" ca="1" si="68"/>
        <v>0.45642582465229586</v>
      </c>
      <c r="J846">
        <f t="shared" ca="1" si="69"/>
        <v>0</v>
      </c>
      <c r="K846">
        <f t="shared" ca="1" si="70"/>
        <v>0</v>
      </c>
      <c r="L846" s="65">
        <v>840</v>
      </c>
      <c r="M846" s="71">
        <f t="shared" ca="1" si="66"/>
        <v>0.71633087940277496</v>
      </c>
      <c r="N846" s="65"/>
    </row>
    <row r="847" spans="1:14" x14ac:dyDescent="0.25">
      <c r="A847" s="2">
        <v>841</v>
      </c>
      <c r="B847" s="11">
        <f t="shared" ca="1" si="67"/>
        <v>0</v>
      </c>
      <c r="C847" s="26">
        <f t="shared" ca="1" si="68"/>
        <v>0.83655541592981908</v>
      </c>
      <c r="J847">
        <f t="shared" ca="1" si="69"/>
        <v>0</v>
      </c>
      <c r="K847">
        <f t="shared" ca="1" si="70"/>
        <v>0</v>
      </c>
      <c r="L847" s="65">
        <v>841</v>
      </c>
      <c r="M847" s="71">
        <f t="shared" ca="1" si="66"/>
        <v>0</v>
      </c>
      <c r="N847" s="65"/>
    </row>
    <row r="848" spans="1:14" x14ac:dyDescent="0.25">
      <c r="A848" s="2">
        <v>842</v>
      </c>
      <c r="B848" s="11">
        <f t="shared" ca="1" si="67"/>
        <v>1</v>
      </c>
      <c r="C848" s="26">
        <f t="shared" ca="1" si="68"/>
        <v>0.66508251580229072</v>
      </c>
      <c r="J848">
        <f t="shared" ca="1" si="69"/>
        <v>1</v>
      </c>
      <c r="K848">
        <f t="shared" ca="1" si="70"/>
        <v>0</v>
      </c>
      <c r="L848" s="65">
        <v>842</v>
      </c>
      <c r="M848" s="71">
        <f t="shared" ca="1" si="66"/>
        <v>0.37526234244541379</v>
      </c>
      <c r="N848" s="65"/>
    </row>
    <row r="849" spans="1:14" x14ac:dyDescent="0.25">
      <c r="A849" s="2">
        <v>843</v>
      </c>
      <c r="B849" s="11">
        <f t="shared" ca="1" si="67"/>
        <v>1</v>
      </c>
      <c r="C849" s="26">
        <f t="shared" ca="1" si="68"/>
        <v>0.65250378624707372</v>
      </c>
      <c r="J849">
        <f t="shared" ca="1" si="69"/>
        <v>1</v>
      </c>
      <c r="K849">
        <f t="shared" ca="1" si="70"/>
        <v>0</v>
      </c>
      <c r="L849" s="65">
        <v>843</v>
      </c>
      <c r="M849" s="71">
        <f t="shared" ca="1" si="66"/>
        <v>1.3853508385755899</v>
      </c>
      <c r="N849" s="65"/>
    </row>
    <row r="850" spans="1:14" x14ac:dyDescent="0.25">
      <c r="A850" s="2">
        <v>844</v>
      </c>
      <c r="B850" s="11">
        <f t="shared" ca="1" si="67"/>
        <v>1</v>
      </c>
      <c r="C850" s="26">
        <f t="shared" ca="1" si="68"/>
        <v>0.20966827252552667</v>
      </c>
      <c r="J850">
        <f t="shared" ca="1" si="69"/>
        <v>1</v>
      </c>
      <c r="K850">
        <f t="shared" ca="1" si="70"/>
        <v>0</v>
      </c>
      <c r="L850" s="65">
        <v>844</v>
      </c>
      <c r="M850" s="71">
        <f t="shared" ca="1" si="66"/>
        <v>3.3041159753941716</v>
      </c>
      <c r="N850" s="65"/>
    </row>
    <row r="851" spans="1:14" x14ac:dyDescent="0.25">
      <c r="A851" s="2">
        <v>845</v>
      </c>
      <c r="B851" s="11">
        <f t="shared" ca="1" si="67"/>
        <v>1</v>
      </c>
      <c r="C851" s="26">
        <f t="shared" ca="1" si="68"/>
        <v>0.34796913601130763</v>
      </c>
      <c r="J851">
        <f t="shared" ca="1" si="69"/>
        <v>1</v>
      </c>
      <c r="K851">
        <f t="shared" ca="1" si="70"/>
        <v>0</v>
      </c>
      <c r="L851" s="65">
        <v>845</v>
      </c>
      <c r="M851" s="71">
        <f t="shared" ca="1" si="66"/>
        <v>0.49721454821566291</v>
      </c>
      <c r="N851" s="65"/>
    </row>
    <row r="852" spans="1:14" x14ac:dyDescent="0.25">
      <c r="A852" s="2">
        <v>846</v>
      </c>
      <c r="B852" s="11">
        <f t="shared" ca="1" si="67"/>
        <v>1</v>
      </c>
      <c r="C852" s="26">
        <f t="shared" ca="1" si="68"/>
        <v>7.1746906283004841E-2</v>
      </c>
      <c r="J852">
        <f t="shared" ca="1" si="69"/>
        <v>1</v>
      </c>
      <c r="K852">
        <f t="shared" ca="1" si="70"/>
        <v>0</v>
      </c>
      <c r="L852" s="65">
        <v>846</v>
      </c>
      <c r="M852" s="71">
        <f t="shared" ca="1" si="66"/>
        <v>0.1019576651749417</v>
      </c>
      <c r="N852" s="65"/>
    </row>
    <row r="853" spans="1:14" x14ac:dyDescent="0.25">
      <c r="A853" s="2">
        <v>847</v>
      </c>
      <c r="B853" s="11">
        <f t="shared" ca="1" si="67"/>
        <v>1</v>
      </c>
      <c r="C853" s="26">
        <f t="shared" ca="1" si="68"/>
        <v>0.50877411411829099</v>
      </c>
      <c r="J853">
        <f t="shared" ca="1" si="69"/>
        <v>1</v>
      </c>
      <c r="K853">
        <f t="shared" ca="1" si="70"/>
        <v>0</v>
      </c>
      <c r="L853" s="65">
        <v>847</v>
      </c>
      <c r="M853" s="71">
        <f t="shared" ca="1" si="66"/>
        <v>5.9977295003254545</v>
      </c>
      <c r="N853" s="65"/>
    </row>
    <row r="854" spans="1:14" x14ac:dyDescent="0.25">
      <c r="A854" s="2">
        <v>848</v>
      </c>
      <c r="B854" s="11">
        <f t="shared" ca="1" si="67"/>
        <v>1</v>
      </c>
      <c r="C854" s="26">
        <f t="shared" ca="1" si="68"/>
        <v>0.57999909128947202</v>
      </c>
      <c r="J854">
        <f t="shared" ca="1" si="69"/>
        <v>0</v>
      </c>
      <c r="K854">
        <f t="shared" ca="1" si="70"/>
        <v>0</v>
      </c>
      <c r="L854" s="65">
        <v>848</v>
      </c>
      <c r="M854" s="71">
        <f t="shared" ca="1" si="66"/>
        <v>4.7138709350949064</v>
      </c>
      <c r="N854" s="65"/>
    </row>
    <row r="855" spans="1:14" x14ac:dyDescent="0.25">
      <c r="A855" s="2">
        <v>849</v>
      </c>
      <c r="B855" s="11">
        <f t="shared" ca="1" si="67"/>
        <v>0</v>
      </c>
      <c r="C855" s="26">
        <f t="shared" ca="1" si="68"/>
        <v>0.82409387070955398</v>
      </c>
      <c r="J855">
        <f t="shared" ca="1" si="69"/>
        <v>0</v>
      </c>
      <c r="K855">
        <f t="shared" ca="1" si="70"/>
        <v>0</v>
      </c>
      <c r="L855" s="65">
        <v>849</v>
      </c>
      <c r="M855" s="71">
        <f t="shared" ca="1" si="66"/>
        <v>0</v>
      </c>
      <c r="N855" s="65"/>
    </row>
    <row r="856" spans="1:14" x14ac:dyDescent="0.25">
      <c r="A856" s="2">
        <v>850</v>
      </c>
      <c r="B856" s="11">
        <f t="shared" ca="1" si="67"/>
        <v>1</v>
      </c>
      <c r="C856" s="26">
        <f t="shared" ca="1" si="68"/>
        <v>6.6026446682023621E-2</v>
      </c>
      <c r="J856">
        <f t="shared" ca="1" si="69"/>
        <v>1</v>
      </c>
      <c r="K856">
        <f t="shared" ca="1" si="70"/>
        <v>0</v>
      </c>
      <c r="L856" s="65">
        <v>850</v>
      </c>
      <c r="M856" s="71">
        <f t="shared" ca="1" si="66"/>
        <v>1.1425587292565373</v>
      </c>
      <c r="N856" s="65"/>
    </row>
    <row r="857" spans="1:14" x14ac:dyDescent="0.25">
      <c r="A857" s="2">
        <v>851</v>
      </c>
      <c r="B857" s="11">
        <f t="shared" ca="1" si="67"/>
        <v>1</v>
      </c>
      <c r="C857" s="26">
        <f t="shared" ca="1" si="68"/>
        <v>0.6379125813765657</v>
      </c>
      <c r="J857">
        <f t="shared" ca="1" si="69"/>
        <v>1</v>
      </c>
      <c r="K857">
        <f t="shared" ca="1" si="70"/>
        <v>0</v>
      </c>
      <c r="L857" s="65">
        <v>851</v>
      </c>
      <c r="M857" s="71">
        <f t="shared" ca="1" si="66"/>
        <v>1.3313127059341674</v>
      </c>
      <c r="N857" s="65"/>
    </row>
    <row r="858" spans="1:14" x14ac:dyDescent="0.25">
      <c r="A858" s="2">
        <v>852</v>
      </c>
      <c r="B858" s="11">
        <f t="shared" ca="1" si="67"/>
        <v>1</v>
      </c>
      <c r="C858" s="26">
        <f t="shared" ca="1" si="68"/>
        <v>0.19889366647046802</v>
      </c>
      <c r="J858">
        <f t="shared" ca="1" si="69"/>
        <v>0</v>
      </c>
      <c r="K858">
        <f t="shared" ca="1" si="70"/>
        <v>0</v>
      </c>
      <c r="L858" s="65">
        <v>852</v>
      </c>
      <c r="M858" s="71">
        <f t="shared" ca="1" si="66"/>
        <v>10.657248159725999</v>
      </c>
      <c r="N858" s="65"/>
    </row>
    <row r="859" spans="1:14" x14ac:dyDescent="0.25">
      <c r="A859" s="2">
        <v>853</v>
      </c>
      <c r="B859" s="11">
        <f t="shared" ca="1" si="67"/>
        <v>0</v>
      </c>
      <c r="C859" s="26">
        <f t="shared" ca="1" si="68"/>
        <v>0.90434094115804797</v>
      </c>
      <c r="J859">
        <f t="shared" ca="1" si="69"/>
        <v>0</v>
      </c>
      <c r="K859">
        <f t="shared" ca="1" si="70"/>
        <v>0</v>
      </c>
      <c r="L859" s="65">
        <v>853</v>
      </c>
      <c r="M859" s="71">
        <f t="shared" ca="1" si="66"/>
        <v>0</v>
      </c>
      <c r="N859" s="65"/>
    </row>
    <row r="860" spans="1:14" x14ac:dyDescent="0.25">
      <c r="A860" s="2">
        <v>854</v>
      </c>
      <c r="B860" s="11">
        <f t="shared" ca="1" si="67"/>
        <v>1</v>
      </c>
      <c r="C860" s="26">
        <f t="shared" ca="1" si="68"/>
        <v>0.17287383327850658</v>
      </c>
      <c r="J860">
        <f t="shared" ca="1" si="69"/>
        <v>1</v>
      </c>
      <c r="K860">
        <f t="shared" ca="1" si="70"/>
        <v>0</v>
      </c>
      <c r="L860" s="65">
        <v>854</v>
      </c>
      <c r="M860" s="71">
        <f t="shared" ca="1" si="66"/>
        <v>6.6287810721332194</v>
      </c>
      <c r="N860" s="65"/>
    </row>
    <row r="861" spans="1:14" x14ac:dyDescent="0.25">
      <c r="A861" s="2">
        <v>855</v>
      </c>
      <c r="B861" s="11">
        <f t="shared" ca="1" si="67"/>
        <v>1</v>
      </c>
      <c r="C861" s="26">
        <f t="shared" ca="1" si="68"/>
        <v>0.69479044468495188</v>
      </c>
      <c r="J861">
        <f t="shared" ca="1" si="69"/>
        <v>1</v>
      </c>
      <c r="K861">
        <f t="shared" ca="1" si="70"/>
        <v>0</v>
      </c>
      <c r="L861" s="65">
        <v>855</v>
      </c>
      <c r="M861" s="71">
        <f t="shared" ca="1" si="66"/>
        <v>12.623224908555731</v>
      </c>
      <c r="N861" s="65"/>
    </row>
    <row r="862" spans="1:14" x14ac:dyDescent="0.25">
      <c r="A862" s="2">
        <v>856</v>
      </c>
      <c r="B862" s="11">
        <f t="shared" ca="1" si="67"/>
        <v>1</v>
      </c>
      <c r="C862" s="26">
        <f t="shared" ca="1" si="68"/>
        <v>0.63222731859310832</v>
      </c>
      <c r="J862">
        <f t="shared" ca="1" si="69"/>
        <v>1</v>
      </c>
      <c r="K862">
        <f t="shared" ca="1" si="70"/>
        <v>0</v>
      </c>
      <c r="L862" s="65">
        <v>856</v>
      </c>
      <c r="M862" s="71">
        <f t="shared" ca="1" si="66"/>
        <v>0.65333771529633378</v>
      </c>
      <c r="N862" s="65"/>
    </row>
    <row r="863" spans="1:14" x14ac:dyDescent="0.25">
      <c r="A863" s="2">
        <v>857</v>
      </c>
      <c r="B863" s="11">
        <f t="shared" ca="1" si="67"/>
        <v>1</v>
      </c>
      <c r="C863" s="26">
        <f t="shared" ca="1" si="68"/>
        <v>0.71847890748318743</v>
      </c>
      <c r="J863">
        <f t="shared" ca="1" si="69"/>
        <v>1</v>
      </c>
      <c r="K863">
        <f t="shared" ca="1" si="70"/>
        <v>0</v>
      </c>
      <c r="L863" s="65">
        <v>857</v>
      </c>
      <c r="M863" s="71">
        <f t="shared" ca="1" si="66"/>
        <v>7.9269749406984662</v>
      </c>
      <c r="N863" s="65"/>
    </row>
    <row r="864" spans="1:14" x14ac:dyDescent="0.25">
      <c r="A864" s="2">
        <v>858</v>
      </c>
      <c r="B864" s="11">
        <f t="shared" ca="1" si="67"/>
        <v>1</v>
      </c>
      <c r="C864" s="26">
        <f t="shared" ca="1" si="68"/>
        <v>0.68412797568918959</v>
      </c>
      <c r="J864">
        <f t="shared" ca="1" si="69"/>
        <v>1</v>
      </c>
      <c r="K864">
        <f t="shared" ca="1" si="70"/>
        <v>0</v>
      </c>
      <c r="L864" s="65">
        <v>858</v>
      </c>
      <c r="M864" s="71">
        <f t="shared" ca="1" si="66"/>
        <v>1.3629115467704391</v>
      </c>
      <c r="N864" s="65"/>
    </row>
    <row r="865" spans="1:14" x14ac:dyDescent="0.25">
      <c r="A865" s="2">
        <v>859</v>
      </c>
      <c r="B865" s="11">
        <f t="shared" ca="1" si="67"/>
        <v>1</v>
      </c>
      <c r="C865" s="26">
        <f t="shared" ca="1" si="68"/>
        <v>0.38116803967178237</v>
      </c>
      <c r="J865">
        <f t="shared" ca="1" si="69"/>
        <v>1</v>
      </c>
      <c r="K865">
        <f t="shared" ca="1" si="70"/>
        <v>0</v>
      </c>
      <c r="L865" s="65">
        <v>859</v>
      </c>
      <c r="M865" s="71">
        <f t="shared" ca="1" si="66"/>
        <v>1.6553502985133</v>
      </c>
      <c r="N865" s="65"/>
    </row>
    <row r="866" spans="1:14" x14ac:dyDescent="0.25">
      <c r="A866" s="2">
        <v>860</v>
      </c>
      <c r="B866" s="11">
        <f t="shared" ca="1" si="67"/>
        <v>1</v>
      </c>
      <c r="C866" s="26">
        <f t="shared" ca="1" si="68"/>
        <v>0.42711340241272622</v>
      </c>
      <c r="J866">
        <f t="shared" ca="1" si="69"/>
        <v>0</v>
      </c>
      <c r="K866">
        <f t="shared" ca="1" si="70"/>
        <v>0</v>
      </c>
      <c r="L866" s="65">
        <v>860</v>
      </c>
      <c r="M866" s="71">
        <f t="shared" ca="1" si="66"/>
        <v>4.58147712442757</v>
      </c>
      <c r="N866" s="65"/>
    </row>
    <row r="867" spans="1:14" x14ac:dyDescent="0.25">
      <c r="A867" s="2">
        <v>861</v>
      </c>
      <c r="B867" s="11">
        <f t="shared" ca="1" si="67"/>
        <v>0</v>
      </c>
      <c r="C867" s="26">
        <f t="shared" ca="1" si="68"/>
        <v>0.92747643531024904</v>
      </c>
      <c r="J867">
        <f t="shared" ca="1" si="69"/>
        <v>0</v>
      </c>
      <c r="K867">
        <f t="shared" ca="1" si="70"/>
        <v>0</v>
      </c>
      <c r="L867" s="65">
        <v>861</v>
      </c>
      <c r="M867" s="71">
        <f t="shared" ca="1" si="66"/>
        <v>0</v>
      </c>
      <c r="N867" s="65"/>
    </row>
    <row r="868" spans="1:14" x14ac:dyDescent="0.25">
      <c r="A868" s="2">
        <v>862</v>
      </c>
      <c r="B868" s="11">
        <f t="shared" ca="1" si="67"/>
        <v>1</v>
      </c>
      <c r="C868" s="26">
        <f t="shared" ca="1" si="68"/>
        <v>2.3492535737087983E-2</v>
      </c>
      <c r="J868">
        <f t="shared" ca="1" si="69"/>
        <v>1</v>
      </c>
      <c r="K868">
        <f t="shared" ca="1" si="70"/>
        <v>0</v>
      </c>
      <c r="L868" s="65">
        <v>862</v>
      </c>
      <c r="M868" s="71">
        <f t="shared" ca="1" si="66"/>
        <v>1.7364706753885082</v>
      </c>
      <c r="N868" s="65"/>
    </row>
    <row r="869" spans="1:14" x14ac:dyDescent="0.25">
      <c r="A869" s="2">
        <v>863</v>
      </c>
      <c r="B869" s="11">
        <f t="shared" ca="1" si="67"/>
        <v>1</v>
      </c>
      <c r="C869" s="26">
        <f t="shared" ca="1" si="68"/>
        <v>0.27086619867118322</v>
      </c>
      <c r="J869">
        <f t="shared" ca="1" si="69"/>
        <v>1</v>
      </c>
      <c r="K869">
        <f t="shared" ca="1" si="70"/>
        <v>0</v>
      </c>
      <c r="L869" s="65">
        <v>863</v>
      </c>
      <c r="M869" s="71">
        <f t="shared" ca="1" si="66"/>
        <v>3.5821341991328755</v>
      </c>
      <c r="N869" s="65"/>
    </row>
    <row r="870" spans="1:14" x14ac:dyDescent="0.25">
      <c r="A870" s="2">
        <v>864</v>
      </c>
      <c r="B870" s="11">
        <f t="shared" ca="1" si="67"/>
        <v>1</v>
      </c>
      <c r="C870" s="26">
        <f t="shared" ca="1" si="68"/>
        <v>0.70474154949126855</v>
      </c>
      <c r="J870">
        <f t="shared" ca="1" si="69"/>
        <v>1</v>
      </c>
      <c r="K870">
        <f t="shared" ca="1" si="70"/>
        <v>0</v>
      </c>
      <c r="L870" s="65">
        <v>864</v>
      </c>
      <c r="M870" s="71">
        <f t="shared" ca="1" si="66"/>
        <v>0.33913451648313919</v>
      </c>
      <c r="N870" s="65"/>
    </row>
    <row r="871" spans="1:14" x14ac:dyDescent="0.25">
      <c r="A871" s="2">
        <v>865</v>
      </c>
      <c r="B871" s="11">
        <f t="shared" ca="1" si="67"/>
        <v>1</v>
      </c>
      <c r="C871" s="26">
        <f t="shared" ca="1" si="68"/>
        <v>0.22754172871449885</v>
      </c>
      <c r="J871">
        <f t="shared" ca="1" si="69"/>
        <v>1</v>
      </c>
      <c r="K871">
        <f t="shared" ca="1" si="70"/>
        <v>0</v>
      </c>
      <c r="L871" s="65">
        <v>865</v>
      </c>
      <c r="M871" s="71">
        <f t="shared" ca="1" si="66"/>
        <v>6.1312723762305019</v>
      </c>
      <c r="N871" s="65"/>
    </row>
    <row r="872" spans="1:14" x14ac:dyDescent="0.25">
      <c r="A872" s="2">
        <v>866</v>
      </c>
      <c r="B872" s="11">
        <f t="shared" ca="1" si="67"/>
        <v>1</v>
      </c>
      <c r="C872" s="26">
        <f t="shared" ca="1" si="68"/>
        <v>0.13768813688829828</v>
      </c>
      <c r="J872">
        <f t="shared" ca="1" si="69"/>
        <v>1</v>
      </c>
      <c r="K872">
        <f t="shared" ca="1" si="70"/>
        <v>0</v>
      </c>
      <c r="L872" s="65">
        <v>866</v>
      </c>
      <c r="M872" s="71">
        <f t="shared" ca="1" si="66"/>
        <v>1.5595885167859707</v>
      </c>
      <c r="N872" s="65"/>
    </row>
    <row r="873" spans="1:14" x14ac:dyDescent="0.25">
      <c r="A873" s="2">
        <v>867</v>
      </c>
      <c r="B873" s="11">
        <f t="shared" ca="1" si="67"/>
        <v>1</v>
      </c>
      <c r="C873" s="26">
        <f t="shared" ca="1" si="68"/>
        <v>0.11811133766538529</v>
      </c>
      <c r="J873">
        <f t="shared" ca="1" si="69"/>
        <v>0</v>
      </c>
      <c r="K873">
        <f t="shared" ca="1" si="70"/>
        <v>0</v>
      </c>
      <c r="L873" s="65">
        <v>867</v>
      </c>
      <c r="M873" s="71">
        <f t="shared" ca="1" si="66"/>
        <v>2.2028076110787396</v>
      </c>
      <c r="N873" s="65"/>
    </row>
    <row r="874" spans="1:14" x14ac:dyDescent="0.25">
      <c r="A874" s="2">
        <v>868</v>
      </c>
      <c r="B874" s="11">
        <f t="shared" ca="1" si="67"/>
        <v>0</v>
      </c>
      <c r="C874" s="26">
        <f t="shared" ca="1" si="68"/>
        <v>0.97875147746501778</v>
      </c>
      <c r="J874">
        <f t="shared" ca="1" si="69"/>
        <v>0</v>
      </c>
      <c r="K874">
        <f t="shared" ca="1" si="70"/>
        <v>0</v>
      </c>
      <c r="L874" s="65">
        <v>868</v>
      </c>
      <c r="M874" s="71">
        <f t="shared" ca="1" si="66"/>
        <v>0</v>
      </c>
      <c r="N874" s="65"/>
    </row>
    <row r="875" spans="1:14" x14ac:dyDescent="0.25">
      <c r="A875" s="2">
        <v>869</v>
      </c>
      <c r="B875" s="11">
        <f t="shared" ca="1" si="67"/>
        <v>1</v>
      </c>
      <c r="C875" s="26">
        <f t="shared" ca="1" si="68"/>
        <v>0.40182860676235044</v>
      </c>
      <c r="J875">
        <f t="shared" ca="1" si="69"/>
        <v>0</v>
      </c>
      <c r="K875">
        <f t="shared" ca="1" si="70"/>
        <v>0</v>
      </c>
      <c r="L875" s="65">
        <v>869</v>
      </c>
      <c r="M875" s="71">
        <f t="shared" ca="1" si="66"/>
        <v>1.8456803375963948</v>
      </c>
      <c r="N875" s="65"/>
    </row>
    <row r="876" spans="1:14" x14ac:dyDescent="0.25">
      <c r="A876" s="2">
        <v>870</v>
      </c>
      <c r="B876" s="11">
        <f t="shared" ca="1" si="67"/>
        <v>0</v>
      </c>
      <c r="C876" s="26">
        <f t="shared" ca="1" si="68"/>
        <v>0.86889226301418199</v>
      </c>
      <c r="J876">
        <f t="shared" ca="1" si="69"/>
        <v>0</v>
      </c>
      <c r="K876">
        <f t="shared" ca="1" si="70"/>
        <v>0</v>
      </c>
      <c r="L876" s="65">
        <v>870</v>
      </c>
      <c r="M876" s="71">
        <f t="shared" ca="1" si="66"/>
        <v>0</v>
      </c>
      <c r="N876" s="65"/>
    </row>
    <row r="877" spans="1:14" x14ac:dyDescent="0.25">
      <c r="A877" s="2">
        <v>871</v>
      </c>
      <c r="B877" s="11">
        <f t="shared" ca="1" si="67"/>
        <v>1</v>
      </c>
      <c r="C877" s="26">
        <f t="shared" ca="1" si="68"/>
        <v>0.63143358999526822</v>
      </c>
      <c r="J877">
        <f t="shared" ca="1" si="69"/>
        <v>1</v>
      </c>
      <c r="K877">
        <f t="shared" ca="1" si="70"/>
        <v>0</v>
      </c>
      <c r="L877" s="65">
        <v>871</v>
      </c>
      <c r="M877" s="71">
        <f t="shared" ca="1" si="66"/>
        <v>1.3319614499309378</v>
      </c>
      <c r="N877" s="65"/>
    </row>
    <row r="878" spans="1:14" x14ac:dyDescent="0.25">
      <c r="A878" s="2">
        <v>872</v>
      </c>
      <c r="B878" s="11">
        <f t="shared" ca="1" si="67"/>
        <v>1</v>
      </c>
      <c r="C878" s="26">
        <f t="shared" ca="1" si="68"/>
        <v>0.57806227771984653</v>
      </c>
      <c r="J878">
        <f t="shared" ca="1" si="69"/>
        <v>0</v>
      </c>
      <c r="K878">
        <f t="shared" ca="1" si="70"/>
        <v>0</v>
      </c>
      <c r="L878" s="65">
        <v>872</v>
      </c>
      <c r="M878" s="71">
        <f t="shared" ca="1" si="66"/>
        <v>4.5664818831874374</v>
      </c>
      <c r="N878" s="65"/>
    </row>
    <row r="879" spans="1:14" x14ac:dyDescent="0.25">
      <c r="A879" s="2">
        <v>873</v>
      </c>
      <c r="B879" s="11">
        <f t="shared" ca="1" si="67"/>
        <v>0</v>
      </c>
      <c r="C879" s="26">
        <f t="shared" ca="1" si="68"/>
        <v>0.97876948024573951</v>
      </c>
      <c r="J879">
        <f t="shared" ca="1" si="69"/>
        <v>0</v>
      </c>
      <c r="K879">
        <f t="shared" ca="1" si="70"/>
        <v>0</v>
      </c>
      <c r="L879" s="65">
        <v>873</v>
      </c>
      <c r="M879" s="71">
        <f t="shared" ca="1" si="66"/>
        <v>0</v>
      </c>
      <c r="N879" s="65"/>
    </row>
    <row r="880" spans="1:14" x14ac:dyDescent="0.25">
      <c r="A880" s="2">
        <v>874</v>
      </c>
      <c r="B880" s="11">
        <f t="shared" ca="1" si="67"/>
        <v>1</v>
      </c>
      <c r="C880" s="26">
        <f t="shared" ca="1" si="68"/>
        <v>0.71381138431126767</v>
      </c>
      <c r="J880">
        <f t="shared" ca="1" si="69"/>
        <v>1</v>
      </c>
      <c r="K880">
        <f t="shared" ca="1" si="70"/>
        <v>0</v>
      </c>
      <c r="L880" s="65">
        <v>874</v>
      </c>
      <c r="M880" s="71">
        <f t="shared" ca="1" si="66"/>
        <v>1.479479321027652</v>
      </c>
      <c r="N880" s="65"/>
    </row>
    <row r="881" spans="1:14" x14ac:dyDescent="0.25">
      <c r="A881" s="2">
        <v>875</v>
      </c>
      <c r="B881" s="11">
        <f t="shared" ca="1" si="67"/>
        <v>1</v>
      </c>
      <c r="C881" s="26">
        <f t="shared" ca="1" si="68"/>
        <v>0.65218749580445423</v>
      </c>
      <c r="J881">
        <f t="shared" ca="1" si="69"/>
        <v>1</v>
      </c>
      <c r="K881">
        <f t="shared" ca="1" si="70"/>
        <v>0</v>
      </c>
      <c r="L881" s="65">
        <v>875</v>
      </c>
      <c r="M881" s="71">
        <f t="shared" ca="1" si="66"/>
        <v>8.2656347645184276</v>
      </c>
      <c r="N881" s="65"/>
    </row>
    <row r="882" spans="1:14" x14ac:dyDescent="0.25">
      <c r="A882" s="2">
        <v>876</v>
      </c>
      <c r="B882" s="11">
        <f t="shared" ca="1" si="67"/>
        <v>1</v>
      </c>
      <c r="C882" s="26">
        <f t="shared" ca="1" si="68"/>
        <v>0.61880690191904475</v>
      </c>
      <c r="J882">
        <f t="shared" ca="1" si="69"/>
        <v>0</v>
      </c>
      <c r="K882">
        <f t="shared" ca="1" si="70"/>
        <v>0</v>
      </c>
      <c r="L882" s="65">
        <v>876</v>
      </c>
      <c r="M882" s="71">
        <f t="shared" ca="1" si="66"/>
        <v>7.3969423724405177</v>
      </c>
      <c r="N882" s="65"/>
    </row>
    <row r="883" spans="1:14" x14ac:dyDescent="0.25">
      <c r="A883" s="2">
        <v>877</v>
      </c>
      <c r="B883" s="11">
        <f t="shared" ca="1" si="67"/>
        <v>0</v>
      </c>
      <c r="C883" s="26">
        <f t="shared" ca="1" si="68"/>
        <v>0.99479790105391008</v>
      </c>
      <c r="J883">
        <f t="shared" ca="1" si="69"/>
        <v>0</v>
      </c>
      <c r="K883">
        <f t="shared" ca="1" si="70"/>
        <v>0</v>
      </c>
      <c r="L883" s="65">
        <v>877</v>
      </c>
      <c r="M883" s="71">
        <f t="shared" ca="1" si="66"/>
        <v>0</v>
      </c>
      <c r="N883" s="65"/>
    </row>
    <row r="884" spans="1:14" x14ac:dyDescent="0.25">
      <c r="A884" s="2">
        <v>878</v>
      </c>
      <c r="B884" s="11">
        <f t="shared" ca="1" si="67"/>
        <v>1</v>
      </c>
      <c r="C884" s="26">
        <f t="shared" ca="1" si="68"/>
        <v>0.66308888191187576</v>
      </c>
      <c r="J884">
        <f t="shared" ca="1" si="69"/>
        <v>1</v>
      </c>
      <c r="K884">
        <f t="shared" ca="1" si="70"/>
        <v>0</v>
      </c>
      <c r="L884" s="65">
        <v>878</v>
      </c>
      <c r="M884" s="71">
        <f t="shared" ca="1" si="66"/>
        <v>6.8572041701827287</v>
      </c>
      <c r="N884" s="65"/>
    </row>
    <row r="885" spans="1:14" x14ac:dyDescent="0.25">
      <c r="A885" s="2">
        <v>879</v>
      </c>
      <c r="B885" s="11">
        <f t="shared" ca="1" si="67"/>
        <v>1</v>
      </c>
      <c r="C885" s="26">
        <f t="shared" ca="1" si="68"/>
        <v>0.64628037021941842</v>
      </c>
      <c r="J885">
        <f t="shared" ca="1" si="69"/>
        <v>0</v>
      </c>
      <c r="K885">
        <f t="shared" ca="1" si="70"/>
        <v>0</v>
      </c>
      <c r="L885" s="65">
        <v>879</v>
      </c>
      <c r="M885" s="71">
        <f t="shared" ca="1" si="66"/>
        <v>5.5865563248633139</v>
      </c>
      <c r="N885" s="65"/>
    </row>
    <row r="886" spans="1:14" x14ac:dyDescent="0.25">
      <c r="A886" s="2">
        <v>880</v>
      </c>
      <c r="B886" s="11">
        <f t="shared" ca="1" si="67"/>
        <v>0</v>
      </c>
      <c r="C886" s="26">
        <f t="shared" ca="1" si="68"/>
        <v>0.89594318325267042</v>
      </c>
      <c r="J886">
        <f t="shared" ca="1" si="69"/>
        <v>0</v>
      </c>
      <c r="K886">
        <f t="shared" ca="1" si="70"/>
        <v>0</v>
      </c>
      <c r="L886" s="65">
        <v>880</v>
      </c>
      <c r="M886" s="71">
        <f t="shared" ca="1" si="66"/>
        <v>0</v>
      </c>
      <c r="N886" s="65"/>
    </row>
    <row r="887" spans="1:14" x14ac:dyDescent="0.25">
      <c r="A887" s="2">
        <v>881</v>
      </c>
      <c r="B887" s="11">
        <f t="shared" ca="1" si="67"/>
        <v>1</v>
      </c>
      <c r="C887" s="26">
        <f t="shared" ca="1" si="68"/>
        <v>0.67166611223136219</v>
      </c>
      <c r="J887">
        <f t="shared" ca="1" si="69"/>
        <v>0</v>
      </c>
      <c r="K887">
        <f t="shared" ca="1" si="70"/>
        <v>0</v>
      </c>
      <c r="L887" s="65">
        <v>881</v>
      </c>
      <c r="M887" s="71">
        <f t="shared" ca="1" si="66"/>
        <v>2.4490951154783915</v>
      </c>
      <c r="N887" s="65"/>
    </row>
    <row r="888" spans="1:14" x14ac:dyDescent="0.25">
      <c r="A888" s="2">
        <v>882</v>
      </c>
      <c r="B888" s="11">
        <f t="shared" ca="1" si="67"/>
        <v>0</v>
      </c>
      <c r="C888" s="26">
        <f t="shared" ca="1" si="68"/>
        <v>0.80701549244850368</v>
      </c>
      <c r="J888">
        <f t="shared" ca="1" si="69"/>
        <v>0</v>
      </c>
      <c r="K888">
        <f t="shared" ca="1" si="70"/>
        <v>0</v>
      </c>
      <c r="L888" s="65">
        <v>882</v>
      </c>
      <c r="M888" s="71">
        <f t="shared" ca="1" si="66"/>
        <v>0</v>
      </c>
      <c r="N888" s="65"/>
    </row>
    <row r="889" spans="1:14" x14ac:dyDescent="0.25">
      <c r="A889" s="2">
        <v>883</v>
      </c>
      <c r="B889" s="11">
        <f t="shared" ca="1" si="67"/>
        <v>1</v>
      </c>
      <c r="C889" s="26">
        <f t="shared" ca="1" si="68"/>
        <v>0.34894622996496683</v>
      </c>
      <c r="J889">
        <f t="shared" ca="1" si="69"/>
        <v>0</v>
      </c>
      <c r="K889">
        <f t="shared" ca="1" si="70"/>
        <v>0</v>
      </c>
      <c r="L889" s="65">
        <v>883</v>
      </c>
      <c r="M889" s="71">
        <f t="shared" ca="1" si="66"/>
        <v>1.9322173594196199</v>
      </c>
      <c r="N889" s="65"/>
    </row>
    <row r="890" spans="1:14" x14ac:dyDescent="0.25">
      <c r="A890" s="2">
        <v>884</v>
      </c>
      <c r="B890" s="11">
        <f t="shared" ca="1" si="67"/>
        <v>0</v>
      </c>
      <c r="C890" s="26">
        <f t="shared" ca="1" si="68"/>
        <v>0.9060384769339509</v>
      </c>
      <c r="J890">
        <f t="shared" ca="1" si="69"/>
        <v>0</v>
      </c>
      <c r="K890">
        <f t="shared" ca="1" si="70"/>
        <v>0</v>
      </c>
      <c r="L890" s="65">
        <v>884</v>
      </c>
      <c r="M890" s="71">
        <f t="shared" ca="1" si="66"/>
        <v>0</v>
      </c>
      <c r="N890" s="65"/>
    </row>
    <row r="891" spans="1:14" x14ac:dyDescent="0.25">
      <c r="A891" s="2">
        <v>885</v>
      </c>
      <c r="B891" s="11">
        <f t="shared" ca="1" si="67"/>
        <v>1</v>
      </c>
      <c r="C891" s="26">
        <f t="shared" ca="1" si="68"/>
        <v>0.55301030224630909</v>
      </c>
      <c r="J891">
        <f t="shared" ca="1" si="69"/>
        <v>1</v>
      </c>
      <c r="K891">
        <f t="shared" ca="1" si="70"/>
        <v>0</v>
      </c>
      <c r="L891" s="65">
        <v>885</v>
      </c>
      <c r="M891" s="71">
        <f t="shared" ca="1" si="66"/>
        <v>1.4666625774339432</v>
      </c>
      <c r="N891" s="65"/>
    </row>
    <row r="892" spans="1:14" x14ac:dyDescent="0.25">
      <c r="A892" s="2">
        <v>886</v>
      </c>
      <c r="B892" s="11">
        <f t="shared" ca="1" si="67"/>
        <v>1</v>
      </c>
      <c r="C892" s="26">
        <f t="shared" ca="1" si="68"/>
        <v>0.78477598407256899</v>
      </c>
      <c r="J892">
        <f t="shared" ca="1" si="69"/>
        <v>1</v>
      </c>
      <c r="K892">
        <f t="shared" ca="1" si="70"/>
        <v>0</v>
      </c>
      <c r="L892" s="65">
        <v>886</v>
      </c>
      <c r="M892" s="71">
        <f t="shared" ca="1" si="66"/>
        <v>0.93463144973347867</v>
      </c>
      <c r="N892" s="65"/>
    </row>
    <row r="893" spans="1:14" x14ac:dyDescent="0.25">
      <c r="A893" s="2">
        <v>887</v>
      </c>
      <c r="B893" s="11">
        <f t="shared" ca="1" si="67"/>
        <v>1</v>
      </c>
      <c r="C893" s="26">
        <f t="shared" ca="1" si="68"/>
        <v>0.348436611504507</v>
      </c>
      <c r="J893">
        <f t="shared" ca="1" si="69"/>
        <v>1</v>
      </c>
      <c r="K893">
        <f t="shared" ca="1" si="70"/>
        <v>0</v>
      </c>
      <c r="L893" s="65">
        <v>887</v>
      </c>
      <c r="M893" s="71">
        <f t="shared" ca="1" si="66"/>
        <v>5.2651426300266113</v>
      </c>
      <c r="N893" s="65"/>
    </row>
    <row r="894" spans="1:14" x14ac:dyDescent="0.25">
      <c r="A894" s="2">
        <v>888</v>
      </c>
      <c r="B894" s="11">
        <f t="shared" ca="1" si="67"/>
        <v>1</v>
      </c>
      <c r="C894" s="26">
        <f t="shared" ca="1" si="68"/>
        <v>0.49327522885691022</v>
      </c>
      <c r="J894">
        <f t="shared" ca="1" si="69"/>
        <v>1</v>
      </c>
      <c r="K894">
        <f t="shared" ca="1" si="70"/>
        <v>0</v>
      </c>
      <c r="L894" s="65">
        <v>888</v>
      </c>
      <c r="M894" s="71">
        <f t="shared" ca="1" si="66"/>
        <v>0.97426426537630362</v>
      </c>
      <c r="N894" s="65"/>
    </row>
    <row r="895" spans="1:14" x14ac:dyDescent="0.25">
      <c r="A895" s="2">
        <v>889</v>
      </c>
      <c r="B895" s="11">
        <f t="shared" ca="1" si="67"/>
        <v>1</v>
      </c>
      <c r="C895" s="26">
        <f t="shared" ca="1" si="68"/>
        <v>0.44016738159795354</v>
      </c>
      <c r="J895">
        <f t="shared" ca="1" si="69"/>
        <v>0</v>
      </c>
      <c r="K895">
        <f t="shared" ca="1" si="70"/>
        <v>0</v>
      </c>
      <c r="L895" s="65">
        <v>889</v>
      </c>
      <c r="M895" s="71">
        <f t="shared" ca="1" si="66"/>
        <v>13.214126579802759</v>
      </c>
      <c r="N895" s="65"/>
    </row>
    <row r="896" spans="1:14" x14ac:dyDescent="0.25">
      <c r="A896" s="2">
        <v>890</v>
      </c>
      <c r="B896" s="11">
        <f t="shared" ca="1" si="67"/>
        <v>0</v>
      </c>
      <c r="C896" s="26">
        <f t="shared" ca="1" si="68"/>
        <v>0.94555858978567187</v>
      </c>
      <c r="J896">
        <f t="shared" ca="1" si="69"/>
        <v>0</v>
      </c>
      <c r="K896">
        <f t="shared" ca="1" si="70"/>
        <v>0</v>
      </c>
      <c r="L896" s="65">
        <v>890</v>
      </c>
      <c r="M896" s="71">
        <f t="shared" ca="1" si="66"/>
        <v>0</v>
      </c>
      <c r="N896" s="65"/>
    </row>
    <row r="897" spans="1:14" x14ac:dyDescent="0.25">
      <c r="A897" s="2">
        <v>891</v>
      </c>
      <c r="B897" s="11">
        <f t="shared" ca="1" si="67"/>
        <v>1</v>
      </c>
      <c r="C897" s="26">
        <f t="shared" ca="1" si="68"/>
        <v>0.5778943476565146</v>
      </c>
      <c r="J897">
        <f t="shared" ca="1" si="69"/>
        <v>1</v>
      </c>
      <c r="K897">
        <f t="shared" ca="1" si="70"/>
        <v>0</v>
      </c>
      <c r="L897" s="65">
        <v>891</v>
      </c>
      <c r="M897" s="71">
        <f t="shared" ca="1" si="66"/>
        <v>1.302496287634143</v>
      </c>
      <c r="N897" s="65"/>
    </row>
    <row r="898" spans="1:14" x14ac:dyDescent="0.25">
      <c r="A898" s="2">
        <v>892</v>
      </c>
      <c r="B898" s="11">
        <f t="shared" ca="1" si="67"/>
        <v>1</v>
      </c>
      <c r="C898" s="26">
        <f t="shared" ca="1" si="68"/>
        <v>0.56075467910954702</v>
      </c>
      <c r="J898">
        <f t="shared" ca="1" si="69"/>
        <v>1</v>
      </c>
      <c r="K898">
        <f t="shared" ca="1" si="70"/>
        <v>0</v>
      </c>
      <c r="L898" s="65">
        <v>892</v>
      </c>
      <c r="M898" s="71">
        <f t="shared" ca="1" si="66"/>
        <v>4.0189831613624509</v>
      </c>
      <c r="N898" s="65"/>
    </row>
    <row r="899" spans="1:14" x14ac:dyDescent="0.25">
      <c r="A899" s="2">
        <v>893</v>
      </c>
      <c r="B899" s="11">
        <f t="shared" ca="1" si="67"/>
        <v>1</v>
      </c>
      <c r="C899" s="26">
        <f t="shared" ca="1" si="68"/>
        <v>0.39378212236935517</v>
      </c>
      <c r="J899">
        <f t="shared" ca="1" si="69"/>
        <v>1</v>
      </c>
      <c r="K899">
        <f t="shared" ca="1" si="70"/>
        <v>0</v>
      </c>
      <c r="L899" s="65">
        <v>893</v>
      </c>
      <c r="M899" s="71">
        <f t="shared" ca="1" si="66"/>
        <v>7.8793257354555024</v>
      </c>
      <c r="N899" s="65"/>
    </row>
    <row r="900" spans="1:14" x14ac:dyDescent="0.25">
      <c r="A900" s="2">
        <v>894</v>
      </c>
      <c r="B900" s="11">
        <f t="shared" ca="1" si="67"/>
        <v>1</v>
      </c>
      <c r="C900" s="26">
        <f t="shared" ca="1" si="68"/>
        <v>0.21231768747803892</v>
      </c>
      <c r="J900">
        <f t="shared" ca="1" si="69"/>
        <v>0</v>
      </c>
      <c r="K900">
        <f t="shared" ca="1" si="70"/>
        <v>0</v>
      </c>
      <c r="L900" s="65">
        <v>894</v>
      </c>
      <c r="M900" s="71">
        <f t="shared" ca="1" si="66"/>
        <v>0.14786017715299871</v>
      </c>
      <c r="N900" s="65"/>
    </row>
    <row r="901" spans="1:14" x14ac:dyDescent="0.25">
      <c r="A901" s="2">
        <v>895</v>
      </c>
      <c r="B901" s="11">
        <f t="shared" ca="1" si="67"/>
        <v>0</v>
      </c>
      <c r="C901" s="26">
        <f t="shared" ca="1" si="68"/>
        <v>0.97192711087106554</v>
      </c>
      <c r="J901">
        <f t="shared" ca="1" si="69"/>
        <v>0</v>
      </c>
      <c r="K901">
        <f t="shared" ca="1" si="70"/>
        <v>1</v>
      </c>
      <c r="L901" s="65">
        <v>895</v>
      </c>
      <c r="M901" s="71">
        <f t="shared" ca="1" si="66"/>
        <v>0</v>
      </c>
      <c r="N901" s="65"/>
    </row>
    <row r="902" spans="1:14" x14ac:dyDescent="0.25">
      <c r="A902" s="2">
        <v>896</v>
      </c>
      <c r="B902" s="11">
        <f t="shared" ca="1" si="67"/>
        <v>0</v>
      </c>
      <c r="C902" s="26">
        <f t="shared" ca="1" si="68"/>
        <v>0.80714252553438426</v>
      </c>
      <c r="J902">
        <f t="shared" ca="1" si="69"/>
        <v>0</v>
      </c>
      <c r="K902">
        <f t="shared" ca="1" si="70"/>
        <v>1</v>
      </c>
      <c r="L902" s="65">
        <v>896</v>
      </c>
      <c r="M902" s="71">
        <f t="shared" ca="1" si="66"/>
        <v>0</v>
      </c>
      <c r="N902" s="65"/>
    </row>
    <row r="903" spans="1:14" x14ac:dyDescent="0.25">
      <c r="A903" s="2">
        <v>897</v>
      </c>
      <c r="B903" s="11">
        <f t="shared" ca="1" si="67"/>
        <v>0</v>
      </c>
      <c r="C903" s="26">
        <f t="shared" ca="1" si="68"/>
        <v>0.91606185167191878</v>
      </c>
      <c r="J903">
        <f t="shared" ca="1" si="69"/>
        <v>0</v>
      </c>
      <c r="K903">
        <f t="shared" ca="1" si="70"/>
        <v>1</v>
      </c>
      <c r="L903" s="65">
        <v>897</v>
      </c>
      <c r="M903" s="71">
        <f t="shared" ref="M903:M966" ca="1" si="71">IF(B903&gt;0,-LN(1-(RAND()))/lambda,0)</f>
        <v>0</v>
      </c>
      <c r="N903" s="65"/>
    </row>
    <row r="904" spans="1:14" x14ac:dyDescent="0.25">
      <c r="A904" s="2">
        <v>898</v>
      </c>
      <c r="B904" s="11">
        <f t="shared" ref="B904:B967" ca="1" si="72">IF(B903&gt;0,IF(C904&lt;pww,1,0),IF(C904&lt;pdw,1,0))</f>
        <v>0</v>
      </c>
      <c r="C904" s="26">
        <f t="shared" ref="C904:C967" ca="1" si="73">RAND()</f>
        <v>0.87677015182692808</v>
      </c>
      <c r="J904">
        <f t="shared" ref="J904:J967" ca="1" si="74">IF(AND(B904,B905),1,0)</f>
        <v>0</v>
      </c>
      <c r="K904">
        <f t="shared" ref="K904:K967" ca="1" si="75">IF(AND(NOT(B904),NOT(B905)),1,0)</f>
        <v>0</v>
      </c>
      <c r="L904" s="65">
        <v>898</v>
      </c>
      <c r="M904" s="71">
        <f t="shared" ca="1" si="71"/>
        <v>0</v>
      </c>
      <c r="N904" s="65"/>
    </row>
    <row r="905" spans="1:14" x14ac:dyDescent="0.25">
      <c r="A905" s="2">
        <v>899</v>
      </c>
      <c r="B905" s="11">
        <f t="shared" ca="1" si="72"/>
        <v>1</v>
      </c>
      <c r="C905" s="26">
        <f t="shared" ca="1" si="73"/>
        <v>0.41290234212682531</v>
      </c>
      <c r="J905">
        <f t="shared" ca="1" si="74"/>
        <v>1</v>
      </c>
      <c r="K905">
        <f t="shared" ca="1" si="75"/>
        <v>0</v>
      </c>
      <c r="L905" s="65">
        <v>899</v>
      </c>
      <c r="M905" s="71">
        <f t="shared" ca="1" si="71"/>
        <v>2.6228931286184225</v>
      </c>
      <c r="N905" s="65"/>
    </row>
    <row r="906" spans="1:14" x14ac:dyDescent="0.25">
      <c r="A906" s="2">
        <v>900</v>
      </c>
      <c r="B906" s="11">
        <f t="shared" ca="1" si="72"/>
        <v>1</v>
      </c>
      <c r="C906" s="26">
        <f t="shared" ca="1" si="73"/>
        <v>0.6090853390754446</v>
      </c>
      <c r="J906">
        <f t="shared" ca="1" si="74"/>
        <v>1</v>
      </c>
      <c r="K906">
        <f t="shared" ca="1" si="75"/>
        <v>0</v>
      </c>
      <c r="L906" s="65">
        <v>900</v>
      </c>
      <c r="M906" s="71">
        <f t="shared" ca="1" si="71"/>
        <v>2.2678063265051693</v>
      </c>
      <c r="N906" s="65"/>
    </row>
    <row r="907" spans="1:14" x14ac:dyDescent="0.25">
      <c r="A907" s="2">
        <v>901</v>
      </c>
      <c r="B907" s="11">
        <f t="shared" ca="1" si="72"/>
        <v>1</v>
      </c>
      <c r="C907" s="26">
        <f t="shared" ca="1" si="73"/>
        <v>6.4917125544475041E-2</v>
      </c>
      <c r="J907">
        <f t="shared" ca="1" si="74"/>
        <v>0</v>
      </c>
      <c r="K907">
        <f t="shared" ca="1" si="75"/>
        <v>0</v>
      </c>
      <c r="L907" s="65">
        <v>901</v>
      </c>
      <c r="M907" s="71">
        <f t="shared" ca="1" si="71"/>
        <v>6.0091779485266589E-2</v>
      </c>
      <c r="N907" s="65"/>
    </row>
    <row r="908" spans="1:14" x14ac:dyDescent="0.25">
      <c r="A908" s="2">
        <v>902</v>
      </c>
      <c r="B908" s="11">
        <f t="shared" ca="1" si="72"/>
        <v>0</v>
      </c>
      <c r="C908" s="26">
        <f t="shared" ca="1" si="73"/>
        <v>0.89142048332338819</v>
      </c>
      <c r="J908">
        <f t="shared" ca="1" si="74"/>
        <v>0</v>
      </c>
      <c r="K908">
        <f t="shared" ca="1" si="75"/>
        <v>0</v>
      </c>
      <c r="L908" s="65">
        <v>902</v>
      </c>
      <c r="M908" s="71">
        <f t="shared" ca="1" si="71"/>
        <v>0</v>
      </c>
      <c r="N908" s="65"/>
    </row>
    <row r="909" spans="1:14" x14ac:dyDescent="0.25">
      <c r="A909" s="2">
        <v>903</v>
      </c>
      <c r="B909" s="11">
        <f t="shared" ca="1" si="72"/>
        <v>1</v>
      </c>
      <c r="C909" s="26">
        <f t="shared" ca="1" si="73"/>
        <v>0.59783650261853671</v>
      </c>
      <c r="J909">
        <f t="shared" ca="1" si="74"/>
        <v>0</v>
      </c>
      <c r="K909">
        <f t="shared" ca="1" si="75"/>
        <v>0</v>
      </c>
      <c r="L909" s="65">
        <v>903</v>
      </c>
      <c r="M909" s="71">
        <f t="shared" ca="1" si="71"/>
        <v>7.6472311545594335E-2</v>
      </c>
      <c r="N909" s="65"/>
    </row>
    <row r="910" spans="1:14" x14ac:dyDescent="0.25">
      <c r="A910" s="2">
        <v>904</v>
      </c>
      <c r="B910" s="11">
        <f t="shared" ca="1" si="72"/>
        <v>0</v>
      </c>
      <c r="C910" s="26">
        <f t="shared" ca="1" si="73"/>
        <v>0.9424244780671921</v>
      </c>
      <c r="J910">
        <f t="shared" ca="1" si="74"/>
        <v>0</v>
      </c>
      <c r="K910">
        <f t="shared" ca="1" si="75"/>
        <v>0</v>
      </c>
      <c r="L910" s="65">
        <v>904</v>
      </c>
      <c r="M910" s="71">
        <f t="shared" ca="1" si="71"/>
        <v>0</v>
      </c>
      <c r="N910" s="65"/>
    </row>
    <row r="911" spans="1:14" x14ac:dyDescent="0.25">
      <c r="A911" s="2">
        <v>905</v>
      </c>
      <c r="B911" s="11">
        <f t="shared" ca="1" si="72"/>
        <v>1</v>
      </c>
      <c r="C911" s="26">
        <f t="shared" ca="1" si="73"/>
        <v>0.1843532662885311</v>
      </c>
      <c r="J911">
        <f t="shared" ca="1" si="74"/>
        <v>1</v>
      </c>
      <c r="K911">
        <f t="shared" ca="1" si="75"/>
        <v>0</v>
      </c>
      <c r="L911" s="65">
        <v>905</v>
      </c>
      <c r="M911" s="71">
        <f t="shared" ca="1" si="71"/>
        <v>3.9948527647262631</v>
      </c>
      <c r="N911" s="65"/>
    </row>
    <row r="912" spans="1:14" x14ac:dyDescent="0.25">
      <c r="A912" s="2">
        <v>906</v>
      </c>
      <c r="B912" s="11">
        <f t="shared" ca="1" si="72"/>
        <v>1</v>
      </c>
      <c r="C912" s="26">
        <f t="shared" ca="1" si="73"/>
        <v>0.62682263043531605</v>
      </c>
      <c r="J912">
        <f t="shared" ca="1" si="74"/>
        <v>1</v>
      </c>
      <c r="K912">
        <f t="shared" ca="1" si="75"/>
        <v>0</v>
      </c>
      <c r="L912" s="65">
        <v>906</v>
      </c>
      <c r="M912" s="71">
        <f t="shared" ca="1" si="71"/>
        <v>4.2764794245989712</v>
      </c>
      <c r="N912" s="65"/>
    </row>
    <row r="913" spans="1:14" x14ac:dyDescent="0.25">
      <c r="A913" s="2">
        <v>907</v>
      </c>
      <c r="B913" s="11">
        <f t="shared" ca="1" si="72"/>
        <v>1</v>
      </c>
      <c r="C913" s="26">
        <f t="shared" ca="1" si="73"/>
        <v>0.590190386630289</v>
      </c>
      <c r="J913">
        <f t="shared" ca="1" si="74"/>
        <v>0</v>
      </c>
      <c r="K913">
        <f t="shared" ca="1" si="75"/>
        <v>0</v>
      </c>
      <c r="L913" s="65">
        <v>907</v>
      </c>
      <c r="M913" s="71">
        <f t="shared" ca="1" si="71"/>
        <v>0.59876950261486805</v>
      </c>
      <c r="N913" s="65"/>
    </row>
    <row r="914" spans="1:14" x14ac:dyDescent="0.25">
      <c r="A914" s="2">
        <v>908</v>
      </c>
      <c r="B914" s="11">
        <f t="shared" ca="1" si="72"/>
        <v>0</v>
      </c>
      <c r="C914" s="26">
        <f t="shared" ca="1" si="73"/>
        <v>0.94878057686111705</v>
      </c>
      <c r="J914">
        <f t="shared" ca="1" si="74"/>
        <v>0</v>
      </c>
      <c r="K914">
        <f t="shared" ca="1" si="75"/>
        <v>0</v>
      </c>
      <c r="L914" s="65">
        <v>908</v>
      </c>
      <c r="M914" s="71">
        <f t="shared" ca="1" si="71"/>
        <v>0</v>
      </c>
      <c r="N914" s="65"/>
    </row>
    <row r="915" spans="1:14" x14ac:dyDescent="0.25">
      <c r="A915" s="2">
        <v>909</v>
      </c>
      <c r="B915" s="11">
        <f t="shared" ca="1" si="72"/>
        <v>1</v>
      </c>
      <c r="C915" s="26">
        <f t="shared" ca="1" si="73"/>
        <v>0.16921048333765465</v>
      </c>
      <c r="J915">
        <f t="shared" ca="1" si="74"/>
        <v>1</v>
      </c>
      <c r="K915">
        <f t="shared" ca="1" si="75"/>
        <v>0</v>
      </c>
      <c r="L915" s="65">
        <v>909</v>
      </c>
      <c r="M915" s="71">
        <f t="shared" ca="1" si="71"/>
        <v>3.9337352193185029</v>
      </c>
      <c r="N915" s="65"/>
    </row>
    <row r="916" spans="1:14" x14ac:dyDescent="0.25">
      <c r="A916" s="2">
        <v>910</v>
      </c>
      <c r="B916" s="11">
        <f t="shared" ca="1" si="72"/>
        <v>1</v>
      </c>
      <c r="C916" s="26">
        <f t="shared" ca="1" si="73"/>
        <v>3.7707201654469724E-2</v>
      </c>
      <c r="J916">
        <f t="shared" ca="1" si="74"/>
        <v>0</v>
      </c>
      <c r="K916">
        <f t="shared" ca="1" si="75"/>
        <v>0</v>
      </c>
      <c r="L916" s="65">
        <v>910</v>
      </c>
      <c r="M916" s="71">
        <f t="shared" ca="1" si="71"/>
        <v>0.68547904396840942</v>
      </c>
      <c r="N916" s="65"/>
    </row>
    <row r="917" spans="1:14" x14ac:dyDescent="0.25">
      <c r="A917" s="2">
        <v>911</v>
      </c>
      <c r="B917" s="11">
        <f t="shared" ca="1" si="72"/>
        <v>0</v>
      </c>
      <c r="C917" s="26">
        <f t="shared" ca="1" si="73"/>
        <v>0.91356971687262667</v>
      </c>
      <c r="J917">
        <f t="shared" ca="1" si="74"/>
        <v>0</v>
      </c>
      <c r="K917">
        <f t="shared" ca="1" si="75"/>
        <v>1</v>
      </c>
      <c r="L917" s="65">
        <v>911</v>
      </c>
      <c r="M917" s="71">
        <f t="shared" ca="1" si="71"/>
        <v>0</v>
      </c>
      <c r="N917" s="65"/>
    </row>
    <row r="918" spans="1:14" x14ac:dyDescent="0.25">
      <c r="A918" s="2">
        <v>912</v>
      </c>
      <c r="B918" s="11">
        <f t="shared" ca="1" si="72"/>
        <v>0</v>
      </c>
      <c r="C918" s="26">
        <f t="shared" ca="1" si="73"/>
        <v>0.98361112071955126</v>
      </c>
      <c r="J918">
        <f t="shared" ca="1" si="74"/>
        <v>0</v>
      </c>
      <c r="K918">
        <f t="shared" ca="1" si="75"/>
        <v>0</v>
      </c>
      <c r="L918" s="65">
        <v>912</v>
      </c>
      <c r="M918" s="71">
        <f t="shared" ca="1" si="71"/>
        <v>0</v>
      </c>
      <c r="N918" s="65"/>
    </row>
    <row r="919" spans="1:14" x14ac:dyDescent="0.25">
      <c r="A919" s="2">
        <v>913</v>
      </c>
      <c r="B919" s="11">
        <f t="shared" ca="1" si="72"/>
        <v>1</v>
      </c>
      <c r="C919" s="26">
        <f t="shared" ca="1" si="73"/>
        <v>0.44051199651901529</v>
      </c>
      <c r="J919">
        <f t="shared" ca="1" si="74"/>
        <v>1</v>
      </c>
      <c r="K919">
        <f t="shared" ca="1" si="75"/>
        <v>0</v>
      </c>
      <c r="L919" s="65">
        <v>913</v>
      </c>
      <c r="M919" s="71">
        <f t="shared" ca="1" si="71"/>
        <v>1.0152125672799392</v>
      </c>
      <c r="N919" s="65"/>
    </row>
    <row r="920" spans="1:14" x14ac:dyDescent="0.25">
      <c r="A920" s="2">
        <v>914</v>
      </c>
      <c r="B920" s="11">
        <f t="shared" ca="1" si="72"/>
        <v>1</v>
      </c>
      <c r="C920" s="26">
        <f t="shared" ca="1" si="73"/>
        <v>0.15858879315549024</v>
      </c>
      <c r="J920">
        <f t="shared" ca="1" si="74"/>
        <v>1</v>
      </c>
      <c r="K920">
        <f t="shared" ca="1" si="75"/>
        <v>0</v>
      </c>
      <c r="L920" s="65">
        <v>914</v>
      </c>
      <c r="M920" s="71">
        <f t="shared" ca="1" si="71"/>
        <v>1.0990106761232259</v>
      </c>
      <c r="N920" s="65"/>
    </row>
    <row r="921" spans="1:14" x14ac:dyDescent="0.25">
      <c r="A921" s="2">
        <v>915</v>
      </c>
      <c r="B921" s="11">
        <f t="shared" ca="1" si="72"/>
        <v>1</v>
      </c>
      <c r="C921" s="26">
        <f t="shared" ca="1" si="73"/>
        <v>5.420391535006619E-3</v>
      </c>
      <c r="J921">
        <f t="shared" ca="1" si="74"/>
        <v>0</v>
      </c>
      <c r="K921">
        <f t="shared" ca="1" si="75"/>
        <v>0</v>
      </c>
      <c r="L921" s="65">
        <v>915</v>
      </c>
      <c r="M921" s="71">
        <f t="shared" ca="1" si="71"/>
        <v>8.4959356593816801E-2</v>
      </c>
      <c r="N921" s="65"/>
    </row>
    <row r="922" spans="1:14" x14ac:dyDescent="0.25">
      <c r="A922" s="2">
        <v>916</v>
      </c>
      <c r="B922" s="11">
        <f t="shared" ca="1" si="72"/>
        <v>0</v>
      </c>
      <c r="C922" s="26">
        <f t="shared" ca="1" si="73"/>
        <v>0.97507989088579738</v>
      </c>
      <c r="J922">
        <f t="shared" ca="1" si="74"/>
        <v>0</v>
      </c>
      <c r="K922">
        <f t="shared" ca="1" si="75"/>
        <v>1</v>
      </c>
      <c r="L922" s="65">
        <v>916</v>
      </c>
      <c r="M922" s="71">
        <f t="shared" ca="1" si="71"/>
        <v>0</v>
      </c>
      <c r="N922" s="65"/>
    </row>
    <row r="923" spans="1:14" x14ac:dyDescent="0.25">
      <c r="A923" s="2">
        <v>917</v>
      </c>
      <c r="B923" s="11">
        <f t="shared" ca="1" si="72"/>
        <v>0</v>
      </c>
      <c r="C923" s="26">
        <f t="shared" ca="1" si="73"/>
        <v>0.92416754961771186</v>
      </c>
      <c r="J923">
        <f t="shared" ca="1" si="74"/>
        <v>0</v>
      </c>
      <c r="K923">
        <f t="shared" ca="1" si="75"/>
        <v>1</v>
      </c>
      <c r="L923" s="65">
        <v>917</v>
      </c>
      <c r="M923" s="71">
        <f t="shared" ca="1" si="71"/>
        <v>0</v>
      </c>
      <c r="N923" s="65"/>
    </row>
    <row r="924" spans="1:14" x14ac:dyDescent="0.25">
      <c r="A924" s="2">
        <v>918</v>
      </c>
      <c r="B924" s="11">
        <f t="shared" ca="1" si="72"/>
        <v>0</v>
      </c>
      <c r="C924" s="26">
        <f t="shared" ca="1" si="73"/>
        <v>0.99181816006529788</v>
      </c>
      <c r="J924">
        <f t="shared" ca="1" si="74"/>
        <v>0</v>
      </c>
      <c r="K924">
        <f t="shared" ca="1" si="75"/>
        <v>0</v>
      </c>
      <c r="L924" s="65">
        <v>918</v>
      </c>
      <c r="M924" s="71">
        <f t="shared" ca="1" si="71"/>
        <v>0</v>
      </c>
      <c r="N924" s="65"/>
    </row>
    <row r="925" spans="1:14" x14ac:dyDescent="0.25">
      <c r="A925" s="2">
        <v>919</v>
      </c>
      <c r="B925" s="11">
        <f t="shared" ca="1" si="72"/>
        <v>1</v>
      </c>
      <c r="C925" s="26">
        <f t="shared" ca="1" si="73"/>
        <v>0.31136308931614409</v>
      </c>
      <c r="J925">
        <f t="shared" ca="1" si="74"/>
        <v>1</v>
      </c>
      <c r="K925">
        <f t="shared" ca="1" si="75"/>
        <v>0</v>
      </c>
      <c r="L925" s="65">
        <v>919</v>
      </c>
      <c r="M925" s="71">
        <f t="shared" ca="1" si="71"/>
        <v>1.9427354546433813</v>
      </c>
      <c r="N925" s="65"/>
    </row>
    <row r="926" spans="1:14" x14ac:dyDescent="0.25">
      <c r="A926" s="2">
        <v>920</v>
      </c>
      <c r="B926" s="11">
        <f t="shared" ca="1" si="72"/>
        <v>1</v>
      </c>
      <c r="C926" s="26">
        <f t="shared" ca="1" si="73"/>
        <v>0.53030069250019074</v>
      </c>
      <c r="J926">
        <f t="shared" ca="1" si="74"/>
        <v>1</v>
      </c>
      <c r="K926">
        <f t="shared" ca="1" si="75"/>
        <v>0</v>
      </c>
      <c r="L926" s="65">
        <v>920</v>
      </c>
      <c r="M926" s="71">
        <f t="shared" ca="1" si="71"/>
        <v>8.6467395952351094</v>
      </c>
      <c r="N926" s="65"/>
    </row>
    <row r="927" spans="1:14" x14ac:dyDescent="0.25">
      <c r="A927" s="2">
        <v>921</v>
      </c>
      <c r="B927" s="11">
        <f t="shared" ca="1" si="72"/>
        <v>1</v>
      </c>
      <c r="C927" s="26">
        <f t="shared" ca="1" si="73"/>
        <v>0.42434389037259468</v>
      </c>
      <c r="J927">
        <f t="shared" ca="1" si="74"/>
        <v>1</v>
      </c>
      <c r="K927">
        <f t="shared" ca="1" si="75"/>
        <v>0</v>
      </c>
      <c r="L927" s="65">
        <v>921</v>
      </c>
      <c r="M927" s="71">
        <f t="shared" ca="1" si="71"/>
        <v>3.5775772473134055</v>
      </c>
      <c r="N927" s="65"/>
    </row>
    <row r="928" spans="1:14" x14ac:dyDescent="0.25">
      <c r="A928" s="2">
        <v>922</v>
      </c>
      <c r="B928" s="11">
        <f t="shared" ca="1" si="72"/>
        <v>1</v>
      </c>
      <c r="C928" s="26">
        <f t="shared" ca="1" si="73"/>
        <v>0.33384470132490818</v>
      </c>
      <c r="J928">
        <f t="shared" ca="1" si="74"/>
        <v>1</v>
      </c>
      <c r="K928">
        <f t="shared" ca="1" si="75"/>
        <v>0</v>
      </c>
      <c r="L928" s="65">
        <v>922</v>
      </c>
      <c r="M928" s="71">
        <f t="shared" ca="1" si="71"/>
        <v>1.8636784307815351</v>
      </c>
      <c r="N928" s="65"/>
    </row>
    <row r="929" spans="1:14" x14ac:dyDescent="0.25">
      <c r="A929" s="2">
        <v>923</v>
      </c>
      <c r="B929" s="11">
        <f t="shared" ca="1" si="72"/>
        <v>1</v>
      </c>
      <c r="C929" s="26">
        <f t="shared" ca="1" si="73"/>
        <v>0.32086029427867424</v>
      </c>
      <c r="J929">
        <f t="shared" ca="1" si="74"/>
        <v>1</v>
      </c>
      <c r="K929">
        <f t="shared" ca="1" si="75"/>
        <v>0</v>
      </c>
      <c r="L929" s="65">
        <v>923</v>
      </c>
      <c r="M929" s="71">
        <f t="shared" ca="1" si="71"/>
        <v>2.189805379989171</v>
      </c>
      <c r="N929" s="65"/>
    </row>
    <row r="930" spans="1:14" x14ac:dyDescent="0.25">
      <c r="A930" s="2">
        <v>924</v>
      </c>
      <c r="B930" s="11">
        <f t="shared" ca="1" si="72"/>
        <v>1</v>
      </c>
      <c r="C930" s="26">
        <f t="shared" ca="1" si="73"/>
        <v>0.63687991248513398</v>
      </c>
      <c r="J930">
        <f t="shared" ca="1" si="74"/>
        <v>1</v>
      </c>
      <c r="K930">
        <f t="shared" ca="1" si="75"/>
        <v>0</v>
      </c>
      <c r="L930" s="65">
        <v>924</v>
      </c>
      <c r="M930" s="71">
        <f t="shared" ca="1" si="71"/>
        <v>1.3419993046809839</v>
      </c>
      <c r="N930" s="65"/>
    </row>
    <row r="931" spans="1:14" x14ac:dyDescent="0.25">
      <c r="A931" s="2">
        <v>925</v>
      </c>
      <c r="B931" s="11">
        <f t="shared" ca="1" si="72"/>
        <v>1</v>
      </c>
      <c r="C931" s="26">
        <f t="shared" ca="1" si="73"/>
        <v>0.70049532517402013</v>
      </c>
      <c r="J931">
        <f t="shared" ca="1" si="74"/>
        <v>1</v>
      </c>
      <c r="K931">
        <f t="shared" ca="1" si="75"/>
        <v>0</v>
      </c>
      <c r="L931" s="65">
        <v>925</v>
      </c>
      <c r="M931" s="71">
        <f t="shared" ca="1" si="71"/>
        <v>0.37252775661527993</v>
      </c>
      <c r="N931" s="65"/>
    </row>
    <row r="932" spans="1:14" x14ac:dyDescent="0.25">
      <c r="A932" s="2">
        <v>926</v>
      </c>
      <c r="B932" s="11">
        <f t="shared" ca="1" si="72"/>
        <v>1</v>
      </c>
      <c r="C932" s="26">
        <f t="shared" ca="1" si="73"/>
        <v>0.16987148389007967</v>
      </c>
      <c r="J932">
        <f t="shared" ca="1" si="74"/>
        <v>1</v>
      </c>
      <c r="K932">
        <f t="shared" ca="1" si="75"/>
        <v>0</v>
      </c>
      <c r="L932" s="65">
        <v>926</v>
      </c>
      <c r="M932" s="71">
        <f t="shared" ca="1" si="71"/>
        <v>3.0598304934359226</v>
      </c>
      <c r="N932" s="65"/>
    </row>
    <row r="933" spans="1:14" x14ac:dyDescent="0.25">
      <c r="A933" s="2">
        <v>927</v>
      </c>
      <c r="B933" s="11">
        <f t="shared" ca="1" si="72"/>
        <v>1</v>
      </c>
      <c r="C933" s="26">
        <f t="shared" ca="1" si="73"/>
        <v>0.30423522313239293</v>
      </c>
      <c r="J933">
        <f t="shared" ca="1" si="74"/>
        <v>1</v>
      </c>
      <c r="K933">
        <f t="shared" ca="1" si="75"/>
        <v>0</v>
      </c>
      <c r="L933" s="65">
        <v>927</v>
      </c>
      <c r="M933" s="71">
        <f t="shared" ca="1" si="71"/>
        <v>11.539294552955859</v>
      </c>
      <c r="N933" s="65"/>
    </row>
    <row r="934" spans="1:14" x14ac:dyDescent="0.25">
      <c r="A934" s="2">
        <v>928</v>
      </c>
      <c r="B934" s="11">
        <f t="shared" ca="1" si="72"/>
        <v>1</v>
      </c>
      <c r="C934" s="26">
        <f t="shared" ca="1" si="73"/>
        <v>0.34897570944042866</v>
      </c>
      <c r="J934">
        <f t="shared" ca="1" si="74"/>
        <v>0</v>
      </c>
      <c r="K934">
        <f t="shared" ca="1" si="75"/>
        <v>0</v>
      </c>
      <c r="L934" s="65">
        <v>928</v>
      </c>
      <c r="M934" s="71">
        <f t="shared" ca="1" si="71"/>
        <v>4.8193238965186564</v>
      </c>
      <c r="N934" s="65"/>
    </row>
    <row r="935" spans="1:14" x14ac:dyDescent="0.25">
      <c r="A935" s="2">
        <v>929</v>
      </c>
      <c r="B935" s="11">
        <f t="shared" ca="1" si="72"/>
        <v>0</v>
      </c>
      <c r="C935" s="26">
        <f t="shared" ca="1" si="73"/>
        <v>0.9733151850326176</v>
      </c>
      <c r="J935">
        <f t="shared" ca="1" si="74"/>
        <v>0</v>
      </c>
      <c r="K935">
        <f t="shared" ca="1" si="75"/>
        <v>0</v>
      </c>
      <c r="L935" s="65">
        <v>929</v>
      </c>
      <c r="M935" s="71">
        <f t="shared" ca="1" si="71"/>
        <v>0</v>
      </c>
      <c r="N935" s="65"/>
    </row>
    <row r="936" spans="1:14" x14ac:dyDescent="0.25">
      <c r="A936" s="2">
        <v>930</v>
      </c>
      <c r="B936" s="11">
        <f t="shared" ca="1" si="72"/>
        <v>1</v>
      </c>
      <c r="C936" s="26">
        <f t="shared" ca="1" si="73"/>
        <v>0.46289277664010886</v>
      </c>
      <c r="J936">
        <f t="shared" ca="1" si="74"/>
        <v>1</v>
      </c>
      <c r="K936">
        <f t="shared" ca="1" si="75"/>
        <v>0</v>
      </c>
      <c r="L936" s="65">
        <v>930</v>
      </c>
      <c r="M936" s="71">
        <f t="shared" ca="1" si="71"/>
        <v>3.7003598083595574E-2</v>
      </c>
      <c r="N936" s="65"/>
    </row>
    <row r="937" spans="1:14" x14ac:dyDescent="0.25">
      <c r="A937" s="2">
        <v>931</v>
      </c>
      <c r="B937" s="11">
        <f t="shared" ca="1" si="72"/>
        <v>1</v>
      </c>
      <c r="C937" s="26">
        <f t="shared" ca="1" si="73"/>
        <v>0.29586624004692819</v>
      </c>
      <c r="J937">
        <f t="shared" ca="1" si="74"/>
        <v>1</v>
      </c>
      <c r="K937">
        <f t="shared" ca="1" si="75"/>
        <v>0</v>
      </c>
      <c r="L937" s="65">
        <v>931</v>
      </c>
      <c r="M937" s="71">
        <f t="shared" ca="1" si="71"/>
        <v>0.52193356484780673</v>
      </c>
      <c r="N937" s="65"/>
    </row>
    <row r="938" spans="1:14" x14ac:dyDescent="0.25">
      <c r="A938" s="2">
        <v>932</v>
      </c>
      <c r="B938" s="11">
        <f t="shared" ca="1" si="72"/>
        <v>1</v>
      </c>
      <c r="C938" s="26">
        <f t="shared" ca="1" si="73"/>
        <v>7.6704477098959112E-2</v>
      </c>
      <c r="J938">
        <f t="shared" ca="1" si="74"/>
        <v>1</v>
      </c>
      <c r="K938">
        <f t="shared" ca="1" si="75"/>
        <v>0</v>
      </c>
      <c r="L938" s="65">
        <v>932</v>
      </c>
      <c r="M938" s="71">
        <f t="shared" ca="1" si="71"/>
        <v>1.0600707150566799</v>
      </c>
      <c r="N938" s="65"/>
    </row>
    <row r="939" spans="1:14" x14ac:dyDescent="0.25">
      <c r="A939" s="2">
        <v>933</v>
      </c>
      <c r="B939" s="11">
        <f t="shared" ca="1" si="72"/>
        <v>1</v>
      </c>
      <c r="C939" s="26">
        <f t="shared" ca="1" si="73"/>
        <v>7.9252485775826553E-2</v>
      </c>
      <c r="J939">
        <f t="shared" ca="1" si="74"/>
        <v>1</v>
      </c>
      <c r="K939">
        <f t="shared" ca="1" si="75"/>
        <v>0</v>
      </c>
      <c r="L939" s="65">
        <v>933</v>
      </c>
      <c r="M939" s="71">
        <f t="shared" ca="1" si="71"/>
        <v>2.7313396958222302</v>
      </c>
      <c r="N939" s="65"/>
    </row>
    <row r="940" spans="1:14" x14ac:dyDescent="0.25">
      <c r="A940" s="2">
        <v>934</v>
      </c>
      <c r="B940" s="11">
        <f t="shared" ca="1" si="72"/>
        <v>1</v>
      </c>
      <c r="C940" s="26">
        <f t="shared" ca="1" si="73"/>
        <v>0.7618289034780682</v>
      </c>
      <c r="J940">
        <f t="shared" ca="1" si="74"/>
        <v>1</v>
      </c>
      <c r="K940">
        <f t="shared" ca="1" si="75"/>
        <v>0</v>
      </c>
      <c r="L940" s="65">
        <v>934</v>
      </c>
      <c r="M940" s="71">
        <f t="shared" ca="1" si="71"/>
        <v>1.2610131563191564</v>
      </c>
      <c r="N940" s="65"/>
    </row>
    <row r="941" spans="1:14" x14ac:dyDescent="0.25">
      <c r="A941" s="2">
        <v>935</v>
      </c>
      <c r="B941" s="11">
        <f t="shared" ca="1" si="72"/>
        <v>1</v>
      </c>
      <c r="C941" s="26">
        <f t="shared" ca="1" si="73"/>
        <v>0.6565825172230606</v>
      </c>
      <c r="J941">
        <f t="shared" ca="1" si="74"/>
        <v>1</v>
      </c>
      <c r="K941">
        <f t="shared" ca="1" si="75"/>
        <v>0</v>
      </c>
      <c r="L941" s="65">
        <v>935</v>
      </c>
      <c r="M941" s="71">
        <f t="shared" ca="1" si="71"/>
        <v>8.0764782349602235</v>
      </c>
      <c r="N941" s="65"/>
    </row>
    <row r="942" spans="1:14" x14ac:dyDescent="0.25">
      <c r="A942" s="2">
        <v>936</v>
      </c>
      <c r="B942" s="11">
        <f t="shared" ca="1" si="72"/>
        <v>1</v>
      </c>
      <c r="C942" s="26">
        <f t="shared" ca="1" si="73"/>
        <v>0.65837153080536515</v>
      </c>
      <c r="J942">
        <f t="shared" ca="1" si="74"/>
        <v>0</v>
      </c>
      <c r="K942">
        <f t="shared" ca="1" si="75"/>
        <v>0</v>
      </c>
      <c r="L942" s="65">
        <v>936</v>
      </c>
      <c r="M942" s="71">
        <f t="shared" ca="1" si="71"/>
        <v>0.56726171519702184</v>
      </c>
      <c r="N942" s="65"/>
    </row>
    <row r="943" spans="1:14" x14ac:dyDescent="0.25">
      <c r="A943" s="2">
        <v>937</v>
      </c>
      <c r="B943" s="11">
        <f t="shared" ca="1" si="72"/>
        <v>0</v>
      </c>
      <c r="C943" s="26">
        <f t="shared" ca="1" si="73"/>
        <v>0.84012985399168494</v>
      </c>
      <c r="J943">
        <f t="shared" ca="1" si="74"/>
        <v>0</v>
      </c>
      <c r="K943">
        <f t="shared" ca="1" si="75"/>
        <v>1</v>
      </c>
      <c r="L943" s="65">
        <v>937</v>
      </c>
      <c r="M943" s="71">
        <f t="shared" ca="1" si="71"/>
        <v>0</v>
      </c>
      <c r="N943" s="65"/>
    </row>
    <row r="944" spans="1:14" x14ac:dyDescent="0.25">
      <c r="A944" s="2">
        <v>938</v>
      </c>
      <c r="B944" s="11">
        <f t="shared" ca="1" si="72"/>
        <v>0</v>
      </c>
      <c r="C944" s="26">
        <f t="shared" ca="1" si="73"/>
        <v>0.92340592336964578</v>
      </c>
      <c r="J944">
        <f t="shared" ca="1" si="74"/>
        <v>0</v>
      </c>
      <c r="K944">
        <f t="shared" ca="1" si="75"/>
        <v>0</v>
      </c>
      <c r="L944" s="65">
        <v>938</v>
      </c>
      <c r="M944" s="71">
        <f t="shared" ca="1" si="71"/>
        <v>0</v>
      </c>
      <c r="N944" s="65"/>
    </row>
    <row r="945" spans="1:14" x14ac:dyDescent="0.25">
      <c r="A945" s="2">
        <v>939</v>
      </c>
      <c r="B945" s="11">
        <f t="shared" ca="1" si="72"/>
        <v>1</v>
      </c>
      <c r="C945" s="26">
        <f t="shared" ca="1" si="73"/>
        <v>0.41374257283274463</v>
      </c>
      <c r="J945">
        <f t="shared" ca="1" si="74"/>
        <v>1</v>
      </c>
      <c r="K945">
        <f t="shared" ca="1" si="75"/>
        <v>0</v>
      </c>
      <c r="L945" s="65">
        <v>939</v>
      </c>
      <c r="M945" s="71">
        <f t="shared" ca="1" si="71"/>
        <v>0.8293053097554568</v>
      </c>
      <c r="N945" s="65"/>
    </row>
    <row r="946" spans="1:14" x14ac:dyDescent="0.25">
      <c r="A946" s="2">
        <v>940</v>
      </c>
      <c r="B946" s="11">
        <f t="shared" ca="1" si="72"/>
        <v>1</v>
      </c>
      <c r="C946" s="26">
        <f t="shared" ca="1" si="73"/>
        <v>0.66121434975456006</v>
      </c>
      <c r="J946">
        <f t="shared" ca="1" si="74"/>
        <v>1</v>
      </c>
      <c r="K946">
        <f t="shared" ca="1" si="75"/>
        <v>0</v>
      </c>
      <c r="L946" s="65">
        <v>940</v>
      </c>
      <c r="M946" s="71">
        <f t="shared" ca="1" si="71"/>
        <v>2.1001652437707836</v>
      </c>
      <c r="N946" s="65"/>
    </row>
    <row r="947" spans="1:14" x14ac:dyDescent="0.25">
      <c r="A947" s="2">
        <v>941</v>
      </c>
      <c r="B947" s="11">
        <f t="shared" ca="1" si="72"/>
        <v>1</v>
      </c>
      <c r="C947" s="26">
        <f t="shared" ca="1" si="73"/>
        <v>0.69475985578088328</v>
      </c>
      <c r="J947">
        <f t="shared" ca="1" si="74"/>
        <v>1</v>
      </c>
      <c r="K947">
        <f t="shared" ca="1" si="75"/>
        <v>0</v>
      </c>
      <c r="L947" s="65">
        <v>941</v>
      </c>
      <c r="M947" s="71">
        <f t="shared" ca="1" si="71"/>
        <v>0.72770675363227755</v>
      </c>
      <c r="N947" s="65"/>
    </row>
    <row r="948" spans="1:14" x14ac:dyDescent="0.25">
      <c r="A948" s="2">
        <v>942</v>
      </c>
      <c r="B948" s="11">
        <f t="shared" ca="1" si="72"/>
        <v>1</v>
      </c>
      <c r="C948" s="26">
        <f t="shared" ca="1" si="73"/>
        <v>0.2560082658424695</v>
      </c>
      <c r="J948">
        <f t="shared" ca="1" si="74"/>
        <v>1</v>
      </c>
      <c r="K948">
        <f t="shared" ca="1" si="75"/>
        <v>0</v>
      </c>
      <c r="L948" s="65">
        <v>942</v>
      </c>
      <c r="M948" s="71">
        <f t="shared" ca="1" si="71"/>
        <v>2.0033437029139933</v>
      </c>
      <c r="N948" s="65"/>
    </row>
    <row r="949" spans="1:14" x14ac:dyDescent="0.25">
      <c r="A949" s="2">
        <v>943</v>
      </c>
      <c r="B949" s="11">
        <f t="shared" ca="1" si="72"/>
        <v>1</v>
      </c>
      <c r="C949" s="26">
        <f t="shared" ca="1" si="73"/>
        <v>0.22438285473812658</v>
      </c>
      <c r="J949">
        <f t="shared" ca="1" si="74"/>
        <v>1</v>
      </c>
      <c r="K949">
        <f t="shared" ca="1" si="75"/>
        <v>0</v>
      </c>
      <c r="L949" s="65">
        <v>943</v>
      </c>
      <c r="M949" s="71">
        <f t="shared" ca="1" si="71"/>
        <v>0.48604780105911427</v>
      </c>
      <c r="N949" s="65"/>
    </row>
    <row r="950" spans="1:14" x14ac:dyDescent="0.25">
      <c r="A950" s="2">
        <v>944</v>
      </c>
      <c r="B950" s="11">
        <f t="shared" ca="1" si="72"/>
        <v>1</v>
      </c>
      <c r="C950" s="26">
        <f t="shared" ca="1" si="73"/>
        <v>0.19421921134990283</v>
      </c>
      <c r="J950">
        <f t="shared" ca="1" si="74"/>
        <v>1</v>
      </c>
      <c r="K950">
        <f t="shared" ca="1" si="75"/>
        <v>0</v>
      </c>
      <c r="L950" s="65">
        <v>944</v>
      </c>
      <c r="M950" s="71">
        <f t="shared" ca="1" si="71"/>
        <v>6.1267883970704968</v>
      </c>
      <c r="N950" s="65"/>
    </row>
    <row r="951" spans="1:14" x14ac:dyDescent="0.25">
      <c r="A951" s="2">
        <v>945</v>
      </c>
      <c r="B951" s="11">
        <f t="shared" ca="1" si="72"/>
        <v>1</v>
      </c>
      <c r="C951" s="26">
        <f t="shared" ca="1" si="73"/>
        <v>0.51097448548676172</v>
      </c>
      <c r="J951">
        <f t="shared" ca="1" si="74"/>
        <v>1</v>
      </c>
      <c r="K951">
        <f t="shared" ca="1" si="75"/>
        <v>0</v>
      </c>
      <c r="L951" s="65">
        <v>945</v>
      </c>
      <c r="M951" s="71">
        <f t="shared" ca="1" si="71"/>
        <v>5.0527753480588009</v>
      </c>
      <c r="N951" s="65"/>
    </row>
    <row r="952" spans="1:14" x14ac:dyDescent="0.25">
      <c r="A952" s="2">
        <v>946</v>
      </c>
      <c r="B952" s="11">
        <f t="shared" ca="1" si="72"/>
        <v>1</v>
      </c>
      <c r="C952" s="26">
        <f t="shared" ca="1" si="73"/>
        <v>0.10129343101190202</v>
      </c>
      <c r="J952">
        <f t="shared" ca="1" si="74"/>
        <v>1</v>
      </c>
      <c r="K952">
        <f t="shared" ca="1" si="75"/>
        <v>0</v>
      </c>
      <c r="L952" s="65">
        <v>946</v>
      </c>
      <c r="M952" s="71">
        <f t="shared" ca="1" si="71"/>
        <v>0.70970670920641277</v>
      </c>
      <c r="N952" s="65"/>
    </row>
    <row r="953" spans="1:14" x14ac:dyDescent="0.25">
      <c r="A953" s="2">
        <v>947</v>
      </c>
      <c r="B953" s="11">
        <f t="shared" ca="1" si="72"/>
        <v>1</v>
      </c>
      <c r="C953" s="26">
        <f t="shared" ca="1" si="73"/>
        <v>0.21331120361389244</v>
      </c>
      <c r="J953">
        <f t="shared" ca="1" si="74"/>
        <v>1</v>
      </c>
      <c r="K953">
        <f t="shared" ca="1" si="75"/>
        <v>0</v>
      </c>
      <c r="L953" s="65">
        <v>947</v>
      </c>
      <c r="M953" s="71">
        <f t="shared" ca="1" si="71"/>
        <v>0.20398950896542997</v>
      </c>
      <c r="N953" s="65"/>
    </row>
    <row r="954" spans="1:14" x14ac:dyDescent="0.25">
      <c r="A954" s="2">
        <v>948</v>
      </c>
      <c r="B954" s="11">
        <f t="shared" ca="1" si="72"/>
        <v>1</v>
      </c>
      <c r="C954" s="26">
        <f t="shared" ca="1" si="73"/>
        <v>7.3122924211494356E-2</v>
      </c>
      <c r="J954">
        <f t="shared" ca="1" si="74"/>
        <v>1</v>
      </c>
      <c r="K954">
        <f t="shared" ca="1" si="75"/>
        <v>0</v>
      </c>
      <c r="L954" s="65">
        <v>948</v>
      </c>
      <c r="M954" s="71">
        <f t="shared" ca="1" si="71"/>
        <v>4.2549838594774014</v>
      </c>
      <c r="N954" s="65"/>
    </row>
    <row r="955" spans="1:14" x14ac:dyDescent="0.25">
      <c r="A955" s="2">
        <v>949</v>
      </c>
      <c r="B955" s="11">
        <f t="shared" ca="1" si="72"/>
        <v>1</v>
      </c>
      <c r="C955" s="26">
        <f t="shared" ca="1" si="73"/>
        <v>0.22846640061354806</v>
      </c>
      <c r="J955">
        <f t="shared" ca="1" si="74"/>
        <v>0</v>
      </c>
      <c r="K955">
        <f t="shared" ca="1" si="75"/>
        <v>0</v>
      </c>
      <c r="L955" s="65">
        <v>949</v>
      </c>
      <c r="M955" s="71">
        <f t="shared" ca="1" si="71"/>
        <v>12.812552649040555</v>
      </c>
      <c r="N955" s="65"/>
    </row>
    <row r="956" spans="1:14" x14ac:dyDescent="0.25">
      <c r="A956" s="2">
        <v>950</v>
      </c>
      <c r="B956" s="11">
        <f t="shared" ca="1" si="72"/>
        <v>0</v>
      </c>
      <c r="C956" s="26">
        <f t="shared" ca="1" si="73"/>
        <v>0.99184241117048277</v>
      </c>
      <c r="J956">
        <f t="shared" ca="1" si="74"/>
        <v>0</v>
      </c>
      <c r="K956">
        <f t="shared" ca="1" si="75"/>
        <v>1</v>
      </c>
      <c r="L956" s="65">
        <v>950</v>
      </c>
      <c r="M956" s="71">
        <f t="shared" ca="1" si="71"/>
        <v>0</v>
      </c>
      <c r="N956" s="65"/>
    </row>
    <row r="957" spans="1:14" x14ac:dyDescent="0.25">
      <c r="A957" s="2">
        <v>951</v>
      </c>
      <c r="B957" s="11">
        <f t="shared" ca="1" si="72"/>
        <v>0</v>
      </c>
      <c r="C957" s="26">
        <f t="shared" ca="1" si="73"/>
        <v>0.86938471172990639</v>
      </c>
      <c r="J957">
        <f t="shared" ca="1" si="74"/>
        <v>0</v>
      </c>
      <c r="K957">
        <f t="shared" ca="1" si="75"/>
        <v>0</v>
      </c>
      <c r="L957" s="65">
        <v>951</v>
      </c>
      <c r="M957" s="71">
        <f t="shared" ca="1" si="71"/>
        <v>0</v>
      </c>
      <c r="N957" s="65"/>
    </row>
    <row r="958" spans="1:14" x14ac:dyDescent="0.25">
      <c r="A958" s="2">
        <v>952</v>
      </c>
      <c r="B958" s="11">
        <f t="shared" ca="1" si="72"/>
        <v>1</v>
      </c>
      <c r="C958" s="26">
        <f t="shared" ca="1" si="73"/>
        <v>0.41118672479805107</v>
      </c>
      <c r="J958">
        <f t="shared" ca="1" si="74"/>
        <v>1</v>
      </c>
      <c r="K958">
        <f t="shared" ca="1" si="75"/>
        <v>0</v>
      </c>
      <c r="L958" s="65">
        <v>952</v>
      </c>
      <c r="M958" s="71">
        <f t="shared" ca="1" si="71"/>
        <v>0.18138638562596354</v>
      </c>
      <c r="N958" s="65"/>
    </row>
    <row r="959" spans="1:14" x14ac:dyDescent="0.25">
      <c r="A959" s="2">
        <v>953</v>
      </c>
      <c r="B959" s="11">
        <f t="shared" ca="1" si="72"/>
        <v>1</v>
      </c>
      <c r="C959" s="26">
        <f t="shared" ca="1" si="73"/>
        <v>0.61320791535993069</v>
      </c>
      <c r="J959">
        <f t="shared" ca="1" si="74"/>
        <v>1</v>
      </c>
      <c r="K959">
        <f t="shared" ca="1" si="75"/>
        <v>0</v>
      </c>
      <c r="L959" s="65">
        <v>953</v>
      </c>
      <c r="M959" s="71">
        <f t="shared" ca="1" si="71"/>
        <v>4.3565198233524569</v>
      </c>
      <c r="N959" s="65"/>
    </row>
    <row r="960" spans="1:14" x14ac:dyDescent="0.25">
      <c r="A960" s="2">
        <v>954</v>
      </c>
      <c r="B960" s="11">
        <f t="shared" ca="1" si="72"/>
        <v>1</v>
      </c>
      <c r="C960" s="26">
        <f t="shared" ca="1" si="73"/>
        <v>0.30376493637749935</v>
      </c>
      <c r="J960">
        <f t="shared" ca="1" si="74"/>
        <v>1</v>
      </c>
      <c r="K960">
        <f t="shared" ca="1" si="75"/>
        <v>0</v>
      </c>
      <c r="L960" s="65">
        <v>954</v>
      </c>
      <c r="M960" s="71">
        <f t="shared" ca="1" si="71"/>
        <v>2.0444189757425284</v>
      </c>
      <c r="N960" s="65"/>
    </row>
    <row r="961" spans="1:14" x14ac:dyDescent="0.25">
      <c r="A961" s="2">
        <v>955</v>
      </c>
      <c r="B961" s="11">
        <f t="shared" ca="1" si="72"/>
        <v>1</v>
      </c>
      <c r="C961" s="26">
        <f t="shared" ca="1" si="73"/>
        <v>0.68334825538121013</v>
      </c>
      <c r="J961">
        <f t="shared" ca="1" si="74"/>
        <v>0</v>
      </c>
      <c r="K961">
        <f t="shared" ca="1" si="75"/>
        <v>0</v>
      </c>
      <c r="L961" s="65">
        <v>955</v>
      </c>
      <c r="M961" s="71">
        <f t="shared" ca="1" si="71"/>
        <v>2.0576646931446092</v>
      </c>
      <c r="N961" s="65"/>
    </row>
    <row r="962" spans="1:14" x14ac:dyDescent="0.25">
      <c r="A962" s="2">
        <v>956</v>
      </c>
      <c r="B962" s="11">
        <f t="shared" ca="1" si="72"/>
        <v>0</v>
      </c>
      <c r="C962" s="26">
        <f t="shared" ca="1" si="73"/>
        <v>0.92415470916435338</v>
      </c>
      <c r="J962">
        <f t="shared" ca="1" si="74"/>
        <v>0</v>
      </c>
      <c r="K962">
        <f t="shared" ca="1" si="75"/>
        <v>0</v>
      </c>
      <c r="L962" s="65">
        <v>956</v>
      </c>
      <c r="M962" s="71">
        <f t="shared" ca="1" si="71"/>
        <v>0</v>
      </c>
      <c r="N962" s="65"/>
    </row>
    <row r="963" spans="1:14" x14ac:dyDescent="0.25">
      <c r="A963" s="2">
        <v>957</v>
      </c>
      <c r="B963" s="11">
        <f t="shared" ca="1" si="72"/>
        <v>1</v>
      </c>
      <c r="C963" s="26">
        <f t="shared" ca="1" si="73"/>
        <v>0.53076706381611716</v>
      </c>
      <c r="J963">
        <f t="shared" ca="1" si="74"/>
        <v>1</v>
      </c>
      <c r="K963">
        <f t="shared" ca="1" si="75"/>
        <v>0</v>
      </c>
      <c r="L963" s="65">
        <v>957</v>
      </c>
      <c r="M963" s="71">
        <f t="shared" ca="1" si="71"/>
        <v>1.9003697872431038</v>
      </c>
      <c r="N963" s="65"/>
    </row>
    <row r="964" spans="1:14" x14ac:dyDescent="0.25">
      <c r="A964" s="2">
        <v>958</v>
      </c>
      <c r="B964" s="11">
        <f t="shared" ca="1" si="72"/>
        <v>1</v>
      </c>
      <c r="C964" s="26">
        <f t="shared" ca="1" si="73"/>
        <v>0.7330982688958817</v>
      </c>
      <c r="J964">
        <f t="shared" ca="1" si="74"/>
        <v>1</v>
      </c>
      <c r="K964">
        <f t="shared" ca="1" si="75"/>
        <v>0</v>
      </c>
      <c r="L964" s="65">
        <v>958</v>
      </c>
      <c r="M964" s="71">
        <f t="shared" ca="1" si="71"/>
        <v>0.46246227411842095</v>
      </c>
      <c r="N964" s="65"/>
    </row>
    <row r="965" spans="1:14" x14ac:dyDescent="0.25">
      <c r="A965" s="2">
        <v>959</v>
      </c>
      <c r="B965" s="11">
        <f t="shared" ca="1" si="72"/>
        <v>1</v>
      </c>
      <c r="C965" s="26">
        <f t="shared" ca="1" si="73"/>
        <v>0.3562831921937718</v>
      </c>
      <c r="J965">
        <f t="shared" ca="1" si="74"/>
        <v>1</v>
      </c>
      <c r="K965">
        <f t="shared" ca="1" si="75"/>
        <v>0</v>
      </c>
      <c r="L965" s="65">
        <v>959</v>
      </c>
      <c r="M965" s="71">
        <f t="shared" ca="1" si="71"/>
        <v>7.2920486845805277</v>
      </c>
      <c r="N965" s="65"/>
    </row>
    <row r="966" spans="1:14" x14ac:dyDescent="0.25">
      <c r="A966" s="2">
        <v>960</v>
      </c>
      <c r="B966" s="11">
        <f t="shared" ca="1" si="72"/>
        <v>1</v>
      </c>
      <c r="C966" s="26">
        <f t="shared" ca="1" si="73"/>
        <v>0.22569950855188325</v>
      </c>
      <c r="J966">
        <f t="shared" ca="1" si="74"/>
        <v>0</v>
      </c>
      <c r="K966">
        <f t="shared" ca="1" si="75"/>
        <v>0</v>
      </c>
      <c r="L966" s="65">
        <v>960</v>
      </c>
      <c r="M966" s="71">
        <f t="shared" ca="1" si="71"/>
        <v>5.7691302838820295</v>
      </c>
      <c r="N966" s="65"/>
    </row>
    <row r="967" spans="1:14" x14ac:dyDescent="0.25">
      <c r="A967" s="2">
        <v>961</v>
      </c>
      <c r="B967" s="11">
        <f t="shared" ca="1" si="72"/>
        <v>0</v>
      </c>
      <c r="C967" s="26">
        <f t="shared" ca="1" si="73"/>
        <v>0.99477871235758863</v>
      </c>
      <c r="J967">
        <f t="shared" ca="1" si="74"/>
        <v>0</v>
      </c>
      <c r="K967">
        <f t="shared" ca="1" si="75"/>
        <v>0</v>
      </c>
      <c r="L967" s="65">
        <v>961</v>
      </c>
      <c r="M967" s="71">
        <f t="shared" ref="M967:M1030" ca="1" si="76">IF(B967&gt;0,-LN(1-(RAND()))/lambda,0)</f>
        <v>0</v>
      </c>
      <c r="N967" s="65"/>
    </row>
    <row r="968" spans="1:14" x14ac:dyDescent="0.25">
      <c r="A968" s="2">
        <v>962</v>
      </c>
      <c r="B968" s="11">
        <f t="shared" ref="B968:B1006" ca="1" si="77">IF(B967&gt;0,IF(C968&lt;pww,1,0),IF(C968&lt;pdw,1,0))</f>
        <v>1</v>
      </c>
      <c r="C968" s="26">
        <f t="shared" ref="C968:C1031" ca="1" si="78">RAND()</f>
        <v>0.31397381768875088</v>
      </c>
      <c r="J968">
        <f t="shared" ref="J968:J1006" ca="1" si="79">IF(AND(B968,B969),1,0)</f>
        <v>1</v>
      </c>
      <c r="K968">
        <f t="shared" ref="K968:K1006" ca="1" si="80">IF(AND(NOT(B968),NOT(B969)),1,0)</f>
        <v>0</v>
      </c>
      <c r="L968" s="65">
        <v>962</v>
      </c>
      <c r="M968" s="71">
        <f t="shared" ca="1" si="76"/>
        <v>0.96732213016660673</v>
      </c>
      <c r="N968" s="65"/>
    </row>
    <row r="969" spans="1:14" x14ac:dyDescent="0.25">
      <c r="A969" s="2">
        <v>963</v>
      </c>
      <c r="B969" s="11">
        <f t="shared" ca="1" si="77"/>
        <v>1</v>
      </c>
      <c r="C969" s="26">
        <f t="shared" ca="1" si="78"/>
        <v>0.47900335094708624</v>
      </c>
      <c r="J969">
        <f t="shared" ca="1" si="79"/>
        <v>1</v>
      </c>
      <c r="K969">
        <f t="shared" ca="1" si="80"/>
        <v>0</v>
      </c>
      <c r="L969" s="65">
        <v>963</v>
      </c>
      <c r="M969" s="71">
        <f t="shared" ca="1" si="76"/>
        <v>0.28869683709141331</v>
      </c>
      <c r="N969" s="65"/>
    </row>
    <row r="970" spans="1:14" x14ac:dyDescent="0.25">
      <c r="A970" s="2">
        <v>964</v>
      </c>
      <c r="B970" s="11">
        <f t="shared" ca="1" si="77"/>
        <v>1</v>
      </c>
      <c r="C970" s="26">
        <f t="shared" ca="1" si="78"/>
        <v>0.31445176412269149</v>
      </c>
      <c r="J970">
        <f t="shared" ca="1" si="79"/>
        <v>1</v>
      </c>
      <c r="K970">
        <f t="shared" ca="1" si="80"/>
        <v>0</v>
      </c>
      <c r="L970" s="65">
        <v>964</v>
      </c>
      <c r="M970" s="71">
        <f t="shared" ca="1" si="76"/>
        <v>4.6761047527308417</v>
      </c>
      <c r="N970" s="65"/>
    </row>
    <row r="971" spans="1:14" x14ac:dyDescent="0.25">
      <c r="A971" s="2">
        <v>965</v>
      </c>
      <c r="B971" s="11">
        <f t="shared" ca="1" si="77"/>
        <v>1</v>
      </c>
      <c r="C971" s="26">
        <f t="shared" ca="1" si="78"/>
        <v>7.7154660242049533E-2</v>
      </c>
      <c r="J971">
        <f t="shared" ca="1" si="79"/>
        <v>0</v>
      </c>
      <c r="K971">
        <f t="shared" ca="1" si="80"/>
        <v>0</v>
      </c>
      <c r="L971" s="65">
        <v>965</v>
      </c>
      <c r="M971" s="71">
        <f t="shared" ca="1" si="76"/>
        <v>0.51587850551578629</v>
      </c>
      <c r="N971" s="65"/>
    </row>
    <row r="972" spans="1:14" x14ac:dyDescent="0.25">
      <c r="A972" s="2">
        <v>966</v>
      </c>
      <c r="B972" s="11">
        <f t="shared" ca="1" si="77"/>
        <v>0</v>
      </c>
      <c r="C972" s="26">
        <f t="shared" ca="1" si="78"/>
        <v>0.82408809837250285</v>
      </c>
      <c r="J972">
        <f t="shared" ca="1" si="79"/>
        <v>0</v>
      </c>
      <c r="K972">
        <f t="shared" ca="1" si="80"/>
        <v>0</v>
      </c>
      <c r="L972" s="65">
        <v>966</v>
      </c>
      <c r="M972" s="71">
        <f t="shared" ca="1" si="76"/>
        <v>0</v>
      </c>
      <c r="N972" s="65"/>
    </row>
    <row r="973" spans="1:14" x14ac:dyDescent="0.25">
      <c r="A973" s="2">
        <v>967</v>
      </c>
      <c r="B973" s="11">
        <f t="shared" ca="1" si="77"/>
        <v>1</v>
      </c>
      <c r="C973" s="26">
        <f t="shared" ca="1" si="78"/>
        <v>0.27159264406798445</v>
      </c>
      <c r="J973">
        <f t="shared" ca="1" si="79"/>
        <v>1</v>
      </c>
      <c r="K973">
        <f t="shared" ca="1" si="80"/>
        <v>0</v>
      </c>
      <c r="L973" s="65">
        <v>967</v>
      </c>
      <c r="M973" s="71">
        <f t="shared" ca="1" si="76"/>
        <v>4.9549163756494812</v>
      </c>
      <c r="N973" s="65"/>
    </row>
    <row r="974" spans="1:14" x14ac:dyDescent="0.25">
      <c r="A974" s="2">
        <v>968</v>
      </c>
      <c r="B974" s="11">
        <f t="shared" ca="1" si="77"/>
        <v>1</v>
      </c>
      <c r="C974" s="26">
        <f t="shared" ca="1" si="78"/>
        <v>0.12360948103012193</v>
      </c>
      <c r="J974">
        <f t="shared" ca="1" si="79"/>
        <v>1</v>
      </c>
      <c r="K974">
        <f t="shared" ca="1" si="80"/>
        <v>0</v>
      </c>
      <c r="L974" s="65">
        <v>968</v>
      </c>
      <c r="M974" s="71">
        <f t="shared" ca="1" si="76"/>
        <v>5.4962105770403022</v>
      </c>
      <c r="N974" s="65"/>
    </row>
    <row r="975" spans="1:14" x14ac:dyDescent="0.25">
      <c r="A975" s="2">
        <v>969</v>
      </c>
      <c r="B975" s="11">
        <f t="shared" ca="1" si="77"/>
        <v>1</v>
      </c>
      <c r="C975" s="26">
        <f t="shared" ca="1" si="78"/>
        <v>3.7865315882972594E-2</v>
      </c>
      <c r="J975">
        <f t="shared" ca="1" si="79"/>
        <v>1</v>
      </c>
      <c r="K975">
        <f t="shared" ca="1" si="80"/>
        <v>0</v>
      </c>
      <c r="L975" s="65">
        <v>969</v>
      </c>
      <c r="M975" s="71">
        <f t="shared" ca="1" si="76"/>
        <v>7.6211699682003067</v>
      </c>
      <c r="N975" s="65"/>
    </row>
    <row r="976" spans="1:14" x14ac:dyDescent="0.25">
      <c r="A976" s="2">
        <v>970</v>
      </c>
      <c r="B976" s="11">
        <f t="shared" ca="1" si="77"/>
        <v>1</v>
      </c>
      <c r="C976" s="26">
        <f t="shared" ca="1" si="78"/>
        <v>0.7250260773409466</v>
      </c>
      <c r="J976">
        <f t="shared" ca="1" si="79"/>
        <v>0</v>
      </c>
      <c r="K976">
        <f t="shared" ca="1" si="80"/>
        <v>0</v>
      </c>
      <c r="L976" s="65">
        <v>970</v>
      </c>
      <c r="M976" s="71">
        <f t="shared" ca="1" si="76"/>
        <v>4.1705348660532717</v>
      </c>
      <c r="N976" s="65"/>
    </row>
    <row r="977" spans="1:14" x14ac:dyDescent="0.25">
      <c r="A977" s="2">
        <v>971</v>
      </c>
      <c r="B977" s="11">
        <f t="shared" ca="1" si="77"/>
        <v>0</v>
      </c>
      <c r="C977" s="26">
        <f t="shared" ca="1" si="78"/>
        <v>0.819122397232394</v>
      </c>
      <c r="J977">
        <f t="shared" ca="1" si="79"/>
        <v>0</v>
      </c>
      <c r="K977">
        <f t="shared" ca="1" si="80"/>
        <v>0</v>
      </c>
      <c r="L977" s="65">
        <v>971</v>
      </c>
      <c r="M977" s="71">
        <f t="shared" ca="1" si="76"/>
        <v>0</v>
      </c>
      <c r="N977" s="65"/>
    </row>
    <row r="978" spans="1:14" x14ac:dyDescent="0.25">
      <c r="A978" s="2">
        <v>972</v>
      </c>
      <c r="B978" s="11">
        <f t="shared" ca="1" si="77"/>
        <v>1</v>
      </c>
      <c r="C978" s="26">
        <f t="shared" ca="1" si="78"/>
        <v>5.5771279975984189E-2</v>
      </c>
      <c r="J978">
        <f t="shared" ca="1" si="79"/>
        <v>1</v>
      </c>
      <c r="K978">
        <f t="shared" ca="1" si="80"/>
        <v>0</v>
      </c>
      <c r="L978" s="65">
        <v>972</v>
      </c>
      <c r="M978" s="71">
        <f t="shared" ca="1" si="76"/>
        <v>12.014237005611253</v>
      </c>
      <c r="N978" s="65"/>
    </row>
    <row r="979" spans="1:14" x14ac:dyDescent="0.25">
      <c r="A979" s="2">
        <v>973</v>
      </c>
      <c r="B979" s="11">
        <f t="shared" ca="1" si="77"/>
        <v>1</v>
      </c>
      <c r="C979" s="26">
        <f t="shared" ca="1" si="78"/>
        <v>0.40424246743546255</v>
      </c>
      <c r="J979">
        <f t="shared" ca="1" si="79"/>
        <v>0</v>
      </c>
      <c r="K979">
        <f t="shared" ca="1" si="80"/>
        <v>0</v>
      </c>
      <c r="L979" s="65">
        <v>973</v>
      </c>
      <c r="M979" s="71">
        <f t="shared" ca="1" si="76"/>
        <v>1.4398411799024466</v>
      </c>
      <c r="N979" s="65"/>
    </row>
    <row r="980" spans="1:14" x14ac:dyDescent="0.25">
      <c r="A980" s="2">
        <v>974</v>
      </c>
      <c r="B980" s="11">
        <f t="shared" ca="1" si="77"/>
        <v>0</v>
      </c>
      <c r="C980" s="26">
        <f t="shared" ca="1" si="78"/>
        <v>0.82453199066809735</v>
      </c>
      <c r="J980">
        <f t="shared" ca="1" si="79"/>
        <v>0</v>
      </c>
      <c r="K980">
        <f t="shared" ca="1" si="80"/>
        <v>0</v>
      </c>
      <c r="L980" s="65">
        <v>974</v>
      </c>
      <c r="M980" s="71">
        <f t="shared" ca="1" si="76"/>
        <v>0</v>
      </c>
      <c r="N980" s="65"/>
    </row>
    <row r="981" spans="1:14" x14ac:dyDescent="0.25">
      <c r="A981" s="2">
        <v>975</v>
      </c>
      <c r="B981" s="11">
        <f t="shared" ca="1" si="77"/>
        <v>1</v>
      </c>
      <c r="C981" s="26">
        <f t="shared" ca="1" si="78"/>
        <v>0.14519445822978949</v>
      </c>
      <c r="J981">
        <f t="shared" ca="1" si="79"/>
        <v>1</v>
      </c>
      <c r="K981">
        <f t="shared" ca="1" si="80"/>
        <v>0</v>
      </c>
      <c r="L981" s="65">
        <v>975</v>
      </c>
      <c r="M981" s="71">
        <f t="shared" ca="1" si="76"/>
        <v>1.4900598656103925</v>
      </c>
      <c r="N981" s="65"/>
    </row>
    <row r="982" spans="1:14" x14ac:dyDescent="0.25">
      <c r="A982" s="2">
        <v>976</v>
      </c>
      <c r="B982" s="11">
        <f t="shared" ca="1" si="77"/>
        <v>1</v>
      </c>
      <c r="C982" s="26">
        <f t="shared" ca="1" si="78"/>
        <v>0.4583275497874425</v>
      </c>
      <c r="J982">
        <f t="shared" ca="1" si="79"/>
        <v>1</v>
      </c>
      <c r="K982">
        <f t="shared" ca="1" si="80"/>
        <v>0</v>
      </c>
      <c r="L982" s="65">
        <v>976</v>
      </c>
      <c r="M982" s="71">
        <f t="shared" ca="1" si="76"/>
        <v>2.50310152428573</v>
      </c>
      <c r="N982" s="65"/>
    </row>
    <row r="983" spans="1:14" x14ac:dyDescent="0.25">
      <c r="A983" s="2">
        <v>977</v>
      </c>
      <c r="B983" s="11">
        <f t="shared" ca="1" si="77"/>
        <v>1</v>
      </c>
      <c r="C983" s="26">
        <f t="shared" ca="1" si="78"/>
        <v>0.27001579968517597</v>
      </c>
      <c r="J983">
        <f t="shared" ca="1" si="79"/>
        <v>0</v>
      </c>
      <c r="K983">
        <f t="shared" ca="1" si="80"/>
        <v>0</v>
      </c>
      <c r="L983" s="65">
        <v>977</v>
      </c>
      <c r="M983" s="71">
        <f t="shared" ca="1" si="76"/>
        <v>3.025488801206706</v>
      </c>
      <c r="N983" s="65"/>
    </row>
    <row r="984" spans="1:14" x14ac:dyDescent="0.25">
      <c r="A984" s="2">
        <v>978</v>
      </c>
      <c r="B984" s="11">
        <f t="shared" ca="1" si="77"/>
        <v>0</v>
      </c>
      <c r="C984" s="26">
        <f t="shared" ca="1" si="78"/>
        <v>0.91391449571545091</v>
      </c>
      <c r="J984">
        <f t="shared" ca="1" si="79"/>
        <v>0</v>
      </c>
      <c r="K984">
        <f t="shared" ca="1" si="80"/>
        <v>0</v>
      </c>
      <c r="L984" s="65">
        <v>978</v>
      </c>
      <c r="M984" s="71">
        <f t="shared" ca="1" si="76"/>
        <v>0</v>
      </c>
      <c r="N984" s="65"/>
    </row>
    <row r="985" spans="1:14" x14ac:dyDescent="0.25">
      <c r="A985" s="2">
        <v>979</v>
      </c>
      <c r="B985" s="11">
        <f t="shared" ca="1" si="77"/>
        <v>1</v>
      </c>
      <c r="C985" s="26">
        <f t="shared" ca="1" si="78"/>
        <v>0.41923838912952216</v>
      </c>
      <c r="J985">
        <f t="shared" ca="1" si="79"/>
        <v>0</v>
      </c>
      <c r="K985">
        <f t="shared" ca="1" si="80"/>
        <v>0</v>
      </c>
      <c r="L985" s="65">
        <v>979</v>
      </c>
      <c r="M985" s="71">
        <f t="shared" ca="1" si="76"/>
        <v>2.5501662169317489</v>
      </c>
      <c r="N985" s="65"/>
    </row>
    <row r="986" spans="1:14" x14ac:dyDescent="0.25">
      <c r="A986" s="2">
        <v>980</v>
      </c>
      <c r="B986" s="11">
        <f t="shared" ca="1" si="77"/>
        <v>0</v>
      </c>
      <c r="C986" s="26">
        <f t="shared" ca="1" si="78"/>
        <v>0.95992352505324763</v>
      </c>
      <c r="J986">
        <f t="shared" ca="1" si="79"/>
        <v>0</v>
      </c>
      <c r="K986">
        <f t="shared" ca="1" si="80"/>
        <v>0</v>
      </c>
      <c r="L986" s="65">
        <v>980</v>
      </c>
      <c r="M986" s="71">
        <f t="shared" ca="1" si="76"/>
        <v>0</v>
      </c>
      <c r="N986" s="65"/>
    </row>
    <row r="987" spans="1:14" x14ac:dyDescent="0.25">
      <c r="A987" s="2">
        <v>981</v>
      </c>
      <c r="B987" s="11">
        <f t="shared" ca="1" si="77"/>
        <v>1</v>
      </c>
      <c r="C987" s="26">
        <f t="shared" ca="1" si="78"/>
        <v>0.25103411151311239</v>
      </c>
      <c r="J987">
        <f t="shared" ca="1" si="79"/>
        <v>1</v>
      </c>
      <c r="K987">
        <f t="shared" ca="1" si="80"/>
        <v>0</v>
      </c>
      <c r="L987" s="65">
        <v>981</v>
      </c>
      <c r="M987" s="71">
        <f t="shared" ca="1" si="76"/>
        <v>0.53146890014348569</v>
      </c>
      <c r="N987" s="65"/>
    </row>
    <row r="988" spans="1:14" x14ac:dyDescent="0.25">
      <c r="A988" s="2">
        <v>982</v>
      </c>
      <c r="B988" s="11">
        <f t="shared" ca="1" si="77"/>
        <v>1</v>
      </c>
      <c r="C988" s="26">
        <f t="shared" ca="1" si="78"/>
        <v>0.25595010464846735</v>
      </c>
      <c r="J988">
        <f t="shared" ca="1" si="79"/>
        <v>0</v>
      </c>
      <c r="K988">
        <f t="shared" ca="1" si="80"/>
        <v>0</v>
      </c>
      <c r="L988" s="65">
        <v>982</v>
      </c>
      <c r="M988" s="71">
        <f t="shared" ca="1" si="76"/>
        <v>4.8245531599293638</v>
      </c>
      <c r="N988" s="65"/>
    </row>
    <row r="989" spans="1:14" x14ac:dyDescent="0.25">
      <c r="A989" s="2">
        <v>983</v>
      </c>
      <c r="B989" s="11">
        <f t="shared" ca="1" si="77"/>
        <v>0</v>
      </c>
      <c r="C989" s="26">
        <f t="shared" ca="1" si="78"/>
        <v>0.93497373983949783</v>
      </c>
      <c r="J989">
        <f t="shared" ca="1" si="79"/>
        <v>0</v>
      </c>
      <c r="K989">
        <f t="shared" ca="1" si="80"/>
        <v>0</v>
      </c>
      <c r="L989" s="65">
        <v>983</v>
      </c>
      <c r="M989" s="71">
        <f t="shared" ca="1" si="76"/>
        <v>0</v>
      </c>
      <c r="N989" s="65"/>
    </row>
    <row r="990" spans="1:14" x14ac:dyDescent="0.25">
      <c r="A990" s="2">
        <v>984</v>
      </c>
      <c r="B990" s="11">
        <f t="shared" ca="1" si="77"/>
        <v>1</v>
      </c>
      <c r="C990" s="26">
        <f t="shared" ca="1" si="78"/>
        <v>0.42737419525533238</v>
      </c>
      <c r="J990">
        <f t="shared" ca="1" si="79"/>
        <v>1</v>
      </c>
      <c r="K990">
        <f t="shared" ca="1" si="80"/>
        <v>0</v>
      </c>
      <c r="L990" s="65">
        <v>984</v>
      </c>
      <c r="M990" s="71">
        <f t="shared" ca="1" si="76"/>
        <v>2.5765088247411567</v>
      </c>
      <c r="N990" s="65"/>
    </row>
    <row r="991" spans="1:14" x14ac:dyDescent="0.25">
      <c r="A991" s="2">
        <v>985</v>
      </c>
      <c r="B991" s="11">
        <f t="shared" ca="1" si="77"/>
        <v>1</v>
      </c>
      <c r="C991" s="26">
        <f t="shared" ca="1" si="78"/>
        <v>0.59582178229080518</v>
      </c>
      <c r="J991">
        <f t="shared" ca="1" si="79"/>
        <v>0</v>
      </c>
      <c r="K991">
        <f t="shared" ca="1" si="80"/>
        <v>0</v>
      </c>
      <c r="L991" s="65">
        <v>985</v>
      </c>
      <c r="M991" s="71">
        <f t="shared" ca="1" si="76"/>
        <v>6.2525197576218146</v>
      </c>
      <c r="N991" s="65"/>
    </row>
    <row r="992" spans="1:14" x14ac:dyDescent="0.25">
      <c r="A992" s="2">
        <v>986</v>
      </c>
      <c r="B992" s="11">
        <f t="shared" ca="1" si="77"/>
        <v>0</v>
      </c>
      <c r="C992" s="26">
        <f t="shared" ca="1" si="78"/>
        <v>0.89610523774250983</v>
      </c>
      <c r="J992">
        <f t="shared" ca="1" si="79"/>
        <v>0</v>
      </c>
      <c r="K992">
        <f t="shared" ca="1" si="80"/>
        <v>1</v>
      </c>
      <c r="L992" s="65">
        <v>986</v>
      </c>
      <c r="M992" s="71">
        <f t="shared" ca="1" si="76"/>
        <v>0</v>
      </c>
      <c r="N992" s="65"/>
    </row>
    <row r="993" spans="1:14" x14ac:dyDescent="0.25">
      <c r="A993" s="2">
        <v>987</v>
      </c>
      <c r="B993" s="11">
        <f t="shared" ca="1" si="77"/>
        <v>0</v>
      </c>
      <c r="C993" s="26">
        <f t="shared" ca="1" si="78"/>
        <v>0.77926766110635737</v>
      </c>
      <c r="J993">
        <f t="shared" ca="1" si="79"/>
        <v>0</v>
      </c>
      <c r="K993">
        <f t="shared" ca="1" si="80"/>
        <v>0</v>
      </c>
      <c r="L993" s="65">
        <v>987</v>
      </c>
      <c r="M993" s="71">
        <f t="shared" ca="1" si="76"/>
        <v>0</v>
      </c>
      <c r="N993" s="65"/>
    </row>
    <row r="994" spans="1:14" x14ac:dyDescent="0.25">
      <c r="A994" s="2">
        <v>988</v>
      </c>
      <c r="B994" s="11">
        <f t="shared" ca="1" si="77"/>
        <v>1</v>
      </c>
      <c r="C994" s="26">
        <f t="shared" ca="1" si="78"/>
        <v>0.26258606083046088</v>
      </c>
      <c r="J994">
        <f t="shared" ca="1" si="79"/>
        <v>1</v>
      </c>
      <c r="K994">
        <f t="shared" ca="1" si="80"/>
        <v>0</v>
      </c>
      <c r="L994" s="65">
        <v>988</v>
      </c>
      <c r="M994" s="71">
        <f t="shared" ca="1" si="76"/>
        <v>3.2908707645205797</v>
      </c>
      <c r="N994" s="65"/>
    </row>
    <row r="995" spans="1:14" x14ac:dyDescent="0.25">
      <c r="A995" s="2">
        <v>989</v>
      </c>
      <c r="B995" s="11">
        <f t="shared" ca="1" si="77"/>
        <v>1</v>
      </c>
      <c r="C995" s="26">
        <f t="shared" ca="1" si="78"/>
        <v>5.7220398630689284E-2</v>
      </c>
      <c r="J995">
        <f t="shared" ca="1" si="79"/>
        <v>0</v>
      </c>
      <c r="K995">
        <f t="shared" ca="1" si="80"/>
        <v>0</v>
      </c>
      <c r="L995" s="65">
        <v>989</v>
      </c>
      <c r="M995" s="71">
        <f t="shared" ca="1" si="76"/>
        <v>4.5917884089364618</v>
      </c>
      <c r="N995" s="65"/>
    </row>
    <row r="996" spans="1:14" x14ac:dyDescent="0.25">
      <c r="A996" s="2">
        <v>990</v>
      </c>
      <c r="B996" s="11">
        <f t="shared" ca="1" si="77"/>
        <v>0</v>
      </c>
      <c r="C996" s="26">
        <f t="shared" ca="1" si="78"/>
        <v>0.85336444291808355</v>
      </c>
      <c r="J996">
        <f t="shared" ca="1" si="79"/>
        <v>0</v>
      </c>
      <c r="K996">
        <f t="shared" ca="1" si="80"/>
        <v>0</v>
      </c>
      <c r="L996" s="65">
        <v>990</v>
      </c>
      <c r="M996" s="71">
        <f t="shared" ca="1" si="76"/>
        <v>0</v>
      </c>
      <c r="N996" s="65"/>
    </row>
    <row r="997" spans="1:14" x14ac:dyDescent="0.25">
      <c r="A997" s="2">
        <v>991</v>
      </c>
      <c r="B997" s="11">
        <f t="shared" ca="1" si="77"/>
        <v>1</v>
      </c>
      <c r="C997" s="26">
        <f t="shared" ca="1" si="78"/>
        <v>0.35427721722389005</v>
      </c>
      <c r="J997">
        <f t="shared" ca="1" si="79"/>
        <v>0</v>
      </c>
      <c r="K997">
        <f t="shared" ca="1" si="80"/>
        <v>0</v>
      </c>
      <c r="L997" s="65">
        <v>991</v>
      </c>
      <c r="M997" s="71">
        <f t="shared" ca="1" si="76"/>
        <v>2.5823556354793809</v>
      </c>
      <c r="N997" s="65"/>
    </row>
    <row r="998" spans="1:14" x14ac:dyDescent="0.25">
      <c r="A998" s="2">
        <v>992</v>
      </c>
      <c r="B998" s="11">
        <f t="shared" ca="1" si="77"/>
        <v>0</v>
      </c>
      <c r="C998" s="26">
        <f t="shared" ca="1" si="78"/>
        <v>0.80822237500784866</v>
      </c>
      <c r="J998">
        <f t="shared" ca="1" si="79"/>
        <v>0</v>
      </c>
      <c r="K998">
        <f t="shared" ca="1" si="80"/>
        <v>1</v>
      </c>
      <c r="L998" s="65">
        <v>992</v>
      </c>
      <c r="M998" s="71">
        <f t="shared" ca="1" si="76"/>
        <v>0</v>
      </c>
      <c r="N998" s="65"/>
    </row>
    <row r="999" spans="1:14" x14ac:dyDescent="0.25">
      <c r="A999" s="2">
        <v>993</v>
      </c>
      <c r="B999" s="11">
        <f t="shared" ca="1" si="77"/>
        <v>0</v>
      </c>
      <c r="C999" s="26">
        <f t="shared" ca="1" si="78"/>
        <v>0.84335283921195436</v>
      </c>
      <c r="J999">
        <f t="shared" ca="1" si="79"/>
        <v>0</v>
      </c>
      <c r="K999">
        <f t="shared" ca="1" si="80"/>
        <v>0</v>
      </c>
      <c r="L999" s="65">
        <v>993</v>
      </c>
      <c r="M999" s="71">
        <f t="shared" ca="1" si="76"/>
        <v>0</v>
      </c>
      <c r="N999" s="65"/>
    </row>
    <row r="1000" spans="1:14" x14ac:dyDescent="0.25">
      <c r="A1000" s="2">
        <v>994</v>
      </c>
      <c r="B1000" s="11">
        <f t="shared" ca="1" si="77"/>
        <v>1</v>
      </c>
      <c r="C1000" s="26">
        <f t="shared" ca="1" si="78"/>
        <v>0.16669093957883496</v>
      </c>
      <c r="J1000">
        <f t="shared" ca="1" si="79"/>
        <v>0</v>
      </c>
      <c r="K1000">
        <f t="shared" ca="1" si="80"/>
        <v>0</v>
      </c>
      <c r="L1000" s="65">
        <v>994</v>
      </c>
      <c r="M1000" s="71">
        <f t="shared" ca="1" si="76"/>
        <v>2.0538947804202361</v>
      </c>
      <c r="N1000" s="65"/>
    </row>
    <row r="1001" spans="1:14" x14ac:dyDescent="0.25">
      <c r="A1001" s="2">
        <v>995</v>
      </c>
      <c r="B1001" s="11">
        <f t="shared" ca="1" si="77"/>
        <v>0</v>
      </c>
      <c r="C1001" s="26">
        <f t="shared" ca="1" si="78"/>
        <v>0.9866230984703972</v>
      </c>
      <c r="J1001">
        <f t="shared" ca="1" si="79"/>
        <v>0</v>
      </c>
      <c r="K1001">
        <f t="shared" ca="1" si="80"/>
        <v>1</v>
      </c>
      <c r="L1001" s="65">
        <v>995</v>
      </c>
      <c r="M1001" s="71">
        <f t="shared" ca="1" si="76"/>
        <v>0</v>
      </c>
      <c r="N1001" s="65"/>
    </row>
    <row r="1002" spans="1:14" x14ac:dyDescent="0.25">
      <c r="A1002" s="2">
        <v>996</v>
      </c>
      <c r="B1002" s="11">
        <f t="shared" ca="1" si="77"/>
        <v>0</v>
      </c>
      <c r="C1002" s="26">
        <f t="shared" ca="1" si="78"/>
        <v>0.73738983243842027</v>
      </c>
      <c r="J1002">
        <f t="shared" ca="1" si="79"/>
        <v>0</v>
      </c>
      <c r="K1002">
        <f t="shared" ca="1" si="80"/>
        <v>0</v>
      </c>
      <c r="L1002" s="65">
        <v>996</v>
      </c>
      <c r="M1002" s="71">
        <f t="shared" ca="1" si="76"/>
        <v>0</v>
      </c>
      <c r="N1002" s="65"/>
    </row>
    <row r="1003" spans="1:14" x14ac:dyDescent="0.25">
      <c r="A1003" s="2">
        <v>997</v>
      </c>
      <c r="B1003" s="11">
        <f t="shared" ca="1" si="77"/>
        <v>1</v>
      </c>
      <c r="C1003" s="26">
        <f t="shared" ca="1" si="78"/>
        <v>8.529945382137083E-2</v>
      </c>
      <c r="J1003">
        <f t="shared" ca="1" si="79"/>
        <v>1</v>
      </c>
      <c r="K1003">
        <f t="shared" ca="1" si="80"/>
        <v>0</v>
      </c>
      <c r="L1003" s="65">
        <v>997</v>
      </c>
      <c r="M1003" s="71">
        <f t="shared" ca="1" si="76"/>
        <v>6.0359405501007348</v>
      </c>
      <c r="N1003" s="65"/>
    </row>
    <row r="1004" spans="1:14" x14ac:dyDescent="0.25">
      <c r="A1004" s="2">
        <v>998</v>
      </c>
      <c r="B1004" s="11">
        <f t="shared" ca="1" si="77"/>
        <v>1</v>
      </c>
      <c r="C1004" s="26">
        <f t="shared" ca="1" si="78"/>
        <v>0.13937698049484148</v>
      </c>
      <c r="J1004">
        <f t="shared" ca="1" si="79"/>
        <v>1</v>
      </c>
      <c r="K1004">
        <f t="shared" ca="1" si="80"/>
        <v>0</v>
      </c>
      <c r="L1004" s="65">
        <v>998</v>
      </c>
      <c r="M1004" s="71">
        <f t="shared" ca="1" si="76"/>
        <v>0.48204784837367887</v>
      </c>
      <c r="N1004" s="65"/>
    </row>
    <row r="1005" spans="1:14" x14ac:dyDescent="0.25">
      <c r="A1005" s="2">
        <v>999</v>
      </c>
      <c r="B1005" s="11">
        <f t="shared" ca="1" si="77"/>
        <v>1</v>
      </c>
      <c r="C1005" s="26">
        <f t="shared" ca="1" si="78"/>
        <v>7.0698518953401512E-3</v>
      </c>
      <c r="J1005">
        <f t="shared" ca="1" si="79"/>
        <v>1</v>
      </c>
      <c r="K1005">
        <f t="shared" ca="1" si="80"/>
        <v>0</v>
      </c>
      <c r="L1005" s="65">
        <v>999</v>
      </c>
      <c r="M1005" s="71">
        <f t="shared" ca="1" si="76"/>
        <v>5.2349541317249901</v>
      </c>
      <c r="N1005" s="65"/>
    </row>
    <row r="1006" spans="1:14" x14ac:dyDescent="0.25">
      <c r="A1006" s="2">
        <v>1000</v>
      </c>
      <c r="B1006" s="11">
        <f t="shared" ca="1" si="77"/>
        <v>1</v>
      </c>
      <c r="C1006" s="26">
        <f t="shared" ca="1" si="78"/>
        <v>0.33596392892386617</v>
      </c>
      <c r="J1006">
        <f t="shared" ca="1" si="79"/>
        <v>1</v>
      </c>
      <c r="K1006">
        <f t="shared" ca="1" si="80"/>
        <v>0</v>
      </c>
      <c r="L1006" s="65">
        <v>1000</v>
      </c>
      <c r="M1006" s="71">
        <f t="shared" ca="1" si="76"/>
        <v>4.5001697878276801</v>
      </c>
      <c r="N1006" s="65"/>
    </row>
    <row r="1007" spans="1:14" x14ac:dyDescent="0.25">
      <c r="A1007" s="2">
        <v>1001</v>
      </c>
      <c r="B1007" s="11">
        <f t="shared" ref="B1007:B1070" ca="1" si="81">IF(B1006&gt;0,IF(C1007&lt;pww,1,0),IF(C1007&lt;pdw,1,0))</f>
        <v>1</v>
      </c>
      <c r="C1007" s="26">
        <f t="shared" ca="1" si="78"/>
        <v>0.4005886735953138</v>
      </c>
      <c r="J1007">
        <f t="shared" ref="J1007:J1070" ca="1" si="82">IF(AND(B1007,B1008),1,0)</f>
        <v>1</v>
      </c>
      <c r="K1007">
        <f t="shared" ref="K1007:K1070" ca="1" si="83">IF(AND(NOT(B1007),NOT(B1008)),1,0)</f>
        <v>0</v>
      </c>
      <c r="L1007" s="65">
        <v>1001</v>
      </c>
      <c r="M1007" s="71">
        <f t="shared" ca="1" si="76"/>
        <v>0.2894793243394454</v>
      </c>
      <c r="N1007" s="65"/>
    </row>
    <row r="1008" spans="1:14" x14ac:dyDescent="0.25">
      <c r="A1008" s="2">
        <v>1002</v>
      </c>
      <c r="B1008" s="11">
        <f t="shared" ca="1" si="81"/>
        <v>1</v>
      </c>
      <c r="C1008" s="26">
        <f t="shared" ca="1" si="78"/>
        <v>0.528196991864464</v>
      </c>
      <c r="J1008">
        <f t="shared" ca="1" si="82"/>
        <v>1</v>
      </c>
      <c r="K1008">
        <f t="shared" ca="1" si="83"/>
        <v>0</v>
      </c>
      <c r="L1008" s="65">
        <v>1002</v>
      </c>
      <c r="M1008" s="71">
        <f t="shared" ca="1" si="76"/>
        <v>6.0761386481904633</v>
      </c>
      <c r="N1008" s="65"/>
    </row>
    <row r="1009" spans="1:14" x14ac:dyDescent="0.25">
      <c r="A1009" s="2">
        <v>1003</v>
      </c>
      <c r="B1009" s="11">
        <f t="shared" ca="1" si="81"/>
        <v>1</v>
      </c>
      <c r="C1009" s="26">
        <f t="shared" ca="1" si="78"/>
        <v>0.3316180896858435</v>
      </c>
      <c r="J1009">
        <f t="shared" ca="1" si="82"/>
        <v>1</v>
      </c>
      <c r="K1009">
        <f t="shared" ca="1" si="83"/>
        <v>0</v>
      </c>
      <c r="L1009" s="65">
        <v>1003</v>
      </c>
      <c r="M1009" s="71">
        <f t="shared" ca="1" si="76"/>
        <v>0.54425904948352921</v>
      </c>
      <c r="N1009" s="65"/>
    </row>
    <row r="1010" spans="1:14" x14ac:dyDescent="0.25">
      <c r="A1010" s="2">
        <v>1004</v>
      </c>
      <c r="B1010" s="11">
        <f t="shared" ca="1" si="81"/>
        <v>1</v>
      </c>
      <c r="C1010" s="26">
        <f t="shared" ca="1" si="78"/>
        <v>0.56062401866075706</v>
      </c>
      <c r="J1010">
        <f t="shared" ca="1" si="82"/>
        <v>1</v>
      </c>
      <c r="K1010">
        <f t="shared" ca="1" si="83"/>
        <v>0</v>
      </c>
      <c r="L1010" s="65">
        <v>1004</v>
      </c>
      <c r="M1010" s="71">
        <f t="shared" ca="1" si="76"/>
        <v>0.41449786696299973</v>
      </c>
      <c r="N1010" s="65"/>
    </row>
    <row r="1011" spans="1:14" x14ac:dyDescent="0.25">
      <c r="A1011" s="2">
        <v>1005</v>
      </c>
      <c r="B1011" s="11">
        <f t="shared" ca="1" si="81"/>
        <v>1</v>
      </c>
      <c r="C1011" s="26">
        <f t="shared" ca="1" si="78"/>
        <v>0.53927653077141491</v>
      </c>
      <c r="J1011">
        <f t="shared" ca="1" si="82"/>
        <v>0</v>
      </c>
      <c r="K1011">
        <f t="shared" ca="1" si="83"/>
        <v>0</v>
      </c>
      <c r="L1011" s="65">
        <v>1005</v>
      </c>
      <c r="M1011" s="71">
        <f t="shared" ca="1" si="76"/>
        <v>1.5704736491486957</v>
      </c>
      <c r="N1011" s="65"/>
    </row>
    <row r="1012" spans="1:14" x14ac:dyDescent="0.25">
      <c r="A1012" s="2">
        <v>1006</v>
      </c>
      <c r="B1012" s="11">
        <f t="shared" ca="1" si="81"/>
        <v>0</v>
      </c>
      <c r="C1012" s="26">
        <f t="shared" ca="1" si="78"/>
        <v>0.80471981287711969</v>
      </c>
      <c r="J1012">
        <f t="shared" ca="1" si="82"/>
        <v>0</v>
      </c>
      <c r="K1012">
        <f t="shared" ca="1" si="83"/>
        <v>0</v>
      </c>
      <c r="L1012" s="65">
        <v>1006</v>
      </c>
      <c r="M1012" s="71">
        <f t="shared" ca="1" si="76"/>
        <v>0</v>
      </c>
      <c r="N1012" s="65"/>
    </row>
    <row r="1013" spans="1:14" x14ac:dyDescent="0.25">
      <c r="A1013" s="2">
        <v>1007</v>
      </c>
      <c r="B1013" s="11">
        <f t="shared" ca="1" si="81"/>
        <v>1</v>
      </c>
      <c r="C1013" s="26">
        <f t="shared" ca="1" si="78"/>
        <v>0.71855740366246346</v>
      </c>
      <c r="J1013">
        <f t="shared" ca="1" si="82"/>
        <v>1</v>
      </c>
      <c r="K1013">
        <f t="shared" ca="1" si="83"/>
        <v>0</v>
      </c>
      <c r="L1013" s="65">
        <v>1007</v>
      </c>
      <c r="M1013" s="71">
        <f t="shared" ca="1" si="76"/>
        <v>3.0793688385880933</v>
      </c>
      <c r="N1013" s="65"/>
    </row>
    <row r="1014" spans="1:14" x14ac:dyDescent="0.25">
      <c r="A1014" s="2">
        <v>1008</v>
      </c>
      <c r="B1014" s="11">
        <f t="shared" ca="1" si="81"/>
        <v>1</v>
      </c>
      <c r="C1014" s="26">
        <f t="shared" ca="1" si="78"/>
        <v>0.695560543717614</v>
      </c>
      <c r="J1014">
        <f t="shared" ca="1" si="82"/>
        <v>1</v>
      </c>
      <c r="K1014">
        <f t="shared" ca="1" si="83"/>
        <v>0</v>
      </c>
      <c r="L1014" s="65">
        <v>1008</v>
      </c>
      <c r="M1014" s="71">
        <f t="shared" ca="1" si="76"/>
        <v>2.0636917415733222</v>
      </c>
      <c r="N1014" s="65"/>
    </row>
    <row r="1015" spans="1:14" x14ac:dyDescent="0.25">
      <c r="A1015" s="2">
        <v>1009</v>
      </c>
      <c r="B1015" s="11">
        <f t="shared" ca="1" si="81"/>
        <v>1</v>
      </c>
      <c r="C1015" s="26">
        <f t="shared" ca="1" si="78"/>
        <v>0.52198491801996938</v>
      </c>
      <c r="J1015">
        <f t="shared" ca="1" si="82"/>
        <v>0</v>
      </c>
      <c r="K1015">
        <f t="shared" ca="1" si="83"/>
        <v>0</v>
      </c>
      <c r="L1015" s="65">
        <v>1009</v>
      </c>
      <c r="M1015" s="71">
        <f t="shared" ca="1" si="76"/>
        <v>1.2636782921417988</v>
      </c>
      <c r="N1015" s="65"/>
    </row>
    <row r="1016" spans="1:14" x14ac:dyDescent="0.25">
      <c r="A1016" s="2">
        <v>1010</v>
      </c>
      <c r="B1016" s="11">
        <f t="shared" ca="1" si="81"/>
        <v>0</v>
      </c>
      <c r="C1016" s="26">
        <f t="shared" ca="1" si="78"/>
        <v>0.82748805700485129</v>
      </c>
      <c r="J1016">
        <f t="shared" ca="1" si="82"/>
        <v>0</v>
      </c>
      <c r="K1016">
        <f t="shared" ca="1" si="83"/>
        <v>1</v>
      </c>
      <c r="L1016" s="65">
        <v>1010</v>
      </c>
      <c r="M1016" s="71">
        <f t="shared" ca="1" si="76"/>
        <v>0</v>
      </c>
      <c r="N1016" s="65"/>
    </row>
    <row r="1017" spans="1:14" x14ac:dyDescent="0.25">
      <c r="A1017" s="2">
        <v>1011</v>
      </c>
      <c r="B1017" s="11">
        <f t="shared" ca="1" si="81"/>
        <v>0</v>
      </c>
      <c r="C1017" s="26">
        <f t="shared" ca="1" si="78"/>
        <v>0.96708614121970993</v>
      </c>
      <c r="J1017">
        <f t="shared" ca="1" si="82"/>
        <v>0</v>
      </c>
      <c r="K1017">
        <f t="shared" ca="1" si="83"/>
        <v>0</v>
      </c>
      <c r="L1017" s="65">
        <v>1011</v>
      </c>
      <c r="M1017" s="71">
        <f t="shared" ca="1" si="76"/>
        <v>0</v>
      </c>
      <c r="N1017" s="65"/>
    </row>
    <row r="1018" spans="1:14" x14ac:dyDescent="0.25">
      <c r="A1018" s="2">
        <v>1012</v>
      </c>
      <c r="B1018" s="11">
        <f t="shared" ca="1" si="81"/>
        <v>1</v>
      </c>
      <c r="C1018" s="26">
        <f t="shared" ca="1" si="78"/>
        <v>3.9372169760732545E-2</v>
      </c>
      <c r="J1018">
        <f t="shared" ca="1" si="82"/>
        <v>1</v>
      </c>
      <c r="K1018">
        <f t="shared" ca="1" si="83"/>
        <v>0</v>
      </c>
      <c r="L1018" s="65">
        <v>1012</v>
      </c>
      <c r="M1018" s="71">
        <f t="shared" ca="1" si="76"/>
        <v>8.9888810140192538E-2</v>
      </c>
      <c r="N1018" s="65"/>
    </row>
    <row r="1019" spans="1:14" x14ac:dyDescent="0.25">
      <c r="A1019" s="2">
        <v>1013</v>
      </c>
      <c r="B1019" s="11">
        <f t="shared" ca="1" si="81"/>
        <v>1</v>
      </c>
      <c r="C1019" s="26">
        <f t="shared" ca="1" si="78"/>
        <v>0.27834325719296216</v>
      </c>
      <c r="J1019">
        <f t="shared" ca="1" si="82"/>
        <v>1</v>
      </c>
      <c r="K1019">
        <f t="shared" ca="1" si="83"/>
        <v>0</v>
      </c>
      <c r="L1019" s="65">
        <v>1013</v>
      </c>
      <c r="M1019" s="71">
        <f t="shared" ca="1" si="76"/>
        <v>4.527478390592111</v>
      </c>
      <c r="N1019" s="65"/>
    </row>
    <row r="1020" spans="1:14" x14ac:dyDescent="0.25">
      <c r="A1020" s="2">
        <v>1014</v>
      </c>
      <c r="B1020" s="11">
        <f t="shared" ca="1" si="81"/>
        <v>1</v>
      </c>
      <c r="C1020" s="26">
        <f t="shared" ca="1" si="78"/>
        <v>6.3446056195529232E-2</v>
      </c>
      <c r="J1020">
        <f t="shared" ca="1" si="82"/>
        <v>0</v>
      </c>
      <c r="K1020">
        <f t="shared" ca="1" si="83"/>
        <v>0</v>
      </c>
      <c r="L1020" s="65">
        <v>1014</v>
      </c>
      <c r="M1020" s="71">
        <f t="shared" ca="1" si="76"/>
        <v>2.3691721603917175</v>
      </c>
      <c r="N1020" s="65"/>
    </row>
    <row r="1021" spans="1:14" x14ac:dyDescent="0.25">
      <c r="A1021" s="2">
        <v>1015</v>
      </c>
      <c r="B1021" s="11">
        <f t="shared" ca="1" si="81"/>
        <v>0</v>
      </c>
      <c r="C1021" s="26">
        <f t="shared" ca="1" si="78"/>
        <v>0.98546114545151386</v>
      </c>
      <c r="J1021">
        <f t="shared" ca="1" si="82"/>
        <v>0</v>
      </c>
      <c r="K1021">
        <f t="shared" ca="1" si="83"/>
        <v>1</v>
      </c>
      <c r="L1021" s="65">
        <v>1015</v>
      </c>
      <c r="M1021" s="71">
        <f t="shared" ca="1" si="76"/>
        <v>0</v>
      </c>
      <c r="N1021" s="65"/>
    </row>
    <row r="1022" spans="1:14" x14ac:dyDescent="0.25">
      <c r="A1022" s="2">
        <v>1016</v>
      </c>
      <c r="B1022" s="11">
        <f t="shared" ca="1" si="81"/>
        <v>0</v>
      </c>
      <c r="C1022" s="26">
        <f t="shared" ca="1" si="78"/>
        <v>0.97558928427077463</v>
      </c>
      <c r="J1022">
        <f t="shared" ca="1" si="82"/>
        <v>0</v>
      </c>
      <c r="K1022">
        <f t="shared" ca="1" si="83"/>
        <v>0</v>
      </c>
      <c r="L1022" s="65">
        <v>1016</v>
      </c>
      <c r="M1022" s="71">
        <f t="shared" ca="1" si="76"/>
        <v>0</v>
      </c>
      <c r="N1022" s="65"/>
    </row>
    <row r="1023" spans="1:14" x14ac:dyDescent="0.25">
      <c r="A1023" s="2">
        <v>1017</v>
      </c>
      <c r="B1023" s="11">
        <f t="shared" ca="1" si="81"/>
        <v>1</v>
      </c>
      <c r="C1023" s="26">
        <f t="shared" ca="1" si="78"/>
        <v>0.28019565372606003</v>
      </c>
      <c r="J1023">
        <f t="shared" ca="1" si="82"/>
        <v>0</v>
      </c>
      <c r="K1023">
        <f t="shared" ca="1" si="83"/>
        <v>0</v>
      </c>
      <c r="L1023" s="65">
        <v>1017</v>
      </c>
      <c r="M1023" s="71">
        <f t="shared" ca="1" si="76"/>
        <v>1.7585226726722227</v>
      </c>
      <c r="N1023" s="65"/>
    </row>
    <row r="1024" spans="1:14" x14ac:dyDescent="0.25">
      <c r="A1024" s="2">
        <v>1018</v>
      </c>
      <c r="B1024" s="11">
        <f t="shared" ca="1" si="81"/>
        <v>0</v>
      </c>
      <c r="C1024" s="26">
        <f t="shared" ca="1" si="78"/>
        <v>0.81480908747110237</v>
      </c>
      <c r="J1024">
        <f t="shared" ca="1" si="82"/>
        <v>0</v>
      </c>
      <c r="K1024">
        <f t="shared" ca="1" si="83"/>
        <v>0</v>
      </c>
      <c r="L1024" s="65">
        <v>1018</v>
      </c>
      <c r="M1024" s="71">
        <f t="shared" ca="1" si="76"/>
        <v>0</v>
      </c>
      <c r="N1024" s="65"/>
    </row>
    <row r="1025" spans="1:14" x14ac:dyDescent="0.25">
      <c r="A1025" s="2">
        <v>1019</v>
      </c>
      <c r="B1025" s="11">
        <f t="shared" ca="1" si="81"/>
        <v>1</v>
      </c>
      <c r="C1025" s="26">
        <f t="shared" ca="1" si="78"/>
        <v>0.14025256728215985</v>
      </c>
      <c r="J1025">
        <f t="shared" ca="1" si="82"/>
        <v>1</v>
      </c>
      <c r="K1025">
        <f t="shared" ca="1" si="83"/>
        <v>0</v>
      </c>
      <c r="L1025" s="65">
        <v>1019</v>
      </c>
      <c r="M1025" s="71">
        <f t="shared" ca="1" si="76"/>
        <v>10.037706413200146</v>
      </c>
      <c r="N1025" s="65"/>
    </row>
    <row r="1026" spans="1:14" x14ac:dyDescent="0.25">
      <c r="A1026" s="2">
        <v>1020</v>
      </c>
      <c r="B1026" s="11">
        <f t="shared" ca="1" si="81"/>
        <v>1</v>
      </c>
      <c r="C1026" s="26">
        <f t="shared" ca="1" si="78"/>
        <v>0.44521471224700282</v>
      </c>
      <c r="J1026">
        <f t="shared" ca="1" si="82"/>
        <v>0</v>
      </c>
      <c r="K1026">
        <f t="shared" ca="1" si="83"/>
        <v>0</v>
      </c>
      <c r="L1026" s="65">
        <v>1020</v>
      </c>
      <c r="M1026" s="71">
        <f t="shared" ca="1" si="76"/>
        <v>10.337143013025333</v>
      </c>
      <c r="N1026" s="65"/>
    </row>
    <row r="1027" spans="1:14" x14ac:dyDescent="0.25">
      <c r="A1027" s="2">
        <v>1021</v>
      </c>
      <c r="B1027" s="11">
        <f t="shared" ca="1" si="81"/>
        <v>0</v>
      </c>
      <c r="C1027" s="26">
        <f t="shared" ca="1" si="78"/>
        <v>0.97271102104244778</v>
      </c>
      <c r="J1027">
        <f t="shared" ca="1" si="82"/>
        <v>0</v>
      </c>
      <c r="K1027">
        <f t="shared" ca="1" si="83"/>
        <v>1</v>
      </c>
      <c r="L1027" s="65">
        <v>1021</v>
      </c>
      <c r="M1027" s="71">
        <f t="shared" ca="1" si="76"/>
        <v>0</v>
      </c>
      <c r="N1027" s="65"/>
    </row>
    <row r="1028" spans="1:14" x14ac:dyDescent="0.25">
      <c r="A1028" s="2">
        <v>1022</v>
      </c>
      <c r="B1028" s="11">
        <f t="shared" ca="1" si="81"/>
        <v>0</v>
      </c>
      <c r="C1028" s="26">
        <f t="shared" ca="1" si="78"/>
        <v>0.91810766852705461</v>
      </c>
      <c r="J1028">
        <f t="shared" ca="1" si="82"/>
        <v>0</v>
      </c>
      <c r="K1028">
        <f t="shared" ca="1" si="83"/>
        <v>1</v>
      </c>
      <c r="L1028" s="65">
        <v>1022</v>
      </c>
      <c r="M1028" s="71">
        <f t="shared" ca="1" si="76"/>
        <v>0</v>
      </c>
      <c r="N1028" s="65"/>
    </row>
    <row r="1029" spans="1:14" x14ac:dyDescent="0.25">
      <c r="A1029" s="2">
        <v>1023</v>
      </c>
      <c r="B1029" s="11">
        <f t="shared" ca="1" si="81"/>
        <v>0</v>
      </c>
      <c r="C1029" s="26">
        <f t="shared" ca="1" si="78"/>
        <v>0.81315895117470993</v>
      </c>
      <c r="J1029">
        <f t="shared" ca="1" si="82"/>
        <v>0</v>
      </c>
      <c r="K1029">
        <f t="shared" ca="1" si="83"/>
        <v>0</v>
      </c>
      <c r="L1029" s="65">
        <v>1023</v>
      </c>
      <c r="M1029" s="71">
        <f t="shared" ca="1" si="76"/>
        <v>0</v>
      </c>
      <c r="N1029" s="65"/>
    </row>
    <row r="1030" spans="1:14" x14ac:dyDescent="0.25">
      <c r="A1030" s="2">
        <v>1024</v>
      </c>
      <c r="B1030" s="11">
        <f t="shared" ca="1" si="81"/>
        <v>1</v>
      </c>
      <c r="C1030" s="26">
        <f t="shared" ca="1" si="78"/>
        <v>0.70757338846650231</v>
      </c>
      <c r="J1030">
        <f t="shared" ca="1" si="82"/>
        <v>1</v>
      </c>
      <c r="K1030">
        <f t="shared" ca="1" si="83"/>
        <v>0</v>
      </c>
      <c r="L1030" s="65">
        <v>1024</v>
      </c>
      <c r="M1030" s="71">
        <f t="shared" ca="1" si="76"/>
        <v>4.7975134707695953E-2</v>
      </c>
      <c r="N1030" s="65"/>
    </row>
    <row r="1031" spans="1:14" x14ac:dyDescent="0.25">
      <c r="A1031" s="2">
        <v>1025</v>
      </c>
      <c r="B1031" s="11">
        <f t="shared" ca="1" si="81"/>
        <v>1</v>
      </c>
      <c r="C1031" s="26">
        <f t="shared" ca="1" si="78"/>
        <v>0.60349600083857557</v>
      </c>
      <c r="J1031">
        <f t="shared" ca="1" si="82"/>
        <v>1</v>
      </c>
      <c r="K1031">
        <f t="shared" ca="1" si="83"/>
        <v>0</v>
      </c>
      <c r="L1031" s="65">
        <v>1025</v>
      </c>
      <c r="M1031" s="71">
        <f t="shared" ref="M1031:M1094" ca="1" si="84">IF(B1031&gt;0,-LN(1-(RAND()))/lambda,0)</f>
        <v>0.13342040132292579</v>
      </c>
      <c r="N1031" s="65"/>
    </row>
    <row r="1032" spans="1:14" x14ac:dyDescent="0.25">
      <c r="A1032" s="2">
        <v>1026</v>
      </c>
      <c r="B1032" s="11">
        <f t="shared" ca="1" si="81"/>
        <v>1</v>
      </c>
      <c r="C1032" s="26">
        <f t="shared" ref="C1032:C1095" ca="1" si="85">RAND()</f>
        <v>0.74237884863111447</v>
      </c>
      <c r="J1032">
        <f t="shared" ca="1" si="82"/>
        <v>1</v>
      </c>
      <c r="K1032">
        <f t="shared" ca="1" si="83"/>
        <v>0</v>
      </c>
      <c r="L1032" s="65">
        <v>1026</v>
      </c>
      <c r="M1032" s="71">
        <f t="shared" ca="1" si="84"/>
        <v>11.270997410088778</v>
      </c>
      <c r="N1032" s="65"/>
    </row>
    <row r="1033" spans="1:14" x14ac:dyDescent="0.25">
      <c r="A1033" s="2">
        <v>1027</v>
      </c>
      <c r="B1033" s="11">
        <f t="shared" ca="1" si="81"/>
        <v>1</v>
      </c>
      <c r="C1033" s="26">
        <f t="shared" ca="1" si="85"/>
        <v>0.61486392785835819</v>
      </c>
      <c r="J1033">
        <f t="shared" ca="1" si="82"/>
        <v>1</v>
      </c>
      <c r="K1033">
        <f t="shared" ca="1" si="83"/>
        <v>0</v>
      </c>
      <c r="L1033" s="65">
        <v>1027</v>
      </c>
      <c r="M1033" s="71">
        <f t="shared" ca="1" si="84"/>
        <v>2.4289720806039696</v>
      </c>
      <c r="N1033" s="65"/>
    </row>
    <row r="1034" spans="1:14" x14ac:dyDescent="0.25">
      <c r="A1034" s="2">
        <v>1028</v>
      </c>
      <c r="B1034" s="11">
        <f t="shared" ca="1" si="81"/>
        <v>1</v>
      </c>
      <c r="C1034" s="26">
        <f t="shared" ca="1" si="85"/>
        <v>0.26722154087978367</v>
      </c>
      <c r="J1034">
        <f t="shared" ca="1" si="82"/>
        <v>1</v>
      </c>
      <c r="K1034">
        <f t="shared" ca="1" si="83"/>
        <v>0</v>
      </c>
      <c r="L1034" s="65">
        <v>1028</v>
      </c>
      <c r="M1034" s="71">
        <f t="shared" ca="1" si="84"/>
        <v>9.2506211230630111</v>
      </c>
      <c r="N1034" s="65"/>
    </row>
    <row r="1035" spans="1:14" x14ac:dyDescent="0.25">
      <c r="A1035" s="2">
        <v>1029</v>
      </c>
      <c r="B1035" s="11">
        <f t="shared" ca="1" si="81"/>
        <v>1</v>
      </c>
      <c r="C1035" s="26">
        <f t="shared" ca="1" si="85"/>
        <v>0.68281506409357184</v>
      </c>
      <c r="J1035">
        <f t="shared" ca="1" si="82"/>
        <v>1</v>
      </c>
      <c r="K1035">
        <f t="shared" ca="1" si="83"/>
        <v>0</v>
      </c>
      <c r="L1035" s="65">
        <v>1029</v>
      </c>
      <c r="M1035" s="71">
        <f t="shared" ca="1" si="84"/>
        <v>3.3038580750482622</v>
      </c>
      <c r="N1035" s="65"/>
    </row>
    <row r="1036" spans="1:14" x14ac:dyDescent="0.25">
      <c r="A1036" s="2">
        <v>1030</v>
      </c>
      <c r="B1036" s="11">
        <f t="shared" ca="1" si="81"/>
        <v>1</v>
      </c>
      <c r="C1036" s="26">
        <f t="shared" ca="1" si="85"/>
        <v>0.14648794885729866</v>
      </c>
      <c r="J1036">
        <f t="shared" ca="1" si="82"/>
        <v>0</v>
      </c>
      <c r="K1036">
        <f t="shared" ca="1" si="83"/>
        <v>0</v>
      </c>
      <c r="L1036" s="65">
        <v>1030</v>
      </c>
      <c r="M1036" s="71">
        <f t="shared" ca="1" si="84"/>
        <v>1.8334518790616265</v>
      </c>
      <c r="N1036" s="65"/>
    </row>
    <row r="1037" spans="1:14" x14ac:dyDescent="0.25">
      <c r="A1037" s="2">
        <v>1031</v>
      </c>
      <c r="B1037" s="11">
        <f t="shared" ca="1" si="81"/>
        <v>0</v>
      </c>
      <c r="C1037" s="26">
        <f t="shared" ca="1" si="85"/>
        <v>0.8208684314001895</v>
      </c>
      <c r="J1037">
        <f t="shared" ca="1" si="82"/>
        <v>0</v>
      </c>
      <c r="K1037">
        <f t="shared" ca="1" si="83"/>
        <v>0</v>
      </c>
      <c r="L1037" s="65">
        <v>1031</v>
      </c>
      <c r="M1037" s="71">
        <f t="shared" ca="1" si="84"/>
        <v>0</v>
      </c>
      <c r="N1037" s="65"/>
    </row>
    <row r="1038" spans="1:14" x14ac:dyDescent="0.25">
      <c r="A1038" s="2">
        <v>1032</v>
      </c>
      <c r="B1038" s="11">
        <f t="shared" ca="1" si="81"/>
        <v>1</v>
      </c>
      <c r="C1038" s="26">
        <f t="shared" ca="1" si="85"/>
        <v>0.23488427973218895</v>
      </c>
      <c r="J1038">
        <f t="shared" ca="1" si="82"/>
        <v>0</v>
      </c>
      <c r="K1038">
        <f t="shared" ca="1" si="83"/>
        <v>0</v>
      </c>
      <c r="L1038" s="65">
        <v>1032</v>
      </c>
      <c r="M1038" s="71">
        <f t="shared" ca="1" si="84"/>
        <v>0.15367820910130914</v>
      </c>
      <c r="N1038" s="65"/>
    </row>
    <row r="1039" spans="1:14" x14ac:dyDescent="0.25">
      <c r="A1039" s="2">
        <v>1033</v>
      </c>
      <c r="B1039" s="11">
        <f t="shared" ca="1" si="81"/>
        <v>0</v>
      </c>
      <c r="C1039" s="26">
        <f t="shared" ca="1" si="85"/>
        <v>0.90055049462510739</v>
      </c>
      <c r="J1039">
        <f t="shared" ca="1" si="82"/>
        <v>0</v>
      </c>
      <c r="K1039">
        <f t="shared" ca="1" si="83"/>
        <v>0</v>
      </c>
      <c r="L1039" s="65">
        <v>1033</v>
      </c>
      <c r="M1039" s="71">
        <f t="shared" ca="1" si="84"/>
        <v>0</v>
      </c>
      <c r="N1039" s="65"/>
    </row>
    <row r="1040" spans="1:14" x14ac:dyDescent="0.25">
      <c r="A1040" s="2">
        <v>1034</v>
      </c>
      <c r="B1040" s="11">
        <f t="shared" ca="1" si="81"/>
        <v>1</v>
      </c>
      <c r="C1040" s="26">
        <f t="shared" ca="1" si="85"/>
        <v>0.57159848075497599</v>
      </c>
      <c r="J1040">
        <f t="shared" ca="1" si="82"/>
        <v>1</v>
      </c>
      <c r="K1040">
        <f t="shared" ca="1" si="83"/>
        <v>0</v>
      </c>
      <c r="L1040" s="65">
        <v>1034</v>
      </c>
      <c r="M1040" s="71">
        <f t="shared" ca="1" si="84"/>
        <v>1.9943541161116591</v>
      </c>
      <c r="N1040" s="65"/>
    </row>
    <row r="1041" spans="1:14" x14ac:dyDescent="0.25">
      <c r="A1041" s="2">
        <v>1035</v>
      </c>
      <c r="B1041" s="11">
        <f t="shared" ca="1" si="81"/>
        <v>1</v>
      </c>
      <c r="C1041" s="26">
        <f t="shared" ca="1" si="85"/>
        <v>0.29744541816563663</v>
      </c>
      <c r="J1041">
        <f t="shared" ca="1" si="82"/>
        <v>1</v>
      </c>
      <c r="K1041">
        <f t="shared" ca="1" si="83"/>
        <v>0</v>
      </c>
      <c r="L1041" s="65">
        <v>1035</v>
      </c>
      <c r="M1041" s="71">
        <f t="shared" ca="1" si="84"/>
        <v>2.7457643932895821</v>
      </c>
      <c r="N1041" s="65"/>
    </row>
    <row r="1042" spans="1:14" x14ac:dyDescent="0.25">
      <c r="A1042" s="2">
        <v>1036</v>
      </c>
      <c r="B1042" s="11">
        <f t="shared" ca="1" si="81"/>
        <v>1</v>
      </c>
      <c r="C1042" s="26">
        <f t="shared" ca="1" si="85"/>
        <v>0.79457785636787504</v>
      </c>
      <c r="J1042">
        <f t="shared" ca="1" si="82"/>
        <v>1</v>
      </c>
      <c r="K1042">
        <f t="shared" ca="1" si="83"/>
        <v>0</v>
      </c>
      <c r="L1042" s="65">
        <v>1036</v>
      </c>
      <c r="M1042" s="71">
        <f t="shared" ca="1" si="84"/>
        <v>1.8845019885119867</v>
      </c>
      <c r="N1042" s="65"/>
    </row>
    <row r="1043" spans="1:14" x14ac:dyDescent="0.25">
      <c r="A1043" s="2">
        <v>1037</v>
      </c>
      <c r="B1043" s="11">
        <f t="shared" ca="1" si="81"/>
        <v>1</v>
      </c>
      <c r="C1043" s="26">
        <f t="shared" ca="1" si="85"/>
        <v>5.5912891922563324E-2</v>
      </c>
      <c r="J1043">
        <f t="shared" ca="1" si="82"/>
        <v>1</v>
      </c>
      <c r="K1043">
        <f t="shared" ca="1" si="83"/>
        <v>0</v>
      </c>
      <c r="L1043" s="65">
        <v>1037</v>
      </c>
      <c r="M1043" s="71">
        <f t="shared" ca="1" si="84"/>
        <v>2.1591152850023572</v>
      </c>
      <c r="N1043" s="65"/>
    </row>
    <row r="1044" spans="1:14" x14ac:dyDescent="0.25">
      <c r="A1044" s="2">
        <v>1038</v>
      </c>
      <c r="B1044" s="11">
        <f t="shared" ca="1" si="81"/>
        <v>1</v>
      </c>
      <c r="C1044" s="26">
        <f t="shared" ca="1" si="85"/>
        <v>0.55450530446298774</v>
      </c>
      <c r="J1044">
        <f t="shared" ca="1" si="82"/>
        <v>1</v>
      </c>
      <c r="K1044">
        <f t="shared" ca="1" si="83"/>
        <v>0</v>
      </c>
      <c r="L1044" s="65">
        <v>1038</v>
      </c>
      <c r="M1044" s="71">
        <f t="shared" ca="1" si="84"/>
        <v>2.440699168396737</v>
      </c>
      <c r="N1044" s="65"/>
    </row>
    <row r="1045" spans="1:14" x14ac:dyDescent="0.25">
      <c r="A1045" s="2">
        <v>1039</v>
      </c>
      <c r="B1045" s="11">
        <f t="shared" ca="1" si="81"/>
        <v>1</v>
      </c>
      <c r="C1045" s="26">
        <f t="shared" ca="1" si="85"/>
        <v>0.7888663077913235</v>
      </c>
      <c r="J1045">
        <f t="shared" ca="1" si="82"/>
        <v>1</v>
      </c>
      <c r="K1045">
        <f t="shared" ca="1" si="83"/>
        <v>0</v>
      </c>
      <c r="L1045" s="65">
        <v>1039</v>
      </c>
      <c r="M1045" s="71">
        <f t="shared" ca="1" si="84"/>
        <v>0.53163135229535097</v>
      </c>
      <c r="N1045" s="65"/>
    </row>
    <row r="1046" spans="1:14" x14ac:dyDescent="0.25">
      <c r="A1046" s="2">
        <v>1040</v>
      </c>
      <c r="B1046" s="11">
        <f t="shared" ca="1" si="81"/>
        <v>1</v>
      </c>
      <c r="C1046" s="26">
        <f t="shared" ca="1" si="85"/>
        <v>4.0500286250603978E-2</v>
      </c>
      <c r="J1046">
        <f t="shared" ca="1" si="82"/>
        <v>0</v>
      </c>
      <c r="K1046">
        <f t="shared" ca="1" si="83"/>
        <v>0</v>
      </c>
      <c r="L1046" s="65">
        <v>1040</v>
      </c>
      <c r="M1046" s="71">
        <f t="shared" ca="1" si="84"/>
        <v>2.5346151412844455</v>
      </c>
      <c r="N1046" s="65"/>
    </row>
    <row r="1047" spans="1:14" x14ac:dyDescent="0.25">
      <c r="A1047" s="2">
        <v>1041</v>
      </c>
      <c r="B1047" s="11">
        <f t="shared" ca="1" si="81"/>
        <v>0</v>
      </c>
      <c r="C1047" s="26">
        <f t="shared" ca="1" si="85"/>
        <v>0.8344356248904613</v>
      </c>
      <c r="J1047">
        <f t="shared" ca="1" si="82"/>
        <v>0</v>
      </c>
      <c r="K1047">
        <f t="shared" ca="1" si="83"/>
        <v>0</v>
      </c>
      <c r="L1047" s="65">
        <v>1041</v>
      </c>
      <c r="M1047" s="71">
        <f t="shared" ca="1" si="84"/>
        <v>0</v>
      </c>
      <c r="N1047" s="65"/>
    </row>
    <row r="1048" spans="1:14" x14ac:dyDescent="0.25">
      <c r="A1048" s="2">
        <v>1042</v>
      </c>
      <c r="B1048" s="11">
        <f t="shared" ca="1" si="81"/>
        <v>1</v>
      </c>
      <c r="C1048" s="26">
        <f t="shared" ca="1" si="85"/>
        <v>0.51222477099449604</v>
      </c>
      <c r="J1048">
        <f t="shared" ca="1" si="82"/>
        <v>1</v>
      </c>
      <c r="K1048">
        <f t="shared" ca="1" si="83"/>
        <v>0</v>
      </c>
      <c r="L1048" s="65">
        <v>1042</v>
      </c>
      <c r="M1048" s="71">
        <f t="shared" ca="1" si="84"/>
        <v>0.63130224008668145</v>
      </c>
      <c r="N1048" s="65"/>
    </row>
    <row r="1049" spans="1:14" x14ac:dyDescent="0.25">
      <c r="A1049" s="2">
        <v>1043</v>
      </c>
      <c r="B1049" s="11">
        <f t="shared" ca="1" si="81"/>
        <v>1</v>
      </c>
      <c r="C1049" s="26">
        <f t="shared" ca="1" si="85"/>
        <v>0.3670044852210419</v>
      </c>
      <c r="J1049">
        <f t="shared" ca="1" si="82"/>
        <v>1</v>
      </c>
      <c r="K1049">
        <f t="shared" ca="1" si="83"/>
        <v>0</v>
      </c>
      <c r="L1049" s="65">
        <v>1043</v>
      </c>
      <c r="M1049" s="71">
        <f t="shared" ca="1" si="84"/>
        <v>6.4181695413927295</v>
      </c>
      <c r="N1049" s="65"/>
    </row>
    <row r="1050" spans="1:14" x14ac:dyDescent="0.25">
      <c r="A1050" s="2">
        <v>1044</v>
      </c>
      <c r="B1050" s="11">
        <f t="shared" ca="1" si="81"/>
        <v>1</v>
      </c>
      <c r="C1050" s="26">
        <f t="shared" ca="1" si="85"/>
        <v>0.39827069774872337</v>
      </c>
      <c r="J1050">
        <f t="shared" ca="1" si="82"/>
        <v>1</v>
      </c>
      <c r="K1050">
        <f t="shared" ca="1" si="83"/>
        <v>0</v>
      </c>
      <c r="L1050" s="65">
        <v>1044</v>
      </c>
      <c r="M1050" s="71">
        <f t="shared" ca="1" si="84"/>
        <v>1.4460878230027332</v>
      </c>
      <c r="N1050" s="65"/>
    </row>
    <row r="1051" spans="1:14" x14ac:dyDescent="0.25">
      <c r="A1051" s="2">
        <v>1045</v>
      </c>
      <c r="B1051" s="11">
        <f t="shared" ca="1" si="81"/>
        <v>1</v>
      </c>
      <c r="C1051" s="26">
        <f t="shared" ca="1" si="85"/>
        <v>0.29959204057738598</v>
      </c>
      <c r="J1051">
        <f t="shared" ca="1" si="82"/>
        <v>1</v>
      </c>
      <c r="K1051">
        <f t="shared" ca="1" si="83"/>
        <v>0</v>
      </c>
      <c r="L1051" s="65">
        <v>1045</v>
      </c>
      <c r="M1051" s="71">
        <f t="shared" ca="1" si="84"/>
        <v>1.7530940300405378</v>
      </c>
      <c r="N1051" s="65"/>
    </row>
    <row r="1052" spans="1:14" x14ac:dyDescent="0.25">
      <c r="A1052" s="2">
        <v>1046</v>
      </c>
      <c r="B1052" s="11">
        <f t="shared" ca="1" si="81"/>
        <v>1</v>
      </c>
      <c r="C1052" s="26">
        <f t="shared" ca="1" si="85"/>
        <v>0.40304248650592345</v>
      </c>
      <c r="J1052">
        <f t="shared" ca="1" si="82"/>
        <v>1</v>
      </c>
      <c r="K1052">
        <f t="shared" ca="1" si="83"/>
        <v>0</v>
      </c>
      <c r="L1052" s="65">
        <v>1046</v>
      </c>
      <c r="M1052" s="71">
        <f t="shared" ca="1" si="84"/>
        <v>12.088407966254383</v>
      </c>
      <c r="N1052" s="65"/>
    </row>
    <row r="1053" spans="1:14" x14ac:dyDescent="0.25">
      <c r="A1053" s="2">
        <v>1047</v>
      </c>
      <c r="B1053" s="11">
        <f t="shared" ca="1" si="81"/>
        <v>1</v>
      </c>
      <c r="C1053" s="26">
        <f t="shared" ca="1" si="85"/>
        <v>0.64525046380802131</v>
      </c>
      <c r="J1053">
        <f t="shared" ca="1" si="82"/>
        <v>1</v>
      </c>
      <c r="K1053">
        <f t="shared" ca="1" si="83"/>
        <v>0</v>
      </c>
      <c r="L1053" s="65">
        <v>1047</v>
      </c>
      <c r="M1053" s="71">
        <f t="shared" ca="1" si="84"/>
        <v>5.7767532598951474</v>
      </c>
      <c r="N1053" s="65"/>
    </row>
    <row r="1054" spans="1:14" x14ac:dyDescent="0.25">
      <c r="A1054" s="2">
        <v>1048</v>
      </c>
      <c r="B1054" s="11">
        <f t="shared" ca="1" si="81"/>
        <v>1</v>
      </c>
      <c r="C1054" s="26">
        <f t="shared" ca="1" si="85"/>
        <v>0.33153791298735946</v>
      </c>
      <c r="J1054">
        <f t="shared" ca="1" si="82"/>
        <v>1</v>
      </c>
      <c r="K1054">
        <f t="shared" ca="1" si="83"/>
        <v>0</v>
      </c>
      <c r="L1054" s="65">
        <v>1048</v>
      </c>
      <c r="M1054" s="71">
        <f t="shared" ca="1" si="84"/>
        <v>0.68899940365993662</v>
      </c>
      <c r="N1054" s="65"/>
    </row>
    <row r="1055" spans="1:14" x14ac:dyDescent="0.25">
      <c r="A1055" s="2">
        <v>1049</v>
      </c>
      <c r="B1055" s="11">
        <f t="shared" ca="1" si="81"/>
        <v>1</v>
      </c>
      <c r="C1055" s="26">
        <f t="shared" ca="1" si="85"/>
        <v>0.37061926219879471</v>
      </c>
      <c r="J1055">
        <f t="shared" ca="1" si="82"/>
        <v>1</v>
      </c>
      <c r="K1055">
        <f t="shared" ca="1" si="83"/>
        <v>0</v>
      </c>
      <c r="L1055" s="65">
        <v>1049</v>
      </c>
      <c r="M1055" s="71">
        <f t="shared" ca="1" si="84"/>
        <v>8.9325957661273652</v>
      </c>
      <c r="N1055" s="65"/>
    </row>
    <row r="1056" spans="1:14" x14ac:dyDescent="0.25">
      <c r="A1056" s="2">
        <v>1050</v>
      </c>
      <c r="B1056" s="11">
        <f t="shared" ca="1" si="81"/>
        <v>1</v>
      </c>
      <c r="C1056" s="26">
        <f t="shared" ca="1" si="85"/>
        <v>0.40703308930625659</v>
      </c>
      <c r="J1056">
        <f t="shared" ca="1" si="82"/>
        <v>0</v>
      </c>
      <c r="K1056">
        <f t="shared" ca="1" si="83"/>
        <v>0</v>
      </c>
      <c r="L1056" s="65">
        <v>1050</v>
      </c>
      <c r="M1056" s="71">
        <f t="shared" ca="1" si="84"/>
        <v>0.88593711685534449</v>
      </c>
      <c r="N1056" s="65"/>
    </row>
    <row r="1057" spans="1:14" x14ac:dyDescent="0.25">
      <c r="A1057" s="2">
        <v>1051</v>
      </c>
      <c r="B1057" s="11">
        <f t="shared" ca="1" si="81"/>
        <v>0</v>
      </c>
      <c r="C1057" s="26">
        <f t="shared" ca="1" si="85"/>
        <v>0.8197954650096545</v>
      </c>
      <c r="J1057">
        <f t="shared" ca="1" si="82"/>
        <v>0</v>
      </c>
      <c r="K1057">
        <f t="shared" ca="1" si="83"/>
        <v>0</v>
      </c>
      <c r="L1057" s="65">
        <v>1051</v>
      </c>
      <c r="M1057" s="71">
        <f t="shared" ca="1" si="84"/>
        <v>0</v>
      </c>
      <c r="N1057" s="65"/>
    </row>
    <row r="1058" spans="1:14" x14ac:dyDescent="0.25">
      <c r="A1058" s="2">
        <v>1052</v>
      </c>
      <c r="B1058" s="11">
        <f t="shared" ca="1" si="81"/>
        <v>1</v>
      </c>
      <c r="C1058" s="26">
        <f t="shared" ca="1" si="85"/>
        <v>7.220718601931797E-2</v>
      </c>
      <c r="J1058">
        <f t="shared" ca="1" si="82"/>
        <v>1</v>
      </c>
      <c r="K1058">
        <f t="shared" ca="1" si="83"/>
        <v>0</v>
      </c>
      <c r="L1058" s="65">
        <v>1052</v>
      </c>
      <c r="M1058" s="71">
        <f t="shared" ca="1" si="84"/>
        <v>0.61198580750954101</v>
      </c>
      <c r="N1058" s="65"/>
    </row>
    <row r="1059" spans="1:14" x14ac:dyDescent="0.25">
      <c r="A1059" s="2">
        <v>1053</v>
      </c>
      <c r="B1059" s="11">
        <f t="shared" ca="1" si="81"/>
        <v>1</v>
      </c>
      <c r="C1059" s="26">
        <f t="shared" ca="1" si="85"/>
        <v>0.3718876140055748</v>
      </c>
      <c r="J1059">
        <f t="shared" ca="1" si="82"/>
        <v>1</v>
      </c>
      <c r="K1059">
        <f t="shared" ca="1" si="83"/>
        <v>0</v>
      </c>
      <c r="L1059" s="65">
        <v>1053</v>
      </c>
      <c r="M1059" s="71">
        <f t="shared" ca="1" si="84"/>
        <v>1.1025588813839458</v>
      </c>
      <c r="N1059" s="65"/>
    </row>
    <row r="1060" spans="1:14" x14ac:dyDescent="0.25">
      <c r="A1060" s="2">
        <v>1054</v>
      </c>
      <c r="B1060" s="11">
        <f t="shared" ca="1" si="81"/>
        <v>1</v>
      </c>
      <c r="C1060" s="26">
        <f t="shared" ca="1" si="85"/>
        <v>0.1267821196779394</v>
      </c>
      <c r="J1060">
        <f t="shared" ca="1" si="82"/>
        <v>1</v>
      </c>
      <c r="K1060">
        <f t="shared" ca="1" si="83"/>
        <v>0</v>
      </c>
      <c r="L1060" s="65">
        <v>1054</v>
      </c>
      <c r="M1060" s="71">
        <f t="shared" ca="1" si="84"/>
        <v>3.2754736309549606</v>
      </c>
      <c r="N1060" s="65"/>
    </row>
    <row r="1061" spans="1:14" x14ac:dyDescent="0.25">
      <c r="A1061" s="2">
        <v>1055</v>
      </c>
      <c r="B1061" s="11">
        <f t="shared" ca="1" si="81"/>
        <v>1</v>
      </c>
      <c r="C1061" s="26">
        <f t="shared" ca="1" si="85"/>
        <v>0.5750533396884514</v>
      </c>
      <c r="J1061">
        <f t="shared" ca="1" si="82"/>
        <v>1</v>
      </c>
      <c r="K1061">
        <f t="shared" ca="1" si="83"/>
        <v>0</v>
      </c>
      <c r="L1061" s="65">
        <v>1055</v>
      </c>
      <c r="M1061" s="71">
        <f t="shared" ca="1" si="84"/>
        <v>0.90756859427331582</v>
      </c>
      <c r="N1061" s="65"/>
    </row>
    <row r="1062" spans="1:14" x14ac:dyDescent="0.25">
      <c r="A1062" s="2">
        <v>1056</v>
      </c>
      <c r="B1062" s="11">
        <f t="shared" ca="1" si="81"/>
        <v>1</v>
      </c>
      <c r="C1062" s="26">
        <f t="shared" ca="1" si="85"/>
        <v>0.56099949039375074</v>
      </c>
      <c r="J1062">
        <f t="shared" ca="1" si="82"/>
        <v>1</v>
      </c>
      <c r="K1062">
        <f t="shared" ca="1" si="83"/>
        <v>0</v>
      </c>
      <c r="L1062" s="65">
        <v>1056</v>
      </c>
      <c r="M1062" s="71">
        <f t="shared" ca="1" si="84"/>
        <v>0.26695508182449285</v>
      </c>
      <c r="N1062" s="65"/>
    </row>
    <row r="1063" spans="1:14" x14ac:dyDescent="0.25">
      <c r="A1063" s="2">
        <v>1057</v>
      </c>
      <c r="B1063" s="11">
        <f t="shared" ca="1" si="81"/>
        <v>1</v>
      </c>
      <c r="C1063" s="26">
        <f t="shared" ca="1" si="85"/>
        <v>0.54182974834772402</v>
      </c>
      <c r="J1063">
        <f t="shared" ca="1" si="82"/>
        <v>0</v>
      </c>
      <c r="K1063">
        <f t="shared" ca="1" si="83"/>
        <v>0</v>
      </c>
      <c r="L1063" s="65">
        <v>1057</v>
      </c>
      <c r="M1063" s="71">
        <f t="shared" ca="1" si="84"/>
        <v>5.9153187975150345</v>
      </c>
      <c r="N1063" s="65"/>
    </row>
    <row r="1064" spans="1:14" x14ac:dyDescent="0.25">
      <c r="A1064" s="2">
        <v>1058</v>
      </c>
      <c r="B1064" s="11">
        <f t="shared" ca="1" si="81"/>
        <v>0</v>
      </c>
      <c r="C1064" s="26">
        <f t="shared" ca="1" si="85"/>
        <v>0.82940042735690345</v>
      </c>
      <c r="J1064">
        <f t="shared" ca="1" si="82"/>
        <v>0</v>
      </c>
      <c r="K1064">
        <f t="shared" ca="1" si="83"/>
        <v>0</v>
      </c>
      <c r="L1064" s="65">
        <v>1058</v>
      </c>
      <c r="M1064" s="71">
        <f t="shared" ca="1" si="84"/>
        <v>0</v>
      </c>
      <c r="N1064" s="65"/>
    </row>
    <row r="1065" spans="1:14" x14ac:dyDescent="0.25">
      <c r="A1065" s="2">
        <v>1059</v>
      </c>
      <c r="B1065" s="11">
        <f t="shared" ca="1" si="81"/>
        <v>1</v>
      </c>
      <c r="C1065" s="26">
        <f t="shared" ca="1" si="85"/>
        <v>7.5050529282647105E-2</v>
      </c>
      <c r="J1065">
        <f t="shared" ca="1" si="82"/>
        <v>1</v>
      </c>
      <c r="K1065">
        <f t="shared" ca="1" si="83"/>
        <v>0</v>
      </c>
      <c r="L1065" s="65">
        <v>1059</v>
      </c>
      <c r="M1065" s="71">
        <f t="shared" ca="1" si="84"/>
        <v>8.197131796206257E-2</v>
      </c>
      <c r="N1065" s="65"/>
    </row>
    <row r="1066" spans="1:14" x14ac:dyDescent="0.25">
      <c r="A1066" s="2">
        <v>1060</v>
      </c>
      <c r="B1066" s="11">
        <f t="shared" ca="1" si="81"/>
        <v>1</v>
      </c>
      <c r="C1066" s="26">
        <f t="shared" ca="1" si="85"/>
        <v>0.16478442083725542</v>
      </c>
      <c r="J1066">
        <f t="shared" ca="1" si="82"/>
        <v>1</v>
      </c>
      <c r="K1066">
        <f t="shared" ca="1" si="83"/>
        <v>0</v>
      </c>
      <c r="L1066" s="65">
        <v>1060</v>
      </c>
      <c r="M1066" s="71">
        <f t="shared" ca="1" si="84"/>
        <v>4.9551542951847409</v>
      </c>
      <c r="N1066" s="65"/>
    </row>
    <row r="1067" spans="1:14" x14ac:dyDescent="0.25">
      <c r="A1067" s="2">
        <v>1061</v>
      </c>
      <c r="B1067" s="11">
        <f t="shared" ca="1" si="81"/>
        <v>1</v>
      </c>
      <c r="C1067" s="26">
        <f t="shared" ca="1" si="85"/>
        <v>0.41886929674455575</v>
      </c>
      <c r="J1067">
        <f t="shared" ca="1" si="82"/>
        <v>1</v>
      </c>
      <c r="K1067">
        <f t="shared" ca="1" si="83"/>
        <v>0</v>
      </c>
      <c r="L1067" s="65">
        <v>1061</v>
      </c>
      <c r="M1067" s="71">
        <f t="shared" ca="1" si="84"/>
        <v>9.7957111339801468</v>
      </c>
      <c r="N1067" s="65"/>
    </row>
    <row r="1068" spans="1:14" x14ac:dyDescent="0.25">
      <c r="A1068" s="2">
        <v>1062</v>
      </c>
      <c r="B1068" s="11">
        <f t="shared" ca="1" si="81"/>
        <v>1</v>
      </c>
      <c r="C1068" s="26">
        <f t="shared" ca="1" si="85"/>
        <v>0.12694045936277676</v>
      </c>
      <c r="J1068">
        <f t="shared" ca="1" si="82"/>
        <v>1</v>
      </c>
      <c r="K1068">
        <f t="shared" ca="1" si="83"/>
        <v>0</v>
      </c>
      <c r="L1068" s="65">
        <v>1062</v>
      </c>
      <c r="M1068" s="71">
        <f t="shared" ca="1" si="84"/>
        <v>6.0147257512789709</v>
      </c>
      <c r="N1068" s="65"/>
    </row>
    <row r="1069" spans="1:14" x14ac:dyDescent="0.25">
      <c r="A1069" s="2">
        <v>1063</v>
      </c>
      <c r="B1069" s="11">
        <f t="shared" ca="1" si="81"/>
        <v>1</v>
      </c>
      <c r="C1069" s="26">
        <f t="shared" ca="1" si="85"/>
        <v>0.65738111899501261</v>
      </c>
      <c r="J1069">
        <f t="shared" ca="1" si="82"/>
        <v>1</v>
      </c>
      <c r="K1069">
        <f t="shared" ca="1" si="83"/>
        <v>0</v>
      </c>
      <c r="L1069" s="65">
        <v>1063</v>
      </c>
      <c r="M1069" s="71">
        <f t="shared" ca="1" si="84"/>
        <v>16.504019070401633</v>
      </c>
      <c r="N1069" s="65"/>
    </row>
    <row r="1070" spans="1:14" x14ac:dyDescent="0.25">
      <c r="A1070" s="2">
        <v>1064</v>
      </c>
      <c r="B1070" s="11">
        <f t="shared" ca="1" si="81"/>
        <v>1</v>
      </c>
      <c r="C1070" s="26">
        <f t="shared" ca="1" si="85"/>
        <v>3.6730004902583158E-2</v>
      </c>
      <c r="J1070">
        <f t="shared" ca="1" si="82"/>
        <v>1</v>
      </c>
      <c r="K1070">
        <f t="shared" ca="1" si="83"/>
        <v>0</v>
      </c>
      <c r="L1070" s="65">
        <v>1064</v>
      </c>
      <c r="M1070" s="71">
        <f t="shared" ca="1" si="84"/>
        <v>3.8256400310347951</v>
      </c>
      <c r="N1070" s="65"/>
    </row>
    <row r="1071" spans="1:14" x14ac:dyDescent="0.25">
      <c r="A1071" s="2">
        <v>1065</v>
      </c>
      <c r="B1071" s="11">
        <f t="shared" ref="B1071:B1134" ca="1" si="86">IF(B1070&gt;0,IF(C1071&lt;pww,1,0),IF(C1071&lt;pdw,1,0))</f>
        <v>1</v>
      </c>
      <c r="C1071" s="26">
        <f t="shared" ca="1" si="85"/>
        <v>0.54736774109628816</v>
      </c>
      <c r="J1071">
        <f t="shared" ref="J1071:J1134" ca="1" si="87">IF(AND(B1071,B1072),1,0)</f>
        <v>0</v>
      </c>
      <c r="K1071">
        <f t="shared" ref="K1071:K1134" ca="1" si="88">IF(AND(NOT(B1071),NOT(B1072)),1,0)</f>
        <v>0</v>
      </c>
      <c r="L1071" s="65">
        <v>1065</v>
      </c>
      <c r="M1071" s="71">
        <f t="shared" ca="1" si="84"/>
        <v>0.72753304390479157</v>
      </c>
      <c r="N1071" s="65"/>
    </row>
    <row r="1072" spans="1:14" x14ac:dyDescent="0.25">
      <c r="A1072" s="2">
        <v>1066</v>
      </c>
      <c r="B1072" s="11">
        <f t="shared" ca="1" si="86"/>
        <v>0</v>
      </c>
      <c r="C1072" s="26">
        <f t="shared" ca="1" si="85"/>
        <v>0.85253125508975147</v>
      </c>
      <c r="J1072">
        <f t="shared" ca="1" si="87"/>
        <v>0</v>
      </c>
      <c r="K1072">
        <f t="shared" ca="1" si="88"/>
        <v>0</v>
      </c>
      <c r="L1072" s="65">
        <v>1066</v>
      </c>
      <c r="M1072" s="71">
        <f t="shared" ca="1" si="84"/>
        <v>0</v>
      </c>
      <c r="N1072" s="65"/>
    </row>
    <row r="1073" spans="1:14" x14ac:dyDescent="0.25">
      <c r="A1073" s="2">
        <v>1067</v>
      </c>
      <c r="B1073" s="11">
        <f t="shared" ca="1" si="86"/>
        <v>1</v>
      </c>
      <c r="C1073" s="26">
        <f t="shared" ca="1" si="85"/>
        <v>0.64894435930319228</v>
      </c>
      <c r="J1073">
        <f t="shared" ca="1" si="87"/>
        <v>1</v>
      </c>
      <c r="K1073">
        <f t="shared" ca="1" si="88"/>
        <v>0</v>
      </c>
      <c r="L1073" s="65">
        <v>1067</v>
      </c>
      <c r="M1073" s="71">
        <f t="shared" ca="1" si="84"/>
        <v>7.0661774321477653</v>
      </c>
      <c r="N1073" s="65"/>
    </row>
    <row r="1074" spans="1:14" x14ac:dyDescent="0.25">
      <c r="A1074" s="2">
        <v>1068</v>
      </c>
      <c r="B1074" s="11">
        <f t="shared" ca="1" si="86"/>
        <v>1</v>
      </c>
      <c r="C1074" s="26">
        <f t="shared" ca="1" si="85"/>
        <v>0.50838236776622969</v>
      </c>
      <c r="J1074">
        <f t="shared" ca="1" si="87"/>
        <v>1</v>
      </c>
      <c r="K1074">
        <f t="shared" ca="1" si="88"/>
        <v>0</v>
      </c>
      <c r="L1074" s="65">
        <v>1068</v>
      </c>
      <c r="M1074" s="71">
        <f t="shared" ca="1" si="84"/>
        <v>0.70863348107903368</v>
      </c>
      <c r="N1074" s="65"/>
    </row>
    <row r="1075" spans="1:14" x14ac:dyDescent="0.25">
      <c r="A1075" s="2">
        <v>1069</v>
      </c>
      <c r="B1075" s="11">
        <f t="shared" ca="1" si="86"/>
        <v>1</v>
      </c>
      <c r="C1075" s="26">
        <f t="shared" ca="1" si="85"/>
        <v>0.60553122740368859</v>
      </c>
      <c r="J1075">
        <f t="shared" ca="1" si="87"/>
        <v>1</v>
      </c>
      <c r="K1075">
        <f t="shared" ca="1" si="88"/>
        <v>0</v>
      </c>
      <c r="L1075" s="65">
        <v>1069</v>
      </c>
      <c r="M1075" s="71">
        <f t="shared" ca="1" si="84"/>
        <v>7.7399894069586281</v>
      </c>
      <c r="N1075" s="65"/>
    </row>
    <row r="1076" spans="1:14" x14ac:dyDescent="0.25">
      <c r="A1076" s="2">
        <v>1070</v>
      </c>
      <c r="B1076" s="11">
        <f t="shared" ca="1" si="86"/>
        <v>1</v>
      </c>
      <c r="C1076" s="26">
        <f t="shared" ca="1" si="85"/>
        <v>0.59422018937862753</v>
      </c>
      <c r="J1076">
        <f t="shared" ca="1" si="87"/>
        <v>1</v>
      </c>
      <c r="K1076">
        <f t="shared" ca="1" si="88"/>
        <v>0</v>
      </c>
      <c r="L1076" s="65">
        <v>1070</v>
      </c>
      <c r="M1076" s="71">
        <f t="shared" ca="1" si="84"/>
        <v>3.0953028804772527</v>
      </c>
      <c r="N1076" s="65"/>
    </row>
    <row r="1077" spans="1:14" x14ac:dyDescent="0.25">
      <c r="A1077" s="2">
        <v>1071</v>
      </c>
      <c r="B1077" s="11">
        <f t="shared" ca="1" si="86"/>
        <v>1</v>
      </c>
      <c r="C1077" s="26">
        <f t="shared" ca="1" si="85"/>
        <v>0.46126863000099971</v>
      </c>
      <c r="J1077">
        <f t="shared" ca="1" si="87"/>
        <v>1</v>
      </c>
      <c r="K1077">
        <f t="shared" ca="1" si="88"/>
        <v>0</v>
      </c>
      <c r="L1077" s="65">
        <v>1071</v>
      </c>
      <c r="M1077" s="71">
        <f t="shared" ca="1" si="84"/>
        <v>6.7015004405014995</v>
      </c>
      <c r="N1077" s="65"/>
    </row>
    <row r="1078" spans="1:14" x14ac:dyDescent="0.25">
      <c r="A1078" s="2">
        <v>1072</v>
      </c>
      <c r="B1078" s="11">
        <f t="shared" ca="1" si="86"/>
        <v>1</v>
      </c>
      <c r="C1078" s="26">
        <f t="shared" ca="1" si="85"/>
        <v>0.30615262254263342</v>
      </c>
      <c r="J1078">
        <f t="shared" ca="1" si="87"/>
        <v>1</v>
      </c>
      <c r="K1078">
        <f t="shared" ca="1" si="88"/>
        <v>0</v>
      </c>
      <c r="L1078" s="65">
        <v>1072</v>
      </c>
      <c r="M1078" s="71">
        <f t="shared" ca="1" si="84"/>
        <v>0.91310636319156058</v>
      </c>
      <c r="N1078" s="65"/>
    </row>
    <row r="1079" spans="1:14" x14ac:dyDescent="0.25">
      <c r="A1079" s="2">
        <v>1073</v>
      </c>
      <c r="B1079" s="11">
        <f t="shared" ca="1" si="86"/>
        <v>1</v>
      </c>
      <c r="C1079" s="26">
        <f t="shared" ca="1" si="85"/>
        <v>0.73234554686825504</v>
      </c>
      <c r="J1079">
        <f t="shared" ca="1" si="87"/>
        <v>1</v>
      </c>
      <c r="K1079">
        <f t="shared" ca="1" si="88"/>
        <v>0</v>
      </c>
      <c r="L1079" s="65">
        <v>1073</v>
      </c>
      <c r="M1079" s="71">
        <f t="shared" ca="1" si="84"/>
        <v>0.41362596094464388</v>
      </c>
      <c r="N1079" s="65"/>
    </row>
    <row r="1080" spans="1:14" x14ac:dyDescent="0.25">
      <c r="A1080" s="2">
        <v>1074</v>
      </c>
      <c r="B1080" s="11">
        <f t="shared" ca="1" si="86"/>
        <v>1</v>
      </c>
      <c r="C1080" s="26">
        <f t="shared" ca="1" si="85"/>
        <v>0.29897710171788028</v>
      </c>
      <c r="J1080">
        <f t="shared" ca="1" si="87"/>
        <v>1</v>
      </c>
      <c r="K1080">
        <f t="shared" ca="1" si="88"/>
        <v>0</v>
      </c>
      <c r="L1080" s="65">
        <v>1074</v>
      </c>
      <c r="M1080" s="71">
        <f t="shared" ca="1" si="84"/>
        <v>5.6678527135955177</v>
      </c>
      <c r="N1080" s="65"/>
    </row>
    <row r="1081" spans="1:14" x14ac:dyDescent="0.25">
      <c r="A1081" s="2">
        <v>1075</v>
      </c>
      <c r="B1081" s="11">
        <f t="shared" ca="1" si="86"/>
        <v>1</v>
      </c>
      <c r="C1081" s="26">
        <f t="shared" ca="1" si="85"/>
        <v>0.71395979618381655</v>
      </c>
      <c r="J1081">
        <f t="shared" ca="1" si="87"/>
        <v>1</v>
      </c>
      <c r="K1081">
        <f t="shared" ca="1" si="88"/>
        <v>0</v>
      </c>
      <c r="L1081" s="65">
        <v>1075</v>
      </c>
      <c r="M1081" s="71">
        <f t="shared" ca="1" si="84"/>
        <v>1.0908950503368657</v>
      </c>
      <c r="N1081" s="65"/>
    </row>
    <row r="1082" spans="1:14" x14ac:dyDescent="0.25">
      <c r="A1082" s="2">
        <v>1076</v>
      </c>
      <c r="B1082" s="11">
        <f t="shared" ca="1" si="86"/>
        <v>1</v>
      </c>
      <c r="C1082" s="26">
        <f t="shared" ca="1" si="85"/>
        <v>0.52331626769202477</v>
      </c>
      <c r="J1082">
        <f t="shared" ca="1" si="87"/>
        <v>1</v>
      </c>
      <c r="K1082">
        <f t="shared" ca="1" si="88"/>
        <v>0</v>
      </c>
      <c r="L1082" s="65">
        <v>1076</v>
      </c>
      <c r="M1082" s="71">
        <f t="shared" ca="1" si="84"/>
        <v>0.52764383197124787</v>
      </c>
      <c r="N1082" s="65"/>
    </row>
    <row r="1083" spans="1:14" x14ac:dyDescent="0.25">
      <c r="A1083" s="2">
        <v>1077</v>
      </c>
      <c r="B1083" s="11">
        <f t="shared" ca="1" si="86"/>
        <v>1</v>
      </c>
      <c r="C1083" s="26">
        <f t="shared" ca="1" si="85"/>
        <v>0.50163487076205704</v>
      </c>
      <c r="J1083">
        <f t="shared" ca="1" si="87"/>
        <v>1</v>
      </c>
      <c r="K1083">
        <f t="shared" ca="1" si="88"/>
        <v>0</v>
      </c>
      <c r="L1083" s="65">
        <v>1077</v>
      </c>
      <c r="M1083" s="71">
        <f t="shared" ca="1" si="84"/>
        <v>4.4137777313485467</v>
      </c>
      <c r="N1083" s="65"/>
    </row>
    <row r="1084" spans="1:14" x14ac:dyDescent="0.25">
      <c r="A1084" s="2">
        <v>1078</v>
      </c>
      <c r="B1084" s="11">
        <f t="shared" ca="1" si="86"/>
        <v>1</v>
      </c>
      <c r="C1084" s="26">
        <f t="shared" ca="1" si="85"/>
        <v>0.59632144329592185</v>
      </c>
      <c r="J1084">
        <f t="shared" ca="1" si="87"/>
        <v>1</v>
      </c>
      <c r="K1084">
        <f t="shared" ca="1" si="88"/>
        <v>0</v>
      </c>
      <c r="L1084" s="65">
        <v>1078</v>
      </c>
      <c r="M1084" s="71">
        <f t="shared" ca="1" si="84"/>
        <v>1.0678644938662394</v>
      </c>
      <c r="N1084" s="65"/>
    </row>
    <row r="1085" spans="1:14" x14ac:dyDescent="0.25">
      <c r="A1085" s="2">
        <v>1079</v>
      </c>
      <c r="B1085" s="11">
        <f t="shared" ca="1" si="86"/>
        <v>1</v>
      </c>
      <c r="C1085" s="26">
        <f t="shared" ca="1" si="85"/>
        <v>0.64124685125306569</v>
      </c>
      <c r="J1085">
        <f t="shared" ca="1" si="87"/>
        <v>1</v>
      </c>
      <c r="K1085">
        <f t="shared" ca="1" si="88"/>
        <v>0</v>
      </c>
      <c r="L1085" s="65">
        <v>1079</v>
      </c>
      <c r="M1085" s="71">
        <f t="shared" ca="1" si="84"/>
        <v>1.8543705498518663</v>
      </c>
      <c r="N1085" s="65"/>
    </row>
    <row r="1086" spans="1:14" x14ac:dyDescent="0.25">
      <c r="A1086" s="2">
        <v>1080</v>
      </c>
      <c r="B1086" s="11">
        <f t="shared" ca="1" si="86"/>
        <v>1</v>
      </c>
      <c r="C1086" s="26">
        <f t="shared" ca="1" si="85"/>
        <v>0.4309185481060227</v>
      </c>
      <c r="J1086">
        <f t="shared" ca="1" si="87"/>
        <v>1</v>
      </c>
      <c r="K1086">
        <f t="shared" ca="1" si="88"/>
        <v>0</v>
      </c>
      <c r="L1086" s="65">
        <v>1080</v>
      </c>
      <c r="M1086" s="71">
        <f t="shared" ca="1" si="84"/>
        <v>3.3719527368337561</v>
      </c>
      <c r="N1086" s="65"/>
    </row>
    <row r="1087" spans="1:14" x14ac:dyDescent="0.25">
      <c r="A1087" s="2">
        <v>1081</v>
      </c>
      <c r="B1087" s="11">
        <f t="shared" ca="1" si="86"/>
        <v>1</v>
      </c>
      <c r="C1087" s="26">
        <f t="shared" ca="1" si="85"/>
        <v>0.7715212863806008</v>
      </c>
      <c r="J1087">
        <f t="shared" ca="1" si="87"/>
        <v>1</v>
      </c>
      <c r="K1087">
        <f t="shared" ca="1" si="88"/>
        <v>0</v>
      </c>
      <c r="L1087" s="65">
        <v>1081</v>
      </c>
      <c r="M1087" s="71">
        <f t="shared" ca="1" si="84"/>
        <v>1.8876865311180619</v>
      </c>
      <c r="N1087" s="65"/>
    </row>
    <row r="1088" spans="1:14" x14ac:dyDescent="0.25">
      <c r="A1088" s="2">
        <v>1082</v>
      </c>
      <c r="B1088" s="11">
        <f t="shared" ca="1" si="86"/>
        <v>1</v>
      </c>
      <c r="C1088" s="26">
        <f t="shared" ca="1" si="85"/>
        <v>4.4382495305473557E-2</v>
      </c>
      <c r="J1088">
        <f t="shared" ca="1" si="87"/>
        <v>1</v>
      </c>
      <c r="K1088">
        <f t="shared" ca="1" si="88"/>
        <v>0</v>
      </c>
      <c r="L1088" s="65">
        <v>1082</v>
      </c>
      <c r="M1088" s="71">
        <f t="shared" ca="1" si="84"/>
        <v>1.6134697403129781</v>
      </c>
      <c r="N1088" s="65"/>
    </row>
    <row r="1089" spans="1:14" x14ac:dyDescent="0.25">
      <c r="A1089" s="2">
        <v>1083</v>
      </c>
      <c r="B1089" s="11">
        <f t="shared" ca="1" si="86"/>
        <v>1</v>
      </c>
      <c r="C1089" s="26">
        <f t="shared" ca="1" si="85"/>
        <v>0.78385229328353678</v>
      </c>
      <c r="J1089">
        <f t="shared" ca="1" si="87"/>
        <v>1</v>
      </c>
      <c r="K1089">
        <f t="shared" ca="1" si="88"/>
        <v>0</v>
      </c>
      <c r="L1089" s="65">
        <v>1083</v>
      </c>
      <c r="M1089" s="71">
        <f t="shared" ca="1" si="84"/>
        <v>0.64720790753958046</v>
      </c>
      <c r="N1089" s="65"/>
    </row>
    <row r="1090" spans="1:14" x14ac:dyDescent="0.25">
      <c r="A1090" s="2">
        <v>1084</v>
      </c>
      <c r="B1090" s="11">
        <f t="shared" ca="1" si="86"/>
        <v>1</v>
      </c>
      <c r="C1090" s="26">
        <f t="shared" ca="1" si="85"/>
        <v>3.377256869428702E-2</v>
      </c>
      <c r="J1090">
        <f t="shared" ca="1" si="87"/>
        <v>1</v>
      </c>
      <c r="K1090">
        <f t="shared" ca="1" si="88"/>
        <v>0</v>
      </c>
      <c r="L1090" s="65">
        <v>1084</v>
      </c>
      <c r="M1090" s="71">
        <f t="shared" ca="1" si="84"/>
        <v>4.0778697888941124</v>
      </c>
      <c r="N1090" s="65"/>
    </row>
    <row r="1091" spans="1:14" x14ac:dyDescent="0.25">
      <c r="A1091" s="2">
        <v>1085</v>
      </c>
      <c r="B1091" s="11">
        <f t="shared" ca="1" si="86"/>
        <v>1</v>
      </c>
      <c r="C1091" s="26">
        <f t="shared" ca="1" si="85"/>
        <v>0.55243696996968705</v>
      </c>
      <c r="J1091">
        <f t="shared" ca="1" si="87"/>
        <v>1</v>
      </c>
      <c r="K1091">
        <f t="shared" ca="1" si="88"/>
        <v>0</v>
      </c>
      <c r="L1091" s="65">
        <v>1085</v>
      </c>
      <c r="M1091" s="71">
        <f t="shared" ca="1" si="84"/>
        <v>10.187180427945309</v>
      </c>
      <c r="N1091" s="65"/>
    </row>
    <row r="1092" spans="1:14" x14ac:dyDescent="0.25">
      <c r="A1092" s="2">
        <v>1086</v>
      </c>
      <c r="B1092" s="11">
        <f t="shared" ca="1" si="86"/>
        <v>1</v>
      </c>
      <c r="C1092" s="26">
        <f t="shared" ca="1" si="85"/>
        <v>0.60823197511890159</v>
      </c>
      <c r="J1092">
        <f t="shared" ca="1" si="87"/>
        <v>0</v>
      </c>
      <c r="K1092">
        <f t="shared" ca="1" si="88"/>
        <v>0</v>
      </c>
      <c r="L1092" s="65">
        <v>1086</v>
      </c>
      <c r="M1092" s="71">
        <f t="shared" ca="1" si="84"/>
        <v>2.5043918256562332</v>
      </c>
      <c r="N1092" s="65"/>
    </row>
    <row r="1093" spans="1:14" x14ac:dyDescent="0.25">
      <c r="A1093" s="2">
        <v>1087</v>
      </c>
      <c r="B1093" s="11">
        <f t="shared" ca="1" si="86"/>
        <v>0</v>
      </c>
      <c r="C1093" s="26">
        <f t="shared" ca="1" si="85"/>
        <v>0.92864163702964198</v>
      </c>
      <c r="J1093">
        <f t="shared" ca="1" si="87"/>
        <v>0</v>
      </c>
      <c r="K1093">
        <f t="shared" ca="1" si="88"/>
        <v>0</v>
      </c>
      <c r="L1093" s="65">
        <v>1087</v>
      </c>
      <c r="M1093" s="71">
        <f t="shared" ca="1" si="84"/>
        <v>0</v>
      </c>
      <c r="N1093" s="65"/>
    </row>
    <row r="1094" spans="1:14" x14ac:dyDescent="0.25">
      <c r="A1094" s="2">
        <v>1088</v>
      </c>
      <c r="B1094" s="11">
        <f t="shared" ca="1" si="86"/>
        <v>1</v>
      </c>
      <c r="C1094" s="26">
        <f t="shared" ca="1" si="85"/>
        <v>6.7882877424600974E-3</v>
      </c>
      <c r="J1094">
        <f t="shared" ca="1" si="87"/>
        <v>0</v>
      </c>
      <c r="K1094">
        <f t="shared" ca="1" si="88"/>
        <v>0</v>
      </c>
      <c r="L1094" s="65">
        <v>1088</v>
      </c>
      <c r="M1094" s="71">
        <f t="shared" ca="1" si="84"/>
        <v>2.2687655138625753</v>
      </c>
      <c r="N1094" s="65"/>
    </row>
    <row r="1095" spans="1:14" x14ac:dyDescent="0.25">
      <c r="A1095" s="2">
        <v>1089</v>
      </c>
      <c r="B1095" s="11">
        <f t="shared" ca="1" si="86"/>
        <v>0</v>
      </c>
      <c r="C1095" s="26">
        <f t="shared" ca="1" si="85"/>
        <v>0.8339797477489872</v>
      </c>
      <c r="J1095">
        <f t="shared" ca="1" si="87"/>
        <v>0</v>
      </c>
      <c r="K1095">
        <f t="shared" ca="1" si="88"/>
        <v>1</v>
      </c>
      <c r="L1095" s="65">
        <v>1089</v>
      </c>
      <c r="M1095" s="71">
        <f t="shared" ref="M1095:M1158" ca="1" si="89">IF(B1095&gt;0,-LN(1-(RAND()))/lambda,0)</f>
        <v>0</v>
      </c>
      <c r="N1095" s="65"/>
    </row>
    <row r="1096" spans="1:14" x14ac:dyDescent="0.25">
      <c r="A1096" s="2">
        <v>1090</v>
      </c>
      <c r="B1096" s="11">
        <f t="shared" ca="1" si="86"/>
        <v>0</v>
      </c>
      <c r="C1096" s="26">
        <f t="shared" ref="C1096:C1159" ca="1" si="90">RAND()</f>
        <v>0.9674511228622954</v>
      </c>
      <c r="J1096">
        <f t="shared" ca="1" si="87"/>
        <v>0</v>
      </c>
      <c r="K1096">
        <f t="shared" ca="1" si="88"/>
        <v>0</v>
      </c>
      <c r="L1096" s="65">
        <v>1090</v>
      </c>
      <c r="M1096" s="71">
        <f t="shared" ca="1" si="89"/>
        <v>0</v>
      </c>
      <c r="N1096" s="65"/>
    </row>
    <row r="1097" spans="1:14" x14ac:dyDescent="0.25">
      <c r="A1097" s="2">
        <v>1091</v>
      </c>
      <c r="B1097" s="11">
        <f t="shared" ca="1" si="86"/>
        <v>1</v>
      </c>
      <c r="C1097" s="26">
        <f t="shared" ca="1" si="90"/>
        <v>0.10127895574257695</v>
      </c>
      <c r="J1097">
        <f t="shared" ca="1" si="87"/>
        <v>1</v>
      </c>
      <c r="K1097">
        <f t="shared" ca="1" si="88"/>
        <v>0</v>
      </c>
      <c r="L1097" s="65">
        <v>1091</v>
      </c>
      <c r="M1097" s="71">
        <f t="shared" ca="1" si="89"/>
        <v>7.0896968252206021</v>
      </c>
      <c r="N1097" s="65"/>
    </row>
    <row r="1098" spans="1:14" x14ac:dyDescent="0.25">
      <c r="A1098" s="2">
        <v>1092</v>
      </c>
      <c r="B1098" s="11">
        <f t="shared" ca="1" si="86"/>
        <v>1</v>
      </c>
      <c r="C1098" s="26">
        <f t="shared" ca="1" si="90"/>
        <v>2.4819541662957745E-2</v>
      </c>
      <c r="J1098">
        <f t="shared" ca="1" si="87"/>
        <v>0</v>
      </c>
      <c r="K1098">
        <f t="shared" ca="1" si="88"/>
        <v>0</v>
      </c>
      <c r="L1098" s="65">
        <v>1092</v>
      </c>
      <c r="M1098" s="71">
        <f t="shared" ca="1" si="89"/>
        <v>1.6084213557401152</v>
      </c>
      <c r="N1098" s="65"/>
    </row>
    <row r="1099" spans="1:14" x14ac:dyDescent="0.25">
      <c r="A1099" s="2">
        <v>1093</v>
      </c>
      <c r="B1099" s="11">
        <f t="shared" ca="1" si="86"/>
        <v>0</v>
      </c>
      <c r="C1099" s="26">
        <f t="shared" ca="1" si="90"/>
        <v>0.80046996157151284</v>
      </c>
      <c r="J1099">
        <f t="shared" ca="1" si="87"/>
        <v>0</v>
      </c>
      <c r="K1099">
        <f t="shared" ca="1" si="88"/>
        <v>0</v>
      </c>
      <c r="L1099" s="65">
        <v>1093</v>
      </c>
      <c r="M1099" s="71">
        <f t="shared" ca="1" si="89"/>
        <v>0</v>
      </c>
      <c r="N1099" s="65"/>
    </row>
    <row r="1100" spans="1:14" x14ac:dyDescent="0.25">
      <c r="A1100" s="2">
        <v>1094</v>
      </c>
      <c r="B1100" s="11">
        <f t="shared" ca="1" si="86"/>
        <v>1</v>
      </c>
      <c r="C1100" s="26">
        <f t="shared" ca="1" si="90"/>
        <v>0.68172103114789295</v>
      </c>
      <c r="J1100">
        <f t="shared" ca="1" si="87"/>
        <v>1</v>
      </c>
      <c r="K1100">
        <f t="shared" ca="1" si="88"/>
        <v>0</v>
      </c>
      <c r="L1100" s="65">
        <v>1094</v>
      </c>
      <c r="M1100" s="71">
        <f t="shared" ca="1" si="89"/>
        <v>3.0316615851054762</v>
      </c>
      <c r="N1100" s="65"/>
    </row>
    <row r="1101" spans="1:14" x14ac:dyDescent="0.25">
      <c r="A1101" s="2">
        <v>1095</v>
      </c>
      <c r="B1101" s="11">
        <f t="shared" ca="1" si="86"/>
        <v>1</v>
      </c>
      <c r="C1101" s="26">
        <f t="shared" ca="1" si="90"/>
        <v>0.35901964592341673</v>
      </c>
      <c r="J1101">
        <f t="shared" ca="1" si="87"/>
        <v>0</v>
      </c>
      <c r="K1101">
        <f t="shared" ca="1" si="88"/>
        <v>0</v>
      </c>
      <c r="L1101" s="65">
        <v>1095</v>
      </c>
      <c r="M1101" s="71">
        <f t="shared" ca="1" si="89"/>
        <v>5.3321681421976201</v>
      </c>
      <c r="N1101" s="65"/>
    </row>
    <row r="1102" spans="1:14" x14ac:dyDescent="0.25">
      <c r="A1102" s="2">
        <v>1096</v>
      </c>
      <c r="B1102" s="11">
        <f t="shared" ca="1" si="86"/>
        <v>0</v>
      </c>
      <c r="C1102" s="26">
        <f t="shared" ca="1" si="90"/>
        <v>0.83636147705901931</v>
      </c>
      <c r="J1102">
        <f t="shared" ca="1" si="87"/>
        <v>0</v>
      </c>
      <c r="K1102">
        <f t="shared" ca="1" si="88"/>
        <v>0</v>
      </c>
      <c r="L1102" s="65">
        <v>1096</v>
      </c>
      <c r="M1102" s="71">
        <f t="shared" ca="1" si="89"/>
        <v>0</v>
      </c>
      <c r="N1102" s="65"/>
    </row>
    <row r="1103" spans="1:14" x14ac:dyDescent="0.25">
      <c r="A1103" s="2">
        <v>1097</v>
      </c>
      <c r="B1103" s="11">
        <f t="shared" ca="1" si="86"/>
        <v>1</v>
      </c>
      <c r="C1103" s="26">
        <f t="shared" ca="1" si="90"/>
        <v>0.26054537089033014</v>
      </c>
      <c r="J1103">
        <f t="shared" ca="1" si="87"/>
        <v>0</v>
      </c>
      <c r="K1103">
        <f t="shared" ca="1" si="88"/>
        <v>0</v>
      </c>
      <c r="L1103" s="65">
        <v>1097</v>
      </c>
      <c r="M1103" s="71">
        <f t="shared" ca="1" si="89"/>
        <v>0.24205179149379613</v>
      </c>
      <c r="N1103" s="65"/>
    </row>
    <row r="1104" spans="1:14" x14ac:dyDescent="0.25">
      <c r="A1104" s="2">
        <v>1098</v>
      </c>
      <c r="B1104" s="11">
        <f t="shared" ca="1" si="86"/>
        <v>0</v>
      </c>
      <c r="C1104" s="26">
        <f t="shared" ca="1" si="90"/>
        <v>0.8543474920635783</v>
      </c>
      <c r="J1104">
        <f t="shared" ca="1" si="87"/>
        <v>0</v>
      </c>
      <c r="K1104">
        <f t="shared" ca="1" si="88"/>
        <v>1</v>
      </c>
      <c r="L1104" s="65">
        <v>1098</v>
      </c>
      <c r="M1104" s="71">
        <f t="shared" ca="1" si="89"/>
        <v>0</v>
      </c>
      <c r="N1104" s="65"/>
    </row>
    <row r="1105" spans="1:14" x14ac:dyDescent="0.25">
      <c r="A1105" s="2">
        <v>1099</v>
      </c>
      <c r="B1105" s="11">
        <f t="shared" ca="1" si="86"/>
        <v>0</v>
      </c>
      <c r="C1105" s="26">
        <f t="shared" ca="1" si="90"/>
        <v>0.72030471932090012</v>
      </c>
      <c r="J1105">
        <f t="shared" ca="1" si="87"/>
        <v>0</v>
      </c>
      <c r="K1105">
        <f t="shared" ca="1" si="88"/>
        <v>1</v>
      </c>
      <c r="L1105" s="65">
        <v>1099</v>
      </c>
      <c r="M1105" s="71">
        <f t="shared" ca="1" si="89"/>
        <v>0</v>
      </c>
      <c r="N1105" s="65"/>
    </row>
    <row r="1106" spans="1:14" x14ac:dyDescent="0.25">
      <c r="A1106" s="2">
        <v>1100</v>
      </c>
      <c r="B1106" s="11">
        <f t="shared" ca="1" si="86"/>
        <v>0</v>
      </c>
      <c r="C1106" s="26">
        <f t="shared" ca="1" si="90"/>
        <v>0.82143671425682285</v>
      </c>
      <c r="J1106">
        <f t="shared" ca="1" si="87"/>
        <v>0</v>
      </c>
      <c r="K1106">
        <f t="shared" ca="1" si="88"/>
        <v>0</v>
      </c>
      <c r="L1106" s="65">
        <v>1100</v>
      </c>
      <c r="M1106" s="71">
        <f t="shared" ca="1" si="89"/>
        <v>0</v>
      </c>
      <c r="N1106" s="65"/>
    </row>
    <row r="1107" spans="1:14" x14ac:dyDescent="0.25">
      <c r="A1107" s="2">
        <v>1101</v>
      </c>
      <c r="B1107" s="11">
        <f t="shared" ca="1" si="86"/>
        <v>1</v>
      </c>
      <c r="C1107" s="26">
        <f t="shared" ca="1" si="90"/>
        <v>0.47186099790980585</v>
      </c>
      <c r="J1107">
        <f t="shared" ca="1" si="87"/>
        <v>1</v>
      </c>
      <c r="K1107">
        <f t="shared" ca="1" si="88"/>
        <v>0</v>
      </c>
      <c r="L1107" s="65">
        <v>1101</v>
      </c>
      <c r="M1107" s="71">
        <f t="shared" ca="1" si="89"/>
        <v>6.0733337624345802</v>
      </c>
      <c r="N1107" s="65"/>
    </row>
    <row r="1108" spans="1:14" x14ac:dyDescent="0.25">
      <c r="A1108" s="2">
        <v>1102</v>
      </c>
      <c r="B1108" s="11">
        <f t="shared" ca="1" si="86"/>
        <v>1</v>
      </c>
      <c r="C1108" s="26">
        <f t="shared" ca="1" si="90"/>
        <v>0.34086853814098528</v>
      </c>
      <c r="J1108">
        <f t="shared" ca="1" si="87"/>
        <v>1</v>
      </c>
      <c r="K1108">
        <f t="shared" ca="1" si="88"/>
        <v>0</v>
      </c>
      <c r="L1108" s="65">
        <v>1102</v>
      </c>
      <c r="M1108" s="71">
        <f t="shared" ca="1" si="89"/>
        <v>0.29589841175742082</v>
      </c>
      <c r="N1108" s="65"/>
    </row>
    <row r="1109" spans="1:14" x14ac:dyDescent="0.25">
      <c r="A1109" s="2">
        <v>1103</v>
      </c>
      <c r="B1109" s="11">
        <f t="shared" ca="1" si="86"/>
        <v>1</v>
      </c>
      <c r="C1109" s="26">
        <f t="shared" ca="1" si="90"/>
        <v>0.19454931070053616</v>
      </c>
      <c r="J1109">
        <f t="shared" ca="1" si="87"/>
        <v>0</v>
      </c>
      <c r="K1109">
        <f t="shared" ca="1" si="88"/>
        <v>0</v>
      </c>
      <c r="L1109" s="65">
        <v>1103</v>
      </c>
      <c r="M1109" s="71">
        <f t="shared" ca="1" si="89"/>
        <v>5.379753439442573</v>
      </c>
      <c r="N1109" s="65"/>
    </row>
    <row r="1110" spans="1:14" x14ac:dyDescent="0.25">
      <c r="A1110" s="2">
        <v>1104</v>
      </c>
      <c r="B1110" s="11">
        <f t="shared" ca="1" si="86"/>
        <v>0</v>
      </c>
      <c r="C1110" s="26">
        <f t="shared" ca="1" si="90"/>
        <v>0.84614835234098962</v>
      </c>
      <c r="J1110">
        <f t="shared" ca="1" si="87"/>
        <v>0</v>
      </c>
      <c r="K1110">
        <f t="shared" ca="1" si="88"/>
        <v>0</v>
      </c>
      <c r="L1110" s="65">
        <v>1104</v>
      </c>
      <c r="M1110" s="71">
        <f t="shared" ca="1" si="89"/>
        <v>0</v>
      </c>
      <c r="N1110" s="65"/>
    </row>
    <row r="1111" spans="1:14" x14ac:dyDescent="0.25">
      <c r="A1111" s="2">
        <v>1105</v>
      </c>
      <c r="B1111" s="11">
        <f t="shared" ca="1" si="86"/>
        <v>1</v>
      </c>
      <c r="C1111" s="26">
        <f t="shared" ca="1" si="90"/>
        <v>0.54613215857658359</v>
      </c>
      <c r="J1111">
        <f t="shared" ca="1" si="87"/>
        <v>1</v>
      </c>
      <c r="K1111">
        <f t="shared" ca="1" si="88"/>
        <v>0</v>
      </c>
      <c r="L1111" s="65">
        <v>1105</v>
      </c>
      <c r="M1111" s="71">
        <f t="shared" ca="1" si="89"/>
        <v>4.017247539442824</v>
      </c>
      <c r="N1111" s="65"/>
    </row>
    <row r="1112" spans="1:14" x14ac:dyDescent="0.25">
      <c r="A1112" s="2">
        <v>1106</v>
      </c>
      <c r="B1112" s="11">
        <f t="shared" ca="1" si="86"/>
        <v>1</v>
      </c>
      <c r="C1112" s="26">
        <f t="shared" ca="1" si="90"/>
        <v>0.447233045221758</v>
      </c>
      <c r="J1112">
        <f t="shared" ca="1" si="87"/>
        <v>1</v>
      </c>
      <c r="K1112">
        <f t="shared" ca="1" si="88"/>
        <v>0</v>
      </c>
      <c r="L1112" s="65">
        <v>1106</v>
      </c>
      <c r="M1112" s="71">
        <f t="shared" ca="1" si="89"/>
        <v>0.91330599102636123</v>
      </c>
      <c r="N1112" s="65"/>
    </row>
    <row r="1113" spans="1:14" x14ac:dyDescent="0.25">
      <c r="A1113" s="2">
        <v>1107</v>
      </c>
      <c r="B1113" s="11">
        <f t="shared" ca="1" si="86"/>
        <v>1</v>
      </c>
      <c r="C1113" s="26">
        <f t="shared" ca="1" si="90"/>
        <v>0.41913277081393652</v>
      </c>
      <c r="J1113">
        <f t="shared" ca="1" si="87"/>
        <v>0</v>
      </c>
      <c r="K1113">
        <f t="shared" ca="1" si="88"/>
        <v>0</v>
      </c>
      <c r="L1113" s="65">
        <v>1107</v>
      </c>
      <c r="M1113" s="71">
        <f t="shared" ca="1" si="89"/>
        <v>10.0721345378455</v>
      </c>
      <c r="N1113" s="65"/>
    </row>
    <row r="1114" spans="1:14" x14ac:dyDescent="0.25">
      <c r="A1114" s="2">
        <v>1108</v>
      </c>
      <c r="B1114" s="11">
        <f t="shared" ca="1" si="86"/>
        <v>0</v>
      </c>
      <c r="C1114" s="26">
        <f t="shared" ca="1" si="90"/>
        <v>0.96800616166335485</v>
      </c>
      <c r="J1114">
        <f t="shared" ca="1" si="87"/>
        <v>0</v>
      </c>
      <c r="K1114">
        <f t="shared" ca="1" si="88"/>
        <v>1</v>
      </c>
      <c r="L1114" s="65">
        <v>1108</v>
      </c>
      <c r="M1114" s="71">
        <f t="shared" ca="1" si="89"/>
        <v>0</v>
      </c>
      <c r="N1114" s="65"/>
    </row>
    <row r="1115" spans="1:14" x14ac:dyDescent="0.25">
      <c r="A1115" s="2">
        <v>1109</v>
      </c>
      <c r="B1115" s="11">
        <f t="shared" ca="1" si="86"/>
        <v>0</v>
      </c>
      <c r="C1115" s="26">
        <f t="shared" ca="1" si="90"/>
        <v>0.99339287961080569</v>
      </c>
      <c r="J1115">
        <f t="shared" ca="1" si="87"/>
        <v>0</v>
      </c>
      <c r="K1115">
        <f t="shared" ca="1" si="88"/>
        <v>1</v>
      </c>
      <c r="L1115" s="65">
        <v>1109</v>
      </c>
      <c r="M1115" s="71">
        <f t="shared" ca="1" si="89"/>
        <v>0</v>
      </c>
      <c r="N1115" s="65"/>
    </row>
    <row r="1116" spans="1:14" x14ac:dyDescent="0.25">
      <c r="A1116" s="2">
        <v>1110</v>
      </c>
      <c r="B1116" s="11">
        <f t="shared" ca="1" si="86"/>
        <v>0</v>
      </c>
      <c r="C1116" s="26">
        <f t="shared" ca="1" si="90"/>
        <v>0.91668989842925941</v>
      </c>
      <c r="J1116">
        <f t="shared" ca="1" si="87"/>
        <v>0</v>
      </c>
      <c r="K1116">
        <f t="shared" ca="1" si="88"/>
        <v>1</v>
      </c>
      <c r="L1116" s="65">
        <v>1110</v>
      </c>
      <c r="M1116" s="71">
        <f t="shared" ca="1" si="89"/>
        <v>0</v>
      </c>
      <c r="N1116" s="65"/>
    </row>
    <row r="1117" spans="1:14" x14ac:dyDescent="0.25">
      <c r="A1117" s="2">
        <v>1111</v>
      </c>
      <c r="B1117" s="11">
        <f t="shared" ca="1" si="86"/>
        <v>0</v>
      </c>
      <c r="C1117" s="26">
        <f t="shared" ca="1" si="90"/>
        <v>0.8448465871944616</v>
      </c>
      <c r="J1117">
        <f t="shared" ca="1" si="87"/>
        <v>0</v>
      </c>
      <c r="K1117">
        <f t="shared" ca="1" si="88"/>
        <v>1</v>
      </c>
      <c r="L1117" s="65">
        <v>1111</v>
      </c>
      <c r="M1117" s="71">
        <f t="shared" ca="1" si="89"/>
        <v>0</v>
      </c>
      <c r="N1117" s="65"/>
    </row>
    <row r="1118" spans="1:14" x14ac:dyDescent="0.25">
      <c r="A1118" s="2">
        <v>1112</v>
      </c>
      <c r="B1118" s="11">
        <f t="shared" ca="1" si="86"/>
        <v>0</v>
      </c>
      <c r="C1118" s="26">
        <f t="shared" ca="1" si="90"/>
        <v>0.9014434786572465</v>
      </c>
      <c r="J1118">
        <f t="shared" ca="1" si="87"/>
        <v>0</v>
      </c>
      <c r="K1118">
        <f t="shared" ca="1" si="88"/>
        <v>0</v>
      </c>
      <c r="L1118" s="65">
        <v>1112</v>
      </c>
      <c r="M1118" s="71">
        <f t="shared" ca="1" si="89"/>
        <v>0</v>
      </c>
      <c r="N1118" s="65"/>
    </row>
    <row r="1119" spans="1:14" x14ac:dyDescent="0.25">
      <c r="A1119" s="2">
        <v>1113</v>
      </c>
      <c r="B1119" s="11">
        <f t="shared" ca="1" si="86"/>
        <v>1</v>
      </c>
      <c r="C1119" s="26">
        <f t="shared" ca="1" si="90"/>
        <v>0.43691828309601843</v>
      </c>
      <c r="J1119">
        <f t="shared" ca="1" si="87"/>
        <v>0</v>
      </c>
      <c r="K1119">
        <f t="shared" ca="1" si="88"/>
        <v>0</v>
      </c>
      <c r="L1119" s="65">
        <v>1113</v>
      </c>
      <c r="M1119" s="71">
        <f t="shared" ca="1" si="89"/>
        <v>0.11089428923071194</v>
      </c>
      <c r="N1119" s="65"/>
    </row>
    <row r="1120" spans="1:14" x14ac:dyDescent="0.25">
      <c r="A1120" s="2">
        <v>1114</v>
      </c>
      <c r="B1120" s="11">
        <f t="shared" ca="1" si="86"/>
        <v>0</v>
      </c>
      <c r="C1120" s="26">
        <f t="shared" ca="1" si="90"/>
        <v>0.87307865940251139</v>
      </c>
      <c r="J1120">
        <f t="shared" ca="1" si="87"/>
        <v>0</v>
      </c>
      <c r="K1120">
        <f t="shared" ca="1" si="88"/>
        <v>0</v>
      </c>
      <c r="L1120" s="65">
        <v>1114</v>
      </c>
      <c r="M1120" s="71">
        <f t="shared" ca="1" si="89"/>
        <v>0</v>
      </c>
      <c r="N1120" s="65"/>
    </row>
    <row r="1121" spans="1:14" x14ac:dyDescent="0.25">
      <c r="A1121" s="2">
        <v>1115</v>
      </c>
      <c r="B1121" s="11">
        <f t="shared" ca="1" si="86"/>
        <v>1</v>
      </c>
      <c r="C1121" s="26">
        <f t="shared" ca="1" si="90"/>
        <v>0.23800198647092141</v>
      </c>
      <c r="J1121">
        <f t="shared" ca="1" si="87"/>
        <v>0</v>
      </c>
      <c r="K1121">
        <f t="shared" ca="1" si="88"/>
        <v>0</v>
      </c>
      <c r="L1121" s="65">
        <v>1115</v>
      </c>
      <c r="M1121" s="71">
        <f t="shared" ca="1" si="89"/>
        <v>5.1718147249664987</v>
      </c>
      <c r="N1121" s="65"/>
    </row>
    <row r="1122" spans="1:14" x14ac:dyDescent="0.25">
      <c r="A1122" s="2">
        <v>1116</v>
      </c>
      <c r="B1122" s="11">
        <f t="shared" ca="1" si="86"/>
        <v>0</v>
      </c>
      <c r="C1122" s="26">
        <f t="shared" ca="1" si="90"/>
        <v>0.96955381931219142</v>
      </c>
      <c r="J1122">
        <f t="shared" ca="1" si="87"/>
        <v>0</v>
      </c>
      <c r="K1122">
        <f t="shared" ca="1" si="88"/>
        <v>0</v>
      </c>
      <c r="L1122" s="65">
        <v>1116</v>
      </c>
      <c r="M1122" s="71">
        <f t="shared" ca="1" si="89"/>
        <v>0</v>
      </c>
      <c r="N1122" s="65"/>
    </row>
    <row r="1123" spans="1:14" x14ac:dyDescent="0.25">
      <c r="A1123" s="2">
        <v>1117</v>
      </c>
      <c r="B1123" s="11">
        <f t="shared" ca="1" si="86"/>
        <v>1</v>
      </c>
      <c r="C1123" s="26">
        <f t="shared" ca="1" si="90"/>
        <v>0.10093072372390699</v>
      </c>
      <c r="J1123">
        <f t="shared" ca="1" si="87"/>
        <v>1</v>
      </c>
      <c r="K1123">
        <f t="shared" ca="1" si="88"/>
        <v>0</v>
      </c>
      <c r="L1123" s="65">
        <v>1117</v>
      </c>
      <c r="M1123" s="71">
        <f t="shared" ca="1" si="89"/>
        <v>6.4396613414775761</v>
      </c>
      <c r="N1123" s="65"/>
    </row>
    <row r="1124" spans="1:14" x14ac:dyDescent="0.25">
      <c r="A1124" s="2">
        <v>1118</v>
      </c>
      <c r="B1124" s="11">
        <f t="shared" ca="1" si="86"/>
        <v>1</v>
      </c>
      <c r="C1124" s="26">
        <f t="shared" ca="1" si="90"/>
        <v>0.77180091645147786</v>
      </c>
      <c r="J1124">
        <f t="shared" ca="1" si="87"/>
        <v>1</v>
      </c>
      <c r="K1124">
        <f t="shared" ca="1" si="88"/>
        <v>0</v>
      </c>
      <c r="L1124" s="65">
        <v>1118</v>
      </c>
      <c r="M1124" s="71">
        <f t="shared" ca="1" si="89"/>
        <v>9.7907332676430092E-2</v>
      </c>
      <c r="N1124" s="65"/>
    </row>
    <row r="1125" spans="1:14" x14ac:dyDescent="0.25">
      <c r="A1125" s="2">
        <v>1119</v>
      </c>
      <c r="B1125" s="11">
        <f t="shared" ca="1" si="86"/>
        <v>1</v>
      </c>
      <c r="C1125" s="26">
        <f t="shared" ca="1" si="90"/>
        <v>0.56731076983777906</v>
      </c>
      <c r="J1125">
        <f t="shared" ca="1" si="87"/>
        <v>1</v>
      </c>
      <c r="K1125">
        <f t="shared" ca="1" si="88"/>
        <v>0</v>
      </c>
      <c r="L1125" s="65">
        <v>1119</v>
      </c>
      <c r="M1125" s="71">
        <f t="shared" ca="1" si="89"/>
        <v>1.6118493601964172</v>
      </c>
      <c r="N1125" s="65"/>
    </row>
    <row r="1126" spans="1:14" x14ac:dyDescent="0.25">
      <c r="A1126" s="2">
        <v>1120</v>
      </c>
      <c r="B1126" s="11">
        <f t="shared" ca="1" si="86"/>
        <v>1</v>
      </c>
      <c r="C1126" s="26">
        <f t="shared" ca="1" si="90"/>
        <v>0.7142986794924554</v>
      </c>
      <c r="J1126">
        <f t="shared" ca="1" si="87"/>
        <v>1</v>
      </c>
      <c r="K1126">
        <f t="shared" ca="1" si="88"/>
        <v>0</v>
      </c>
      <c r="L1126" s="65">
        <v>1120</v>
      </c>
      <c r="M1126" s="71">
        <f t="shared" ca="1" si="89"/>
        <v>3.3418581013508941</v>
      </c>
      <c r="N1126" s="65"/>
    </row>
    <row r="1127" spans="1:14" x14ac:dyDescent="0.25">
      <c r="A1127" s="2">
        <v>1121</v>
      </c>
      <c r="B1127" s="11">
        <f t="shared" ca="1" si="86"/>
        <v>1</v>
      </c>
      <c r="C1127" s="26">
        <f t="shared" ca="1" si="90"/>
        <v>0.11659519494288628</v>
      </c>
      <c r="J1127">
        <f t="shared" ca="1" si="87"/>
        <v>1</v>
      </c>
      <c r="K1127">
        <f t="shared" ca="1" si="88"/>
        <v>0</v>
      </c>
      <c r="L1127" s="65">
        <v>1121</v>
      </c>
      <c r="M1127" s="71">
        <f t="shared" ca="1" si="89"/>
        <v>0.87901151011835432</v>
      </c>
      <c r="N1127" s="65"/>
    </row>
    <row r="1128" spans="1:14" x14ac:dyDescent="0.25">
      <c r="A1128" s="2">
        <v>1122</v>
      </c>
      <c r="B1128" s="11">
        <f t="shared" ca="1" si="86"/>
        <v>1</v>
      </c>
      <c r="C1128" s="26">
        <f t="shared" ca="1" si="90"/>
        <v>0.31466928655191062</v>
      </c>
      <c r="J1128">
        <f t="shared" ca="1" si="87"/>
        <v>1</v>
      </c>
      <c r="K1128">
        <f t="shared" ca="1" si="88"/>
        <v>0</v>
      </c>
      <c r="L1128" s="65">
        <v>1122</v>
      </c>
      <c r="M1128" s="71">
        <f t="shared" ca="1" si="89"/>
        <v>5.5440353459921239</v>
      </c>
      <c r="N1128" s="65"/>
    </row>
    <row r="1129" spans="1:14" x14ac:dyDescent="0.25">
      <c r="A1129" s="2">
        <v>1123</v>
      </c>
      <c r="B1129" s="11">
        <f t="shared" ca="1" si="86"/>
        <v>1</v>
      </c>
      <c r="C1129" s="26">
        <f t="shared" ca="1" si="90"/>
        <v>0.15092926102052073</v>
      </c>
      <c r="J1129">
        <f t="shared" ca="1" si="87"/>
        <v>1</v>
      </c>
      <c r="K1129">
        <f t="shared" ca="1" si="88"/>
        <v>0</v>
      </c>
      <c r="L1129" s="65">
        <v>1123</v>
      </c>
      <c r="M1129" s="71">
        <f t="shared" ca="1" si="89"/>
        <v>0.79262640825222863</v>
      </c>
      <c r="N1129" s="65"/>
    </row>
    <row r="1130" spans="1:14" x14ac:dyDescent="0.25">
      <c r="A1130" s="2">
        <v>1124</v>
      </c>
      <c r="B1130" s="11">
        <f t="shared" ca="1" si="86"/>
        <v>1</v>
      </c>
      <c r="C1130" s="26">
        <f t="shared" ca="1" si="90"/>
        <v>0.29381356062565156</v>
      </c>
      <c r="J1130">
        <f t="shared" ca="1" si="87"/>
        <v>1</v>
      </c>
      <c r="K1130">
        <f t="shared" ca="1" si="88"/>
        <v>0</v>
      </c>
      <c r="L1130" s="65">
        <v>1124</v>
      </c>
      <c r="M1130" s="71">
        <f t="shared" ca="1" si="89"/>
        <v>9.2917869321203774</v>
      </c>
      <c r="N1130" s="65"/>
    </row>
    <row r="1131" spans="1:14" x14ac:dyDescent="0.25">
      <c r="A1131" s="2">
        <v>1125</v>
      </c>
      <c r="B1131" s="11">
        <f t="shared" ca="1" si="86"/>
        <v>1</v>
      </c>
      <c r="C1131" s="26">
        <f t="shared" ca="1" si="90"/>
        <v>0.34656578851470377</v>
      </c>
      <c r="J1131">
        <f t="shared" ca="1" si="87"/>
        <v>0</v>
      </c>
      <c r="K1131">
        <f t="shared" ca="1" si="88"/>
        <v>0</v>
      </c>
      <c r="L1131" s="65">
        <v>1125</v>
      </c>
      <c r="M1131" s="71">
        <f t="shared" ca="1" si="89"/>
        <v>3.499088171457867</v>
      </c>
      <c r="N1131" s="65"/>
    </row>
    <row r="1132" spans="1:14" x14ac:dyDescent="0.25">
      <c r="A1132" s="2">
        <v>1126</v>
      </c>
      <c r="B1132" s="11">
        <f t="shared" ca="1" si="86"/>
        <v>0</v>
      </c>
      <c r="C1132" s="26">
        <f t="shared" ca="1" si="90"/>
        <v>0.98558683811324155</v>
      </c>
      <c r="J1132">
        <f t="shared" ca="1" si="87"/>
        <v>0</v>
      </c>
      <c r="K1132">
        <f t="shared" ca="1" si="88"/>
        <v>0</v>
      </c>
      <c r="L1132" s="65">
        <v>1126</v>
      </c>
      <c r="M1132" s="71">
        <f t="shared" ca="1" si="89"/>
        <v>0</v>
      </c>
      <c r="N1132" s="65"/>
    </row>
    <row r="1133" spans="1:14" x14ac:dyDescent="0.25">
      <c r="A1133" s="2">
        <v>1127</v>
      </c>
      <c r="B1133" s="11">
        <f t="shared" ca="1" si="86"/>
        <v>1</v>
      </c>
      <c r="C1133" s="26">
        <f t="shared" ca="1" si="90"/>
        <v>0.50822334217789844</v>
      </c>
      <c r="J1133">
        <f t="shared" ca="1" si="87"/>
        <v>1</v>
      </c>
      <c r="K1133">
        <f t="shared" ca="1" si="88"/>
        <v>0</v>
      </c>
      <c r="L1133" s="65">
        <v>1127</v>
      </c>
      <c r="M1133" s="71">
        <f t="shared" ca="1" si="89"/>
        <v>1.2064694944847836</v>
      </c>
      <c r="N1133" s="65"/>
    </row>
    <row r="1134" spans="1:14" x14ac:dyDescent="0.25">
      <c r="A1134" s="2">
        <v>1128</v>
      </c>
      <c r="B1134" s="11">
        <f t="shared" ca="1" si="86"/>
        <v>1</v>
      </c>
      <c r="C1134" s="26">
        <f t="shared" ca="1" si="90"/>
        <v>0.61956929073761891</v>
      </c>
      <c r="J1134">
        <f t="shared" ca="1" si="87"/>
        <v>1</v>
      </c>
      <c r="K1134">
        <f t="shared" ca="1" si="88"/>
        <v>0</v>
      </c>
      <c r="L1134" s="65">
        <v>1128</v>
      </c>
      <c r="M1134" s="71">
        <f t="shared" ca="1" si="89"/>
        <v>6.1648327586576128</v>
      </c>
      <c r="N1134" s="65"/>
    </row>
    <row r="1135" spans="1:14" x14ac:dyDescent="0.25">
      <c r="A1135" s="2">
        <v>1129</v>
      </c>
      <c r="B1135" s="11">
        <f t="shared" ref="B1135:B1198" ca="1" si="91">IF(B1134&gt;0,IF(C1135&lt;pww,1,0),IF(C1135&lt;pdw,1,0))</f>
        <v>1</v>
      </c>
      <c r="C1135" s="26">
        <f t="shared" ca="1" si="90"/>
        <v>0.42546585414124138</v>
      </c>
      <c r="J1135">
        <f t="shared" ref="J1135:J1198" ca="1" si="92">IF(AND(B1135,B1136),1,0)</f>
        <v>1</v>
      </c>
      <c r="K1135">
        <f t="shared" ref="K1135:K1198" ca="1" si="93">IF(AND(NOT(B1135),NOT(B1136)),1,0)</f>
        <v>0</v>
      </c>
      <c r="L1135" s="65">
        <v>1129</v>
      </c>
      <c r="M1135" s="71">
        <f t="shared" ca="1" si="89"/>
        <v>18.733400585047558</v>
      </c>
      <c r="N1135" s="65"/>
    </row>
    <row r="1136" spans="1:14" x14ac:dyDescent="0.25">
      <c r="A1136" s="2">
        <v>1130</v>
      </c>
      <c r="B1136" s="11">
        <f t="shared" ca="1" si="91"/>
        <v>1</v>
      </c>
      <c r="C1136" s="26">
        <f t="shared" ca="1" si="90"/>
        <v>0.2627692710891848</v>
      </c>
      <c r="J1136">
        <f t="shared" ca="1" si="92"/>
        <v>1</v>
      </c>
      <c r="K1136">
        <f t="shared" ca="1" si="93"/>
        <v>0</v>
      </c>
      <c r="L1136" s="65">
        <v>1130</v>
      </c>
      <c r="M1136" s="71">
        <f t="shared" ca="1" si="89"/>
        <v>5.1032773952329924</v>
      </c>
      <c r="N1136" s="65"/>
    </row>
    <row r="1137" spans="1:14" x14ac:dyDescent="0.25">
      <c r="A1137" s="2">
        <v>1131</v>
      </c>
      <c r="B1137" s="11">
        <f t="shared" ca="1" si="91"/>
        <v>1</v>
      </c>
      <c r="C1137" s="26">
        <f t="shared" ca="1" si="90"/>
        <v>5.3170979945580843E-2</v>
      </c>
      <c r="J1137">
        <f t="shared" ca="1" si="92"/>
        <v>1</v>
      </c>
      <c r="K1137">
        <f t="shared" ca="1" si="93"/>
        <v>0</v>
      </c>
      <c r="L1137" s="65">
        <v>1131</v>
      </c>
      <c r="M1137" s="71">
        <f t="shared" ca="1" si="89"/>
        <v>4.3888548425687572</v>
      </c>
      <c r="N1137" s="65"/>
    </row>
    <row r="1138" spans="1:14" x14ac:dyDescent="0.25">
      <c r="A1138" s="2">
        <v>1132</v>
      </c>
      <c r="B1138" s="11">
        <f t="shared" ca="1" si="91"/>
        <v>1</v>
      </c>
      <c r="C1138" s="26">
        <f t="shared" ca="1" si="90"/>
        <v>0.49633869213776793</v>
      </c>
      <c r="J1138">
        <f t="shared" ca="1" si="92"/>
        <v>1</v>
      </c>
      <c r="K1138">
        <f t="shared" ca="1" si="93"/>
        <v>0</v>
      </c>
      <c r="L1138" s="65">
        <v>1132</v>
      </c>
      <c r="M1138" s="71">
        <f t="shared" ca="1" si="89"/>
        <v>6.4525149447794528</v>
      </c>
      <c r="N1138" s="65"/>
    </row>
    <row r="1139" spans="1:14" x14ac:dyDescent="0.25">
      <c r="A1139" s="2">
        <v>1133</v>
      </c>
      <c r="B1139" s="11">
        <f t="shared" ca="1" si="91"/>
        <v>1</v>
      </c>
      <c r="C1139" s="26">
        <f t="shared" ca="1" si="90"/>
        <v>0.76357031761617944</v>
      </c>
      <c r="J1139">
        <f t="shared" ca="1" si="92"/>
        <v>1</v>
      </c>
      <c r="K1139">
        <f t="shared" ca="1" si="93"/>
        <v>0</v>
      </c>
      <c r="L1139" s="65">
        <v>1133</v>
      </c>
      <c r="M1139" s="71">
        <f t="shared" ca="1" si="89"/>
        <v>3.5982378888809841</v>
      </c>
      <c r="N1139" s="65"/>
    </row>
    <row r="1140" spans="1:14" x14ac:dyDescent="0.25">
      <c r="A1140" s="2">
        <v>1134</v>
      </c>
      <c r="B1140" s="11">
        <f t="shared" ca="1" si="91"/>
        <v>1</v>
      </c>
      <c r="C1140" s="26">
        <f t="shared" ca="1" si="90"/>
        <v>0.3547012174653551</v>
      </c>
      <c r="J1140">
        <f t="shared" ca="1" si="92"/>
        <v>1</v>
      </c>
      <c r="K1140">
        <f t="shared" ca="1" si="93"/>
        <v>0</v>
      </c>
      <c r="L1140" s="65">
        <v>1134</v>
      </c>
      <c r="M1140" s="71">
        <f t="shared" ca="1" si="89"/>
        <v>0.20985721791909567</v>
      </c>
      <c r="N1140" s="65"/>
    </row>
    <row r="1141" spans="1:14" x14ac:dyDescent="0.25">
      <c r="A1141" s="2">
        <v>1135</v>
      </c>
      <c r="B1141" s="11">
        <f t="shared" ca="1" si="91"/>
        <v>1</v>
      </c>
      <c r="C1141" s="26">
        <f t="shared" ca="1" si="90"/>
        <v>0.3943153197789081</v>
      </c>
      <c r="J1141">
        <f t="shared" ca="1" si="92"/>
        <v>1</v>
      </c>
      <c r="K1141">
        <f t="shared" ca="1" si="93"/>
        <v>0</v>
      </c>
      <c r="L1141" s="65">
        <v>1135</v>
      </c>
      <c r="M1141" s="71">
        <f t="shared" ca="1" si="89"/>
        <v>2.9578769426878679</v>
      </c>
      <c r="N1141" s="65"/>
    </row>
    <row r="1142" spans="1:14" x14ac:dyDescent="0.25">
      <c r="A1142" s="2">
        <v>1136</v>
      </c>
      <c r="B1142" s="11">
        <f t="shared" ca="1" si="91"/>
        <v>1</v>
      </c>
      <c r="C1142" s="26">
        <f t="shared" ca="1" si="90"/>
        <v>0.42136300887524603</v>
      </c>
      <c r="J1142">
        <f t="shared" ca="1" si="92"/>
        <v>1</v>
      </c>
      <c r="K1142">
        <f t="shared" ca="1" si="93"/>
        <v>0</v>
      </c>
      <c r="L1142" s="65">
        <v>1136</v>
      </c>
      <c r="M1142" s="71">
        <f t="shared" ca="1" si="89"/>
        <v>1.7678001665269523</v>
      </c>
      <c r="N1142" s="65"/>
    </row>
    <row r="1143" spans="1:14" x14ac:dyDescent="0.25">
      <c r="A1143" s="2">
        <v>1137</v>
      </c>
      <c r="B1143" s="11">
        <f t="shared" ca="1" si="91"/>
        <v>1</v>
      </c>
      <c r="C1143" s="26">
        <f t="shared" ca="1" si="90"/>
        <v>0.54367965229851456</v>
      </c>
      <c r="J1143">
        <f t="shared" ca="1" si="92"/>
        <v>1</v>
      </c>
      <c r="K1143">
        <f t="shared" ca="1" si="93"/>
        <v>0</v>
      </c>
      <c r="L1143" s="65">
        <v>1137</v>
      </c>
      <c r="M1143" s="71">
        <f t="shared" ca="1" si="89"/>
        <v>1.6319173792962951</v>
      </c>
      <c r="N1143" s="65"/>
    </row>
    <row r="1144" spans="1:14" x14ac:dyDescent="0.25">
      <c r="A1144" s="2">
        <v>1138</v>
      </c>
      <c r="B1144" s="11">
        <f t="shared" ca="1" si="91"/>
        <v>1</v>
      </c>
      <c r="C1144" s="26">
        <f t="shared" ca="1" si="90"/>
        <v>0.36129552493670458</v>
      </c>
      <c r="J1144">
        <f t="shared" ca="1" si="92"/>
        <v>0</v>
      </c>
      <c r="K1144">
        <f t="shared" ca="1" si="93"/>
        <v>0</v>
      </c>
      <c r="L1144" s="65">
        <v>1138</v>
      </c>
      <c r="M1144" s="71">
        <f t="shared" ca="1" si="89"/>
        <v>4.4493547087640186</v>
      </c>
      <c r="N1144" s="65"/>
    </row>
    <row r="1145" spans="1:14" x14ac:dyDescent="0.25">
      <c r="A1145" s="2">
        <v>1139</v>
      </c>
      <c r="B1145" s="11">
        <f t="shared" ca="1" si="91"/>
        <v>0</v>
      </c>
      <c r="C1145" s="26">
        <f t="shared" ca="1" si="90"/>
        <v>0.90443686073549312</v>
      </c>
      <c r="J1145">
        <f t="shared" ca="1" si="92"/>
        <v>0</v>
      </c>
      <c r="K1145">
        <f t="shared" ca="1" si="93"/>
        <v>0</v>
      </c>
      <c r="L1145" s="65">
        <v>1139</v>
      </c>
      <c r="M1145" s="71">
        <f t="shared" ca="1" si="89"/>
        <v>0</v>
      </c>
      <c r="N1145" s="65"/>
    </row>
    <row r="1146" spans="1:14" x14ac:dyDescent="0.25">
      <c r="A1146" s="2">
        <v>1140</v>
      </c>
      <c r="B1146" s="11">
        <f t="shared" ca="1" si="91"/>
        <v>1</v>
      </c>
      <c r="C1146" s="26">
        <f t="shared" ca="1" si="90"/>
        <v>0.42960841129161198</v>
      </c>
      <c r="J1146">
        <f t="shared" ca="1" si="92"/>
        <v>0</v>
      </c>
      <c r="K1146">
        <f t="shared" ca="1" si="93"/>
        <v>0</v>
      </c>
      <c r="L1146" s="65">
        <v>1140</v>
      </c>
      <c r="M1146" s="71">
        <f t="shared" ca="1" si="89"/>
        <v>5.4359355040114758</v>
      </c>
      <c r="N1146" s="65"/>
    </row>
    <row r="1147" spans="1:14" x14ac:dyDescent="0.25">
      <c r="A1147" s="2">
        <v>1141</v>
      </c>
      <c r="B1147" s="11">
        <f t="shared" ca="1" si="91"/>
        <v>0</v>
      </c>
      <c r="C1147" s="26">
        <f t="shared" ca="1" si="90"/>
        <v>0.85304854631428473</v>
      </c>
      <c r="J1147">
        <f t="shared" ca="1" si="92"/>
        <v>0</v>
      </c>
      <c r="K1147">
        <f t="shared" ca="1" si="93"/>
        <v>0</v>
      </c>
      <c r="L1147" s="65">
        <v>1141</v>
      </c>
      <c r="M1147" s="71">
        <f t="shared" ca="1" si="89"/>
        <v>0</v>
      </c>
      <c r="N1147" s="65"/>
    </row>
    <row r="1148" spans="1:14" x14ac:dyDescent="0.25">
      <c r="A1148" s="2">
        <v>1142</v>
      </c>
      <c r="B1148" s="11">
        <f t="shared" ca="1" si="91"/>
        <v>1</v>
      </c>
      <c r="C1148" s="26">
        <f t="shared" ca="1" si="90"/>
        <v>0.48683359619647171</v>
      </c>
      <c r="J1148">
        <f t="shared" ca="1" si="92"/>
        <v>1</v>
      </c>
      <c r="K1148">
        <f t="shared" ca="1" si="93"/>
        <v>0</v>
      </c>
      <c r="L1148" s="65">
        <v>1142</v>
      </c>
      <c r="M1148" s="71">
        <f t="shared" ca="1" si="89"/>
        <v>4.1829115606846798</v>
      </c>
      <c r="N1148" s="65"/>
    </row>
    <row r="1149" spans="1:14" x14ac:dyDescent="0.25">
      <c r="A1149" s="2">
        <v>1143</v>
      </c>
      <c r="B1149" s="11">
        <f t="shared" ca="1" si="91"/>
        <v>1</v>
      </c>
      <c r="C1149" s="26">
        <f t="shared" ca="1" si="90"/>
        <v>0.45781529684591049</v>
      </c>
      <c r="J1149">
        <f t="shared" ca="1" si="92"/>
        <v>1</v>
      </c>
      <c r="K1149">
        <f t="shared" ca="1" si="93"/>
        <v>0</v>
      </c>
      <c r="L1149" s="65">
        <v>1143</v>
      </c>
      <c r="M1149" s="71">
        <f t="shared" ca="1" si="89"/>
        <v>7.2024874856099332</v>
      </c>
      <c r="N1149" s="65"/>
    </row>
    <row r="1150" spans="1:14" x14ac:dyDescent="0.25">
      <c r="A1150" s="2">
        <v>1144</v>
      </c>
      <c r="B1150" s="11">
        <f t="shared" ca="1" si="91"/>
        <v>1</v>
      </c>
      <c r="C1150" s="26">
        <f t="shared" ca="1" si="90"/>
        <v>0.16649130477363483</v>
      </c>
      <c r="J1150">
        <f t="shared" ca="1" si="92"/>
        <v>1</v>
      </c>
      <c r="K1150">
        <f t="shared" ca="1" si="93"/>
        <v>0</v>
      </c>
      <c r="L1150" s="65">
        <v>1144</v>
      </c>
      <c r="M1150" s="71">
        <f t="shared" ca="1" si="89"/>
        <v>3.8399618678849468</v>
      </c>
      <c r="N1150" s="65"/>
    </row>
    <row r="1151" spans="1:14" x14ac:dyDescent="0.25">
      <c r="A1151" s="2">
        <v>1145</v>
      </c>
      <c r="B1151" s="11">
        <f t="shared" ca="1" si="91"/>
        <v>1</v>
      </c>
      <c r="C1151" s="26">
        <f t="shared" ca="1" si="90"/>
        <v>0.27332405422283501</v>
      </c>
      <c r="J1151">
        <f t="shared" ca="1" si="92"/>
        <v>1</v>
      </c>
      <c r="K1151">
        <f t="shared" ca="1" si="93"/>
        <v>0</v>
      </c>
      <c r="L1151" s="65">
        <v>1145</v>
      </c>
      <c r="M1151" s="71">
        <f t="shared" ca="1" si="89"/>
        <v>1.356210318081025</v>
      </c>
      <c r="N1151" s="65"/>
    </row>
    <row r="1152" spans="1:14" x14ac:dyDescent="0.25">
      <c r="A1152" s="2">
        <v>1146</v>
      </c>
      <c r="B1152" s="11">
        <f t="shared" ca="1" si="91"/>
        <v>1</v>
      </c>
      <c r="C1152" s="26">
        <f t="shared" ca="1" si="90"/>
        <v>0.6334669565432457</v>
      </c>
      <c r="J1152">
        <f t="shared" ca="1" si="92"/>
        <v>0</v>
      </c>
      <c r="K1152">
        <f t="shared" ca="1" si="93"/>
        <v>0</v>
      </c>
      <c r="L1152" s="65">
        <v>1146</v>
      </c>
      <c r="M1152" s="71">
        <f t="shared" ca="1" si="89"/>
        <v>1.1091525104167448</v>
      </c>
      <c r="N1152" s="65"/>
    </row>
    <row r="1153" spans="1:14" x14ac:dyDescent="0.25">
      <c r="A1153" s="2">
        <v>1147</v>
      </c>
      <c r="B1153" s="11">
        <f t="shared" ca="1" si="91"/>
        <v>0</v>
      </c>
      <c r="C1153" s="26">
        <f t="shared" ca="1" si="90"/>
        <v>0.87717996851247215</v>
      </c>
      <c r="J1153">
        <f t="shared" ca="1" si="92"/>
        <v>0</v>
      </c>
      <c r="K1153">
        <f t="shared" ca="1" si="93"/>
        <v>1</v>
      </c>
      <c r="L1153" s="65">
        <v>1147</v>
      </c>
      <c r="M1153" s="71">
        <f t="shared" ca="1" si="89"/>
        <v>0</v>
      </c>
      <c r="N1153" s="65"/>
    </row>
    <row r="1154" spans="1:14" x14ac:dyDescent="0.25">
      <c r="A1154" s="2">
        <v>1148</v>
      </c>
      <c r="B1154" s="11">
        <f t="shared" ca="1" si="91"/>
        <v>0</v>
      </c>
      <c r="C1154" s="26">
        <f t="shared" ca="1" si="90"/>
        <v>0.89197629143101276</v>
      </c>
      <c r="J1154">
        <f t="shared" ca="1" si="92"/>
        <v>0</v>
      </c>
      <c r="K1154">
        <f t="shared" ca="1" si="93"/>
        <v>0</v>
      </c>
      <c r="L1154" s="65">
        <v>1148</v>
      </c>
      <c r="M1154" s="71">
        <f t="shared" ca="1" si="89"/>
        <v>0</v>
      </c>
      <c r="N1154" s="65"/>
    </row>
    <row r="1155" spans="1:14" x14ac:dyDescent="0.25">
      <c r="A1155" s="2">
        <v>1149</v>
      </c>
      <c r="B1155" s="11">
        <f t="shared" ca="1" si="91"/>
        <v>1</v>
      </c>
      <c r="C1155" s="26">
        <f t="shared" ca="1" si="90"/>
        <v>0.20018367882346222</v>
      </c>
      <c r="J1155">
        <f t="shared" ca="1" si="92"/>
        <v>1</v>
      </c>
      <c r="K1155">
        <f t="shared" ca="1" si="93"/>
        <v>0</v>
      </c>
      <c r="L1155" s="65">
        <v>1149</v>
      </c>
      <c r="M1155" s="71">
        <f t="shared" ca="1" si="89"/>
        <v>6.52009816471009</v>
      </c>
      <c r="N1155" s="65"/>
    </row>
    <row r="1156" spans="1:14" x14ac:dyDescent="0.25">
      <c r="A1156" s="2">
        <v>1150</v>
      </c>
      <c r="B1156" s="11">
        <f t="shared" ca="1" si="91"/>
        <v>1</v>
      </c>
      <c r="C1156" s="26">
        <f t="shared" ca="1" si="90"/>
        <v>0.31725884209001876</v>
      </c>
      <c r="J1156">
        <f t="shared" ca="1" si="92"/>
        <v>1</v>
      </c>
      <c r="K1156">
        <f t="shared" ca="1" si="93"/>
        <v>0</v>
      </c>
      <c r="L1156" s="65">
        <v>1150</v>
      </c>
      <c r="M1156" s="71">
        <f t="shared" ca="1" si="89"/>
        <v>0.66720159982115568</v>
      </c>
      <c r="N1156" s="65"/>
    </row>
    <row r="1157" spans="1:14" x14ac:dyDescent="0.25">
      <c r="A1157" s="2">
        <v>1151</v>
      </c>
      <c r="B1157" s="11">
        <f t="shared" ca="1" si="91"/>
        <v>1</v>
      </c>
      <c r="C1157" s="26">
        <f t="shared" ca="1" si="90"/>
        <v>0.37975694383990166</v>
      </c>
      <c r="J1157">
        <f t="shared" ca="1" si="92"/>
        <v>0</v>
      </c>
      <c r="K1157">
        <f t="shared" ca="1" si="93"/>
        <v>0</v>
      </c>
      <c r="L1157" s="65">
        <v>1151</v>
      </c>
      <c r="M1157" s="71">
        <f t="shared" ca="1" si="89"/>
        <v>1.435141904298058</v>
      </c>
      <c r="N1157" s="65"/>
    </row>
    <row r="1158" spans="1:14" x14ac:dyDescent="0.25">
      <c r="A1158" s="2">
        <v>1152</v>
      </c>
      <c r="B1158" s="11">
        <f t="shared" ca="1" si="91"/>
        <v>0</v>
      </c>
      <c r="C1158" s="26">
        <f t="shared" ca="1" si="90"/>
        <v>0.86443828090400177</v>
      </c>
      <c r="J1158">
        <f t="shared" ca="1" si="92"/>
        <v>0</v>
      </c>
      <c r="K1158">
        <f t="shared" ca="1" si="93"/>
        <v>0</v>
      </c>
      <c r="L1158" s="65">
        <v>1152</v>
      </c>
      <c r="M1158" s="71">
        <f t="shared" ca="1" si="89"/>
        <v>0</v>
      </c>
      <c r="N1158" s="65"/>
    </row>
    <row r="1159" spans="1:14" x14ac:dyDescent="0.25">
      <c r="A1159" s="2">
        <v>1153</v>
      </c>
      <c r="B1159" s="11">
        <f t="shared" ca="1" si="91"/>
        <v>1</v>
      </c>
      <c r="C1159" s="26">
        <f t="shared" ca="1" si="90"/>
        <v>0.56235399119148632</v>
      </c>
      <c r="J1159">
        <f t="shared" ca="1" si="92"/>
        <v>0</v>
      </c>
      <c r="K1159">
        <f t="shared" ca="1" si="93"/>
        <v>0</v>
      </c>
      <c r="L1159" s="65">
        <v>1153</v>
      </c>
      <c r="M1159" s="71">
        <f t="shared" ref="M1159:M1222" ca="1" si="94">IF(B1159&gt;0,-LN(1-(RAND()))/lambda,0)</f>
        <v>11.404824543883818</v>
      </c>
      <c r="N1159" s="65"/>
    </row>
    <row r="1160" spans="1:14" x14ac:dyDescent="0.25">
      <c r="A1160" s="2">
        <v>1154</v>
      </c>
      <c r="B1160" s="11">
        <f t="shared" ca="1" si="91"/>
        <v>0</v>
      </c>
      <c r="C1160" s="26">
        <f t="shared" ref="C1160:C1223" ca="1" si="95">RAND()</f>
        <v>0.91063142245469431</v>
      </c>
      <c r="J1160">
        <f t="shared" ca="1" si="92"/>
        <v>0</v>
      </c>
      <c r="K1160">
        <f t="shared" ca="1" si="93"/>
        <v>0</v>
      </c>
      <c r="L1160" s="65">
        <v>1154</v>
      </c>
      <c r="M1160" s="71">
        <f t="shared" ca="1" si="94"/>
        <v>0</v>
      </c>
      <c r="N1160" s="65"/>
    </row>
    <row r="1161" spans="1:14" x14ac:dyDescent="0.25">
      <c r="A1161" s="2">
        <v>1155</v>
      </c>
      <c r="B1161" s="11">
        <f t="shared" ca="1" si="91"/>
        <v>1</v>
      </c>
      <c r="C1161" s="26">
        <f t="shared" ca="1" si="95"/>
        <v>3.5671495569431833E-2</v>
      </c>
      <c r="J1161">
        <f t="shared" ca="1" si="92"/>
        <v>1</v>
      </c>
      <c r="K1161">
        <f t="shared" ca="1" si="93"/>
        <v>0</v>
      </c>
      <c r="L1161" s="65">
        <v>1155</v>
      </c>
      <c r="M1161" s="71">
        <f t="shared" ca="1" si="94"/>
        <v>1.9171347742413598</v>
      </c>
      <c r="N1161" s="65"/>
    </row>
    <row r="1162" spans="1:14" x14ac:dyDescent="0.25">
      <c r="A1162" s="2">
        <v>1156</v>
      </c>
      <c r="B1162" s="11">
        <f t="shared" ca="1" si="91"/>
        <v>1</v>
      </c>
      <c r="C1162" s="26">
        <f t="shared" ca="1" si="95"/>
        <v>0.53248326824653069</v>
      </c>
      <c r="J1162">
        <f t="shared" ca="1" si="92"/>
        <v>1</v>
      </c>
      <c r="K1162">
        <f t="shared" ca="1" si="93"/>
        <v>0</v>
      </c>
      <c r="L1162" s="65">
        <v>1156</v>
      </c>
      <c r="M1162" s="71">
        <f t="shared" ca="1" si="94"/>
        <v>3.0927024600344155</v>
      </c>
      <c r="N1162" s="65"/>
    </row>
    <row r="1163" spans="1:14" x14ac:dyDescent="0.25">
      <c r="A1163" s="2">
        <v>1157</v>
      </c>
      <c r="B1163" s="11">
        <f t="shared" ca="1" si="91"/>
        <v>1</v>
      </c>
      <c r="C1163" s="26">
        <f t="shared" ca="1" si="95"/>
        <v>2.1738156112180551E-2</v>
      </c>
      <c r="J1163">
        <f t="shared" ca="1" si="92"/>
        <v>1</v>
      </c>
      <c r="K1163">
        <f t="shared" ca="1" si="93"/>
        <v>0</v>
      </c>
      <c r="L1163" s="65">
        <v>1157</v>
      </c>
      <c r="M1163" s="71">
        <f t="shared" ca="1" si="94"/>
        <v>4.1910749518858692</v>
      </c>
      <c r="N1163" s="65"/>
    </row>
    <row r="1164" spans="1:14" x14ac:dyDescent="0.25">
      <c r="A1164" s="2">
        <v>1158</v>
      </c>
      <c r="B1164" s="11">
        <f t="shared" ca="1" si="91"/>
        <v>1</v>
      </c>
      <c r="C1164" s="26">
        <f t="shared" ca="1" si="95"/>
        <v>0.75250887553671075</v>
      </c>
      <c r="J1164">
        <f t="shared" ca="1" si="92"/>
        <v>1</v>
      </c>
      <c r="K1164">
        <f t="shared" ca="1" si="93"/>
        <v>0</v>
      </c>
      <c r="L1164" s="65">
        <v>1158</v>
      </c>
      <c r="M1164" s="71">
        <f t="shared" ca="1" si="94"/>
        <v>7.5364277259994656</v>
      </c>
      <c r="N1164" s="65"/>
    </row>
    <row r="1165" spans="1:14" x14ac:dyDescent="0.25">
      <c r="A1165" s="2">
        <v>1159</v>
      </c>
      <c r="B1165" s="11">
        <f t="shared" ca="1" si="91"/>
        <v>1</v>
      </c>
      <c r="C1165" s="26">
        <f t="shared" ca="1" si="95"/>
        <v>0.29112372770444728</v>
      </c>
      <c r="J1165">
        <f t="shared" ca="1" si="92"/>
        <v>1</v>
      </c>
      <c r="K1165">
        <f t="shared" ca="1" si="93"/>
        <v>0</v>
      </c>
      <c r="L1165" s="65">
        <v>1159</v>
      </c>
      <c r="M1165" s="71">
        <f t="shared" ca="1" si="94"/>
        <v>2.6322425349423839</v>
      </c>
      <c r="N1165" s="65"/>
    </row>
    <row r="1166" spans="1:14" x14ac:dyDescent="0.25">
      <c r="A1166" s="2">
        <v>1160</v>
      </c>
      <c r="B1166" s="11">
        <f t="shared" ca="1" si="91"/>
        <v>1</v>
      </c>
      <c r="C1166" s="26">
        <f t="shared" ca="1" si="95"/>
        <v>0.47860905178181345</v>
      </c>
      <c r="J1166">
        <f t="shared" ca="1" si="92"/>
        <v>0</v>
      </c>
      <c r="K1166">
        <f t="shared" ca="1" si="93"/>
        <v>0</v>
      </c>
      <c r="L1166" s="65">
        <v>1160</v>
      </c>
      <c r="M1166" s="71">
        <f t="shared" ca="1" si="94"/>
        <v>13.285133313550045</v>
      </c>
      <c r="N1166" s="65"/>
    </row>
    <row r="1167" spans="1:14" x14ac:dyDescent="0.25">
      <c r="A1167" s="2">
        <v>1161</v>
      </c>
      <c r="B1167" s="11">
        <f t="shared" ca="1" si="91"/>
        <v>0</v>
      </c>
      <c r="C1167" s="26">
        <f t="shared" ca="1" si="95"/>
        <v>0.87280649143549427</v>
      </c>
      <c r="J1167">
        <f t="shared" ca="1" si="92"/>
        <v>0</v>
      </c>
      <c r="K1167">
        <f t="shared" ca="1" si="93"/>
        <v>1</v>
      </c>
      <c r="L1167" s="65">
        <v>1161</v>
      </c>
      <c r="M1167" s="71">
        <f t="shared" ca="1" si="94"/>
        <v>0</v>
      </c>
      <c r="N1167" s="65"/>
    </row>
    <row r="1168" spans="1:14" x14ac:dyDescent="0.25">
      <c r="A1168" s="2">
        <v>1162</v>
      </c>
      <c r="B1168" s="11">
        <f t="shared" ca="1" si="91"/>
        <v>0</v>
      </c>
      <c r="C1168" s="26">
        <f t="shared" ca="1" si="95"/>
        <v>0.83365514497800886</v>
      </c>
      <c r="J1168">
        <f t="shared" ca="1" si="92"/>
        <v>0</v>
      </c>
      <c r="K1168">
        <f t="shared" ca="1" si="93"/>
        <v>1</v>
      </c>
      <c r="L1168" s="65">
        <v>1162</v>
      </c>
      <c r="M1168" s="71">
        <f t="shared" ca="1" si="94"/>
        <v>0</v>
      </c>
      <c r="N1168" s="65"/>
    </row>
    <row r="1169" spans="1:14" x14ac:dyDescent="0.25">
      <c r="A1169" s="2">
        <v>1163</v>
      </c>
      <c r="B1169" s="11">
        <f t="shared" ca="1" si="91"/>
        <v>0</v>
      </c>
      <c r="C1169" s="26">
        <f t="shared" ca="1" si="95"/>
        <v>0.9930377245292441</v>
      </c>
      <c r="J1169">
        <f t="shared" ca="1" si="92"/>
        <v>0</v>
      </c>
      <c r="K1169">
        <f t="shared" ca="1" si="93"/>
        <v>1</v>
      </c>
      <c r="L1169" s="65">
        <v>1163</v>
      </c>
      <c r="M1169" s="71">
        <f t="shared" ca="1" si="94"/>
        <v>0</v>
      </c>
      <c r="N1169" s="65"/>
    </row>
    <row r="1170" spans="1:14" x14ac:dyDescent="0.25">
      <c r="A1170" s="2">
        <v>1164</v>
      </c>
      <c r="B1170" s="11">
        <f t="shared" ca="1" si="91"/>
        <v>0</v>
      </c>
      <c r="C1170" s="26">
        <f t="shared" ca="1" si="95"/>
        <v>0.72006425200415536</v>
      </c>
      <c r="J1170">
        <f t="shared" ca="1" si="92"/>
        <v>0</v>
      </c>
      <c r="K1170">
        <f t="shared" ca="1" si="93"/>
        <v>1</v>
      </c>
      <c r="L1170" s="65">
        <v>1164</v>
      </c>
      <c r="M1170" s="71">
        <f t="shared" ca="1" si="94"/>
        <v>0</v>
      </c>
      <c r="N1170" s="65"/>
    </row>
    <row r="1171" spans="1:14" x14ac:dyDescent="0.25">
      <c r="A1171" s="2">
        <v>1165</v>
      </c>
      <c r="B1171" s="11">
        <f t="shared" ca="1" si="91"/>
        <v>0</v>
      </c>
      <c r="C1171" s="26">
        <f t="shared" ca="1" si="95"/>
        <v>0.97655932358007258</v>
      </c>
      <c r="J1171">
        <f t="shared" ca="1" si="92"/>
        <v>0</v>
      </c>
      <c r="K1171">
        <f t="shared" ca="1" si="93"/>
        <v>0</v>
      </c>
      <c r="L1171" s="65">
        <v>1165</v>
      </c>
      <c r="M1171" s="71">
        <f t="shared" ca="1" si="94"/>
        <v>0</v>
      </c>
      <c r="N1171" s="65"/>
    </row>
    <row r="1172" spans="1:14" x14ac:dyDescent="0.25">
      <c r="A1172" s="2">
        <v>1166</v>
      </c>
      <c r="B1172" s="11">
        <f t="shared" ca="1" si="91"/>
        <v>1</v>
      </c>
      <c r="C1172" s="26">
        <f t="shared" ca="1" si="95"/>
        <v>0.64262811679238874</v>
      </c>
      <c r="J1172">
        <f t="shared" ca="1" si="92"/>
        <v>1</v>
      </c>
      <c r="K1172">
        <f t="shared" ca="1" si="93"/>
        <v>0</v>
      </c>
      <c r="L1172" s="65">
        <v>1166</v>
      </c>
      <c r="M1172" s="71">
        <f t="shared" ca="1" si="94"/>
        <v>1.5420340498889844</v>
      </c>
      <c r="N1172" s="65"/>
    </row>
    <row r="1173" spans="1:14" x14ac:dyDescent="0.25">
      <c r="A1173" s="2">
        <v>1167</v>
      </c>
      <c r="B1173" s="11">
        <f t="shared" ca="1" si="91"/>
        <v>1</v>
      </c>
      <c r="C1173" s="26">
        <f t="shared" ca="1" si="95"/>
        <v>0.68503838889153301</v>
      </c>
      <c r="J1173">
        <f t="shared" ca="1" si="92"/>
        <v>1</v>
      </c>
      <c r="K1173">
        <f t="shared" ca="1" si="93"/>
        <v>0</v>
      </c>
      <c r="L1173" s="65">
        <v>1167</v>
      </c>
      <c r="M1173" s="71">
        <f t="shared" ca="1" si="94"/>
        <v>2.5847099250618268</v>
      </c>
      <c r="N1173" s="65"/>
    </row>
    <row r="1174" spans="1:14" x14ac:dyDescent="0.25">
      <c r="A1174" s="2">
        <v>1168</v>
      </c>
      <c r="B1174" s="11">
        <f t="shared" ca="1" si="91"/>
        <v>1</v>
      </c>
      <c r="C1174" s="26">
        <f t="shared" ca="1" si="95"/>
        <v>0.64816490901260915</v>
      </c>
      <c r="J1174">
        <f t="shared" ca="1" si="92"/>
        <v>0</v>
      </c>
      <c r="K1174">
        <f t="shared" ca="1" si="93"/>
        <v>0</v>
      </c>
      <c r="L1174" s="65">
        <v>1168</v>
      </c>
      <c r="M1174" s="71">
        <f t="shared" ca="1" si="94"/>
        <v>7.392236984349867</v>
      </c>
      <c r="N1174" s="65"/>
    </row>
    <row r="1175" spans="1:14" x14ac:dyDescent="0.25">
      <c r="A1175" s="2">
        <v>1169</v>
      </c>
      <c r="B1175" s="11">
        <f t="shared" ca="1" si="91"/>
        <v>0</v>
      </c>
      <c r="C1175" s="26">
        <f t="shared" ca="1" si="95"/>
        <v>0.88114199049725206</v>
      </c>
      <c r="J1175">
        <f t="shared" ca="1" si="92"/>
        <v>0</v>
      </c>
      <c r="K1175">
        <f t="shared" ca="1" si="93"/>
        <v>1</v>
      </c>
      <c r="L1175" s="65">
        <v>1169</v>
      </c>
      <c r="M1175" s="71">
        <f t="shared" ca="1" si="94"/>
        <v>0</v>
      </c>
      <c r="N1175" s="65"/>
    </row>
    <row r="1176" spans="1:14" x14ac:dyDescent="0.25">
      <c r="A1176" s="2">
        <v>1170</v>
      </c>
      <c r="B1176" s="11">
        <f t="shared" ca="1" si="91"/>
        <v>0</v>
      </c>
      <c r="C1176" s="26">
        <f t="shared" ca="1" si="95"/>
        <v>0.88912197175534158</v>
      </c>
      <c r="J1176">
        <f t="shared" ca="1" si="92"/>
        <v>0</v>
      </c>
      <c r="K1176">
        <f t="shared" ca="1" si="93"/>
        <v>0</v>
      </c>
      <c r="L1176" s="65">
        <v>1170</v>
      </c>
      <c r="M1176" s="71">
        <f t="shared" ca="1" si="94"/>
        <v>0</v>
      </c>
      <c r="N1176" s="65"/>
    </row>
    <row r="1177" spans="1:14" x14ac:dyDescent="0.25">
      <c r="A1177" s="2">
        <v>1171</v>
      </c>
      <c r="B1177" s="11">
        <f t="shared" ca="1" si="91"/>
        <v>1</v>
      </c>
      <c r="C1177" s="26">
        <f t="shared" ca="1" si="95"/>
        <v>0.27728071799485132</v>
      </c>
      <c r="J1177">
        <f t="shared" ca="1" si="92"/>
        <v>1</v>
      </c>
      <c r="K1177">
        <f t="shared" ca="1" si="93"/>
        <v>0</v>
      </c>
      <c r="L1177" s="65">
        <v>1171</v>
      </c>
      <c r="M1177" s="71">
        <f t="shared" ca="1" si="94"/>
        <v>8.9670151513657093</v>
      </c>
      <c r="N1177" s="65"/>
    </row>
    <row r="1178" spans="1:14" x14ac:dyDescent="0.25">
      <c r="A1178" s="2">
        <v>1172</v>
      </c>
      <c r="B1178" s="11">
        <f t="shared" ca="1" si="91"/>
        <v>1</v>
      </c>
      <c r="C1178" s="26">
        <f t="shared" ca="1" si="95"/>
        <v>0.78303768461185252</v>
      </c>
      <c r="J1178">
        <f t="shared" ca="1" si="92"/>
        <v>1</v>
      </c>
      <c r="K1178">
        <f t="shared" ca="1" si="93"/>
        <v>0</v>
      </c>
      <c r="L1178" s="65">
        <v>1172</v>
      </c>
      <c r="M1178" s="71">
        <f t="shared" ca="1" si="94"/>
        <v>0.55337505873266368</v>
      </c>
      <c r="N1178" s="65"/>
    </row>
    <row r="1179" spans="1:14" x14ac:dyDescent="0.25">
      <c r="A1179" s="2">
        <v>1173</v>
      </c>
      <c r="B1179" s="11">
        <f t="shared" ca="1" si="91"/>
        <v>1</v>
      </c>
      <c r="C1179" s="26">
        <f t="shared" ca="1" si="95"/>
        <v>0.24750416741506198</v>
      </c>
      <c r="J1179">
        <f t="shared" ca="1" si="92"/>
        <v>1</v>
      </c>
      <c r="K1179">
        <f t="shared" ca="1" si="93"/>
        <v>0</v>
      </c>
      <c r="L1179" s="65">
        <v>1173</v>
      </c>
      <c r="M1179" s="71">
        <f t="shared" ca="1" si="94"/>
        <v>0.77743479982536667</v>
      </c>
      <c r="N1179" s="65"/>
    </row>
    <row r="1180" spans="1:14" x14ac:dyDescent="0.25">
      <c r="A1180" s="2">
        <v>1174</v>
      </c>
      <c r="B1180" s="11">
        <f t="shared" ca="1" si="91"/>
        <v>1</v>
      </c>
      <c r="C1180" s="26">
        <f t="shared" ca="1" si="95"/>
        <v>0.15189753524892491</v>
      </c>
      <c r="J1180">
        <f t="shared" ca="1" si="92"/>
        <v>0</v>
      </c>
      <c r="K1180">
        <f t="shared" ca="1" si="93"/>
        <v>0</v>
      </c>
      <c r="L1180" s="65">
        <v>1174</v>
      </c>
      <c r="M1180" s="71">
        <f t="shared" ca="1" si="94"/>
        <v>5.1922161053371463</v>
      </c>
      <c r="N1180" s="65"/>
    </row>
    <row r="1181" spans="1:14" x14ac:dyDescent="0.25">
      <c r="A1181" s="2">
        <v>1175</v>
      </c>
      <c r="B1181" s="11">
        <f t="shared" ca="1" si="91"/>
        <v>0</v>
      </c>
      <c r="C1181" s="26">
        <f t="shared" ca="1" si="95"/>
        <v>0.97043996613716987</v>
      </c>
      <c r="J1181">
        <f t="shared" ca="1" si="92"/>
        <v>0</v>
      </c>
      <c r="K1181">
        <f t="shared" ca="1" si="93"/>
        <v>0</v>
      </c>
      <c r="L1181" s="65">
        <v>1175</v>
      </c>
      <c r="M1181" s="71">
        <f t="shared" ca="1" si="94"/>
        <v>0</v>
      </c>
      <c r="N1181" s="65"/>
    </row>
    <row r="1182" spans="1:14" x14ac:dyDescent="0.25">
      <c r="A1182" s="2">
        <v>1176</v>
      </c>
      <c r="B1182" s="11">
        <f t="shared" ca="1" si="91"/>
        <v>1</v>
      </c>
      <c r="C1182" s="26">
        <f t="shared" ca="1" si="95"/>
        <v>0.66449726388686559</v>
      </c>
      <c r="J1182">
        <f t="shared" ca="1" si="92"/>
        <v>1</v>
      </c>
      <c r="K1182">
        <f t="shared" ca="1" si="93"/>
        <v>0</v>
      </c>
      <c r="L1182" s="65">
        <v>1176</v>
      </c>
      <c r="M1182" s="71">
        <f t="shared" ca="1" si="94"/>
        <v>0.83121295765982028</v>
      </c>
      <c r="N1182" s="65"/>
    </row>
    <row r="1183" spans="1:14" x14ac:dyDescent="0.25">
      <c r="A1183" s="2">
        <v>1177</v>
      </c>
      <c r="B1183" s="11">
        <f t="shared" ca="1" si="91"/>
        <v>1</v>
      </c>
      <c r="C1183" s="26">
        <f t="shared" ca="1" si="95"/>
        <v>0.64088015747369531</v>
      </c>
      <c r="J1183">
        <f t="shared" ca="1" si="92"/>
        <v>1</v>
      </c>
      <c r="K1183">
        <f t="shared" ca="1" si="93"/>
        <v>0</v>
      </c>
      <c r="L1183" s="65">
        <v>1177</v>
      </c>
      <c r="M1183" s="71">
        <f t="shared" ca="1" si="94"/>
        <v>2.0527307136041686</v>
      </c>
      <c r="N1183" s="65"/>
    </row>
    <row r="1184" spans="1:14" x14ac:dyDescent="0.25">
      <c r="A1184" s="2">
        <v>1178</v>
      </c>
      <c r="B1184" s="11">
        <f t="shared" ca="1" si="91"/>
        <v>1</v>
      </c>
      <c r="C1184" s="26">
        <f t="shared" ca="1" si="95"/>
        <v>0.70424286538789516</v>
      </c>
      <c r="J1184">
        <f t="shared" ca="1" si="92"/>
        <v>1</v>
      </c>
      <c r="K1184">
        <f t="shared" ca="1" si="93"/>
        <v>0</v>
      </c>
      <c r="L1184" s="65">
        <v>1178</v>
      </c>
      <c r="M1184" s="71">
        <f t="shared" ca="1" si="94"/>
        <v>0.55240244125086957</v>
      </c>
      <c r="N1184" s="65"/>
    </row>
    <row r="1185" spans="1:14" x14ac:dyDescent="0.25">
      <c r="A1185" s="2">
        <v>1179</v>
      </c>
      <c r="B1185" s="11">
        <f t="shared" ca="1" si="91"/>
        <v>1</v>
      </c>
      <c r="C1185" s="26">
        <f t="shared" ca="1" si="95"/>
        <v>9.9787163520814959E-2</v>
      </c>
      <c r="J1185">
        <f t="shared" ca="1" si="92"/>
        <v>1</v>
      </c>
      <c r="K1185">
        <f t="shared" ca="1" si="93"/>
        <v>0</v>
      </c>
      <c r="L1185" s="65">
        <v>1179</v>
      </c>
      <c r="M1185" s="71">
        <f t="shared" ca="1" si="94"/>
        <v>1.6030382484132129</v>
      </c>
      <c r="N1185" s="65"/>
    </row>
    <row r="1186" spans="1:14" x14ac:dyDescent="0.25">
      <c r="A1186" s="2">
        <v>1180</v>
      </c>
      <c r="B1186" s="11">
        <f t="shared" ca="1" si="91"/>
        <v>1</v>
      </c>
      <c r="C1186" s="26">
        <f t="shared" ca="1" si="95"/>
        <v>0.43092360206166735</v>
      </c>
      <c r="J1186">
        <f t="shared" ca="1" si="92"/>
        <v>1</v>
      </c>
      <c r="K1186">
        <f t="shared" ca="1" si="93"/>
        <v>0</v>
      </c>
      <c r="L1186" s="65">
        <v>1180</v>
      </c>
      <c r="M1186" s="71">
        <f t="shared" ca="1" si="94"/>
        <v>0.8515084307368983</v>
      </c>
      <c r="N1186" s="65"/>
    </row>
    <row r="1187" spans="1:14" x14ac:dyDescent="0.25">
      <c r="A1187" s="2">
        <v>1181</v>
      </c>
      <c r="B1187" s="11">
        <f t="shared" ca="1" si="91"/>
        <v>1</v>
      </c>
      <c r="C1187" s="26">
        <f t="shared" ca="1" si="95"/>
        <v>9.322842549922572E-2</v>
      </c>
      <c r="J1187">
        <f t="shared" ca="1" si="92"/>
        <v>1</v>
      </c>
      <c r="K1187">
        <f t="shared" ca="1" si="93"/>
        <v>0</v>
      </c>
      <c r="L1187" s="65">
        <v>1181</v>
      </c>
      <c r="M1187" s="71">
        <f t="shared" ca="1" si="94"/>
        <v>3.1949554977414918</v>
      </c>
      <c r="N1187" s="65"/>
    </row>
    <row r="1188" spans="1:14" x14ac:dyDescent="0.25">
      <c r="A1188" s="2">
        <v>1182</v>
      </c>
      <c r="B1188" s="11">
        <f t="shared" ca="1" si="91"/>
        <v>1</v>
      </c>
      <c r="C1188" s="26">
        <f t="shared" ca="1" si="95"/>
        <v>0.31192044279511288</v>
      </c>
      <c r="J1188">
        <f t="shared" ca="1" si="92"/>
        <v>1</v>
      </c>
      <c r="K1188">
        <f t="shared" ca="1" si="93"/>
        <v>0</v>
      </c>
      <c r="L1188" s="65">
        <v>1182</v>
      </c>
      <c r="M1188" s="71">
        <f t="shared" ca="1" si="94"/>
        <v>1.7158295597326361</v>
      </c>
      <c r="N1188" s="65"/>
    </row>
    <row r="1189" spans="1:14" x14ac:dyDescent="0.25">
      <c r="A1189" s="2">
        <v>1183</v>
      </c>
      <c r="B1189" s="11">
        <f t="shared" ca="1" si="91"/>
        <v>1</v>
      </c>
      <c r="C1189" s="26">
        <f t="shared" ca="1" si="95"/>
        <v>0.32991869284424657</v>
      </c>
      <c r="J1189">
        <f t="shared" ca="1" si="92"/>
        <v>1</v>
      </c>
      <c r="K1189">
        <f t="shared" ca="1" si="93"/>
        <v>0</v>
      </c>
      <c r="L1189" s="65">
        <v>1183</v>
      </c>
      <c r="M1189" s="71">
        <f t="shared" ca="1" si="94"/>
        <v>8.9288801873449319</v>
      </c>
      <c r="N1189" s="65"/>
    </row>
    <row r="1190" spans="1:14" x14ac:dyDescent="0.25">
      <c r="A1190" s="2">
        <v>1184</v>
      </c>
      <c r="B1190" s="11">
        <f t="shared" ca="1" si="91"/>
        <v>1</v>
      </c>
      <c r="C1190" s="26">
        <f t="shared" ca="1" si="95"/>
        <v>0.63907449110085801</v>
      </c>
      <c r="J1190">
        <f t="shared" ca="1" si="92"/>
        <v>1</v>
      </c>
      <c r="K1190">
        <f t="shared" ca="1" si="93"/>
        <v>0</v>
      </c>
      <c r="L1190" s="65">
        <v>1184</v>
      </c>
      <c r="M1190" s="71">
        <f t="shared" ca="1" si="94"/>
        <v>12.412808202924538</v>
      </c>
      <c r="N1190" s="65"/>
    </row>
    <row r="1191" spans="1:14" x14ac:dyDescent="0.25">
      <c r="A1191" s="2">
        <v>1185</v>
      </c>
      <c r="B1191" s="11">
        <f t="shared" ca="1" si="91"/>
        <v>1</v>
      </c>
      <c r="C1191" s="26">
        <f t="shared" ca="1" si="95"/>
        <v>0.74465428098739561</v>
      </c>
      <c r="J1191">
        <f t="shared" ca="1" si="92"/>
        <v>1</v>
      </c>
      <c r="K1191">
        <f t="shared" ca="1" si="93"/>
        <v>0</v>
      </c>
      <c r="L1191" s="65">
        <v>1185</v>
      </c>
      <c r="M1191" s="71">
        <f t="shared" ca="1" si="94"/>
        <v>1.0555588440564205</v>
      </c>
      <c r="N1191" s="65"/>
    </row>
    <row r="1192" spans="1:14" x14ac:dyDescent="0.25">
      <c r="A1192" s="2">
        <v>1186</v>
      </c>
      <c r="B1192" s="11">
        <f t="shared" ca="1" si="91"/>
        <v>1</v>
      </c>
      <c r="C1192" s="26">
        <f t="shared" ca="1" si="95"/>
        <v>0.15360231629806131</v>
      </c>
      <c r="J1192">
        <f t="shared" ca="1" si="92"/>
        <v>0</v>
      </c>
      <c r="K1192">
        <f t="shared" ca="1" si="93"/>
        <v>0</v>
      </c>
      <c r="L1192" s="65">
        <v>1186</v>
      </c>
      <c r="M1192" s="71">
        <f t="shared" ca="1" si="94"/>
        <v>0.75815424274532972</v>
      </c>
      <c r="N1192" s="65"/>
    </row>
    <row r="1193" spans="1:14" x14ac:dyDescent="0.25">
      <c r="A1193" s="2">
        <v>1187</v>
      </c>
      <c r="B1193" s="11">
        <f t="shared" ca="1" si="91"/>
        <v>0</v>
      </c>
      <c r="C1193" s="26">
        <f t="shared" ca="1" si="95"/>
        <v>0.85547083863765028</v>
      </c>
      <c r="J1193">
        <f t="shared" ca="1" si="92"/>
        <v>0</v>
      </c>
      <c r="K1193">
        <f t="shared" ca="1" si="93"/>
        <v>0</v>
      </c>
      <c r="L1193" s="65">
        <v>1187</v>
      </c>
      <c r="M1193" s="71">
        <f t="shared" ca="1" si="94"/>
        <v>0</v>
      </c>
      <c r="N1193" s="65"/>
    </row>
    <row r="1194" spans="1:14" x14ac:dyDescent="0.25">
      <c r="A1194" s="2">
        <v>1188</v>
      </c>
      <c r="B1194" s="11">
        <f t="shared" ca="1" si="91"/>
        <v>1</v>
      </c>
      <c r="C1194" s="26">
        <f t="shared" ca="1" si="95"/>
        <v>0.33791979013335693</v>
      </c>
      <c r="J1194">
        <f t="shared" ca="1" si="92"/>
        <v>1</v>
      </c>
      <c r="K1194">
        <f t="shared" ca="1" si="93"/>
        <v>0</v>
      </c>
      <c r="L1194" s="65">
        <v>1188</v>
      </c>
      <c r="M1194" s="71">
        <f t="shared" ca="1" si="94"/>
        <v>7.773443771673695</v>
      </c>
      <c r="N1194" s="65"/>
    </row>
    <row r="1195" spans="1:14" x14ac:dyDescent="0.25">
      <c r="A1195" s="2">
        <v>1189</v>
      </c>
      <c r="B1195" s="11">
        <f t="shared" ca="1" si="91"/>
        <v>1</v>
      </c>
      <c r="C1195" s="26">
        <f t="shared" ca="1" si="95"/>
        <v>0.1959026361916546</v>
      </c>
      <c r="J1195">
        <f t="shared" ca="1" si="92"/>
        <v>0</v>
      </c>
      <c r="K1195">
        <f t="shared" ca="1" si="93"/>
        <v>0</v>
      </c>
      <c r="L1195" s="65">
        <v>1189</v>
      </c>
      <c r="M1195" s="71">
        <f t="shared" ca="1" si="94"/>
        <v>0.79032851646333102</v>
      </c>
      <c r="N1195" s="65"/>
    </row>
    <row r="1196" spans="1:14" x14ac:dyDescent="0.25">
      <c r="A1196" s="2">
        <v>1190</v>
      </c>
      <c r="B1196" s="11">
        <f t="shared" ca="1" si="91"/>
        <v>0</v>
      </c>
      <c r="C1196" s="26">
        <f t="shared" ca="1" si="95"/>
        <v>0.88161126966683201</v>
      </c>
      <c r="J1196">
        <f t="shared" ca="1" si="92"/>
        <v>0</v>
      </c>
      <c r="K1196">
        <f t="shared" ca="1" si="93"/>
        <v>0</v>
      </c>
      <c r="L1196" s="65">
        <v>1190</v>
      </c>
      <c r="M1196" s="71">
        <f t="shared" ca="1" si="94"/>
        <v>0</v>
      </c>
      <c r="N1196" s="65"/>
    </row>
    <row r="1197" spans="1:14" x14ac:dyDescent="0.25">
      <c r="A1197" s="2">
        <v>1191</v>
      </c>
      <c r="B1197" s="11">
        <f t="shared" ca="1" si="91"/>
        <v>1</v>
      </c>
      <c r="C1197" s="26">
        <f t="shared" ca="1" si="95"/>
        <v>0.19877653226893766</v>
      </c>
      <c r="J1197">
        <f t="shared" ca="1" si="92"/>
        <v>1</v>
      </c>
      <c r="K1197">
        <f t="shared" ca="1" si="93"/>
        <v>0</v>
      </c>
      <c r="L1197" s="65">
        <v>1191</v>
      </c>
      <c r="M1197" s="71">
        <f t="shared" ca="1" si="94"/>
        <v>1.6999183793672996</v>
      </c>
      <c r="N1197" s="65"/>
    </row>
    <row r="1198" spans="1:14" x14ac:dyDescent="0.25">
      <c r="A1198" s="2">
        <v>1192</v>
      </c>
      <c r="B1198" s="11">
        <f t="shared" ca="1" si="91"/>
        <v>1</v>
      </c>
      <c r="C1198" s="26">
        <f t="shared" ca="1" si="95"/>
        <v>4.5242134404584244E-2</v>
      </c>
      <c r="J1198">
        <f t="shared" ca="1" si="92"/>
        <v>1</v>
      </c>
      <c r="K1198">
        <f t="shared" ca="1" si="93"/>
        <v>0</v>
      </c>
      <c r="L1198" s="65">
        <v>1192</v>
      </c>
      <c r="M1198" s="71">
        <f t="shared" ca="1" si="94"/>
        <v>3.6426511021980992</v>
      </c>
      <c r="N1198" s="65"/>
    </row>
    <row r="1199" spans="1:14" x14ac:dyDescent="0.25">
      <c r="A1199" s="2">
        <v>1193</v>
      </c>
      <c r="B1199" s="11">
        <f t="shared" ref="B1199:B1262" ca="1" si="96">IF(B1198&gt;0,IF(C1199&lt;pww,1,0),IF(C1199&lt;pdw,1,0))</f>
        <v>1</v>
      </c>
      <c r="C1199" s="26">
        <f t="shared" ca="1" si="95"/>
        <v>0.55714827682375578</v>
      </c>
      <c r="J1199">
        <f t="shared" ref="J1199:J1262" ca="1" si="97">IF(AND(B1199,B1200),1,0)</f>
        <v>1</v>
      </c>
      <c r="K1199">
        <f t="shared" ref="K1199:K1262" ca="1" si="98">IF(AND(NOT(B1199),NOT(B1200)),1,0)</f>
        <v>0</v>
      </c>
      <c r="L1199" s="65">
        <v>1193</v>
      </c>
      <c r="M1199" s="71">
        <f t="shared" ca="1" si="94"/>
        <v>0.45152322841337089</v>
      </c>
      <c r="N1199" s="65"/>
    </row>
    <row r="1200" spans="1:14" x14ac:dyDescent="0.25">
      <c r="A1200" s="2">
        <v>1194</v>
      </c>
      <c r="B1200" s="11">
        <f t="shared" ca="1" si="96"/>
        <v>1</v>
      </c>
      <c r="C1200" s="26">
        <f t="shared" ca="1" si="95"/>
        <v>0.59638287045277538</v>
      </c>
      <c r="J1200">
        <f t="shared" ca="1" si="97"/>
        <v>1</v>
      </c>
      <c r="K1200">
        <f t="shared" ca="1" si="98"/>
        <v>0</v>
      </c>
      <c r="L1200" s="65">
        <v>1194</v>
      </c>
      <c r="M1200" s="71">
        <f t="shared" ca="1" si="94"/>
        <v>6.4249953465936054</v>
      </c>
      <c r="N1200" s="65"/>
    </row>
    <row r="1201" spans="1:14" x14ac:dyDescent="0.25">
      <c r="A1201" s="2">
        <v>1195</v>
      </c>
      <c r="B1201" s="11">
        <f t="shared" ca="1" si="96"/>
        <v>1</v>
      </c>
      <c r="C1201" s="26">
        <f t="shared" ca="1" si="95"/>
        <v>0.74628664186482341</v>
      </c>
      <c r="J1201">
        <f t="shared" ca="1" si="97"/>
        <v>0</v>
      </c>
      <c r="K1201">
        <f t="shared" ca="1" si="98"/>
        <v>0</v>
      </c>
      <c r="L1201" s="65">
        <v>1195</v>
      </c>
      <c r="M1201" s="71">
        <f t="shared" ca="1" si="94"/>
        <v>1.3527491964438805</v>
      </c>
      <c r="N1201" s="65"/>
    </row>
    <row r="1202" spans="1:14" x14ac:dyDescent="0.25">
      <c r="A1202" s="2">
        <v>1196</v>
      </c>
      <c r="B1202" s="11">
        <f t="shared" ca="1" si="96"/>
        <v>0</v>
      </c>
      <c r="C1202" s="26">
        <f t="shared" ca="1" si="95"/>
        <v>0.98391389833834908</v>
      </c>
      <c r="J1202">
        <f t="shared" ca="1" si="97"/>
        <v>0</v>
      </c>
      <c r="K1202">
        <f t="shared" ca="1" si="98"/>
        <v>0</v>
      </c>
      <c r="L1202" s="65">
        <v>1196</v>
      </c>
      <c r="M1202" s="71">
        <f t="shared" ca="1" si="94"/>
        <v>0</v>
      </c>
      <c r="N1202" s="65"/>
    </row>
    <row r="1203" spans="1:14" x14ac:dyDescent="0.25">
      <c r="A1203" s="2">
        <v>1197</v>
      </c>
      <c r="B1203" s="11">
        <f t="shared" ca="1" si="96"/>
        <v>1</v>
      </c>
      <c r="C1203" s="26">
        <f t="shared" ca="1" si="95"/>
        <v>5.8118077024990167E-2</v>
      </c>
      <c r="J1203">
        <f t="shared" ca="1" si="97"/>
        <v>1</v>
      </c>
      <c r="K1203">
        <f t="shared" ca="1" si="98"/>
        <v>0</v>
      </c>
      <c r="L1203" s="65">
        <v>1197</v>
      </c>
      <c r="M1203" s="71">
        <f t="shared" ca="1" si="94"/>
        <v>2.1826593857402652</v>
      </c>
      <c r="N1203" s="65"/>
    </row>
    <row r="1204" spans="1:14" x14ac:dyDescent="0.25">
      <c r="A1204" s="2">
        <v>1198</v>
      </c>
      <c r="B1204" s="11">
        <f t="shared" ca="1" si="96"/>
        <v>1</v>
      </c>
      <c r="C1204" s="26">
        <f t="shared" ca="1" si="95"/>
        <v>0.32495008194562125</v>
      </c>
      <c r="J1204">
        <f t="shared" ca="1" si="97"/>
        <v>0</v>
      </c>
      <c r="K1204">
        <f t="shared" ca="1" si="98"/>
        <v>0</v>
      </c>
      <c r="L1204" s="65">
        <v>1198</v>
      </c>
      <c r="M1204" s="71">
        <f t="shared" ca="1" si="94"/>
        <v>1.0858151653368209</v>
      </c>
      <c r="N1204" s="65"/>
    </row>
    <row r="1205" spans="1:14" x14ac:dyDescent="0.25">
      <c r="A1205" s="2">
        <v>1199</v>
      </c>
      <c r="B1205" s="11">
        <f t="shared" ca="1" si="96"/>
        <v>0</v>
      </c>
      <c r="C1205" s="26">
        <f t="shared" ca="1" si="95"/>
        <v>0.81056194860044406</v>
      </c>
      <c r="J1205">
        <f t="shared" ca="1" si="97"/>
        <v>0</v>
      </c>
      <c r="K1205">
        <f t="shared" ca="1" si="98"/>
        <v>0</v>
      </c>
      <c r="L1205" s="65">
        <v>1199</v>
      </c>
      <c r="M1205" s="71">
        <f t="shared" ca="1" si="94"/>
        <v>0</v>
      </c>
      <c r="N1205" s="65"/>
    </row>
    <row r="1206" spans="1:14" x14ac:dyDescent="0.25">
      <c r="A1206" s="2">
        <v>1200</v>
      </c>
      <c r="B1206" s="11">
        <f t="shared" ca="1" si="96"/>
        <v>1</v>
      </c>
      <c r="C1206" s="26">
        <f t="shared" ca="1" si="95"/>
        <v>6.0387147306030009E-2</v>
      </c>
      <c r="J1206">
        <f t="shared" ca="1" si="97"/>
        <v>1</v>
      </c>
      <c r="K1206">
        <f t="shared" ca="1" si="98"/>
        <v>0</v>
      </c>
      <c r="L1206" s="65">
        <v>1200</v>
      </c>
      <c r="M1206" s="71">
        <f t="shared" ca="1" si="94"/>
        <v>0.56637019723979143</v>
      </c>
      <c r="N1206" s="65"/>
    </row>
    <row r="1207" spans="1:14" x14ac:dyDescent="0.25">
      <c r="A1207" s="2">
        <v>1201</v>
      </c>
      <c r="B1207" s="11">
        <f t="shared" ca="1" si="96"/>
        <v>1</v>
      </c>
      <c r="C1207" s="26">
        <f t="shared" ca="1" si="95"/>
        <v>0.75311485617859586</v>
      </c>
      <c r="J1207">
        <f t="shared" ca="1" si="97"/>
        <v>1</v>
      </c>
      <c r="K1207">
        <f t="shared" ca="1" si="98"/>
        <v>0</v>
      </c>
      <c r="L1207" s="65">
        <v>1201</v>
      </c>
      <c r="M1207" s="71">
        <f t="shared" ca="1" si="94"/>
        <v>9.5447983892302482E-2</v>
      </c>
      <c r="N1207" s="65"/>
    </row>
    <row r="1208" spans="1:14" x14ac:dyDescent="0.25">
      <c r="A1208" s="2">
        <v>1202</v>
      </c>
      <c r="B1208" s="11">
        <f t="shared" ca="1" si="96"/>
        <v>1</v>
      </c>
      <c r="C1208" s="26">
        <f t="shared" ca="1" si="95"/>
        <v>0.34235639407422847</v>
      </c>
      <c r="J1208">
        <f t="shared" ca="1" si="97"/>
        <v>1</v>
      </c>
      <c r="K1208">
        <f t="shared" ca="1" si="98"/>
        <v>0</v>
      </c>
      <c r="L1208" s="65">
        <v>1202</v>
      </c>
      <c r="M1208" s="71">
        <f t="shared" ca="1" si="94"/>
        <v>2.3057104996015432</v>
      </c>
      <c r="N1208" s="65"/>
    </row>
    <row r="1209" spans="1:14" x14ac:dyDescent="0.25">
      <c r="A1209" s="2">
        <v>1203</v>
      </c>
      <c r="B1209" s="11">
        <f t="shared" ca="1" si="96"/>
        <v>1</v>
      </c>
      <c r="C1209" s="26">
        <f t="shared" ca="1" si="95"/>
        <v>0.78434113136580996</v>
      </c>
      <c r="J1209">
        <f t="shared" ca="1" si="97"/>
        <v>1</v>
      </c>
      <c r="K1209">
        <f t="shared" ca="1" si="98"/>
        <v>0</v>
      </c>
      <c r="L1209" s="65">
        <v>1203</v>
      </c>
      <c r="M1209" s="71">
        <f t="shared" ca="1" si="94"/>
        <v>3.4064017761673409</v>
      </c>
      <c r="N1209" s="65"/>
    </row>
    <row r="1210" spans="1:14" x14ac:dyDescent="0.25">
      <c r="A1210" s="2">
        <v>1204</v>
      </c>
      <c r="B1210" s="11">
        <f t="shared" ca="1" si="96"/>
        <v>1</v>
      </c>
      <c r="C1210" s="26">
        <f t="shared" ca="1" si="95"/>
        <v>0.47403991313219507</v>
      </c>
      <c r="J1210">
        <f t="shared" ca="1" si="97"/>
        <v>1</v>
      </c>
      <c r="K1210">
        <f t="shared" ca="1" si="98"/>
        <v>0</v>
      </c>
      <c r="L1210" s="65">
        <v>1204</v>
      </c>
      <c r="M1210" s="71">
        <f t="shared" ca="1" si="94"/>
        <v>2.1312525572663907</v>
      </c>
      <c r="N1210" s="65"/>
    </row>
    <row r="1211" spans="1:14" x14ac:dyDescent="0.25">
      <c r="A1211" s="2">
        <v>1205</v>
      </c>
      <c r="B1211" s="11">
        <f t="shared" ca="1" si="96"/>
        <v>1</v>
      </c>
      <c r="C1211" s="26">
        <f t="shared" ca="1" si="95"/>
        <v>0.31413606735343569</v>
      </c>
      <c r="J1211">
        <f t="shared" ca="1" si="97"/>
        <v>1</v>
      </c>
      <c r="K1211">
        <f t="shared" ca="1" si="98"/>
        <v>0</v>
      </c>
      <c r="L1211" s="65">
        <v>1205</v>
      </c>
      <c r="M1211" s="71">
        <f t="shared" ca="1" si="94"/>
        <v>5.2732335829897137</v>
      </c>
      <c r="N1211" s="65"/>
    </row>
    <row r="1212" spans="1:14" x14ac:dyDescent="0.25">
      <c r="A1212" s="2">
        <v>1206</v>
      </c>
      <c r="B1212" s="11">
        <f t="shared" ca="1" si="96"/>
        <v>1</v>
      </c>
      <c r="C1212" s="26">
        <f t="shared" ca="1" si="95"/>
        <v>5.7521334741183483E-2</v>
      </c>
      <c r="J1212">
        <f t="shared" ca="1" si="97"/>
        <v>1</v>
      </c>
      <c r="K1212">
        <f t="shared" ca="1" si="98"/>
        <v>0</v>
      </c>
      <c r="L1212" s="65">
        <v>1206</v>
      </c>
      <c r="M1212" s="71">
        <f t="shared" ca="1" si="94"/>
        <v>3.3620341141605627</v>
      </c>
      <c r="N1212" s="65"/>
    </row>
    <row r="1213" spans="1:14" x14ac:dyDescent="0.25">
      <c r="A1213" s="2">
        <v>1207</v>
      </c>
      <c r="B1213" s="11">
        <f t="shared" ca="1" si="96"/>
        <v>1</v>
      </c>
      <c r="C1213" s="26">
        <f t="shared" ca="1" si="95"/>
        <v>0.6079335235534048</v>
      </c>
      <c r="J1213">
        <f t="shared" ca="1" si="97"/>
        <v>0</v>
      </c>
      <c r="K1213">
        <f t="shared" ca="1" si="98"/>
        <v>0</v>
      </c>
      <c r="L1213" s="65">
        <v>1207</v>
      </c>
      <c r="M1213" s="71">
        <f t="shared" ca="1" si="94"/>
        <v>0.42849379619391792</v>
      </c>
      <c r="N1213" s="65"/>
    </row>
    <row r="1214" spans="1:14" x14ac:dyDescent="0.25">
      <c r="A1214" s="2">
        <v>1208</v>
      </c>
      <c r="B1214" s="11">
        <f t="shared" ca="1" si="96"/>
        <v>0</v>
      </c>
      <c r="C1214" s="26">
        <f t="shared" ca="1" si="95"/>
        <v>0.93019385719043612</v>
      </c>
      <c r="J1214">
        <f t="shared" ca="1" si="97"/>
        <v>0</v>
      </c>
      <c r="K1214">
        <f t="shared" ca="1" si="98"/>
        <v>0</v>
      </c>
      <c r="L1214" s="65">
        <v>1208</v>
      </c>
      <c r="M1214" s="71">
        <f t="shared" ca="1" si="94"/>
        <v>0</v>
      </c>
      <c r="N1214" s="65"/>
    </row>
    <row r="1215" spans="1:14" x14ac:dyDescent="0.25">
      <c r="A1215" s="2">
        <v>1209</v>
      </c>
      <c r="B1215" s="11">
        <f t="shared" ca="1" si="96"/>
        <v>1</v>
      </c>
      <c r="C1215" s="26">
        <f t="shared" ca="1" si="95"/>
        <v>0.25519114327224268</v>
      </c>
      <c r="J1215">
        <f t="shared" ca="1" si="97"/>
        <v>1</v>
      </c>
      <c r="K1215">
        <f t="shared" ca="1" si="98"/>
        <v>0</v>
      </c>
      <c r="L1215" s="65">
        <v>1209</v>
      </c>
      <c r="M1215" s="71">
        <f t="shared" ca="1" si="94"/>
        <v>3.0860875077749284</v>
      </c>
      <c r="N1215" s="65"/>
    </row>
    <row r="1216" spans="1:14" x14ac:dyDescent="0.25">
      <c r="A1216" s="2">
        <v>1210</v>
      </c>
      <c r="B1216" s="11">
        <f t="shared" ca="1" si="96"/>
        <v>1</v>
      </c>
      <c r="C1216" s="26">
        <f t="shared" ca="1" si="95"/>
        <v>0.22557469410269271</v>
      </c>
      <c r="J1216">
        <f t="shared" ca="1" si="97"/>
        <v>1</v>
      </c>
      <c r="K1216">
        <f t="shared" ca="1" si="98"/>
        <v>0</v>
      </c>
      <c r="L1216" s="65">
        <v>1210</v>
      </c>
      <c r="M1216" s="71">
        <f t="shared" ca="1" si="94"/>
        <v>1.3033783851662633</v>
      </c>
      <c r="N1216" s="65"/>
    </row>
    <row r="1217" spans="1:14" x14ac:dyDescent="0.25">
      <c r="A1217" s="2">
        <v>1211</v>
      </c>
      <c r="B1217" s="11">
        <f t="shared" ca="1" si="96"/>
        <v>1</v>
      </c>
      <c r="C1217" s="26">
        <f t="shared" ca="1" si="95"/>
        <v>0.78309084122461436</v>
      </c>
      <c r="J1217">
        <f t="shared" ca="1" si="97"/>
        <v>1</v>
      </c>
      <c r="K1217">
        <f t="shared" ca="1" si="98"/>
        <v>0</v>
      </c>
      <c r="L1217" s="65">
        <v>1211</v>
      </c>
      <c r="M1217" s="71">
        <f t="shared" ca="1" si="94"/>
        <v>0.23740133276689962</v>
      </c>
      <c r="N1217" s="65"/>
    </row>
    <row r="1218" spans="1:14" x14ac:dyDescent="0.25">
      <c r="A1218" s="2">
        <v>1212</v>
      </c>
      <c r="B1218" s="11">
        <f t="shared" ca="1" si="96"/>
        <v>1</v>
      </c>
      <c r="C1218" s="26">
        <f t="shared" ca="1" si="95"/>
        <v>0.58994313253635944</v>
      </c>
      <c r="J1218">
        <f t="shared" ca="1" si="97"/>
        <v>1</v>
      </c>
      <c r="K1218">
        <f t="shared" ca="1" si="98"/>
        <v>0</v>
      </c>
      <c r="L1218" s="65">
        <v>1212</v>
      </c>
      <c r="M1218" s="71">
        <f t="shared" ca="1" si="94"/>
        <v>13.847508730693795</v>
      </c>
      <c r="N1218" s="65"/>
    </row>
    <row r="1219" spans="1:14" x14ac:dyDescent="0.25">
      <c r="A1219" s="2">
        <v>1213</v>
      </c>
      <c r="B1219" s="11">
        <f t="shared" ca="1" si="96"/>
        <v>1</v>
      </c>
      <c r="C1219" s="26">
        <f t="shared" ca="1" si="95"/>
        <v>0.47295044162215671</v>
      </c>
      <c r="J1219">
        <f t="shared" ca="1" si="97"/>
        <v>1</v>
      </c>
      <c r="K1219">
        <f t="shared" ca="1" si="98"/>
        <v>0</v>
      </c>
      <c r="L1219" s="65">
        <v>1213</v>
      </c>
      <c r="M1219" s="71">
        <f t="shared" ca="1" si="94"/>
        <v>0.33018791000097425</v>
      </c>
      <c r="N1219" s="65"/>
    </row>
    <row r="1220" spans="1:14" x14ac:dyDescent="0.25">
      <c r="A1220" s="2">
        <v>1214</v>
      </c>
      <c r="B1220" s="11">
        <f t="shared" ca="1" si="96"/>
        <v>1</v>
      </c>
      <c r="C1220" s="26">
        <f t="shared" ca="1" si="95"/>
        <v>0.17989932867478164</v>
      </c>
      <c r="J1220">
        <f t="shared" ca="1" si="97"/>
        <v>1</v>
      </c>
      <c r="K1220">
        <f t="shared" ca="1" si="98"/>
        <v>0</v>
      </c>
      <c r="L1220" s="65">
        <v>1214</v>
      </c>
      <c r="M1220" s="71">
        <f t="shared" ca="1" si="94"/>
        <v>2.1056079365721372</v>
      </c>
      <c r="N1220" s="65"/>
    </row>
    <row r="1221" spans="1:14" x14ac:dyDescent="0.25">
      <c r="A1221" s="2">
        <v>1215</v>
      </c>
      <c r="B1221" s="11">
        <f t="shared" ca="1" si="96"/>
        <v>1</v>
      </c>
      <c r="C1221" s="26">
        <f t="shared" ca="1" si="95"/>
        <v>0.22028923431010017</v>
      </c>
      <c r="J1221">
        <f t="shared" ca="1" si="97"/>
        <v>0</v>
      </c>
      <c r="K1221">
        <f t="shared" ca="1" si="98"/>
        <v>0</v>
      </c>
      <c r="L1221" s="65">
        <v>1215</v>
      </c>
      <c r="M1221" s="71">
        <f t="shared" ca="1" si="94"/>
        <v>0.34793494714816342</v>
      </c>
      <c r="N1221" s="65"/>
    </row>
    <row r="1222" spans="1:14" x14ac:dyDescent="0.25">
      <c r="A1222" s="2">
        <v>1216</v>
      </c>
      <c r="B1222" s="11">
        <f t="shared" ca="1" si="96"/>
        <v>0</v>
      </c>
      <c r="C1222" s="26">
        <f t="shared" ca="1" si="95"/>
        <v>0.8956168881518527</v>
      </c>
      <c r="J1222">
        <f t="shared" ca="1" si="97"/>
        <v>0</v>
      </c>
      <c r="K1222">
        <f t="shared" ca="1" si="98"/>
        <v>0</v>
      </c>
      <c r="L1222" s="65">
        <v>1216</v>
      </c>
      <c r="M1222" s="71">
        <f t="shared" ca="1" si="94"/>
        <v>0</v>
      </c>
      <c r="N1222" s="65"/>
    </row>
    <row r="1223" spans="1:14" x14ac:dyDescent="0.25">
      <c r="A1223" s="2">
        <v>1217</v>
      </c>
      <c r="B1223" s="11">
        <f t="shared" ca="1" si="96"/>
        <v>1</v>
      </c>
      <c r="C1223" s="26">
        <f t="shared" ca="1" si="95"/>
        <v>3.9445085035092475E-2</v>
      </c>
      <c r="J1223">
        <f t="shared" ca="1" si="97"/>
        <v>1</v>
      </c>
      <c r="K1223">
        <f t="shared" ca="1" si="98"/>
        <v>0</v>
      </c>
      <c r="L1223" s="65">
        <v>1217</v>
      </c>
      <c r="M1223" s="71">
        <f t="shared" ref="M1223:M1286" ca="1" si="99">IF(B1223&gt;0,-LN(1-(RAND()))/lambda,0)</f>
        <v>17.245418496803428</v>
      </c>
      <c r="N1223" s="65"/>
    </row>
    <row r="1224" spans="1:14" x14ac:dyDescent="0.25">
      <c r="A1224" s="2">
        <v>1218</v>
      </c>
      <c r="B1224" s="11">
        <f t="shared" ca="1" si="96"/>
        <v>1</v>
      </c>
      <c r="C1224" s="26">
        <f t="shared" ref="C1224:C1287" ca="1" si="100">RAND()</f>
        <v>0.73438720758003495</v>
      </c>
      <c r="J1224">
        <f t="shared" ca="1" si="97"/>
        <v>1</v>
      </c>
      <c r="K1224">
        <f t="shared" ca="1" si="98"/>
        <v>0</v>
      </c>
      <c r="L1224" s="65">
        <v>1218</v>
      </c>
      <c r="M1224" s="71">
        <f t="shared" ca="1" si="99"/>
        <v>1.673706545124563</v>
      </c>
      <c r="N1224" s="65"/>
    </row>
    <row r="1225" spans="1:14" x14ac:dyDescent="0.25">
      <c r="A1225" s="2">
        <v>1219</v>
      </c>
      <c r="B1225" s="11">
        <f t="shared" ca="1" si="96"/>
        <v>1</v>
      </c>
      <c r="C1225" s="26">
        <f t="shared" ca="1" si="100"/>
        <v>0.59426834260861505</v>
      </c>
      <c r="J1225">
        <f t="shared" ca="1" si="97"/>
        <v>1</v>
      </c>
      <c r="K1225">
        <f t="shared" ca="1" si="98"/>
        <v>0</v>
      </c>
      <c r="L1225" s="65">
        <v>1219</v>
      </c>
      <c r="M1225" s="71">
        <f t="shared" ca="1" si="99"/>
        <v>0.45151662859780101</v>
      </c>
      <c r="N1225" s="65"/>
    </row>
    <row r="1226" spans="1:14" x14ac:dyDescent="0.25">
      <c r="A1226" s="2">
        <v>1220</v>
      </c>
      <c r="B1226" s="11">
        <f t="shared" ca="1" si="96"/>
        <v>1</v>
      </c>
      <c r="C1226" s="26">
        <f t="shared" ca="1" si="100"/>
        <v>0.16195669366738297</v>
      </c>
      <c r="J1226">
        <f t="shared" ca="1" si="97"/>
        <v>0</v>
      </c>
      <c r="K1226">
        <f t="shared" ca="1" si="98"/>
        <v>0</v>
      </c>
      <c r="L1226" s="65">
        <v>1220</v>
      </c>
      <c r="M1226" s="71">
        <f t="shared" ca="1" si="99"/>
        <v>1.6529404041271492</v>
      </c>
      <c r="N1226" s="65"/>
    </row>
    <row r="1227" spans="1:14" x14ac:dyDescent="0.25">
      <c r="A1227" s="2">
        <v>1221</v>
      </c>
      <c r="B1227" s="11">
        <f t="shared" ca="1" si="96"/>
        <v>0</v>
      </c>
      <c r="C1227" s="26">
        <f t="shared" ca="1" si="100"/>
        <v>0.83128893625383371</v>
      </c>
      <c r="J1227">
        <f t="shared" ca="1" si="97"/>
        <v>0</v>
      </c>
      <c r="K1227">
        <f t="shared" ca="1" si="98"/>
        <v>0</v>
      </c>
      <c r="L1227" s="65">
        <v>1221</v>
      </c>
      <c r="M1227" s="71">
        <f t="shared" ca="1" si="99"/>
        <v>0</v>
      </c>
      <c r="N1227" s="65"/>
    </row>
    <row r="1228" spans="1:14" x14ac:dyDescent="0.25">
      <c r="A1228" s="2">
        <v>1222</v>
      </c>
      <c r="B1228" s="11">
        <f t="shared" ca="1" si="96"/>
        <v>1</v>
      </c>
      <c r="C1228" s="26">
        <f t="shared" ca="1" si="100"/>
        <v>0.22926263421968363</v>
      </c>
      <c r="J1228">
        <f t="shared" ca="1" si="97"/>
        <v>1</v>
      </c>
      <c r="K1228">
        <f t="shared" ca="1" si="98"/>
        <v>0</v>
      </c>
      <c r="L1228" s="65">
        <v>1222</v>
      </c>
      <c r="M1228" s="71">
        <f t="shared" ca="1" si="99"/>
        <v>7.4128036330253142</v>
      </c>
      <c r="N1228" s="65"/>
    </row>
    <row r="1229" spans="1:14" x14ac:dyDescent="0.25">
      <c r="A1229" s="2">
        <v>1223</v>
      </c>
      <c r="B1229" s="11">
        <f t="shared" ca="1" si="96"/>
        <v>1</v>
      </c>
      <c r="C1229" s="26">
        <f t="shared" ca="1" si="100"/>
        <v>0.71629830488796131</v>
      </c>
      <c r="J1229">
        <f t="shared" ca="1" si="97"/>
        <v>0</v>
      </c>
      <c r="K1229">
        <f t="shared" ca="1" si="98"/>
        <v>0</v>
      </c>
      <c r="L1229" s="65">
        <v>1223</v>
      </c>
      <c r="M1229" s="71">
        <f t="shared" ca="1" si="99"/>
        <v>3.9239029750962899</v>
      </c>
      <c r="N1229" s="65"/>
    </row>
    <row r="1230" spans="1:14" x14ac:dyDescent="0.25">
      <c r="A1230" s="2">
        <v>1224</v>
      </c>
      <c r="B1230" s="11">
        <f t="shared" ca="1" si="96"/>
        <v>0</v>
      </c>
      <c r="C1230" s="26">
        <f t="shared" ca="1" si="100"/>
        <v>0.82312906077619352</v>
      </c>
      <c r="J1230">
        <f t="shared" ca="1" si="97"/>
        <v>0</v>
      </c>
      <c r="K1230">
        <f t="shared" ca="1" si="98"/>
        <v>0</v>
      </c>
      <c r="L1230" s="65">
        <v>1224</v>
      </c>
      <c r="M1230" s="71">
        <f t="shared" ca="1" si="99"/>
        <v>0</v>
      </c>
      <c r="N1230" s="65"/>
    </row>
    <row r="1231" spans="1:14" x14ac:dyDescent="0.25">
      <c r="A1231" s="2">
        <v>1225</v>
      </c>
      <c r="B1231" s="11">
        <f t="shared" ca="1" si="96"/>
        <v>1</v>
      </c>
      <c r="C1231" s="26">
        <f t="shared" ca="1" si="100"/>
        <v>0.50189653001649059</v>
      </c>
      <c r="J1231">
        <f t="shared" ca="1" si="97"/>
        <v>1</v>
      </c>
      <c r="K1231">
        <f t="shared" ca="1" si="98"/>
        <v>0</v>
      </c>
      <c r="L1231" s="65">
        <v>1225</v>
      </c>
      <c r="M1231" s="71">
        <f t="shared" ca="1" si="99"/>
        <v>0.40763696790985143</v>
      </c>
      <c r="N1231" s="65"/>
    </row>
    <row r="1232" spans="1:14" x14ac:dyDescent="0.25">
      <c r="A1232" s="2">
        <v>1226</v>
      </c>
      <c r="B1232" s="11">
        <f t="shared" ca="1" si="96"/>
        <v>1</v>
      </c>
      <c r="C1232" s="26">
        <f t="shared" ca="1" si="100"/>
        <v>0.14245350430321413</v>
      </c>
      <c r="J1232">
        <f t="shared" ca="1" si="97"/>
        <v>0</v>
      </c>
      <c r="K1232">
        <f t="shared" ca="1" si="98"/>
        <v>0</v>
      </c>
      <c r="L1232" s="65">
        <v>1226</v>
      </c>
      <c r="M1232" s="71">
        <f t="shared" ca="1" si="99"/>
        <v>0.70303776329652645</v>
      </c>
      <c r="N1232" s="65"/>
    </row>
    <row r="1233" spans="1:14" x14ac:dyDescent="0.25">
      <c r="A1233" s="2">
        <v>1227</v>
      </c>
      <c r="B1233" s="11">
        <f t="shared" ca="1" si="96"/>
        <v>0</v>
      </c>
      <c r="C1233" s="26">
        <f t="shared" ca="1" si="100"/>
        <v>0.95256292266999987</v>
      </c>
      <c r="J1233">
        <f t="shared" ca="1" si="97"/>
        <v>0</v>
      </c>
      <c r="K1233">
        <f t="shared" ca="1" si="98"/>
        <v>0</v>
      </c>
      <c r="L1233" s="65">
        <v>1227</v>
      </c>
      <c r="M1233" s="71">
        <f t="shared" ca="1" si="99"/>
        <v>0</v>
      </c>
      <c r="N1233" s="65"/>
    </row>
    <row r="1234" spans="1:14" x14ac:dyDescent="0.25">
      <c r="A1234" s="2">
        <v>1228</v>
      </c>
      <c r="B1234" s="11">
        <f t="shared" ca="1" si="96"/>
        <v>1</v>
      </c>
      <c r="C1234" s="26">
        <f t="shared" ca="1" si="100"/>
        <v>0.67187799131090808</v>
      </c>
      <c r="J1234">
        <f t="shared" ca="1" si="97"/>
        <v>0</v>
      </c>
      <c r="K1234">
        <f t="shared" ca="1" si="98"/>
        <v>0</v>
      </c>
      <c r="L1234" s="65">
        <v>1228</v>
      </c>
      <c r="M1234" s="71">
        <f t="shared" ca="1" si="99"/>
        <v>1.0864663986755843</v>
      </c>
      <c r="N1234" s="65"/>
    </row>
    <row r="1235" spans="1:14" x14ac:dyDescent="0.25">
      <c r="A1235" s="2">
        <v>1229</v>
      </c>
      <c r="B1235" s="11">
        <f t="shared" ca="1" si="96"/>
        <v>0</v>
      </c>
      <c r="C1235" s="26">
        <f t="shared" ca="1" si="100"/>
        <v>0.8650642274472421</v>
      </c>
      <c r="J1235">
        <f t="shared" ca="1" si="97"/>
        <v>0</v>
      </c>
      <c r="K1235">
        <f t="shared" ca="1" si="98"/>
        <v>1</v>
      </c>
      <c r="L1235" s="65">
        <v>1229</v>
      </c>
      <c r="M1235" s="71">
        <f t="shared" ca="1" si="99"/>
        <v>0</v>
      </c>
      <c r="N1235" s="65"/>
    </row>
    <row r="1236" spans="1:14" x14ac:dyDescent="0.25">
      <c r="A1236" s="2">
        <v>1230</v>
      </c>
      <c r="B1236" s="11">
        <f t="shared" ca="1" si="96"/>
        <v>0</v>
      </c>
      <c r="C1236" s="26">
        <f t="shared" ca="1" si="100"/>
        <v>0.92887458655113908</v>
      </c>
      <c r="J1236">
        <f t="shared" ca="1" si="97"/>
        <v>0</v>
      </c>
      <c r="K1236">
        <f t="shared" ca="1" si="98"/>
        <v>1</v>
      </c>
      <c r="L1236" s="65">
        <v>1230</v>
      </c>
      <c r="M1236" s="71">
        <f t="shared" ca="1" si="99"/>
        <v>0</v>
      </c>
      <c r="N1236" s="65"/>
    </row>
    <row r="1237" spans="1:14" x14ac:dyDescent="0.25">
      <c r="A1237" s="2">
        <v>1231</v>
      </c>
      <c r="B1237" s="11">
        <f t="shared" ca="1" si="96"/>
        <v>0</v>
      </c>
      <c r="C1237" s="26">
        <f t="shared" ca="1" si="100"/>
        <v>0.93398013850095563</v>
      </c>
      <c r="J1237">
        <f t="shared" ca="1" si="97"/>
        <v>0</v>
      </c>
      <c r="K1237">
        <f t="shared" ca="1" si="98"/>
        <v>0</v>
      </c>
      <c r="L1237" s="65">
        <v>1231</v>
      </c>
      <c r="M1237" s="71">
        <f t="shared" ca="1" si="99"/>
        <v>0</v>
      </c>
      <c r="N1237" s="65"/>
    </row>
    <row r="1238" spans="1:14" x14ac:dyDescent="0.25">
      <c r="A1238" s="2">
        <v>1232</v>
      </c>
      <c r="B1238" s="11">
        <f t="shared" ca="1" si="96"/>
        <v>1</v>
      </c>
      <c r="C1238" s="26">
        <f t="shared" ca="1" si="100"/>
        <v>0.3493549749311754</v>
      </c>
      <c r="J1238">
        <f t="shared" ca="1" si="97"/>
        <v>1</v>
      </c>
      <c r="K1238">
        <f t="shared" ca="1" si="98"/>
        <v>0</v>
      </c>
      <c r="L1238" s="65">
        <v>1232</v>
      </c>
      <c r="M1238" s="71">
        <f t="shared" ca="1" si="99"/>
        <v>3.6963057096849949</v>
      </c>
      <c r="N1238" s="65"/>
    </row>
    <row r="1239" spans="1:14" x14ac:dyDescent="0.25">
      <c r="A1239" s="2">
        <v>1233</v>
      </c>
      <c r="B1239" s="11">
        <f t="shared" ca="1" si="96"/>
        <v>1</v>
      </c>
      <c r="C1239" s="26">
        <f t="shared" ca="1" si="100"/>
        <v>0.59673013041013578</v>
      </c>
      <c r="J1239">
        <f t="shared" ca="1" si="97"/>
        <v>1</v>
      </c>
      <c r="K1239">
        <f t="shared" ca="1" si="98"/>
        <v>0</v>
      </c>
      <c r="L1239" s="65">
        <v>1233</v>
      </c>
      <c r="M1239" s="71">
        <f t="shared" ca="1" si="99"/>
        <v>2.1300834111521612</v>
      </c>
      <c r="N1239" s="65"/>
    </row>
    <row r="1240" spans="1:14" x14ac:dyDescent="0.25">
      <c r="A1240" s="2">
        <v>1234</v>
      </c>
      <c r="B1240" s="11">
        <f t="shared" ca="1" si="96"/>
        <v>1</v>
      </c>
      <c r="C1240" s="26">
        <f t="shared" ca="1" si="100"/>
        <v>0.61983016923798362</v>
      </c>
      <c r="J1240">
        <f t="shared" ca="1" si="97"/>
        <v>1</v>
      </c>
      <c r="K1240">
        <f t="shared" ca="1" si="98"/>
        <v>0</v>
      </c>
      <c r="L1240" s="65">
        <v>1234</v>
      </c>
      <c r="M1240" s="71">
        <f t="shared" ca="1" si="99"/>
        <v>1.6719376342041368</v>
      </c>
      <c r="N1240" s="65"/>
    </row>
    <row r="1241" spans="1:14" x14ac:dyDescent="0.25">
      <c r="A1241" s="2">
        <v>1235</v>
      </c>
      <c r="B1241" s="11">
        <f t="shared" ca="1" si="96"/>
        <v>1</v>
      </c>
      <c r="C1241" s="26">
        <f t="shared" ca="1" si="100"/>
        <v>0.3380637870245774</v>
      </c>
      <c r="J1241">
        <f t="shared" ca="1" si="97"/>
        <v>1</v>
      </c>
      <c r="K1241">
        <f t="shared" ca="1" si="98"/>
        <v>0</v>
      </c>
      <c r="L1241" s="65">
        <v>1235</v>
      </c>
      <c r="M1241" s="71">
        <f t="shared" ca="1" si="99"/>
        <v>2.8251090262115128</v>
      </c>
      <c r="N1241" s="65"/>
    </row>
    <row r="1242" spans="1:14" x14ac:dyDescent="0.25">
      <c r="A1242" s="2">
        <v>1236</v>
      </c>
      <c r="B1242" s="11">
        <f t="shared" ca="1" si="96"/>
        <v>1</v>
      </c>
      <c r="C1242" s="26">
        <f t="shared" ca="1" si="100"/>
        <v>0.44995722966835083</v>
      </c>
      <c r="J1242">
        <f t="shared" ca="1" si="97"/>
        <v>0</v>
      </c>
      <c r="K1242">
        <f t="shared" ca="1" si="98"/>
        <v>0</v>
      </c>
      <c r="L1242" s="65">
        <v>1236</v>
      </c>
      <c r="M1242" s="71">
        <f t="shared" ca="1" si="99"/>
        <v>1.4204875627161624</v>
      </c>
      <c r="N1242" s="65"/>
    </row>
    <row r="1243" spans="1:14" x14ac:dyDescent="0.25">
      <c r="A1243" s="2">
        <v>1237</v>
      </c>
      <c r="B1243" s="11">
        <f t="shared" ca="1" si="96"/>
        <v>0</v>
      </c>
      <c r="C1243" s="26">
        <f t="shared" ca="1" si="100"/>
        <v>0.92977531239939615</v>
      </c>
      <c r="J1243">
        <f t="shared" ca="1" si="97"/>
        <v>0</v>
      </c>
      <c r="K1243">
        <f t="shared" ca="1" si="98"/>
        <v>1</v>
      </c>
      <c r="L1243" s="65">
        <v>1237</v>
      </c>
      <c r="M1243" s="71">
        <f t="shared" ca="1" si="99"/>
        <v>0</v>
      </c>
      <c r="N1243" s="65"/>
    </row>
    <row r="1244" spans="1:14" x14ac:dyDescent="0.25">
      <c r="A1244" s="2">
        <v>1238</v>
      </c>
      <c r="B1244" s="11">
        <f t="shared" ca="1" si="96"/>
        <v>0</v>
      </c>
      <c r="C1244" s="26">
        <f t="shared" ca="1" si="100"/>
        <v>0.90245175248089615</v>
      </c>
      <c r="J1244">
        <f t="shared" ca="1" si="97"/>
        <v>0</v>
      </c>
      <c r="K1244">
        <f t="shared" ca="1" si="98"/>
        <v>0</v>
      </c>
      <c r="L1244" s="65">
        <v>1238</v>
      </c>
      <c r="M1244" s="71">
        <f t="shared" ca="1" si="99"/>
        <v>0</v>
      </c>
      <c r="N1244" s="65"/>
    </row>
    <row r="1245" spans="1:14" x14ac:dyDescent="0.25">
      <c r="A1245" s="2">
        <v>1239</v>
      </c>
      <c r="B1245" s="11">
        <f t="shared" ca="1" si="96"/>
        <v>1</v>
      </c>
      <c r="C1245" s="26">
        <f t="shared" ca="1" si="100"/>
        <v>6.0492264913945548E-2</v>
      </c>
      <c r="J1245">
        <f t="shared" ca="1" si="97"/>
        <v>1</v>
      </c>
      <c r="K1245">
        <f t="shared" ca="1" si="98"/>
        <v>0</v>
      </c>
      <c r="L1245" s="65">
        <v>1239</v>
      </c>
      <c r="M1245" s="71">
        <f t="shared" ca="1" si="99"/>
        <v>3.6216104073521884</v>
      </c>
      <c r="N1245" s="65"/>
    </row>
    <row r="1246" spans="1:14" x14ac:dyDescent="0.25">
      <c r="A1246" s="2">
        <v>1240</v>
      </c>
      <c r="B1246" s="11">
        <f t="shared" ca="1" si="96"/>
        <v>1</v>
      </c>
      <c r="C1246" s="26">
        <f t="shared" ca="1" si="100"/>
        <v>9.3170624339875885E-2</v>
      </c>
      <c r="J1246">
        <f t="shared" ca="1" si="97"/>
        <v>0</v>
      </c>
      <c r="K1246">
        <f t="shared" ca="1" si="98"/>
        <v>0</v>
      </c>
      <c r="L1246" s="65">
        <v>1240</v>
      </c>
      <c r="M1246" s="71">
        <f t="shared" ca="1" si="99"/>
        <v>1.8035739308342003</v>
      </c>
      <c r="N1246" s="65"/>
    </row>
    <row r="1247" spans="1:14" x14ac:dyDescent="0.25">
      <c r="A1247" s="2">
        <v>1241</v>
      </c>
      <c r="B1247" s="11">
        <f t="shared" ca="1" si="96"/>
        <v>0</v>
      </c>
      <c r="C1247" s="26">
        <f t="shared" ca="1" si="100"/>
        <v>0.80510497539481096</v>
      </c>
      <c r="J1247">
        <f t="shared" ca="1" si="97"/>
        <v>0</v>
      </c>
      <c r="K1247">
        <f t="shared" ca="1" si="98"/>
        <v>1</v>
      </c>
      <c r="L1247" s="65">
        <v>1241</v>
      </c>
      <c r="M1247" s="71">
        <f t="shared" ca="1" si="99"/>
        <v>0</v>
      </c>
      <c r="N1247" s="65"/>
    </row>
    <row r="1248" spans="1:14" x14ac:dyDescent="0.25">
      <c r="A1248" s="2">
        <v>1242</v>
      </c>
      <c r="B1248" s="11">
        <f t="shared" ca="1" si="96"/>
        <v>0</v>
      </c>
      <c r="C1248" s="26">
        <f t="shared" ca="1" si="100"/>
        <v>0.74312540440037589</v>
      </c>
      <c r="J1248">
        <f t="shared" ca="1" si="97"/>
        <v>0</v>
      </c>
      <c r="K1248">
        <f t="shared" ca="1" si="98"/>
        <v>0</v>
      </c>
      <c r="L1248" s="65">
        <v>1242</v>
      </c>
      <c r="M1248" s="71">
        <f t="shared" ca="1" si="99"/>
        <v>0</v>
      </c>
      <c r="N1248" s="65"/>
    </row>
    <row r="1249" spans="1:14" x14ac:dyDescent="0.25">
      <c r="A1249" s="2">
        <v>1243</v>
      </c>
      <c r="B1249" s="11">
        <f t="shared" ca="1" si="96"/>
        <v>1</v>
      </c>
      <c r="C1249" s="26">
        <f t="shared" ca="1" si="100"/>
        <v>0.37103188510042562</v>
      </c>
      <c r="J1249">
        <f t="shared" ca="1" si="97"/>
        <v>1</v>
      </c>
      <c r="K1249">
        <f t="shared" ca="1" si="98"/>
        <v>0</v>
      </c>
      <c r="L1249" s="65">
        <v>1243</v>
      </c>
      <c r="M1249" s="71">
        <f t="shared" ca="1" si="99"/>
        <v>1.1624334511890526</v>
      </c>
      <c r="N1249" s="65"/>
    </row>
    <row r="1250" spans="1:14" x14ac:dyDescent="0.25">
      <c r="A1250" s="2">
        <v>1244</v>
      </c>
      <c r="B1250" s="11">
        <f t="shared" ca="1" si="96"/>
        <v>1</v>
      </c>
      <c r="C1250" s="26">
        <f t="shared" ca="1" si="100"/>
        <v>0.66617296776123469</v>
      </c>
      <c r="J1250">
        <f t="shared" ca="1" si="97"/>
        <v>1</v>
      </c>
      <c r="K1250">
        <f t="shared" ca="1" si="98"/>
        <v>0</v>
      </c>
      <c r="L1250" s="65">
        <v>1244</v>
      </c>
      <c r="M1250" s="71">
        <f t="shared" ca="1" si="99"/>
        <v>0.80121632354576766</v>
      </c>
      <c r="N1250" s="65"/>
    </row>
    <row r="1251" spans="1:14" x14ac:dyDescent="0.25">
      <c r="A1251" s="2">
        <v>1245</v>
      </c>
      <c r="B1251" s="11">
        <f t="shared" ca="1" si="96"/>
        <v>1</v>
      </c>
      <c r="C1251" s="26">
        <f t="shared" ca="1" si="100"/>
        <v>0.66293085783523376</v>
      </c>
      <c r="J1251">
        <f t="shared" ca="1" si="97"/>
        <v>1</v>
      </c>
      <c r="K1251">
        <f t="shared" ca="1" si="98"/>
        <v>0</v>
      </c>
      <c r="L1251" s="65">
        <v>1245</v>
      </c>
      <c r="M1251" s="71">
        <f t="shared" ca="1" si="99"/>
        <v>1.7003772066709111</v>
      </c>
      <c r="N1251" s="65"/>
    </row>
    <row r="1252" spans="1:14" x14ac:dyDescent="0.25">
      <c r="A1252" s="2">
        <v>1246</v>
      </c>
      <c r="B1252" s="11">
        <f t="shared" ca="1" si="96"/>
        <v>1</v>
      </c>
      <c r="C1252" s="26">
        <f t="shared" ca="1" si="100"/>
        <v>0.36406702420578807</v>
      </c>
      <c r="J1252">
        <f t="shared" ca="1" si="97"/>
        <v>1</v>
      </c>
      <c r="K1252">
        <f t="shared" ca="1" si="98"/>
        <v>0</v>
      </c>
      <c r="L1252" s="65">
        <v>1246</v>
      </c>
      <c r="M1252" s="71">
        <f t="shared" ca="1" si="99"/>
        <v>0.42178913756393671</v>
      </c>
      <c r="N1252" s="65"/>
    </row>
    <row r="1253" spans="1:14" x14ac:dyDescent="0.25">
      <c r="A1253" s="2">
        <v>1247</v>
      </c>
      <c r="B1253" s="11">
        <f t="shared" ca="1" si="96"/>
        <v>1</v>
      </c>
      <c r="C1253" s="26">
        <f t="shared" ca="1" si="100"/>
        <v>0.46277835274358547</v>
      </c>
      <c r="J1253">
        <f t="shared" ca="1" si="97"/>
        <v>1</v>
      </c>
      <c r="K1253">
        <f t="shared" ca="1" si="98"/>
        <v>0</v>
      </c>
      <c r="L1253" s="65">
        <v>1247</v>
      </c>
      <c r="M1253" s="71">
        <f t="shared" ca="1" si="99"/>
        <v>7.8604994086780486</v>
      </c>
      <c r="N1253" s="65"/>
    </row>
    <row r="1254" spans="1:14" x14ac:dyDescent="0.25">
      <c r="A1254" s="2">
        <v>1248</v>
      </c>
      <c r="B1254" s="11">
        <f t="shared" ca="1" si="96"/>
        <v>1</v>
      </c>
      <c r="C1254" s="26">
        <f t="shared" ca="1" si="100"/>
        <v>0.69910688356904416</v>
      </c>
      <c r="J1254">
        <f t="shared" ca="1" si="97"/>
        <v>1</v>
      </c>
      <c r="K1254">
        <f t="shared" ca="1" si="98"/>
        <v>0</v>
      </c>
      <c r="L1254" s="65">
        <v>1248</v>
      </c>
      <c r="M1254" s="71">
        <f t="shared" ca="1" si="99"/>
        <v>0.58434860353846585</v>
      </c>
      <c r="N1254" s="65"/>
    </row>
    <row r="1255" spans="1:14" x14ac:dyDescent="0.25">
      <c r="A1255" s="2">
        <v>1249</v>
      </c>
      <c r="B1255" s="11">
        <f t="shared" ca="1" si="96"/>
        <v>1</v>
      </c>
      <c r="C1255" s="26">
        <f t="shared" ca="1" si="100"/>
        <v>0.17907411362700132</v>
      </c>
      <c r="J1255">
        <f t="shared" ca="1" si="97"/>
        <v>1</v>
      </c>
      <c r="K1255">
        <f t="shared" ca="1" si="98"/>
        <v>0</v>
      </c>
      <c r="L1255" s="65">
        <v>1249</v>
      </c>
      <c r="M1255" s="71">
        <f t="shared" ca="1" si="99"/>
        <v>0.26990348684536081</v>
      </c>
      <c r="N1255" s="65"/>
    </row>
    <row r="1256" spans="1:14" x14ac:dyDescent="0.25">
      <c r="A1256" s="2">
        <v>1250</v>
      </c>
      <c r="B1256" s="11">
        <f t="shared" ca="1" si="96"/>
        <v>1</v>
      </c>
      <c r="C1256" s="26">
        <f t="shared" ca="1" si="100"/>
        <v>0.41492078977599089</v>
      </c>
      <c r="J1256">
        <f t="shared" ca="1" si="97"/>
        <v>1</v>
      </c>
      <c r="K1256">
        <f t="shared" ca="1" si="98"/>
        <v>0</v>
      </c>
      <c r="L1256" s="65">
        <v>1250</v>
      </c>
      <c r="M1256" s="71">
        <f t="shared" ca="1" si="99"/>
        <v>3.0465485941663326</v>
      </c>
      <c r="N1256" s="65"/>
    </row>
    <row r="1257" spans="1:14" x14ac:dyDescent="0.25">
      <c r="A1257" s="2">
        <v>1251</v>
      </c>
      <c r="B1257" s="11">
        <f t="shared" ca="1" si="96"/>
        <v>1</v>
      </c>
      <c r="C1257" s="26">
        <f t="shared" ca="1" si="100"/>
        <v>0.39671173638060042</v>
      </c>
      <c r="J1257">
        <f t="shared" ca="1" si="97"/>
        <v>1</v>
      </c>
      <c r="K1257">
        <f t="shared" ca="1" si="98"/>
        <v>0</v>
      </c>
      <c r="L1257" s="65">
        <v>1251</v>
      </c>
      <c r="M1257" s="71">
        <f t="shared" ca="1" si="99"/>
        <v>0.59167859881545215</v>
      </c>
      <c r="N1257" s="65"/>
    </row>
    <row r="1258" spans="1:14" x14ac:dyDescent="0.25">
      <c r="A1258" s="2">
        <v>1252</v>
      </c>
      <c r="B1258" s="11">
        <f t="shared" ca="1" si="96"/>
        <v>1</v>
      </c>
      <c r="C1258" s="26">
        <f t="shared" ca="1" si="100"/>
        <v>0.52478829444914976</v>
      </c>
      <c r="J1258">
        <f t="shared" ca="1" si="97"/>
        <v>1</v>
      </c>
      <c r="K1258">
        <f t="shared" ca="1" si="98"/>
        <v>0</v>
      </c>
      <c r="L1258" s="65">
        <v>1252</v>
      </c>
      <c r="M1258" s="71">
        <f t="shared" ca="1" si="99"/>
        <v>0.72148661734422004</v>
      </c>
      <c r="N1258" s="65"/>
    </row>
    <row r="1259" spans="1:14" x14ac:dyDescent="0.25">
      <c r="A1259" s="2">
        <v>1253</v>
      </c>
      <c r="B1259" s="11">
        <f t="shared" ca="1" si="96"/>
        <v>1</v>
      </c>
      <c r="C1259" s="26">
        <f t="shared" ca="1" si="100"/>
        <v>0.14694107735587614</v>
      </c>
      <c r="J1259">
        <f t="shared" ca="1" si="97"/>
        <v>1</v>
      </c>
      <c r="K1259">
        <f t="shared" ca="1" si="98"/>
        <v>0</v>
      </c>
      <c r="L1259" s="65">
        <v>1253</v>
      </c>
      <c r="M1259" s="71">
        <f t="shared" ca="1" si="99"/>
        <v>0.3384590288867329</v>
      </c>
      <c r="N1259" s="65"/>
    </row>
    <row r="1260" spans="1:14" x14ac:dyDescent="0.25">
      <c r="A1260" s="2">
        <v>1254</v>
      </c>
      <c r="B1260" s="11">
        <f t="shared" ca="1" si="96"/>
        <v>1</v>
      </c>
      <c r="C1260" s="26">
        <f t="shared" ca="1" si="100"/>
        <v>5.2340992176134415E-2</v>
      </c>
      <c r="J1260">
        <f t="shared" ca="1" si="97"/>
        <v>1</v>
      </c>
      <c r="K1260">
        <f t="shared" ca="1" si="98"/>
        <v>0</v>
      </c>
      <c r="L1260" s="65">
        <v>1254</v>
      </c>
      <c r="M1260" s="71">
        <f t="shared" ca="1" si="99"/>
        <v>8.4225978184337684</v>
      </c>
      <c r="N1260" s="65"/>
    </row>
    <row r="1261" spans="1:14" x14ac:dyDescent="0.25">
      <c r="A1261" s="2">
        <v>1255</v>
      </c>
      <c r="B1261" s="11">
        <f t="shared" ca="1" si="96"/>
        <v>1</v>
      </c>
      <c r="C1261" s="26">
        <f t="shared" ca="1" si="100"/>
        <v>0.63503326572213259</v>
      </c>
      <c r="J1261">
        <f t="shared" ca="1" si="97"/>
        <v>1</v>
      </c>
      <c r="K1261">
        <f t="shared" ca="1" si="98"/>
        <v>0</v>
      </c>
      <c r="L1261" s="65">
        <v>1255</v>
      </c>
      <c r="M1261" s="71">
        <f t="shared" ca="1" si="99"/>
        <v>2.0951489774947643</v>
      </c>
      <c r="N1261" s="65"/>
    </row>
    <row r="1262" spans="1:14" x14ac:dyDescent="0.25">
      <c r="A1262" s="2">
        <v>1256</v>
      </c>
      <c r="B1262" s="11">
        <f t="shared" ca="1" si="96"/>
        <v>1</v>
      </c>
      <c r="C1262" s="26">
        <f t="shared" ca="1" si="100"/>
        <v>0.34412437282436437</v>
      </c>
      <c r="J1262">
        <f t="shared" ca="1" si="97"/>
        <v>1</v>
      </c>
      <c r="K1262">
        <f t="shared" ca="1" si="98"/>
        <v>0</v>
      </c>
      <c r="L1262" s="65">
        <v>1256</v>
      </c>
      <c r="M1262" s="71">
        <f t="shared" ca="1" si="99"/>
        <v>1.4038021511255967</v>
      </c>
      <c r="N1262" s="65"/>
    </row>
    <row r="1263" spans="1:14" x14ac:dyDescent="0.25">
      <c r="A1263" s="2">
        <v>1257</v>
      </c>
      <c r="B1263" s="11">
        <f t="shared" ref="B1263:B1326" ca="1" si="101">IF(B1262&gt;0,IF(C1263&lt;pww,1,0),IF(C1263&lt;pdw,1,0))</f>
        <v>1</v>
      </c>
      <c r="C1263" s="26">
        <f t="shared" ca="1" si="100"/>
        <v>0.59996854683678125</v>
      </c>
      <c r="J1263">
        <f t="shared" ref="J1263:J1326" ca="1" si="102">IF(AND(B1263,B1264),1,0)</f>
        <v>1</v>
      </c>
      <c r="K1263">
        <f t="shared" ref="K1263:K1326" ca="1" si="103">IF(AND(NOT(B1263),NOT(B1264)),1,0)</f>
        <v>0</v>
      </c>
      <c r="L1263" s="65">
        <v>1257</v>
      </c>
      <c r="M1263" s="71">
        <f t="shared" ca="1" si="99"/>
        <v>1.2631959151759</v>
      </c>
      <c r="N1263" s="65"/>
    </row>
    <row r="1264" spans="1:14" x14ac:dyDescent="0.25">
      <c r="A1264" s="2">
        <v>1258</v>
      </c>
      <c r="B1264" s="11">
        <f t="shared" ca="1" si="101"/>
        <v>1</v>
      </c>
      <c r="C1264" s="26">
        <f t="shared" ca="1" si="100"/>
        <v>0.46281938048409421</v>
      </c>
      <c r="J1264">
        <f t="shared" ca="1" si="102"/>
        <v>1</v>
      </c>
      <c r="K1264">
        <f t="shared" ca="1" si="103"/>
        <v>0</v>
      </c>
      <c r="L1264" s="65">
        <v>1258</v>
      </c>
      <c r="M1264" s="71">
        <f t="shared" ca="1" si="99"/>
        <v>12.537676102540031</v>
      </c>
      <c r="N1264" s="65"/>
    </row>
    <row r="1265" spans="1:14" x14ac:dyDescent="0.25">
      <c r="A1265" s="2">
        <v>1259</v>
      </c>
      <c r="B1265" s="11">
        <f t="shared" ca="1" si="101"/>
        <v>1</v>
      </c>
      <c r="C1265" s="26">
        <f t="shared" ca="1" si="100"/>
        <v>0.57996868233014343</v>
      </c>
      <c r="J1265">
        <f t="shared" ca="1" si="102"/>
        <v>1</v>
      </c>
      <c r="K1265">
        <f t="shared" ca="1" si="103"/>
        <v>0</v>
      </c>
      <c r="L1265" s="65">
        <v>1259</v>
      </c>
      <c r="M1265" s="71">
        <f t="shared" ca="1" si="99"/>
        <v>5.1630192981753549</v>
      </c>
      <c r="N1265" s="65"/>
    </row>
    <row r="1266" spans="1:14" x14ac:dyDescent="0.25">
      <c r="A1266" s="2">
        <v>1260</v>
      </c>
      <c r="B1266" s="11">
        <f t="shared" ca="1" si="101"/>
        <v>1</v>
      </c>
      <c r="C1266" s="26">
        <f t="shared" ca="1" si="100"/>
        <v>0.14319038957453212</v>
      </c>
      <c r="J1266">
        <f t="shared" ca="1" si="102"/>
        <v>1</v>
      </c>
      <c r="K1266">
        <f t="shared" ca="1" si="103"/>
        <v>0</v>
      </c>
      <c r="L1266" s="65">
        <v>1260</v>
      </c>
      <c r="M1266" s="71">
        <f t="shared" ca="1" si="99"/>
        <v>2.9426666584009125</v>
      </c>
      <c r="N1266" s="65"/>
    </row>
    <row r="1267" spans="1:14" x14ac:dyDescent="0.25">
      <c r="A1267" s="2">
        <v>1261</v>
      </c>
      <c r="B1267" s="11">
        <f t="shared" ca="1" si="101"/>
        <v>1</v>
      </c>
      <c r="C1267" s="26">
        <f t="shared" ca="1" si="100"/>
        <v>0.67717412910096697</v>
      </c>
      <c r="J1267">
        <f t="shared" ca="1" si="102"/>
        <v>0</v>
      </c>
      <c r="K1267">
        <f t="shared" ca="1" si="103"/>
        <v>0</v>
      </c>
      <c r="L1267" s="65">
        <v>1261</v>
      </c>
      <c r="M1267" s="71">
        <f t="shared" ca="1" si="99"/>
        <v>3.1401996804659667E-2</v>
      </c>
      <c r="N1267" s="65"/>
    </row>
    <row r="1268" spans="1:14" x14ac:dyDescent="0.25">
      <c r="A1268" s="2">
        <v>1262</v>
      </c>
      <c r="B1268" s="11">
        <f t="shared" ca="1" si="101"/>
        <v>0</v>
      </c>
      <c r="C1268" s="26">
        <f t="shared" ca="1" si="100"/>
        <v>0.86983019227191405</v>
      </c>
      <c r="J1268">
        <f t="shared" ca="1" si="102"/>
        <v>0</v>
      </c>
      <c r="K1268">
        <f t="shared" ca="1" si="103"/>
        <v>0</v>
      </c>
      <c r="L1268" s="65">
        <v>1262</v>
      </c>
      <c r="M1268" s="71">
        <f t="shared" ca="1" si="99"/>
        <v>0</v>
      </c>
      <c r="N1268" s="65"/>
    </row>
    <row r="1269" spans="1:14" x14ac:dyDescent="0.25">
      <c r="A1269" s="2">
        <v>1263</v>
      </c>
      <c r="B1269" s="11">
        <f t="shared" ca="1" si="101"/>
        <v>1</v>
      </c>
      <c r="C1269" s="26">
        <f t="shared" ca="1" si="100"/>
        <v>0.37809237832882536</v>
      </c>
      <c r="J1269">
        <f t="shared" ca="1" si="102"/>
        <v>0</v>
      </c>
      <c r="K1269">
        <f t="shared" ca="1" si="103"/>
        <v>0</v>
      </c>
      <c r="L1269" s="65">
        <v>1263</v>
      </c>
      <c r="M1269" s="71">
        <f t="shared" ca="1" si="99"/>
        <v>4.474263639433059</v>
      </c>
      <c r="N1269" s="65"/>
    </row>
    <row r="1270" spans="1:14" x14ac:dyDescent="0.25">
      <c r="A1270" s="2">
        <v>1264</v>
      </c>
      <c r="B1270" s="11">
        <f t="shared" ca="1" si="101"/>
        <v>0</v>
      </c>
      <c r="C1270" s="26">
        <f t="shared" ca="1" si="100"/>
        <v>0.99239525411111018</v>
      </c>
      <c r="J1270">
        <f t="shared" ca="1" si="102"/>
        <v>0</v>
      </c>
      <c r="K1270">
        <f t="shared" ca="1" si="103"/>
        <v>0</v>
      </c>
      <c r="L1270" s="65">
        <v>1264</v>
      </c>
      <c r="M1270" s="71">
        <f t="shared" ca="1" si="99"/>
        <v>0</v>
      </c>
      <c r="N1270" s="65"/>
    </row>
    <row r="1271" spans="1:14" x14ac:dyDescent="0.25">
      <c r="A1271" s="2">
        <v>1265</v>
      </c>
      <c r="B1271" s="11">
        <f t="shared" ca="1" si="101"/>
        <v>1</v>
      </c>
      <c r="C1271" s="26">
        <f t="shared" ca="1" si="100"/>
        <v>0.14177543400579462</v>
      </c>
      <c r="J1271">
        <f t="shared" ca="1" si="102"/>
        <v>1</v>
      </c>
      <c r="K1271">
        <f t="shared" ca="1" si="103"/>
        <v>0</v>
      </c>
      <c r="L1271" s="65">
        <v>1265</v>
      </c>
      <c r="M1271" s="71">
        <f t="shared" ca="1" si="99"/>
        <v>2.8110248699204639</v>
      </c>
      <c r="N1271" s="65"/>
    </row>
    <row r="1272" spans="1:14" x14ac:dyDescent="0.25">
      <c r="A1272" s="2">
        <v>1266</v>
      </c>
      <c r="B1272" s="11">
        <f t="shared" ca="1" si="101"/>
        <v>1</v>
      </c>
      <c r="C1272" s="26">
        <f t="shared" ca="1" si="100"/>
        <v>0.14886832707800757</v>
      </c>
      <c r="J1272">
        <f t="shared" ca="1" si="102"/>
        <v>1</v>
      </c>
      <c r="K1272">
        <f t="shared" ca="1" si="103"/>
        <v>0</v>
      </c>
      <c r="L1272" s="65">
        <v>1266</v>
      </c>
      <c r="M1272" s="71">
        <f t="shared" ca="1" si="99"/>
        <v>3.8270927795160272</v>
      </c>
      <c r="N1272" s="65"/>
    </row>
    <row r="1273" spans="1:14" x14ac:dyDescent="0.25">
      <c r="A1273" s="2">
        <v>1267</v>
      </c>
      <c r="B1273" s="11">
        <f t="shared" ca="1" si="101"/>
        <v>1</v>
      </c>
      <c r="C1273" s="26">
        <f t="shared" ca="1" si="100"/>
        <v>0.32251242329506302</v>
      </c>
      <c r="J1273">
        <f t="shared" ca="1" si="102"/>
        <v>1</v>
      </c>
      <c r="K1273">
        <f t="shared" ca="1" si="103"/>
        <v>0</v>
      </c>
      <c r="L1273" s="65">
        <v>1267</v>
      </c>
      <c r="M1273" s="71">
        <f t="shared" ca="1" si="99"/>
        <v>3.6514415046088455</v>
      </c>
      <c r="N1273" s="65"/>
    </row>
    <row r="1274" spans="1:14" x14ac:dyDescent="0.25">
      <c r="A1274" s="2">
        <v>1268</v>
      </c>
      <c r="B1274" s="11">
        <f t="shared" ca="1" si="101"/>
        <v>1</v>
      </c>
      <c r="C1274" s="26">
        <f t="shared" ca="1" si="100"/>
        <v>0.11936282349749794</v>
      </c>
      <c r="J1274">
        <f t="shared" ca="1" si="102"/>
        <v>1</v>
      </c>
      <c r="K1274">
        <f t="shared" ca="1" si="103"/>
        <v>0</v>
      </c>
      <c r="L1274" s="65">
        <v>1268</v>
      </c>
      <c r="M1274" s="71">
        <f t="shared" ca="1" si="99"/>
        <v>4.2974864723417383</v>
      </c>
      <c r="N1274" s="65"/>
    </row>
    <row r="1275" spans="1:14" x14ac:dyDescent="0.25">
      <c r="A1275" s="2">
        <v>1269</v>
      </c>
      <c r="B1275" s="11">
        <f t="shared" ca="1" si="101"/>
        <v>1</v>
      </c>
      <c r="C1275" s="26">
        <f t="shared" ca="1" si="100"/>
        <v>0.76197360156791072</v>
      </c>
      <c r="J1275">
        <f t="shared" ca="1" si="102"/>
        <v>1</v>
      </c>
      <c r="K1275">
        <f t="shared" ca="1" si="103"/>
        <v>0</v>
      </c>
      <c r="L1275" s="65">
        <v>1269</v>
      </c>
      <c r="M1275" s="71">
        <f t="shared" ca="1" si="99"/>
        <v>1.6266049979323627</v>
      </c>
      <c r="N1275" s="65"/>
    </row>
    <row r="1276" spans="1:14" x14ac:dyDescent="0.25">
      <c r="A1276" s="2">
        <v>1270</v>
      </c>
      <c r="B1276" s="11">
        <f t="shared" ca="1" si="101"/>
        <v>1</v>
      </c>
      <c r="C1276" s="26">
        <f t="shared" ca="1" si="100"/>
        <v>0.67952383458595733</v>
      </c>
      <c r="J1276">
        <f t="shared" ca="1" si="102"/>
        <v>1</v>
      </c>
      <c r="K1276">
        <f t="shared" ca="1" si="103"/>
        <v>0</v>
      </c>
      <c r="L1276" s="65">
        <v>1270</v>
      </c>
      <c r="M1276" s="71">
        <f t="shared" ca="1" si="99"/>
        <v>4.8514496044443334</v>
      </c>
      <c r="N1276" s="65"/>
    </row>
    <row r="1277" spans="1:14" x14ac:dyDescent="0.25">
      <c r="A1277" s="2">
        <v>1271</v>
      </c>
      <c r="B1277" s="11">
        <f t="shared" ca="1" si="101"/>
        <v>1</v>
      </c>
      <c r="C1277" s="26">
        <f t="shared" ca="1" si="100"/>
        <v>0.2053860170652575</v>
      </c>
      <c r="J1277">
        <f t="shared" ca="1" si="102"/>
        <v>1</v>
      </c>
      <c r="K1277">
        <f t="shared" ca="1" si="103"/>
        <v>0</v>
      </c>
      <c r="L1277" s="65">
        <v>1271</v>
      </c>
      <c r="M1277" s="71">
        <f t="shared" ca="1" si="99"/>
        <v>2.1316248392050259</v>
      </c>
      <c r="N1277" s="65"/>
    </row>
    <row r="1278" spans="1:14" x14ac:dyDescent="0.25">
      <c r="A1278" s="2">
        <v>1272</v>
      </c>
      <c r="B1278" s="11">
        <f t="shared" ca="1" si="101"/>
        <v>1</v>
      </c>
      <c r="C1278" s="26">
        <f t="shared" ca="1" si="100"/>
        <v>0.34810823127065849</v>
      </c>
      <c r="J1278">
        <f t="shared" ca="1" si="102"/>
        <v>0</v>
      </c>
      <c r="K1278">
        <f t="shared" ca="1" si="103"/>
        <v>0</v>
      </c>
      <c r="L1278" s="65">
        <v>1272</v>
      </c>
      <c r="M1278" s="71">
        <f t="shared" ca="1" si="99"/>
        <v>5.2163246539343557</v>
      </c>
      <c r="N1278" s="65"/>
    </row>
    <row r="1279" spans="1:14" x14ac:dyDescent="0.25">
      <c r="A1279" s="2">
        <v>1273</v>
      </c>
      <c r="B1279" s="11">
        <f t="shared" ca="1" si="101"/>
        <v>0</v>
      </c>
      <c r="C1279" s="26">
        <f t="shared" ca="1" si="100"/>
        <v>0.95415111963738819</v>
      </c>
      <c r="J1279">
        <f t="shared" ca="1" si="102"/>
        <v>0</v>
      </c>
      <c r="K1279">
        <f t="shared" ca="1" si="103"/>
        <v>0</v>
      </c>
      <c r="L1279" s="65">
        <v>1273</v>
      </c>
      <c r="M1279" s="71">
        <f t="shared" ca="1" si="99"/>
        <v>0</v>
      </c>
      <c r="N1279" s="65"/>
    </row>
    <row r="1280" spans="1:14" x14ac:dyDescent="0.25">
      <c r="A1280" s="2">
        <v>1274</v>
      </c>
      <c r="B1280" s="11">
        <f t="shared" ca="1" si="101"/>
        <v>1</v>
      </c>
      <c r="C1280" s="26">
        <f t="shared" ca="1" si="100"/>
        <v>0.50017807733866304</v>
      </c>
      <c r="J1280">
        <f t="shared" ca="1" si="102"/>
        <v>1</v>
      </c>
      <c r="K1280">
        <f t="shared" ca="1" si="103"/>
        <v>0</v>
      </c>
      <c r="L1280" s="65">
        <v>1274</v>
      </c>
      <c r="M1280" s="71">
        <f t="shared" ca="1" si="99"/>
        <v>1.728235169841255</v>
      </c>
      <c r="N1280" s="65"/>
    </row>
    <row r="1281" spans="1:14" x14ac:dyDescent="0.25">
      <c r="A1281" s="2">
        <v>1275</v>
      </c>
      <c r="B1281" s="11">
        <f t="shared" ca="1" si="101"/>
        <v>1</v>
      </c>
      <c r="C1281" s="26">
        <f t="shared" ca="1" si="100"/>
        <v>0.79912111894699855</v>
      </c>
      <c r="J1281">
        <f t="shared" ca="1" si="102"/>
        <v>1</v>
      </c>
      <c r="K1281">
        <f t="shared" ca="1" si="103"/>
        <v>0</v>
      </c>
      <c r="L1281" s="65">
        <v>1275</v>
      </c>
      <c r="M1281" s="71">
        <f t="shared" ca="1" si="99"/>
        <v>2.8329190993885907</v>
      </c>
      <c r="N1281" s="65"/>
    </row>
    <row r="1282" spans="1:14" x14ac:dyDescent="0.25">
      <c r="A1282" s="2">
        <v>1276</v>
      </c>
      <c r="B1282" s="11">
        <f t="shared" ca="1" si="101"/>
        <v>1</v>
      </c>
      <c r="C1282" s="26">
        <f t="shared" ca="1" si="100"/>
        <v>0.10312387617028629</v>
      </c>
      <c r="J1282">
        <f t="shared" ca="1" si="102"/>
        <v>0</v>
      </c>
      <c r="K1282">
        <f t="shared" ca="1" si="103"/>
        <v>0</v>
      </c>
      <c r="L1282" s="65">
        <v>1276</v>
      </c>
      <c r="M1282" s="71">
        <f t="shared" ca="1" si="99"/>
        <v>1.7200748638677987</v>
      </c>
      <c r="N1282" s="65"/>
    </row>
    <row r="1283" spans="1:14" x14ac:dyDescent="0.25">
      <c r="A1283" s="2">
        <v>1277</v>
      </c>
      <c r="B1283" s="11">
        <f t="shared" ca="1" si="101"/>
        <v>0</v>
      </c>
      <c r="C1283" s="26">
        <f t="shared" ca="1" si="100"/>
        <v>0.90945700214823344</v>
      </c>
      <c r="J1283">
        <f t="shared" ca="1" si="102"/>
        <v>0</v>
      </c>
      <c r="K1283">
        <f t="shared" ca="1" si="103"/>
        <v>0</v>
      </c>
      <c r="L1283" s="65">
        <v>1277</v>
      </c>
      <c r="M1283" s="71">
        <f t="shared" ca="1" si="99"/>
        <v>0</v>
      </c>
      <c r="N1283" s="65"/>
    </row>
    <row r="1284" spans="1:14" x14ac:dyDescent="0.25">
      <c r="A1284" s="2">
        <v>1278</v>
      </c>
      <c r="B1284" s="11">
        <f t="shared" ca="1" si="101"/>
        <v>1</v>
      </c>
      <c r="C1284" s="26">
        <f t="shared" ca="1" si="100"/>
        <v>0.29009727839996002</v>
      </c>
      <c r="J1284">
        <f t="shared" ca="1" si="102"/>
        <v>1</v>
      </c>
      <c r="K1284">
        <f t="shared" ca="1" si="103"/>
        <v>0</v>
      </c>
      <c r="L1284" s="65">
        <v>1278</v>
      </c>
      <c r="M1284" s="71">
        <f t="shared" ca="1" si="99"/>
        <v>1.9885169729151476E-2</v>
      </c>
      <c r="N1284" s="65"/>
    </row>
    <row r="1285" spans="1:14" x14ac:dyDescent="0.25">
      <c r="A1285" s="2">
        <v>1279</v>
      </c>
      <c r="B1285" s="11">
        <f t="shared" ca="1" si="101"/>
        <v>1</v>
      </c>
      <c r="C1285" s="26">
        <f t="shared" ca="1" si="100"/>
        <v>0.23455282816209522</v>
      </c>
      <c r="J1285">
        <f t="shared" ca="1" si="102"/>
        <v>1</v>
      </c>
      <c r="K1285">
        <f t="shared" ca="1" si="103"/>
        <v>0</v>
      </c>
      <c r="L1285" s="65">
        <v>1279</v>
      </c>
      <c r="M1285" s="71">
        <f t="shared" ca="1" si="99"/>
        <v>0.8768929194091426</v>
      </c>
      <c r="N1285" s="65"/>
    </row>
    <row r="1286" spans="1:14" x14ac:dyDescent="0.25">
      <c r="A1286" s="2">
        <v>1280</v>
      </c>
      <c r="B1286" s="11">
        <f t="shared" ca="1" si="101"/>
        <v>1</v>
      </c>
      <c r="C1286" s="26">
        <f t="shared" ca="1" si="100"/>
        <v>0.25665356910827397</v>
      </c>
      <c r="J1286">
        <f t="shared" ca="1" si="102"/>
        <v>1</v>
      </c>
      <c r="K1286">
        <f t="shared" ca="1" si="103"/>
        <v>0</v>
      </c>
      <c r="L1286" s="65">
        <v>1280</v>
      </c>
      <c r="M1286" s="71">
        <f t="shared" ca="1" si="99"/>
        <v>0.76153372220593774</v>
      </c>
      <c r="N1286" s="65"/>
    </row>
    <row r="1287" spans="1:14" x14ac:dyDescent="0.25">
      <c r="A1287" s="2">
        <v>1281</v>
      </c>
      <c r="B1287" s="11">
        <f t="shared" ca="1" si="101"/>
        <v>1</v>
      </c>
      <c r="C1287" s="26">
        <f t="shared" ca="1" si="100"/>
        <v>0.68900978078107888</v>
      </c>
      <c r="J1287">
        <f t="shared" ca="1" si="102"/>
        <v>0</v>
      </c>
      <c r="K1287">
        <f t="shared" ca="1" si="103"/>
        <v>0</v>
      </c>
      <c r="L1287" s="65">
        <v>1281</v>
      </c>
      <c r="M1287" s="71">
        <f t="shared" ref="M1287:M1350" ca="1" si="104">IF(B1287&gt;0,-LN(1-(RAND()))/lambda,0)</f>
        <v>5.4350041213031846</v>
      </c>
      <c r="N1287" s="65"/>
    </row>
    <row r="1288" spans="1:14" x14ac:dyDescent="0.25">
      <c r="A1288" s="2">
        <v>1282</v>
      </c>
      <c r="B1288" s="11">
        <f t="shared" ca="1" si="101"/>
        <v>0</v>
      </c>
      <c r="C1288" s="26">
        <f t="shared" ref="C1288:C1351" ca="1" si="105">RAND()</f>
        <v>0.82817779175048178</v>
      </c>
      <c r="J1288">
        <f t="shared" ca="1" si="102"/>
        <v>0</v>
      </c>
      <c r="K1288">
        <f t="shared" ca="1" si="103"/>
        <v>1</v>
      </c>
      <c r="L1288" s="65">
        <v>1282</v>
      </c>
      <c r="M1288" s="71">
        <f t="shared" ca="1" si="104"/>
        <v>0</v>
      </c>
      <c r="N1288" s="65"/>
    </row>
    <row r="1289" spans="1:14" x14ac:dyDescent="0.25">
      <c r="A1289" s="2">
        <v>1283</v>
      </c>
      <c r="B1289" s="11">
        <f t="shared" ca="1" si="101"/>
        <v>0</v>
      </c>
      <c r="C1289" s="26">
        <f t="shared" ca="1" si="105"/>
        <v>0.77304714791129936</v>
      </c>
      <c r="J1289">
        <f t="shared" ca="1" si="102"/>
        <v>0</v>
      </c>
      <c r="K1289">
        <f t="shared" ca="1" si="103"/>
        <v>0</v>
      </c>
      <c r="L1289" s="65">
        <v>1283</v>
      </c>
      <c r="M1289" s="71">
        <f t="shared" ca="1" si="104"/>
        <v>0</v>
      </c>
      <c r="N1289" s="65"/>
    </row>
    <row r="1290" spans="1:14" x14ac:dyDescent="0.25">
      <c r="A1290" s="2">
        <v>1284</v>
      </c>
      <c r="B1290" s="11">
        <f t="shared" ca="1" si="101"/>
        <v>1</v>
      </c>
      <c r="C1290" s="26">
        <f t="shared" ca="1" si="105"/>
        <v>0.55165522149917523</v>
      </c>
      <c r="J1290">
        <f t="shared" ca="1" si="102"/>
        <v>1</v>
      </c>
      <c r="K1290">
        <f t="shared" ca="1" si="103"/>
        <v>0</v>
      </c>
      <c r="L1290" s="65">
        <v>1284</v>
      </c>
      <c r="M1290" s="71">
        <f t="shared" ca="1" si="104"/>
        <v>6.1052480992787803</v>
      </c>
      <c r="N1290" s="65"/>
    </row>
    <row r="1291" spans="1:14" x14ac:dyDescent="0.25">
      <c r="A1291" s="2">
        <v>1285</v>
      </c>
      <c r="B1291" s="11">
        <f t="shared" ca="1" si="101"/>
        <v>1</v>
      </c>
      <c r="C1291" s="26">
        <f t="shared" ca="1" si="105"/>
        <v>0.75752290175162573</v>
      </c>
      <c r="J1291">
        <f t="shared" ca="1" si="102"/>
        <v>1</v>
      </c>
      <c r="K1291">
        <f t="shared" ca="1" si="103"/>
        <v>0</v>
      </c>
      <c r="L1291" s="65">
        <v>1285</v>
      </c>
      <c r="M1291" s="71">
        <f t="shared" ca="1" si="104"/>
        <v>0.93745092452030221</v>
      </c>
      <c r="N1291" s="65"/>
    </row>
    <row r="1292" spans="1:14" x14ac:dyDescent="0.25">
      <c r="A1292" s="2">
        <v>1286</v>
      </c>
      <c r="B1292" s="11">
        <f t="shared" ca="1" si="101"/>
        <v>1</v>
      </c>
      <c r="C1292" s="26">
        <f t="shared" ca="1" si="105"/>
        <v>0.56620113924204385</v>
      </c>
      <c r="J1292">
        <f t="shared" ca="1" si="102"/>
        <v>1</v>
      </c>
      <c r="K1292">
        <f t="shared" ca="1" si="103"/>
        <v>0</v>
      </c>
      <c r="L1292" s="65">
        <v>1286</v>
      </c>
      <c r="M1292" s="71">
        <f t="shared" ca="1" si="104"/>
        <v>5.427635931656968</v>
      </c>
      <c r="N1292" s="65"/>
    </row>
    <row r="1293" spans="1:14" x14ac:dyDescent="0.25">
      <c r="A1293" s="2">
        <v>1287</v>
      </c>
      <c r="B1293" s="11">
        <f t="shared" ca="1" si="101"/>
        <v>1</v>
      </c>
      <c r="C1293" s="26">
        <f t="shared" ca="1" si="105"/>
        <v>0.39445622680736492</v>
      </c>
      <c r="J1293">
        <f t="shared" ca="1" si="102"/>
        <v>1</v>
      </c>
      <c r="K1293">
        <f t="shared" ca="1" si="103"/>
        <v>0</v>
      </c>
      <c r="L1293" s="65">
        <v>1287</v>
      </c>
      <c r="M1293" s="71">
        <f t="shared" ca="1" si="104"/>
        <v>0.71831424285013534</v>
      </c>
      <c r="N1293" s="65"/>
    </row>
    <row r="1294" spans="1:14" x14ac:dyDescent="0.25">
      <c r="A1294" s="2">
        <v>1288</v>
      </c>
      <c r="B1294" s="11">
        <f t="shared" ca="1" si="101"/>
        <v>1</v>
      </c>
      <c r="C1294" s="26">
        <f t="shared" ca="1" si="105"/>
        <v>0.449360639592155</v>
      </c>
      <c r="J1294">
        <f t="shared" ca="1" si="102"/>
        <v>1</v>
      </c>
      <c r="K1294">
        <f t="shared" ca="1" si="103"/>
        <v>0</v>
      </c>
      <c r="L1294" s="65">
        <v>1288</v>
      </c>
      <c r="M1294" s="71">
        <f t="shared" ca="1" si="104"/>
        <v>4.6725021559574618</v>
      </c>
      <c r="N1294" s="65"/>
    </row>
    <row r="1295" spans="1:14" x14ac:dyDescent="0.25">
      <c r="A1295" s="2">
        <v>1289</v>
      </c>
      <c r="B1295" s="11">
        <f t="shared" ca="1" si="101"/>
        <v>1</v>
      </c>
      <c r="C1295" s="26">
        <f t="shared" ca="1" si="105"/>
        <v>0.31101484336331564</v>
      </c>
      <c r="J1295">
        <f t="shared" ca="1" si="102"/>
        <v>1</v>
      </c>
      <c r="K1295">
        <f t="shared" ca="1" si="103"/>
        <v>0</v>
      </c>
      <c r="L1295" s="65">
        <v>1289</v>
      </c>
      <c r="M1295" s="71">
        <f t="shared" ca="1" si="104"/>
        <v>0.18587391107108636</v>
      </c>
      <c r="N1295" s="65"/>
    </row>
    <row r="1296" spans="1:14" x14ac:dyDescent="0.25">
      <c r="A1296" s="2">
        <v>1290</v>
      </c>
      <c r="B1296" s="11">
        <f t="shared" ca="1" si="101"/>
        <v>1</v>
      </c>
      <c r="C1296" s="26">
        <f t="shared" ca="1" si="105"/>
        <v>5.8039106332194446E-2</v>
      </c>
      <c r="J1296">
        <f t="shared" ca="1" si="102"/>
        <v>1</v>
      </c>
      <c r="K1296">
        <f t="shared" ca="1" si="103"/>
        <v>0</v>
      </c>
      <c r="L1296" s="65">
        <v>1290</v>
      </c>
      <c r="M1296" s="71">
        <f t="shared" ca="1" si="104"/>
        <v>6.0390968290457741</v>
      </c>
      <c r="N1296" s="65"/>
    </row>
    <row r="1297" spans="1:14" x14ac:dyDescent="0.25">
      <c r="A1297" s="2">
        <v>1291</v>
      </c>
      <c r="B1297" s="11">
        <f t="shared" ca="1" si="101"/>
        <v>1</v>
      </c>
      <c r="C1297" s="26">
        <f t="shared" ca="1" si="105"/>
        <v>0.12147490056907917</v>
      </c>
      <c r="J1297">
        <f t="shared" ca="1" si="102"/>
        <v>1</v>
      </c>
      <c r="K1297">
        <f t="shared" ca="1" si="103"/>
        <v>0</v>
      </c>
      <c r="L1297" s="65">
        <v>1291</v>
      </c>
      <c r="M1297" s="71">
        <f t="shared" ca="1" si="104"/>
        <v>9.0664885960386012</v>
      </c>
      <c r="N1297" s="65"/>
    </row>
    <row r="1298" spans="1:14" x14ac:dyDescent="0.25">
      <c r="A1298" s="2">
        <v>1292</v>
      </c>
      <c r="B1298" s="11">
        <f t="shared" ca="1" si="101"/>
        <v>1</v>
      </c>
      <c r="C1298" s="26">
        <f t="shared" ca="1" si="105"/>
        <v>0.35913061115610589</v>
      </c>
      <c r="J1298">
        <f t="shared" ca="1" si="102"/>
        <v>1</v>
      </c>
      <c r="K1298">
        <f t="shared" ca="1" si="103"/>
        <v>0</v>
      </c>
      <c r="L1298" s="65">
        <v>1292</v>
      </c>
      <c r="M1298" s="71">
        <f t="shared" ca="1" si="104"/>
        <v>5.178489837214526</v>
      </c>
      <c r="N1298" s="65"/>
    </row>
    <row r="1299" spans="1:14" x14ac:dyDescent="0.25">
      <c r="A1299" s="2">
        <v>1293</v>
      </c>
      <c r="B1299" s="11">
        <f t="shared" ca="1" si="101"/>
        <v>1</v>
      </c>
      <c r="C1299" s="26">
        <f t="shared" ca="1" si="105"/>
        <v>0.25431768051467507</v>
      </c>
      <c r="J1299">
        <f t="shared" ca="1" si="102"/>
        <v>1</v>
      </c>
      <c r="K1299">
        <f t="shared" ca="1" si="103"/>
        <v>0</v>
      </c>
      <c r="L1299" s="65">
        <v>1293</v>
      </c>
      <c r="M1299" s="71">
        <f t="shared" ca="1" si="104"/>
        <v>4.205738602142242</v>
      </c>
      <c r="N1299" s="65"/>
    </row>
    <row r="1300" spans="1:14" x14ac:dyDescent="0.25">
      <c r="A1300" s="2">
        <v>1294</v>
      </c>
      <c r="B1300" s="11">
        <f t="shared" ca="1" si="101"/>
        <v>1</v>
      </c>
      <c r="C1300" s="26">
        <f t="shared" ca="1" si="105"/>
        <v>0.22378319643298272</v>
      </c>
      <c r="J1300">
        <f t="shared" ca="1" si="102"/>
        <v>1</v>
      </c>
      <c r="K1300">
        <f t="shared" ca="1" si="103"/>
        <v>0</v>
      </c>
      <c r="L1300" s="65">
        <v>1294</v>
      </c>
      <c r="M1300" s="71">
        <f t="shared" ca="1" si="104"/>
        <v>1.4547756021084939</v>
      </c>
      <c r="N1300" s="65"/>
    </row>
    <row r="1301" spans="1:14" x14ac:dyDescent="0.25">
      <c r="A1301" s="2">
        <v>1295</v>
      </c>
      <c r="B1301" s="11">
        <f t="shared" ca="1" si="101"/>
        <v>1</v>
      </c>
      <c r="C1301" s="26">
        <f t="shared" ca="1" si="105"/>
        <v>1.8817889977668756E-2</v>
      </c>
      <c r="J1301">
        <f t="shared" ca="1" si="102"/>
        <v>1</v>
      </c>
      <c r="K1301">
        <f t="shared" ca="1" si="103"/>
        <v>0</v>
      </c>
      <c r="L1301" s="65">
        <v>1295</v>
      </c>
      <c r="M1301" s="71">
        <f t="shared" ca="1" si="104"/>
        <v>11.362688870164462</v>
      </c>
      <c r="N1301" s="65"/>
    </row>
    <row r="1302" spans="1:14" x14ac:dyDescent="0.25">
      <c r="A1302" s="2">
        <v>1296</v>
      </c>
      <c r="B1302" s="11">
        <f t="shared" ca="1" si="101"/>
        <v>1</v>
      </c>
      <c r="C1302" s="26">
        <f t="shared" ca="1" si="105"/>
        <v>0.51141052602562165</v>
      </c>
      <c r="J1302">
        <f t="shared" ca="1" si="102"/>
        <v>1</v>
      </c>
      <c r="K1302">
        <f t="shared" ca="1" si="103"/>
        <v>0</v>
      </c>
      <c r="L1302" s="65">
        <v>1296</v>
      </c>
      <c r="M1302" s="71">
        <f t="shared" ca="1" si="104"/>
        <v>1.8464101006674232</v>
      </c>
      <c r="N1302" s="65"/>
    </row>
    <row r="1303" spans="1:14" x14ac:dyDescent="0.25">
      <c r="A1303" s="2">
        <v>1297</v>
      </c>
      <c r="B1303" s="11">
        <f t="shared" ca="1" si="101"/>
        <v>1</v>
      </c>
      <c r="C1303" s="26">
        <f t="shared" ca="1" si="105"/>
        <v>0.44278217700067479</v>
      </c>
      <c r="J1303">
        <f t="shared" ca="1" si="102"/>
        <v>1</v>
      </c>
      <c r="K1303">
        <f t="shared" ca="1" si="103"/>
        <v>0</v>
      </c>
      <c r="L1303" s="65">
        <v>1297</v>
      </c>
      <c r="M1303" s="71">
        <f t="shared" ca="1" si="104"/>
        <v>2.0345653523918159</v>
      </c>
      <c r="N1303" s="65"/>
    </row>
    <row r="1304" spans="1:14" x14ac:dyDescent="0.25">
      <c r="A1304" s="2">
        <v>1298</v>
      </c>
      <c r="B1304" s="11">
        <f t="shared" ca="1" si="101"/>
        <v>1</v>
      </c>
      <c r="C1304" s="26">
        <f t="shared" ca="1" si="105"/>
        <v>0.64144277723444465</v>
      </c>
      <c r="J1304">
        <f t="shared" ca="1" si="102"/>
        <v>1</v>
      </c>
      <c r="K1304">
        <f t="shared" ca="1" si="103"/>
        <v>0</v>
      </c>
      <c r="L1304" s="65">
        <v>1298</v>
      </c>
      <c r="M1304" s="71">
        <f t="shared" ca="1" si="104"/>
        <v>1.9585474716572886</v>
      </c>
      <c r="N1304" s="65"/>
    </row>
    <row r="1305" spans="1:14" x14ac:dyDescent="0.25">
      <c r="A1305" s="2">
        <v>1299</v>
      </c>
      <c r="B1305" s="11">
        <f t="shared" ca="1" si="101"/>
        <v>1</v>
      </c>
      <c r="C1305" s="26">
        <f t="shared" ca="1" si="105"/>
        <v>0.6480663740472461</v>
      </c>
      <c r="J1305">
        <f t="shared" ca="1" si="102"/>
        <v>1</v>
      </c>
      <c r="K1305">
        <f t="shared" ca="1" si="103"/>
        <v>0</v>
      </c>
      <c r="L1305" s="65">
        <v>1299</v>
      </c>
      <c r="M1305" s="71">
        <f t="shared" ca="1" si="104"/>
        <v>0.78472255876073904</v>
      </c>
      <c r="N1305" s="65"/>
    </row>
    <row r="1306" spans="1:14" x14ac:dyDescent="0.25">
      <c r="A1306" s="2">
        <v>1300</v>
      </c>
      <c r="B1306" s="11">
        <f t="shared" ca="1" si="101"/>
        <v>1</v>
      </c>
      <c r="C1306" s="26">
        <f t="shared" ca="1" si="105"/>
        <v>0.23436725346634368</v>
      </c>
      <c r="J1306">
        <f t="shared" ca="1" si="102"/>
        <v>1</v>
      </c>
      <c r="K1306">
        <f t="shared" ca="1" si="103"/>
        <v>0</v>
      </c>
      <c r="L1306" s="65">
        <v>1300</v>
      </c>
      <c r="M1306" s="71">
        <f t="shared" ca="1" si="104"/>
        <v>1.3334412092264341</v>
      </c>
      <c r="N1306" s="65"/>
    </row>
    <row r="1307" spans="1:14" x14ac:dyDescent="0.25">
      <c r="A1307" s="2">
        <v>1301</v>
      </c>
      <c r="B1307" s="11">
        <f t="shared" ca="1" si="101"/>
        <v>1</v>
      </c>
      <c r="C1307" s="26">
        <f t="shared" ca="1" si="105"/>
        <v>0.16613107204240396</v>
      </c>
      <c r="J1307">
        <f t="shared" ca="1" si="102"/>
        <v>1</v>
      </c>
      <c r="K1307">
        <f t="shared" ca="1" si="103"/>
        <v>0</v>
      </c>
      <c r="L1307" s="65">
        <v>1301</v>
      </c>
      <c r="M1307" s="71">
        <f t="shared" ca="1" si="104"/>
        <v>2.8917048872312172</v>
      </c>
      <c r="N1307" s="65"/>
    </row>
    <row r="1308" spans="1:14" x14ac:dyDescent="0.25">
      <c r="A1308" s="2">
        <v>1302</v>
      </c>
      <c r="B1308" s="11">
        <f t="shared" ca="1" si="101"/>
        <v>1</v>
      </c>
      <c r="C1308" s="26">
        <f t="shared" ca="1" si="105"/>
        <v>0.5898022796519663</v>
      </c>
      <c r="J1308">
        <f t="shared" ca="1" si="102"/>
        <v>1</v>
      </c>
      <c r="K1308">
        <f t="shared" ca="1" si="103"/>
        <v>0</v>
      </c>
      <c r="L1308" s="65">
        <v>1302</v>
      </c>
      <c r="M1308" s="71">
        <f t="shared" ca="1" si="104"/>
        <v>0.45722067152781259</v>
      </c>
      <c r="N1308" s="65"/>
    </row>
    <row r="1309" spans="1:14" x14ac:dyDescent="0.25">
      <c r="A1309" s="2">
        <v>1303</v>
      </c>
      <c r="B1309" s="11">
        <f t="shared" ca="1" si="101"/>
        <v>1</v>
      </c>
      <c r="C1309" s="26">
        <f t="shared" ca="1" si="105"/>
        <v>7.0518404533668311E-2</v>
      </c>
      <c r="J1309">
        <f t="shared" ca="1" si="102"/>
        <v>1</v>
      </c>
      <c r="K1309">
        <f t="shared" ca="1" si="103"/>
        <v>0</v>
      </c>
      <c r="L1309" s="65">
        <v>1303</v>
      </c>
      <c r="M1309" s="71">
        <f t="shared" ca="1" si="104"/>
        <v>19.629705194844515</v>
      </c>
      <c r="N1309" s="65"/>
    </row>
    <row r="1310" spans="1:14" x14ac:dyDescent="0.25">
      <c r="A1310" s="2">
        <v>1304</v>
      </c>
      <c r="B1310" s="11">
        <f t="shared" ca="1" si="101"/>
        <v>1</v>
      </c>
      <c r="C1310" s="26">
        <f t="shared" ca="1" si="105"/>
        <v>0.65178118075456204</v>
      </c>
      <c r="J1310">
        <f t="shared" ca="1" si="102"/>
        <v>0</v>
      </c>
      <c r="K1310">
        <f t="shared" ca="1" si="103"/>
        <v>0</v>
      </c>
      <c r="L1310" s="65">
        <v>1304</v>
      </c>
      <c r="M1310" s="71">
        <f t="shared" ca="1" si="104"/>
        <v>3.110711353736586</v>
      </c>
      <c r="N1310" s="65"/>
    </row>
    <row r="1311" spans="1:14" x14ac:dyDescent="0.25">
      <c r="A1311" s="2">
        <v>1305</v>
      </c>
      <c r="B1311" s="11">
        <f t="shared" ca="1" si="101"/>
        <v>0</v>
      </c>
      <c r="C1311" s="26">
        <f t="shared" ca="1" si="105"/>
        <v>0.86281638317523923</v>
      </c>
      <c r="J1311">
        <f t="shared" ca="1" si="102"/>
        <v>0</v>
      </c>
      <c r="K1311">
        <f t="shared" ca="1" si="103"/>
        <v>0</v>
      </c>
      <c r="L1311" s="65">
        <v>1305</v>
      </c>
      <c r="M1311" s="71">
        <f t="shared" ca="1" si="104"/>
        <v>0</v>
      </c>
      <c r="N1311" s="65"/>
    </row>
    <row r="1312" spans="1:14" x14ac:dyDescent="0.25">
      <c r="A1312" s="2">
        <v>1306</v>
      </c>
      <c r="B1312" s="11">
        <f t="shared" ca="1" si="101"/>
        <v>1</v>
      </c>
      <c r="C1312" s="26">
        <f t="shared" ca="1" si="105"/>
        <v>0.19164842588281294</v>
      </c>
      <c r="J1312">
        <f t="shared" ca="1" si="102"/>
        <v>1</v>
      </c>
      <c r="K1312">
        <f t="shared" ca="1" si="103"/>
        <v>0</v>
      </c>
      <c r="L1312" s="65">
        <v>1306</v>
      </c>
      <c r="M1312" s="71">
        <f t="shared" ca="1" si="104"/>
        <v>6.5856328582002837</v>
      </c>
      <c r="N1312" s="65"/>
    </row>
    <row r="1313" spans="1:14" x14ac:dyDescent="0.25">
      <c r="A1313" s="2">
        <v>1307</v>
      </c>
      <c r="B1313" s="11">
        <f t="shared" ca="1" si="101"/>
        <v>1</v>
      </c>
      <c r="C1313" s="26">
        <f t="shared" ca="1" si="105"/>
        <v>0.63768266579740096</v>
      </c>
      <c r="J1313">
        <f t="shared" ca="1" si="102"/>
        <v>1</v>
      </c>
      <c r="K1313">
        <f t="shared" ca="1" si="103"/>
        <v>0</v>
      </c>
      <c r="L1313" s="65">
        <v>1307</v>
      </c>
      <c r="M1313" s="71">
        <f t="shared" ca="1" si="104"/>
        <v>0.62271003232924838</v>
      </c>
      <c r="N1313" s="65"/>
    </row>
    <row r="1314" spans="1:14" x14ac:dyDescent="0.25">
      <c r="A1314" s="2">
        <v>1308</v>
      </c>
      <c r="B1314" s="11">
        <f t="shared" ca="1" si="101"/>
        <v>1</v>
      </c>
      <c r="C1314" s="26">
        <f t="shared" ca="1" si="105"/>
        <v>0.12564266502250976</v>
      </c>
      <c r="J1314">
        <f t="shared" ca="1" si="102"/>
        <v>1</v>
      </c>
      <c r="K1314">
        <f t="shared" ca="1" si="103"/>
        <v>0</v>
      </c>
      <c r="L1314" s="65">
        <v>1308</v>
      </c>
      <c r="M1314" s="71">
        <f t="shared" ca="1" si="104"/>
        <v>2.771863269294756</v>
      </c>
      <c r="N1314" s="65"/>
    </row>
    <row r="1315" spans="1:14" x14ac:dyDescent="0.25">
      <c r="A1315" s="2">
        <v>1309</v>
      </c>
      <c r="B1315" s="11">
        <f t="shared" ca="1" si="101"/>
        <v>1</v>
      </c>
      <c r="C1315" s="26">
        <f t="shared" ca="1" si="105"/>
        <v>0.25316552721535124</v>
      </c>
      <c r="J1315">
        <f t="shared" ca="1" si="102"/>
        <v>1</v>
      </c>
      <c r="K1315">
        <f t="shared" ca="1" si="103"/>
        <v>0</v>
      </c>
      <c r="L1315" s="65">
        <v>1309</v>
      </c>
      <c r="M1315" s="71">
        <f t="shared" ca="1" si="104"/>
        <v>3.1421692637921761</v>
      </c>
      <c r="N1315" s="65"/>
    </row>
    <row r="1316" spans="1:14" x14ac:dyDescent="0.25">
      <c r="A1316" s="2">
        <v>1310</v>
      </c>
      <c r="B1316" s="11">
        <f t="shared" ca="1" si="101"/>
        <v>1</v>
      </c>
      <c r="C1316" s="26">
        <f t="shared" ca="1" si="105"/>
        <v>0.58433982038426202</v>
      </c>
      <c r="J1316">
        <f t="shared" ca="1" si="102"/>
        <v>0</v>
      </c>
      <c r="K1316">
        <f t="shared" ca="1" si="103"/>
        <v>0</v>
      </c>
      <c r="L1316" s="65">
        <v>1310</v>
      </c>
      <c r="M1316" s="71">
        <f t="shared" ca="1" si="104"/>
        <v>3.4520262662573491</v>
      </c>
      <c r="N1316" s="65"/>
    </row>
    <row r="1317" spans="1:14" x14ac:dyDescent="0.25">
      <c r="A1317" s="2">
        <v>1311</v>
      </c>
      <c r="B1317" s="11">
        <f t="shared" ca="1" si="101"/>
        <v>0</v>
      </c>
      <c r="C1317" s="26">
        <f t="shared" ca="1" si="105"/>
        <v>0.80007016926578822</v>
      </c>
      <c r="J1317">
        <f t="shared" ca="1" si="102"/>
        <v>0</v>
      </c>
      <c r="K1317">
        <f t="shared" ca="1" si="103"/>
        <v>1</v>
      </c>
      <c r="L1317" s="65">
        <v>1311</v>
      </c>
      <c r="M1317" s="71">
        <f t="shared" ca="1" si="104"/>
        <v>0</v>
      </c>
      <c r="N1317" s="65"/>
    </row>
    <row r="1318" spans="1:14" x14ac:dyDescent="0.25">
      <c r="A1318" s="2">
        <v>1312</v>
      </c>
      <c r="B1318" s="11">
        <f t="shared" ca="1" si="101"/>
        <v>0</v>
      </c>
      <c r="C1318" s="26">
        <f t="shared" ca="1" si="105"/>
        <v>0.83723255753830517</v>
      </c>
      <c r="J1318">
        <f t="shared" ca="1" si="102"/>
        <v>0</v>
      </c>
      <c r="K1318">
        <f t="shared" ca="1" si="103"/>
        <v>0</v>
      </c>
      <c r="L1318" s="65">
        <v>1312</v>
      </c>
      <c r="M1318" s="71">
        <f t="shared" ca="1" si="104"/>
        <v>0</v>
      </c>
      <c r="N1318" s="65"/>
    </row>
    <row r="1319" spans="1:14" x14ac:dyDescent="0.25">
      <c r="A1319" s="2">
        <v>1313</v>
      </c>
      <c r="B1319" s="11">
        <f t="shared" ca="1" si="101"/>
        <v>1</v>
      </c>
      <c r="C1319" s="26">
        <f t="shared" ca="1" si="105"/>
        <v>0.62559797381620119</v>
      </c>
      <c r="J1319">
        <f t="shared" ca="1" si="102"/>
        <v>1</v>
      </c>
      <c r="K1319">
        <f t="shared" ca="1" si="103"/>
        <v>0</v>
      </c>
      <c r="L1319" s="65">
        <v>1313</v>
      </c>
      <c r="M1319" s="71">
        <f t="shared" ca="1" si="104"/>
        <v>0.1716766228591734</v>
      </c>
      <c r="N1319" s="65"/>
    </row>
    <row r="1320" spans="1:14" x14ac:dyDescent="0.25">
      <c r="A1320" s="2">
        <v>1314</v>
      </c>
      <c r="B1320" s="11">
        <f t="shared" ca="1" si="101"/>
        <v>1</v>
      </c>
      <c r="C1320" s="26">
        <f t="shared" ca="1" si="105"/>
        <v>0.41978027296666731</v>
      </c>
      <c r="J1320">
        <f t="shared" ca="1" si="102"/>
        <v>0</v>
      </c>
      <c r="K1320">
        <f t="shared" ca="1" si="103"/>
        <v>0</v>
      </c>
      <c r="L1320" s="65">
        <v>1314</v>
      </c>
      <c r="M1320" s="71">
        <f t="shared" ca="1" si="104"/>
        <v>3.0675504772233197</v>
      </c>
      <c r="N1320" s="65"/>
    </row>
    <row r="1321" spans="1:14" x14ac:dyDescent="0.25">
      <c r="A1321" s="2">
        <v>1315</v>
      </c>
      <c r="B1321" s="11">
        <f t="shared" ca="1" si="101"/>
        <v>0</v>
      </c>
      <c r="C1321" s="26">
        <f t="shared" ca="1" si="105"/>
        <v>0.97839794391879098</v>
      </c>
      <c r="J1321">
        <f t="shared" ca="1" si="102"/>
        <v>0</v>
      </c>
      <c r="K1321">
        <f t="shared" ca="1" si="103"/>
        <v>0</v>
      </c>
      <c r="L1321" s="65">
        <v>1315</v>
      </c>
      <c r="M1321" s="71">
        <f t="shared" ca="1" si="104"/>
        <v>0</v>
      </c>
      <c r="N1321" s="65"/>
    </row>
    <row r="1322" spans="1:14" x14ac:dyDescent="0.25">
      <c r="A1322" s="2">
        <v>1316</v>
      </c>
      <c r="B1322" s="11">
        <f t="shared" ca="1" si="101"/>
        <v>1</v>
      </c>
      <c r="C1322" s="26">
        <f t="shared" ca="1" si="105"/>
        <v>1.4928611521942803E-2</v>
      </c>
      <c r="J1322">
        <f t="shared" ca="1" si="102"/>
        <v>1</v>
      </c>
      <c r="K1322">
        <f t="shared" ca="1" si="103"/>
        <v>0</v>
      </c>
      <c r="L1322" s="65">
        <v>1316</v>
      </c>
      <c r="M1322" s="71">
        <f t="shared" ca="1" si="104"/>
        <v>0.56903560031371969</v>
      </c>
      <c r="N1322" s="65"/>
    </row>
    <row r="1323" spans="1:14" x14ac:dyDescent="0.25">
      <c r="A1323" s="2">
        <v>1317</v>
      </c>
      <c r="B1323" s="11">
        <f t="shared" ca="1" si="101"/>
        <v>1</v>
      </c>
      <c r="C1323" s="26">
        <f t="shared" ca="1" si="105"/>
        <v>0.33666432617973407</v>
      </c>
      <c r="J1323">
        <f t="shared" ca="1" si="102"/>
        <v>1</v>
      </c>
      <c r="K1323">
        <f t="shared" ca="1" si="103"/>
        <v>0</v>
      </c>
      <c r="L1323" s="65">
        <v>1317</v>
      </c>
      <c r="M1323" s="71">
        <f t="shared" ca="1" si="104"/>
        <v>5.4480369114471107E-2</v>
      </c>
      <c r="N1323" s="65"/>
    </row>
    <row r="1324" spans="1:14" x14ac:dyDescent="0.25">
      <c r="A1324" s="2">
        <v>1318</v>
      </c>
      <c r="B1324" s="11">
        <f t="shared" ca="1" si="101"/>
        <v>1</v>
      </c>
      <c r="C1324" s="26">
        <f t="shared" ca="1" si="105"/>
        <v>0.64488229543770703</v>
      </c>
      <c r="J1324">
        <f t="shared" ca="1" si="102"/>
        <v>1</v>
      </c>
      <c r="K1324">
        <f t="shared" ca="1" si="103"/>
        <v>0</v>
      </c>
      <c r="L1324" s="65">
        <v>1318</v>
      </c>
      <c r="M1324" s="71">
        <f t="shared" ca="1" si="104"/>
        <v>3.3081352566881179</v>
      </c>
      <c r="N1324" s="65"/>
    </row>
    <row r="1325" spans="1:14" x14ac:dyDescent="0.25">
      <c r="A1325" s="2">
        <v>1319</v>
      </c>
      <c r="B1325" s="11">
        <f t="shared" ca="1" si="101"/>
        <v>1</v>
      </c>
      <c r="C1325" s="26">
        <f t="shared" ca="1" si="105"/>
        <v>0.63167895970137111</v>
      </c>
      <c r="J1325">
        <f t="shared" ca="1" si="102"/>
        <v>1</v>
      </c>
      <c r="K1325">
        <f t="shared" ca="1" si="103"/>
        <v>0</v>
      </c>
      <c r="L1325" s="65">
        <v>1319</v>
      </c>
      <c r="M1325" s="71">
        <f t="shared" ca="1" si="104"/>
        <v>6.0329122127916008</v>
      </c>
      <c r="N1325" s="65"/>
    </row>
    <row r="1326" spans="1:14" x14ac:dyDescent="0.25">
      <c r="A1326" s="2">
        <v>1320</v>
      </c>
      <c r="B1326" s="11">
        <f t="shared" ca="1" si="101"/>
        <v>1</v>
      </c>
      <c r="C1326" s="26">
        <f t="shared" ca="1" si="105"/>
        <v>0.65055511087098128</v>
      </c>
      <c r="J1326">
        <f t="shared" ca="1" si="102"/>
        <v>1</v>
      </c>
      <c r="K1326">
        <f t="shared" ca="1" si="103"/>
        <v>0</v>
      </c>
      <c r="L1326" s="65">
        <v>1320</v>
      </c>
      <c r="M1326" s="71">
        <f t="shared" ca="1" si="104"/>
        <v>0.37968168520238033</v>
      </c>
      <c r="N1326" s="65"/>
    </row>
    <row r="1327" spans="1:14" x14ac:dyDescent="0.25">
      <c r="A1327" s="2">
        <v>1321</v>
      </c>
      <c r="B1327" s="11">
        <f t="shared" ref="B1327:B1390" ca="1" si="106">IF(B1326&gt;0,IF(C1327&lt;pww,1,0),IF(C1327&lt;pdw,1,0))</f>
        <v>1</v>
      </c>
      <c r="C1327" s="26">
        <f t="shared" ca="1" si="105"/>
        <v>0.79064526095224852</v>
      </c>
      <c r="J1327">
        <f t="shared" ref="J1327:J1390" ca="1" si="107">IF(AND(B1327,B1328),1,0)</f>
        <v>1</v>
      </c>
      <c r="K1327">
        <f t="shared" ref="K1327:K1390" ca="1" si="108">IF(AND(NOT(B1327),NOT(B1328)),1,0)</f>
        <v>0</v>
      </c>
      <c r="L1327" s="65">
        <v>1321</v>
      </c>
      <c r="M1327" s="71">
        <f t="shared" ca="1" si="104"/>
        <v>5.0111044237190701</v>
      </c>
      <c r="N1327" s="65"/>
    </row>
    <row r="1328" spans="1:14" x14ac:dyDescent="0.25">
      <c r="A1328" s="2">
        <v>1322</v>
      </c>
      <c r="B1328" s="11">
        <f t="shared" ca="1" si="106"/>
        <v>1</v>
      </c>
      <c r="C1328" s="26">
        <f t="shared" ca="1" si="105"/>
        <v>0.7341629980492802</v>
      </c>
      <c r="J1328">
        <f t="shared" ca="1" si="107"/>
        <v>1</v>
      </c>
      <c r="K1328">
        <f t="shared" ca="1" si="108"/>
        <v>0</v>
      </c>
      <c r="L1328" s="65">
        <v>1322</v>
      </c>
      <c r="M1328" s="71">
        <f t="shared" ca="1" si="104"/>
        <v>0.1767132316934783</v>
      </c>
      <c r="N1328" s="65"/>
    </row>
    <row r="1329" spans="1:14" x14ac:dyDescent="0.25">
      <c r="A1329" s="2">
        <v>1323</v>
      </c>
      <c r="B1329" s="11">
        <f t="shared" ca="1" si="106"/>
        <v>1</v>
      </c>
      <c r="C1329" s="26">
        <f t="shared" ca="1" si="105"/>
        <v>0.50993148997922766</v>
      </c>
      <c r="J1329">
        <f t="shared" ca="1" si="107"/>
        <v>1</v>
      </c>
      <c r="K1329">
        <f t="shared" ca="1" si="108"/>
        <v>0</v>
      </c>
      <c r="L1329" s="65">
        <v>1323</v>
      </c>
      <c r="M1329" s="71">
        <f t="shared" ca="1" si="104"/>
        <v>1.1377397747531235</v>
      </c>
      <c r="N1329" s="65"/>
    </row>
    <row r="1330" spans="1:14" x14ac:dyDescent="0.25">
      <c r="A1330" s="2">
        <v>1324</v>
      </c>
      <c r="B1330" s="11">
        <f t="shared" ca="1" si="106"/>
        <v>1</v>
      </c>
      <c r="C1330" s="26">
        <f t="shared" ca="1" si="105"/>
        <v>0.1008248573798205</v>
      </c>
      <c r="J1330">
        <f t="shared" ca="1" si="107"/>
        <v>0</v>
      </c>
      <c r="K1330">
        <f t="shared" ca="1" si="108"/>
        <v>0</v>
      </c>
      <c r="L1330" s="65">
        <v>1324</v>
      </c>
      <c r="M1330" s="71">
        <f t="shared" ca="1" si="104"/>
        <v>0.19333558761091146</v>
      </c>
      <c r="N1330" s="65"/>
    </row>
    <row r="1331" spans="1:14" x14ac:dyDescent="0.25">
      <c r="A1331" s="2">
        <v>1325</v>
      </c>
      <c r="B1331" s="11">
        <f t="shared" ca="1" si="106"/>
        <v>0</v>
      </c>
      <c r="C1331" s="26">
        <f t="shared" ca="1" si="105"/>
        <v>0.88059903831689679</v>
      </c>
      <c r="J1331">
        <f t="shared" ca="1" si="107"/>
        <v>0</v>
      </c>
      <c r="K1331">
        <f t="shared" ca="1" si="108"/>
        <v>0</v>
      </c>
      <c r="L1331" s="65">
        <v>1325</v>
      </c>
      <c r="M1331" s="71">
        <f t="shared" ca="1" si="104"/>
        <v>0</v>
      </c>
      <c r="N1331" s="65"/>
    </row>
    <row r="1332" spans="1:14" x14ac:dyDescent="0.25">
      <c r="A1332" s="2">
        <v>1326</v>
      </c>
      <c r="B1332" s="11">
        <f t="shared" ca="1" si="106"/>
        <v>1</v>
      </c>
      <c r="C1332" s="26">
        <f t="shared" ca="1" si="105"/>
        <v>0.45617687437515031</v>
      </c>
      <c r="J1332">
        <f t="shared" ca="1" si="107"/>
        <v>1</v>
      </c>
      <c r="K1332">
        <f t="shared" ca="1" si="108"/>
        <v>0</v>
      </c>
      <c r="L1332" s="65">
        <v>1326</v>
      </c>
      <c r="M1332" s="71">
        <f t="shared" ca="1" si="104"/>
        <v>4.4705727628792733</v>
      </c>
      <c r="N1332" s="65"/>
    </row>
    <row r="1333" spans="1:14" x14ac:dyDescent="0.25">
      <c r="A1333" s="2">
        <v>1327</v>
      </c>
      <c r="B1333" s="11">
        <f t="shared" ca="1" si="106"/>
        <v>1</v>
      </c>
      <c r="C1333" s="26">
        <f t="shared" ca="1" si="105"/>
        <v>0.63660178005688628</v>
      </c>
      <c r="J1333">
        <f t="shared" ca="1" si="107"/>
        <v>1</v>
      </c>
      <c r="K1333">
        <f t="shared" ca="1" si="108"/>
        <v>0</v>
      </c>
      <c r="L1333" s="65">
        <v>1327</v>
      </c>
      <c r="M1333" s="71">
        <f t="shared" ca="1" si="104"/>
        <v>0.51792310308925027</v>
      </c>
      <c r="N1333" s="65"/>
    </row>
    <row r="1334" spans="1:14" x14ac:dyDescent="0.25">
      <c r="A1334" s="2">
        <v>1328</v>
      </c>
      <c r="B1334" s="11">
        <f t="shared" ca="1" si="106"/>
        <v>1</v>
      </c>
      <c r="C1334" s="26">
        <f t="shared" ca="1" si="105"/>
        <v>0.54143346740835974</v>
      </c>
      <c r="J1334">
        <f t="shared" ca="1" si="107"/>
        <v>1</v>
      </c>
      <c r="K1334">
        <f t="shared" ca="1" si="108"/>
        <v>0</v>
      </c>
      <c r="L1334" s="65">
        <v>1328</v>
      </c>
      <c r="M1334" s="71">
        <f t="shared" ca="1" si="104"/>
        <v>0.61449731854181533</v>
      </c>
      <c r="N1334" s="65"/>
    </row>
    <row r="1335" spans="1:14" x14ac:dyDescent="0.25">
      <c r="A1335" s="2">
        <v>1329</v>
      </c>
      <c r="B1335" s="11">
        <f t="shared" ca="1" si="106"/>
        <v>1</v>
      </c>
      <c r="C1335" s="26">
        <f t="shared" ca="1" si="105"/>
        <v>0.52532021511856708</v>
      </c>
      <c r="J1335">
        <f t="shared" ca="1" si="107"/>
        <v>1</v>
      </c>
      <c r="K1335">
        <f t="shared" ca="1" si="108"/>
        <v>0</v>
      </c>
      <c r="L1335" s="65">
        <v>1329</v>
      </c>
      <c r="M1335" s="71">
        <f t="shared" ca="1" si="104"/>
        <v>2.8447647589025764</v>
      </c>
      <c r="N1335" s="65"/>
    </row>
    <row r="1336" spans="1:14" x14ac:dyDescent="0.25">
      <c r="A1336" s="2">
        <v>1330</v>
      </c>
      <c r="B1336" s="11">
        <f t="shared" ca="1" si="106"/>
        <v>1</v>
      </c>
      <c r="C1336" s="26">
        <f t="shared" ca="1" si="105"/>
        <v>0.77323089235672093</v>
      </c>
      <c r="J1336">
        <f t="shared" ca="1" si="107"/>
        <v>1</v>
      </c>
      <c r="K1336">
        <f t="shared" ca="1" si="108"/>
        <v>0</v>
      </c>
      <c r="L1336" s="65">
        <v>1330</v>
      </c>
      <c r="M1336" s="71">
        <f t="shared" ca="1" si="104"/>
        <v>16.254217931341703</v>
      </c>
      <c r="N1336" s="65"/>
    </row>
    <row r="1337" spans="1:14" x14ac:dyDescent="0.25">
      <c r="A1337" s="2">
        <v>1331</v>
      </c>
      <c r="B1337" s="11">
        <f t="shared" ca="1" si="106"/>
        <v>1</v>
      </c>
      <c r="C1337" s="26">
        <f t="shared" ca="1" si="105"/>
        <v>0.54818061000388829</v>
      </c>
      <c r="J1337">
        <f t="shared" ca="1" si="107"/>
        <v>1</v>
      </c>
      <c r="K1337">
        <f t="shared" ca="1" si="108"/>
        <v>0</v>
      </c>
      <c r="L1337" s="65">
        <v>1331</v>
      </c>
      <c r="M1337" s="71">
        <f t="shared" ca="1" si="104"/>
        <v>1.4346885403979102</v>
      </c>
      <c r="N1337" s="65"/>
    </row>
    <row r="1338" spans="1:14" x14ac:dyDescent="0.25">
      <c r="A1338" s="2">
        <v>1332</v>
      </c>
      <c r="B1338" s="11">
        <f t="shared" ca="1" si="106"/>
        <v>1</v>
      </c>
      <c r="C1338" s="26">
        <f t="shared" ca="1" si="105"/>
        <v>0.1571961346316022</v>
      </c>
      <c r="J1338">
        <f t="shared" ca="1" si="107"/>
        <v>1</v>
      </c>
      <c r="K1338">
        <f t="shared" ca="1" si="108"/>
        <v>0</v>
      </c>
      <c r="L1338" s="65">
        <v>1332</v>
      </c>
      <c r="M1338" s="71">
        <f t="shared" ca="1" si="104"/>
        <v>1.3353913687818635</v>
      </c>
      <c r="N1338" s="65"/>
    </row>
    <row r="1339" spans="1:14" x14ac:dyDescent="0.25">
      <c r="A1339" s="2">
        <v>1333</v>
      </c>
      <c r="B1339" s="11">
        <f t="shared" ca="1" si="106"/>
        <v>1</v>
      </c>
      <c r="C1339" s="26">
        <f t="shared" ca="1" si="105"/>
        <v>0.56964011467100795</v>
      </c>
      <c r="J1339">
        <f t="shared" ca="1" si="107"/>
        <v>0</v>
      </c>
      <c r="K1339">
        <f t="shared" ca="1" si="108"/>
        <v>0</v>
      </c>
      <c r="L1339" s="65">
        <v>1333</v>
      </c>
      <c r="M1339" s="71">
        <f t="shared" ca="1" si="104"/>
        <v>1.0802709687287939</v>
      </c>
      <c r="N1339" s="65"/>
    </row>
    <row r="1340" spans="1:14" x14ac:dyDescent="0.25">
      <c r="A1340" s="2">
        <v>1334</v>
      </c>
      <c r="B1340" s="11">
        <f t="shared" ca="1" si="106"/>
        <v>0</v>
      </c>
      <c r="C1340" s="26">
        <f t="shared" ca="1" si="105"/>
        <v>0.93858478566814885</v>
      </c>
      <c r="J1340">
        <f t="shared" ca="1" si="107"/>
        <v>0</v>
      </c>
      <c r="K1340">
        <f t="shared" ca="1" si="108"/>
        <v>0</v>
      </c>
      <c r="L1340" s="65">
        <v>1334</v>
      </c>
      <c r="M1340" s="71">
        <f t="shared" ca="1" si="104"/>
        <v>0</v>
      </c>
      <c r="N1340" s="65"/>
    </row>
    <row r="1341" spans="1:14" x14ac:dyDescent="0.25">
      <c r="A1341" s="2">
        <v>1335</v>
      </c>
      <c r="B1341" s="11">
        <f t="shared" ca="1" si="106"/>
        <v>1</v>
      </c>
      <c r="C1341" s="26">
        <f t="shared" ca="1" si="105"/>
        <v>0.61716449459723555</v>
      </c>
      <c r="J1341">
        <f t="shared" ca="1" si="107"/>
        <v>1</v>
      </c>
      <c r="K1341">
        <f t="shared" ca="1" si="108"/>
        <v>0</v>
      </c>
      <c r="L1341" s="65">
        <v>1335</v>
      </c>
      <c r="M1341" s="71">
        <f t="shared" ca="1" si="104"/>
        <v>0.69313443380689121</v>
      </c>
      <c r="N1341" s="65"/>
    </row>
    <row r="1342" spans="1:14" x14ac:dyDescent="0.25">
      <c r="A1342" s="2">
        <v>1336</v>
      </c>
      <c r="B1342" s="11">
        <f t="shared" ca="1" si="106"/>
        <v>1</v>
      </c>
      <c r="C1342" s="26">
        <f t="shared" ca="1" si="105"/>
        <v>0.78661806878774443</v>
      </c>
      <c r="J1342">
        <f t="shared" ca="1" si="107"/>
        <v>0</v>
      </c>
      <c r="K1342">
        <f t="shared" ca="1" si="108"/>
        <v>0</v>
      </c>
      <c r="L1342" s="65">
        <v>1336</v>
      </c>
      <c r="M1342" s="71">
        <f t="shared" ca="1" si="104"/>
        <v>3.8810085761381932</v>
      </c>
      <c r="N1342" s="65"/>
    </row>
    <row r="1343" spans="1:14" x14ac:dyDescent="0.25">
      <c r="A1343" s="2">
        <v>1337</v>
      </c>
      <c r="B1343" s="11">
        <f t="shared" ca="1" si="106"/>
        <v>0</v>
      </c>
      <c r="C1343" s="26">
        <f t="shared" ca="1" si="105"/>
        <v>0.86125827891363593</v>
      </c>
      <c r="J1343">
        <f t="shared" ca="1" si="107"/>
        <v>0</v>
      </c>
      <c r="K1343">
        <f t="shared" ca="1" si="108"/>
        <v>1</v>
      </c>
      <c r="L1343" s="65">
        <v>1337</v>
      </c>
      <c r="M1343" s="71">
        <f t="shared" ca="1" si="104"/>
        <v>0</v>
      </c>
      <c r="N1343" s="65"/>
    </row>
    <row r="1344" spans="1:14" x14ac:dyDescent="0.25">
      <c r="A1344" s="2">
        <v>1338</v>
      </c>
      <c r="B1344" s="11">
        <f t="shared" ca="1" si="106"/>
        <v>0</v>
      </c>
      <c r="C1344" s="26">
        <f t="shared" ca="1" si="105"/>
        <v>0.82280345967041746</v>
      </c>
      <c r="J1344">
        <f t="shared" ca="1" si="107"/>
        <v>0</v>
      </c>
      <c r="K1344">
        <f t="shared" ca="1" si="108"/>
        <v>0</v>
      </c>
      <c r="L1344" s="65">
        <v>1338</v>
      </c>
      <c r="M1344" s="71">
        <f t="shared" ca="1" si="104"/>
        <v>0</v>
      </c>
      <c r="N1344" s="65"/>
    </row>
    <row r="1345" spans="1:14" x14ac:dyDescent="0.25">
      <c r="A1345" s="2">
        <v>1339</v>
      </c>
      <c r="B1345" s="11">
        <f t="shared" ca="1" si="106"/>
        <v>1</v>
      </c>
      <c r="C1345" s="26">
        <f t="shared" ca="1" si="105"/>
        <v>0.17384696425282575</v>
      </c>
      <c r="J1345">
        <f t="shared" ca="1" si="107"/>
        <v>1</v>
      </c>
      <c r="K1345">
        <f t="shared" ca="1" si="108"/>
        <v>0</v>
      </c>
      <c r="L1345" s="65">
        <v>1339</v>
      </c>
      <c r="M1345" s="71">
        <f t="shared" ca="1" si="104"/>
        <v>4.853273893191326</v>
      </c>
      <c r="N1345" s="65"/>
    </row>
    <row r="1346" spans="1:14" x14ac:dyDescent="0.25">
      <c r="A1346" s="2">
        <v>1340</v>
      </c>
      <c r="B1346" s="11">
        <f t="shared" ca="1" si="106"/>
        <v>1</v>
      </c>
      <c r="C1346" s="26">
        <f t="shared" ca="1" si="105"/>
        <v>0.72928679999168144</v>
      </c>
      <c r="J1346">
        <f t="shared" ca="1" si="107"/>
        <v>0</v>
      </c>
      <c r="K1346">
        <f t="shared" ca="1" si="108"/>
        <v>0</v>
      </c>
      <c r="L1346" s="65">
        <v>1340</v>
      </c>
      <c r="M1346" s="71">
        <f t="shared" ca="1" si="104"/>
        <v>0.77964643714312465</v>
      </c>
      <c r="N1346" s="65"/>
    </row>
    <row r="1347" spans="1:14" x14ac:dyDescent="0.25">
      <c r="A1347" s="2">
        <v>1341</v>
      </c>
      <c r="B1347" s="11">
        <f t="shared" ca="1" si="106"/>
        <v>0</v>
      </c>
      <c r="C1347" s="26">
        <f t="shared" ca="1" si="105"/>
        <v>0.93943300222830484</v>
      </c>
      <c r="J1347">
        <f t="shared" ca="1" si="107"/>
        <v>0</v>
      </c>
      <c r="K1347">
        <f t="shared" ca="1" si="108"/>
        <v>1</v>
      </c>
      <c r="L1347" s="65">
        <v>1341</v>
      </c>
      <c r="M1347" s="71">
        <f t="shared" ca="1" si="104"/>
        <v>0</v>
      </c>
      <c r="N1347" s="65"/>
    </row>
    <row r="1348" spans="1:14" x14ac:dyDescent="0.25">
      <c r="A1348" s="2">
        <v>1342</v>
      </c>
      <c r="B1348" s="11">
        <f t="shared" ca="1" si="106"/>
        <v>0</v>
      </c>
      <c r="C1348" s="26">
        <f t="shared" ca="1" si="105"/>
        <v>0.81112095932048045</v>
      </c>
      <c r="J1348">
        <f t="shared" ca="1" si="107"/>
        <v>0</v>
      </c>
      <c r="K1348">
        <f t="shared" ca="1" si="108"/>
        <v>0</v>
      </c>
      <c r="L1348" s="65">
        <v>1342</v>
      </c>
      <c r="M1348" s="71">
        <f t="shared" ca="1" si="104"/>
        <v>0</v>
      </c>
      <c r="N1348" s="65"/>
    </row>
    <row r="1349" spans="1:14" x14ac:dyDescent="0.25">
      <c r="A1349" s="2">
        <v>1343</v>
      </c>
      <c r="B1349" s="11">
        <f t="shared" ca="1" si="106"/>
        <v>1</v>
      </c>
      <c r="C1349" s="26">
        <f t="shared" ca="1" si="105"/>
        <v>0.32513670888064405</v>
      </c>
      <c r="J1349">
        <f t="shared" ca="1" si="107"/>
        <v>1</v>
      </c>
      <c r="K1349">
        <f t="shared" ca="1" si="108"/>
        <v>0</v>
      </c>
      <c r="L1349" s="65">
        <v>1343</v>
      </c>
      <c r="M1349" s="71">
        <f t="shared" ca="1" si="104"/>
        <v>3.4677491133359402</v>
      </c>
      <c r="N1349" s="65"/>
    </row>
    <row r="1350" spans="1:14" x14ac:dyDescent="0.25">
      <c r="A1350" s="2">
        <v>1344</v>
      </c>
      <c r="B1350" s="11">
        <f t="shared" ca="1" si="106"/>
        <v>1</v>
      </c>
      <c r="C1350" s="26">
        <f t="shared" ca="1" si="105"/>
        <v>0.39429206979099163</v>
      </c>
      <c r="J1350">
        <f t="shared" ca="1" si="107"/>
        <v>1</v>
      </c>
      <c r="K1350">
        <f t="shared" ca="1" si="108"/>
        <v>0</v>
      </c>
      <c r="L1350" s="65">
        <v>1344</v>
      </c>
      <c r="M1350" s="71">
        <f t="shared" ca="1" si="104"/>
        <v>1.7251680407394707</v>
      </c>
      <c r="N1350" s="65"/>
    </row>
    <row r="1351" spans="1:14" x14ac:dyDescent="0.25">
      <c r="A1351" s="2">
        <v>1345</v>
      </c>
      <c r="B1351" s="11">
        <f t="shared" ca="1" si="106"/>
        <v>1</v>
      </c>
      <c r="C1351" s="26">
        <f t="shared" ca="1" si="105"/>
        <v>0.75124459443848113</v>
      </c>
      <c r="J1351">
        <f t="shared" ca="1" si="107"/>
        <v>1</v>
      </c>
      <c r="K1351">
        <f t="shared" ca="1" si="108"/>
        <v>0</v>
      </c>
      <c r="L1351" s="65">
        <v>1345</v>
      </c>
      <c r="M1351" s="71">
        <f t="shared" ref="M1351:M1414" ca="1" si="109">IF(B1351&gt;0,-LN(1-(RAND()))/lambda,0)</f>
        <v>1.810168046673698</v>
      </c>
      <c r="N1351" s="65"/>
    </row>
    <row r="1352" spans="1:14" x14ac:dyDescent="0.25">
      <c r="A1352" s="2">
        <v>1346</v>
      </c>
      <c r="B1352" s="11">
        <f t="shared" ca="1" si="106"/>
        <v>1</v>
      </c>
      <c r="C1352" s="26">
        <f t="shared" ref="C1352:C1415" ca="1" si="110">RAND()</f>
        <v>0.42589500058797991</v>
      </c>
      <c r="J1352">
        <f t="shared" ca="1" si="107"/>
        <v>1</v>
      </c>
      <c r="K1352">
        <f t="shared" ca="1" si="108"/>
        <v>0</v>
      </c>
      <c r="L1352" s="65">
        <v>1346</v>
      </c>
      <c r="M1352" s="71">
        <f t="shared" ca="1" si="109"/>
        <v>7.0506579156360205</v>
      </c>
      <c r="N1352" s="65"/>
    </row>
    <row r="1353" spans="1:14" x14ac:dyDescent="0.25">
      <c r="A1353" s="2">
        <v>1347</v>
      </c>
      <c r="B1353" s="11">
        <f t="shared" ca="1" si="106"/>
        <v>1</v>
      </c>
      <c r="C1353" s="26">
        <f t="shared" ca="1" si="110"/>
        <v>0.26170538973530433</v>
      </c>
      <c r="J1353">
        <f t="shared" ca="1" si="107"/>
        <v>0</v>
      </c>
      <c r="K1353">
        <f t="shared" ca="1" si="108"/>
        <v>0</v>
      </c>
      <c r="L1353" s="65">
        <v>1347</v>
      </c>
      <c r="M1353" s="71">
        <f t="shared" ca="1" si="109"/>
        <v>2.839375187927017</v>
      </c>
      <c r="N1353" s="65"/>
    </row>
    <row r="1354" spans="1:14" x14ac:dyDescent="0.25">
      <c r="A1354" s="2">
        <v>1348</v>
      </c>
      <c r="B1354" s="11">
        <f t="shared" ca="1" si="106"/>
        <v>0</v>
      </c>
      <c r="C1354" s="26">
        <f t="shared" ca="1" si="110"/>
        <v>0.8523364913807242</v>
      </c>
      <c r="J1354">
        <f t="shared" ca="1" si="107"/>
        <v>0</v>
      </c>
      <c r="K1354">
        <f t="shared" ca="1" si="108"/>
        <v>1</v>
      </c>
      <c r="L1354" s="65">
        <v>1348</v>
      </c>
      <c r="M1354" s="71">
        <f t="shared" ca="1" si="109"/>
        <v>0</v>
      </c>
      <c r="N1354" s="65"/>
    </row>
    <row r="1355" spans="1:14" x14ac:dyDescent="0.25">
      <c r="A1355" s="2">
        <v>1349</v>
      </c>
      <c r="B1355" s="11">
        <f t="shared" ca="1" si="106"/>
        <v>0</v>
      </c>
      <c r="C1355" s="26">
        <f t="shared" ca="1" si="110"/>
        <v>0.73572664736578053</v>
      </c>
      <c r="J1355">
        <f t="shared" ca="1" si="107"/>
        <v>0</v>
      </c>
      <c r="K1355">
        <f t="shared" ca="1" si="108"/>
        <v>0</v>
      </c>
      <c r="L1355" s="65">
        <v>1349</v>
      </c>
      <c r="M1355" s="71">
        <f t="shared" ca="1" si="109"/>
        <v>0</v>
      </c>
      <c r="N1355" s="65"/>
    </row>
    <row r="1356" spans="1:14" x14ac:dyDescent="0.25">
      <c r="A1356" s="2">
        <v>1350</v>
      </c>
      <c r="B1356" s="11">
        <f t="shared" ca="1" si="106"/>
        <v>1</v>
      </c>
      <c r="C1356" s="26">
        <f t="shared" ca="1" si="110"/>
        <v>0.45107091966442614</v>
      </c>
      <c r="J1356">
        <f t="shared" ca="1" si="107"/>
        <v>1</v>
      </c>
      <c r="K1356">
        <f t="shared" ca="1" si="108"/>
        <v>0</v>
      </c>
      <c r="L1356" s="65">
        <v>1350</v>
      </c>
      <c r="M1356" s="71">
        <f t="shared" ca="1" si="109"/>
        <v>2.5709429516953133</v>
      </c>
      <c r="N1356" s="65"/>
    </row>
    <row r="1357" spans="1:14" x14ac:dyDescent="0.25">
      <c r="A1357" s="2">
        <v>1351</v>
      </c>
      <c r="B1357" s="11">
        <f t="shared" ca="1" si="106"/>
        <v>1</v>
      </c>
      <c r="C1357" s="26">
        <f t="shared" ca="1" si="110"/>
        <v>0.17970754056012017</v>
      </c>
      <c r="J1357">
        <f t="shared" ca="1" si="107"/>
        <v>1</v>
      </c>
      <c r="K1357">
        <f t="shared" ca="1" si="108"/>
        <v>0</v>
      </c>
      <c r="L1357" s="65">
        <v>1351</v>
      </c>
      <c r="M1357" s="71">
        <f t="shared" ca="1" si="109"/>
        <v>2.0995076243630129</v>
      </c>
      <c r="N1357" s="65"/>
    </row>
    <row r="1358" spans="1:14" x14ac:dyDescent="0.25">
      <c r="A1358" s="2">
        <v>1352</v>
      </c>
      <c r="B1358" s="11">
        <f t="shared" ca="1" si="106"/>
        <v>1</v>
      </c>
      <c r="C1358" s="26">
        <f t="shared" ca="1" si="110"/>
        <v>0.75154115556078505</v>
      </c>
      <c r="J1358">
        <f t="shared" ca="1" si="107"/>
        <v>1</v>
      </c>
      <c r="K1358">
        <f t="shared" ca="1" si="108"/>
        <v>0</v>
      </c>
      <c r="L1358" s="65">
        <v>1352</v>
      </c>
      <c r="M1358" s="71">
        <f t="shared" ca="1" si="109"/>
        <v>1.6848180043900141</v>
      </c>
      <c r="N1358" s="65"/>
    </row>
    <row r="1359" spans="1:14" x14ac:dyDescent="0.25">
      <c r="A1359" s="2">
        <v>1353</v>
      </c>
      <c r="B1359" s="11">
        <f t="shared" ca="1" si="106"/>
        <v>1</v>
      </c>
      <c r="C1359" s="26">
        <f t="shared" ca="1" si="110"/>
        <v>0.79812221604500788</v>
      </c>
      <c r="J1359">
        <f t="shared" ca="1" si="107"/>
        <v>0</v>
      </c>
      <c r="K1359">
        <f t="shared" ca="1" si="108"/>
        <v>0</v>
      </c>
      <c r="L1359" s="65">
        <v>1353</v>
      </c>
      <c r="M1359" s="71">
        <f t="shared" ca="1" si="109"/>
        <v>2.6358813323946522</v>
      </c>
      <c r="N1359" s="65"/>
    </row>
    <row r="1360" spans="1:14" x14ac:dyDescent="0.25">
      <c r="A1360" s="2">
        <v>1354</v>
      </c>
      <c r="B1360" s="11">
        <f t="shared" ca="1" si="106"/>
        <v>0</v>
      </c>
      <c r="C1360" s="26">
        <f t="shared" ca="1" si="110"/>
        <v>0.81868822122744067</v>
      </c>
      <c r="J1360">
        <f t="shared" ca="1" si="107"/>
        <v>0</v>
      </c>
      <c r="K1360">
        <f t="shared" ca="1" si="108"/>
        <v>0</v>
      </c>
      <c r="L1360" s="65">
        <v>1354</v>
      </c>
      <c r="M1360" s="71">
        <f t="shared" ca="1" si="109"/>
        <v>0</v>
      </c>
      <c r="N1360" s="65"/>
    </row>
    <row r="1361" spans="1:14" x14ac:dyDescent="0.25">
      <c r="A1361" s="2">
        <v>1355</v>
      </c>
      <c r="B1361" s="11">
        <f t="shared" ca="1" si="106"/>
        <v>1</v>
      </c>
      <c r="C1361" s="26">
        <f t="shared" ca="1" si="110"/>
        <v>9.2915319227185322E-2</v>
      </c>
      <c r="J1361">
        <f t="shared" ca="1" si="107"/>
        <v>1</v>
      </c>
      <c r="K1361">
        <f t="shared" ca="1" si="108"/>
        <v>0</v>
      </c>
      <c r="L1361" s="65">
        <v>1355</v>
      </c>
      <c r="M1361" s="71">
        <f t="shared" ca="1" si="109"/>
        <v>4.9482946941663828</v>
      </c>
      <c r="N1361" s="65"/>
    </row>
    <row r="1362" spans="1:14" x14ac:dyDescent="0.25">
      <c r="A1362" s="2">
        <v>1356</v>
      </c>
      <c r="B1362" s="11">
        <f t="shared" ca="1" si="106"/>
        <v>1</v>
      </c>
      <c r="C1362" s="26">
        <f t="shared" ca="1" si="110"/>
        <v>0.74160961215907095</v>
      </c>
      <c r="J1362">
        <f t="shared" ca="1" si="107"/>
        <v>1</v>
      </c>
      <c r="K1362">
        <f t="shared" ca="1" si="108"/>
        <v>0</v>
      </c>
      <c r="L1362" s="65">
        <v>1356</v>
      </c>
      <c r="M1362" s="71">
        <f t="shared" ca="1" si="109"/>
        <v>7.0366163352081665</v>
      </c>
      <c r="N1362" s="65"/>
    </row>
    <row r="1363" spans="1:14" x14ac:dyDescent="0.25">
      <c r="A1363" s="2">
        <v>1357</v>
      </c>
      <c r="B1363" s="11">
        <f t="shared" ca="1" si="106"/>
        <v>1</v>
      </c>
      <c r="C1363" s="26">
        <f t="shared" ca="1" si="110"/>
        <v>0.62093775735087842</v>
      </c>
      <c r="J1363">
        <f t="shared" ca="1" si="107"/>
        <v>1</v>
      </c>
      <c r="K1363">
        <f t="shared" ca="1" si="108"/>
        <v>0</v>
      </c>
      <c r="L1363" s="65">
        <v>1357</v>
      </c>
      <c r="M1363" s="71">
        <f t="shared" ca="1" si="109"/>
        <v>2.7771169621926828</v>
      </c>
      <c r="N1363" s="65"/>
    </row>
    <row r="1364" spans="1:14" x14ac:dyDescent="0.25">
      <c r="A1364" s="2">
        <v>1358</v>
      </c>
      <c r="B1364" s="11">
        <f t="shared" ca="1" si="106"/>
        <v>1</v>
      </c>
      <c r="C1364" s="26">
        <f t="shared" ca="1" si="110"/>
        <v>4.6197037787794382E-2</v>
      </c>
      <c r="J1364">
        <f t="shared" ca="1" si="107"/>
        <v>1</v>
      </c>
      <c r="K1364">
        <f t="shared" ca="1" si="108"/>
        <v>0</v>
      </c>
      <c r="L1364" s="65">
        <v>1358</v>
      </c>
      <c r="M1364" s="71">
        <f t="shared" ca="1" si="109"/>
        <v>14.994052574397312</v>
      </c>
      <c r="N1364" s="65"/>
    </row>
    <row r="1365" spans="1:14" x14ac:dyDescent="0.25">
      <c r="A1365" s="2">
        <v>1359</v>
      </c>
      <c r="B1365" s="11">
        <f t="shared" ca="1" si="106"/>
        <v>1</v>
      </c>
      <c r="C1365" s="26">
        <f t="shared" ca="1" si="110"/>
        <v>0.11427995928731549</v>
      </c>
      <c r="J1365">
        <f t="shared" ca="1" si="107"/>
        <v>0</v>
      </c>
      <c r="K1365">
        <f t="shared" ca="1" si="108"/>
        <v>0</v>
      </c>
      <c r="L1365" s="65">
        <v>1359</v>
      </c>
      <c r="M1365" s="71">
        <f t="shared" ca="1" si="109"/>
        <v>2.0624740408849318</v>
      </c>
      <c r="N1365" s="65"/>
    </row>
    <row r="1366" spans="1:14" x14ac:dyDescent="0.25">
      <c r="A1366" s="2">
        <v>1360</v>
      </c>
      <c r="B1366" s="11">
        <f t="shared" ca="1" si="106"/>
        <v>0</v>
      </c>
      <c r="C1366" s="26">
        <f t="shared" ca="1" si="110"/>
        <v>0.96662035833825199</v>
      </c>
      <c r="J1366">
        <f t="shared" ca="1" si="107"/>
        <v>0</v>
      </c>
      <c r="K1366">
        <f t="shared" ca="1" si="108"/>
        <v>1</v>
      </c>
      <c r="L1366" s="65">
        <v>1360</v>
      </c>
      <c r="M1366" s="71">
        <f t="shared" ca="1" si="109"/>
        <v>0</v>
      </c>
      <c r="N1366" s="65"/>
    </row>
    <row r="1367" spans="1:14" x14ac:dyDescent="0.25">
      <c r="A1367" s="2">
        <v>1361</v>
      </c>
      <c r="B1367" s="11">
        <f t="shared" ca="1" si="106"/>
        <v>0</v>
      </c>
      <c r="C1367" s="26">
        <f t="shared" ca="1" si="110"/>
        <v>0.76801805377304211</v>
      </c>
      <c r="J1367">
        <f t="shared" ca="1" si="107"/>
        <v>0</v>
      </c>
      <c r="K1367">
        <f t="shared" ca="1" si="108"/>
        <v>0</v>
      </c>
      <c r="L1367" s="65">
        <v>1361</v>
      </c>
      <c r="M1367" s="71">
        <f t="shared" ca="1" si="109"/>
        <v>0</v>
      </c>
      <c r="N1367" s="65"/>
    </row>
    <row r="1368" spans="1:14" x14ac:dyDescent="0.25">
      <c r="A1368" s="2">
        <v>1362</v>
      </c>
      <c r="B1368" s="11">
        <f t="shared" ca="1" si="106"/>
        <v>1</v>
      </c>
      <c r="C1368" s="26">
        <f t="shared" ca="1" si="110"/>
        <v>0.6758161235450415</v>
      </c>
      <c r="J1368">
        <f t="shared" ca="1" si="107"/>
        <v>0</v>
      </c>
      <c r="K1368">
        <f t="shared" ca="1" si="108"/>
        <v>0</v>
      </c>
      <c r="L1368" s="65">
        <v>1362</v>
      </c>
      <c r="M1368" s="71">
        <f t="shared" ca="1" si="109"/>
        <v>3.781066349137391</v>
      </c>
      <c r="N1368" s="65"/>
    </row>
    <row r="1369" spans="1:14" x14ac:dyDescent="0.25">
      <c r="A1369" s="2">
        <v>1363</v>
      </c>
      <c r="B1369" s="11">
        <f t="shared" ca="1" si="106"/>
        <v>0</v>
      </c>
      <c r="C1369" s="26">
        <f t="shared" ca="1" si="110"/>
        <v>0.81125966961977369</v>
      </c>
      <c r="J1369">
        <f t="shared" ca="1" si="107"/>
        <v>0</v>
      </c>
      <c r="K1369">
        <f t="shared" ca="1" si="108"/>
        <v>0</v>
      </c>
      <c r="L1369" s="65">
        <v>1363</v>
      </c>
      <c r="M1369" s="71">
        <f t="shared" ca="1" si="109"/>
        <v>0</v>
      </c>
      <c r="N1369" s="65"/>
    </row>
    <row r="1370" spans="1:14" x14ac:dyDescent="0.25">
      <c r="A1370" s="2">
        <v>1364</v>
      </c>
      <c r="B1370" s="11">
        <f t="shared" ca="1" si="106"/>
        <v>1</v>
      </c>
      <c r="C1370" s="26">
        <f t="shared" ca="1" si="110"/>
        <v>0.64788309783575226</v>
      </c>
      <c r="J1370">
        <f t="shared" ca="1" si="107"/>
        <v>1</v>
      </c>
      <c r="K1370">
        <f t="shared" ca="1" si="108"/>
        <v>0</v>
      </c>
      <c r="L1370" s="65">
        <v>1364</v>
      </c>
      <c r="M1370" s="71">
        <f t="shared" ca="1" si="109"/>
        <v>2.6752284385888907</v>
      </c>
      <c r="N1370" s="65"/>
    </row>
    <row r="1371" spans="1:14" x14ac:dyDescent="0.25">
      <c r="A1371" s="2">
        <v>1365</v>
      </c>
      <c r="B1371" s="11">
        <f t="shared" ca="1" si="106"/>
        <v>1</v>
      </c>
      <c r="C1371" s="26">
        <f t="shared" ca="1" si="110"/>
        <v>5.2364557747698326E-3</v>
      </c>
      <c r="J1371">
        <f t="shared" ca="1" si="107"/>
        <v>1</v>
      </c>
      <c r="K1371">
        <f t="shared" ca="1" si="108"/>
        <v>0</v>
      </c>
      <c r="L1371" s="65">
        <v>1365</v>
      </c>
      <c r="M1371" s="71">
        <f t="shared" ca="1" si="109"/>
        <v>0.17357867009323596</v>
      </c>
      <c r="N1371" s="65"/>
    </row>
    <row r="1372" spans="1:14" x14ac:dyDescent="0.25">
      <c r="A1372" s="2">
        <v>1366</v>
      </c>
      <c r="B1372" s="11">
        <f t="shared" ca="1" si="106"/>
        <v>1</v>
      </c>
      <c r="C1372" s="26">
        <f t="shared" ca="1" si="110"/>
        <v>0.18788095088290702</v>
      </c>
      <c r="J1372">
        <f t="shared" ca="1" si="107"/>
        <v>0</v>
      </c>
      <c r="K1372">
        <f t="shared" ca="1" si="108"/>
        <v>0</v>
      </c>
      <c r="L1372" s="65">
        <v>1366</v>
      </c>
      <c r="M1372" s="71">
        <f t="shared" ca="1" si="109"/>
        <v>3.4118159532149859</v>
      </c>
      <c r="N1372" s="65"/>
    </row>
    <row r="1373" spans="1:14" x14ac:dyDescent="0.25">
      <c r="A1373" s="2">
        <v>1367</v>
      </c>
      <c r="B1373" s="11">
        <f t="shared" ca="1" si="106"/>
        <v>0</v>
      </c>
      <c r="C1373" s="26">
        <f t="shared" ca="1" si="110"/>
        <v>0.85917971622349598</v>
      </c>
      <c r="J1373">
        <f t="shared" ca="1" si="107"/>
        <v>0</v>
      </c>
      <c r="K1373">
        <f t="shared" ca="1" si="108"/>
        <v>0</v>
      </c>
      <c r="L1373" s="65">
        <v>1367</v>
      </c>
      <c r="M1373" s="71">
        <f t="shared" ca="1" si="109"/>
        <v>0</v>
      </c>
      <c r="N1373" s="65"/>
    </row>
    <row r="1374" spans="1:14" x14ac:dyDescent="0.25">
      <c r="A1374" s="2">
        <v>1368</v>
      </c>
      <c r="B1374" s="11">
        <f t="shared" ca="1" si="106"/>
        <v>1</v>
      </c>
      <c r="C1374" s="26">
        <f t="shared" ca="1" si="110"/>
        <v>0.57481858190329504</v>
      </c>
      <c r="J1374">
        <f t="shared" ca="1" si="107"/>
        <v>0</v>
      </c>
      <c r="K1374">
        <f t="shared" ca="1" si="108"/>
        <v>0</v>
      </c>
      <c r="L1374" s="65">
        <v>1368</v>
      </c>
      <c r="M1374" s="71">
        <f t="shared" ca="1" si="109"/>
        <v>0.53451542883168346</v>
      </c>
      <c r="N1374" s="65"/>
    </row>
    <row r="1375" spans="1:14" x14ac:dyDescent="0.25">
      <c r="A1375" s="2">
        <v>1369</v>
      </c>
      <c r="B1375" s="11">
        <f t="shared" ca="1" si="106"/>
        <v>0</v>
      </c>
      <c r="C1375" s="26">
        <f t="shared" ca="1" si="110"/>
        <v>0.81199218664980943</v>
      </c>
      <c r="J1375">
        <f t="shared" ca="1" si="107"/>
        <v>0</v>
      </c>
      <c r="K1375">
        <f t="shared" ca="1" si="108"/>
        <v>0</v>
      </c>
      <c r="L1375" s="65">
        <v>1369</v>
      </c>
      <c r="M1375" s="71">
        <f t="shared" ca="1" si="109"/>
        <v>0</v>
      </c>
      <c r="N1375" s="65"/>
    </row>
    <row r="1376" spans="1:14" x14ac:dyDescent="0.25">
      <c r="A1376" s="2">
        <v>1370</v>
      </c>
      <c r="B1376" s="11">
        <f t="shared" ca="1" si="106"/>
        <v>1</v>
      </c>
      <c r="C1376" s="26">
        <f t="shared" ca="1" si="110"/>
        <v>0.44436046480122338</v>
      </c>
      <c r="J1376">
        <f t="shared" ca="1" si="107"/>
        <v>1</v>
      </c>
      <c r="K1376">
        <f t="shared" ca="1" si="108"/>
        <v>0</v>
      </c>
      <c r="L1376" s="65">
        <v>1370</v>
      </c>
      <c r="M1376" s="71">
        <f t="shared" ca="1" si="109"/>
        <v>3.6926055867229541</v>
      </c>
      <c r="N1376" s="65"/>
    </row>
    <row r="1377" spans="1:14" x14ac:dyDescent="0.25">
      <c r="A1377" s="2">
        <v>1371</v>
      </c>
      <c r="B1377" s="11">
        <f t="shared" ca="1" si="106"/>
        <v>1</v>
      </c>
      <c r="C1377" s="26">
        <f t="shared" ca="1" si="110"/>
        <v>0.14334344782828945</v>
      </c>
      <c r="J1377">
        <f t="shared" ca="1" si="107"/>
        <v>1</v>
      </c>
      <c r="K1377">
        <f t="shared" ca="1" si="108"/>
        <v>0</v>
      </c>
      <c r="L1377" s="65">
        <v>1371</v>
      </c>
      <c r="M1377" s="71">
        <f t="shared" ca="1" si="109"/>
        <v>1.9324172076606037</v>
      </c>
      <c r="N1377" s="65"/>
    </row>
    <row r="1378" spans="1:14" x14ac:dyDescent="0.25">
      <c r="A1378" s="2">
        <v>1372</v>
      </c>
      <c r="B1378" s="11">
        <f t="shared" ca="1" si="106"/>
        <v>1</v>
      </c>
      <c r="C1378" s="26">
        <f t="shared" ca="1" si="110"/>
        <v>0.70979352534495743</v>
      </c>
      <c r="J1378">
        <f t="shared" ca="1" si="107"/>
        <v>1</v>
      </c>
      <c r="K1378">
        <f t="shared" ca="1" si="108"/>
        <v>0</v>
      </c>
      <c r="L1378" s="65">
        <v>1372</v>
      </c>
      <c r="M1378" s="71">
        <f t="shared" ca="1" si="109"/>
        <v>0.18973708427053859</v>
      </c>
      <c r="N1378" s="65"/>
    </row>
    <row r="1379" spans="1:14" x14ac:dyDescent="0.25">
      <c r="A1379" s="2">
        <v>1373</v>
      </c>
      <c r="B1379" s="11">
        <f t="shared" ca="1" si="106"/>
        <v>1</v>
      </c>
      <c r="C1379" s="26">
        <f t="shared" ca="1" si="110"/>
        <v>0.50122514479979052</v>
      </c>
      <c r="J1379">
        <f t="shared" ca="1" si="107"/>
        <v>0</v>
      </c>
      <c r="K1379">
        <f t="shared" ca="1" si="108"/>
        <v>0</v>
      </c>
      <c r="L1379" s="65">
        <v>1373</v>
      </c>
      <c r="M1379" s="71">
        <f t="shared" ca="1" si="109"/>
        <v>2.1658827975977086</v>
      </c>
      <c r="N1379" s="65"/>
    </row>
    <row r="1380" spans="1:14" x14ac:dyDescent="0.25">
      <c r="A1380" s="2">
        <v>1374</v>
      </c>
      <c r="B1380" s="11">
        <f t="shared" ca="1" si="106"/>
        <v>0</v>
      </c>
      <c r="C1380" s="26">
        <f t="shared" ca="1" si="110"/>
        <v>0.94053547431442441</v>
      </c>
      <c r="J1380">
        <f t="shared" ca="1" si="107"/>
        <v>0</v>
      </c>
      <c r="K1380">
        <f t="shared" ca="1" si="108"/>
        <v>1</v>
      </c>
      <c r="L1380" s="65">
        <v>1374</v>
      </c>
      <c r="M1380" s="71">
        <f t="shared" ca="1" si="109"/>
        <v>0</v>
      </c>
      <c r="N1380" s="65"/>
    </row>
    <row r="1381" spans="1:14" x14ac:dyDescent="0.25">
      <c r="A1381" s="2">
        <v>1375</v>
      </c>
      <c r="B1381" s="11">
        <f t="shared" ca="1" si="106"/>
        <v>0</v>
      </c>
      <c r="C1381" s="26">
        <f t="shared" ca="1" si="110"/>
        <v>0.99645524844424105</v>
      </c>
      <c r="J1381">
        <f t="shared" ca="1" si="107"/>
        <v>0</v>
      </c>
      <c r="K1381">
        <f t="shared" ca="1" si="108"/>
        <v>0</v>
      </c>
      <c r="L1381" s="65">
        <v>1375</v>
      </c>
      <c r="M1381" s="71">
        <f t="shared" ca="1" si="109"/>
        <v>0</v>
      </c>
      <c r="N1381" s="65"/>
    </row>
    <row r="1382" spans="1:14" x14ac:dyDescent="0.25">
      <c r="A1382" s="2">
        <v>1376</v>
      </c>
      <c r="B1382" s="11">
        <f t="shared" ca="1" si="106"/>
        <v>1</v>
      </c>
      <c r="C1382" s="26">
        <f t="shared" ca="1" si="110"/>
        <v>0.16615247465065897</v>
      </c>
      <c r="J1382">
        <f t="shared" ca="1" si="107"/>
        <v>1</v>
      </c>
      <c r="K1382">
        <f t="shared" ca="1" si="108"/>
        <v>0</v>
      </c>
      <c r="L1382" s="65">
        <v>1376</v>
      </c>
      <c r="M1382" s="71">
        <f t="shared" ca="1" si="109"/>
        <v>1.3249702001328891</v>
      </c>
      <c r="N1382" s="65"/>
    </row>
    <row r="1383" spans="1:14" x14ac:dyDescent="0.25">
      <c r="A1383" s="2">
        <v>1377</v>
      </c>
      <c r="B1383" s="11">
        <f t="shared" ca="1" si="106"/>
        <v>1</v>
      </c>
      <c r="C1383" s="26">
        <f t="shared" ca="1" si="110"/>
        <v>0.24355581242540814</v>
      </c>
      <c r="J1383">
        <f t="shared" ca="1" si="107"/>
        <v>1</v>
      </c>
      <c r="K1383">
        <f t="shared" ca="1" si="108"/>
        <v>0</v>
      </c>
      <c r="L1383" s="65">
        <v>1377</v>
      </c>
      <c r="M1383" s="71">
        <f t="shared" ca="1" si="109"/>
        <v>5.1998466213504821</v>
      </c>
      <c r="N1383" s="65"/>
    </row>
    <row r="1384" spans="1:14" x14ac:dyDescent="0.25">
      <c r="A1384" s="2">
        <v>1378</v>
      </c>
      <c r="B1384" s="11">
        <f t="shared" ca="1" si="106"/>
        <v>1</v>
      </c>
      <c r="C1384" s="26">
        <f t="shared" ca="1" si="110"/>
        <v>0.16232830521936392</v>
      </c>
      <c r="J1384">
        <f t="shared" ca="1" si="107"/>
        <v>1</v>
      </c>
      <c r="K1384">
        <f t="shared" ca="1" si="108"/>
        <v>0</v>
      </c>
      <c r="L1384" s="65">
        <v>1378</v>
      </c>
      <c r="M1384" s="71">
        <f t="shared" ca="1" si="109"/>
        <v>6.6702336860118345</v>
      </c>
      <c r="N1384" s="65"/>
    </row>
    <row r="1385" spans="1:14" x14ac:dyDescent="0.25">
      <c r="A1385" s="2">
        <v>1379</v>
      </c>
      <c r="B1385" s="11">
        <f t="shared" ca="1" si="106"/>
        <v>1</v>
      </c>
      <c r="C1385" s="26">
        <f t="shared" ca="1" si="110"/>
        <v>0.34470722627406203</v>
      </c>
      <c r="J1385">
        <f t="shared" ca="1" si="107"/>
        <v>0</v>
      </c>
      <c r="K1385">
        <f t="shared" ca="1" si="108"/>
        <v>0</v>
      </c>
      <c r="L1385" s="65">
        <v>1379</v>
      </c>
      <c r="M1385" s="71">
        <f t="shared" ca="1" si="109"/>
        <v>8.6862927646219799</v>
      </c>
      <c r="N1385" s="65"/>
    </row>
    <row r="1386" spans="1:14" x14ac:dyDescent="0.25">
      <c r="A1386" s="2">
        <v>1380</v>
      </c>
      <c r="B1386" s="11">
        <f t="shared" ca="1" si="106"/>
        <v>0</v>
      </c>
      <c r="C1386" s="26">
        <f t="shared" ca="1" si="110"/>
        <v>0.97595265486548066</v>
      </c>
      <c r="J1386">
        <f t="shared" ca="1" si="107"/>
        <v>0</v>
      </c>
      <c r="K1386">
        <f t="shared" ca="1" si="108"/>
        <v>1</v>
      </c>
      <c r="L1386" s="65">
        <v>1380</v>
      </c>
      <c r="M1386" s="71">
        <f t="shared" ca="1" si="109"/>
        <v>0</v>
      </c>
      <c r="N1386" s="65"/>
    </row>
    <row r="1387" spans="1:14" x14ac:dyDescent="0.25">
      <c r="A1387" s="2">
        <v>1381</v>
      </c>
      <c r="B1387" s="11">
        <f t="shared" ca="1" si="106"/>
        <v>0</v>
      </c>
      <c r="C1387" s="26">
        <f t="shared" ca="1" si="110"/>
        <v>0.98412601116796039</v>
      </c>
      <c r="J1387">
        <f t="shared" ca="1" si="107"/>
        <v>0</v>
      </c>
      <c r="K1387">
        <f t="shared" ca="1" si="108"/>
        <v>0</v>
      </c>
      <c r="L1387" s="65">
        <v>1381</v>
      </c>
      <c r="M1387" s="71">
        <f t="shared" ca="1" si="109"/>
        <v>0</v>
      </c>
      <c r="N1387" s="65"/>
    </row>
    <row r="1388" spans="1:14" x14ac:dyDescent="0.25">
      <c r="A1388" s="2">
        <v>1382</v>
      </c>
      <c r="B1388" s="11">
        <f t="shared" ca="1" si="106"/>
        <v>1</v>
      </c>
      <c r="C1388" s="26">
        <f t="shared" ca="1" si="110"/>
        <v>0.16079288648466972</v>
      </c>
      <c r="J1388">
        <f t="shared" ca="1" si="107"/>
        <v>1</v>
      </c>
      <c r="K1388">
        <f t="shared" ca="1" si="108"/>
        <v>0</v>
      </c>
      <c r="L1388" s="65">
        <v>1382</v>
      </c>
      <c r="M1388" s="71">
        <f t="shared" ca="1" si="109"/>
        <v>5.1811318646763924</v>
      </c>
      <c r="N1388" s="65"/>
    </row>
    <row r="1389" spans="1:14" x14ac:dyDescent="0.25">
      <c r="A1389" s="2">
        <v>1383</v>
      </c>
      <c r="B1389" s="11">
        <f t="shared" ca="1" si="106"/>
        <v>1</v>
      </c>
      <c r="C1389" s="26">
        <f t="shared" ca="1" si="110"/>
        <v>0.69453071680927414</v>
      </c>
      <c r="J1389">
        <f t="shared" ca="1" si="107"/>
        <v>0</v>
      </c>
      <c r="K1389">
        <f t="shared" ca="1" si="108"/>
        <v>0</v>
      </c>
      <c r="L1389" s="65">
        <v>1383</v>
      </c>
      <c r="M1389" s="71">
        <f t="shared" ca="1" si="109"/>
        <v>1.0833976059671242</v>
      </c>
      <c r="N1389" s="65"/>
    </row>
    <row r="1390" spans="1:14" x14ac:dyDescent="0.25">
      <c r="A1390" s="2">
        <v>1384</v>
      </c>
      <c r="B1390" s="11">
        <f t="shared" ca="1" si="106"/>
        <v>0</v>
      </c>
      <c r="C1390" s="26">
        <f t="shared" ca="1" si="110"/>
        <v>0.91573137409797023</v>
      </c>
      <c r="J1390">
        <f t="shared" ca="1" si="107"/>
        <v>0</v>
      </c>
      <c r="K1390">
        <f t="shared" ca="1" si="108"/>
        <v>1</v>
      </c>
      <c r="L1390" s="65">
        <v>1384</v>
      </c>
      <c r="M1390" s="71">
        <f t="shared" ca="1" si="109"/>
        <v>0</v>
      </c>
      <c r="N1390" s="65"/>
    </row>
    <row r="1391" spans="1:14" x14ac:dyDescent="0.25">
      <c r="A1391" s="2">
        <v>1385</v>
      </c>
      <c r="B1391" s="11">
        <f t="shared" ref="B1391:B1454" ca="1" si="111">IF(B1390&gt;0,IF(C1391&lt;pww,1,0),IF(C1391&lt;pdw,1,0))</f>
        <v>0</v>
      </c>
      <c r="C1391" s="26">
        <f t="shared" ca="1" si="110"/>
        <v>0.83895293626380452</v>
      </c>
      <c r="J1391">
        <f t="shared" ref="J1391:J1454" ca="1" si="112">IF(AND(B1391,B1392),1,0)</f>
        <v>0</v>
      </c>
      <c r="K1391">
        <f t="shared" ref="K1391:K1454" ca="1" si="113">IF(AND(NOT(B1391),NOT(B1392)),1,0)</f>
        <v>0</v>
      </c>
      <c r="L1391" s="65">
        <v>1385</v>
      </c>
      <c r="M1391" s="71">
        <f t="shared" ca="1" si="109"/>
        <v>0</v>
      </c>
      <c r="N1391" s="65"/>
    </row>
    <row r="1392" spans="1:14" x14ac:dyDescent="0.25">
      <c r="A1392" s="2">
        <v>1386</v>
      </c>
      <c r="B1392" s="11">
        <f t="shared" ca="1" si="111"/>
        <v>1</v>
      </c>
      <c r="C1392" s="26">
        <f t="shared" ca="1" si="110"/>
        <v>0.24496194566708718</v>
      </c>
      <c r="J1392">
        <f t="shared" ca="1" si="112"/>
        <v>1</v>
      </c>
      <c r="K1392">
        <f t="shared" ca="1" si="113"/>
        <v>0</v>
      </c>
      <c r="L1392" s="65">
        <v>1386</v>
      </c>
      <c r="M1392" s="71">
        <f t="shared" ca="1" si="109"/>
        <v>3.1813792385254565</v>
      </c>
      <c r="N1392" s="65"/>
    </row>
    <row r="1393" spans="1:14" x14ac:dyDescent="0.25">
      <c r="A1393" s="2">
        <v>1387</v>
      </c>
      <c r="B1393" s="11">
        <f t="shared" ca="1" si="111"/>
        <v>1</v>
      </c>
      <c r="C1393" s="26">
        <f t="shared" ca="1" si="110"/>
        <v>0.77020990551838275</v>
      </c>
      <c r="J1393">
        <f t="shared" ca="1" si="112"/>
        <v>1</v>
      </c>
      <c r="K1393">
        <f t="shared" ca="1" si="113"/>
        <v>0</v>
      </c>
      <c r="L1393" s="65">
        <v>1387</v>
      </c>
      <c r="M1393" s="71">
        <f t="shared" ca="1" si="109"/>
        <v>0.25738713134293562</v>
      </c>
      <c r="N1393" s="65"/>
    </row>
    <row r="1394" spans="1:14" x14ac:dyDescent="0.25">
      <c r="A1394" s="2">
        <v>1388</v>
      </c>
      <c r="B1394" s="11">
        <f t="shared" ca="1" si="111"/>
        <v>1</v>
      </c>
      <c r="C1394" s="26">
        <f t="shared" ca="1" si="110"/>
        <v>0.16661690757818359</v>
      </c>
      <c r="J1394">
        <f t="shared" ca="1" si="112"/>
        <v>1</v>
      </c>
      <c r="K1394">
        <f t="shared" ca="1" si="113"/>
        <v>0</v>
      </c>
      <c r="L1394" s="65">
        <v>1388</v>
      </c>
      <c r="M1394" s="71">
        <f t="shared" ca="1" si="109"/>
        <v>1.3078269999612104</v>
      </c>
      <c r="N1394" s="65"/>
    </row>
    <row r="1395" spans="1:14" x14ac:dyDescent="0.25">
      <c r="A1395" s="2">
        <v>1389</v>
      </c>
      <c r="B1395" s="11">
        <f t="shared" ca="1" si="111"/>
        <v>1</v>
      </c>
      <c r="C1395" s="26">
        <f t="shared" ca="1" si="110"/>
        <v>8.3209890910249329E-2</v>
      </c>
      <c r="J1395">
        <f t="shared" ca="1" si="112"/>
        <v>1</v>
      </c>
      <c r="K1395">
        <f t="shared" ca="1" si="113"/>
        <v>0</v>
      </c>
      <c r="L1395" s="65">
        <v>1389</v>
      </c>
      <c r="M1395" s="71">
        <f t="shared" ca="1" si="109"/>
        <v>0.80697554445465203</v>
      </c>
      <c r="N1395" s="65"/>
    </row>
    <row r="1396" spans="1:14" x14ac:dyDescent="0.25">
      <c r="A1396" s="2">
        <v>1390</v>
      </c>
      <c r="B1396" s="11">
        <f t="shared" ca="1" si="111"/>
        <v>1</v>
      </c>
      <c r="C1396" s="26">
        <f t="shared" ca="1" si="110"/>
        <v>0.42125209415764175</v>
      </c>
      <c r="J1396">
        <f t="shared" ca="1" si="112"/>
        <v>1</v>
      </c>
      <c r="K1396">
        <f t="shared" ca="1" si="113"/>
        <v>0</v>
      </c>
      <c r="L1396" s="65">
        <v>1390</v>
      </c>
      <c r="M1396" s="71">
        <f t="shared" ca="1" si="109"/>
        <v>4.9501047905227775</v>
      </c>
      <c r="N1396" s="65"/>
    </row>
    <row r="1397" spans="1:14" x14ac:dyDescent="0.25">
      <c r="A1397" s="2">
        <v>1391</v>
      </c>
      <c r="B1397" s="11">
        <f t="shared" ca="1" si="111"/>
        <v>1</v>
      </c>
      <c r="C1397" s="26">
        <f t="shared" ca="1" si="110"/>
        <v>0.56649054363548201</v>
      </c>
      <c r="J1397">
        <f t="shared" ca="1" si="112"/>
        <v>1</v>
      </c>
      <c r="K1397">
        <f t="shared" ca="1" si="113"/>
        <v>0</v>
      </c>
      <c r="L1397" s="65">
        <v>1391</v>
      </c>
      <c r="M1397" s="71">
        <f t="shared" ca="1" si="109"/>
        <v>0.6023262228004459</v>
      </c>
      <c r="N1397" s="65"/>
    </row>
    <row r="1398" spans="1:14" x14ac:dyDescent="0.25">
      <c r="A1398" s="2">
        <v>1392</v>
      </c>
      <c r="B1398" s="11">
        <f t="shared" ca="1" si="111"/>
        <v>1</v>
      </c>
      <c r="C1398" s="26">
        <f t="shared" ca="1" si="110"/>
        <v>0.63798707287252987</v>
      </c>
      <c r="J1398">
        <f t="shared" ca="1" si="112"/>
        <v>1</v>
      </c>
      <c r="K1398">
        <f t="shared" ca="1" si="113"/>
        <v>0</v>
      </c>
      <c r="L1398" s="65">
        <v>1392</v>
      </c>
      <c r="M1398" s="71">
        <f t="shared" ca="1" si="109"/>
        <v>1.0414496688871622</v>
      </c>
      <c r="N1398" s="65"/>
    </row>
    <row r="1399" spans="1:14" x14ac:dyDescent="0.25">
      <c r="A1399" s="2">
        <v>1393</v>
      </c>
      <c r="B1399" s="11">
        <f t="shared" ca="1" si="111"/>
        <v>1</v>
      </c>
      <c r="C1399" s="26">
        <f t="shared" ca="1" si="110"/>
        <v>0.28005321516785764</v>
      </c>
      <c r="J1399">
        <f t="shared" ca="1" si="112"/>
        <v>1</v>
      </c>
      <c r="K1399">
        <f t="shared" ca="1" si="113"/>
        <v>0</v>
      </c>
      <c r="L1399" s="65">
        <v>1393</v>
      </c>
      <c r="M1399" s="71">
        <f t="shared" ca="1" si="109"/>
        <v>3.7468155581142235</v>
      </c>
      <c r="N1399" s="65"/>
    </row>
    <row r="1400" spans="1:14" x14ac:dyDescent="0.25">
      <c r="A1400" s="2">
        <v>1394</v>
      </c>
      <c r="B1400" s="11">
        <f t="shared" ca="1" si="111"/>
        <v>1</v>
      </c>
      <c r="C1400" s="26">
        <f t="shared" ca="1" si="110"/>
        <v>0.46792015498198991</v>
      </c>
      <c r="J1400">
        <f t="shared" ca="1" si="112"/>
        <v>1</v>
      </c>
      <c r="K1400">
        <f t="shared" ca="1" si="113"/>
        <v>0</v>
      </c>
      <c r="L1400" s="65">
        <v>1394</v>
      </c>
      <c r="M1400" s="71">
        <f t="shared" ca="1" si="109"/>
        <v>0.66205596156146107</v>
      </c>
      <c r="N1400" s="65"/>
    </row>
    <row r="1401" spans="1:14" x14ac:dyDescent="0.25">
      <c r="A1401" s="2">
        <v>1395</v>
      </c>
      <c r="B1401" s="11">
        <f t="shared" ca="1" si="111"/>
        <v>1</v>
      </c>
      <c r="C1401" s="26">
        <f t="shared" ca="1" si="110"/>
        <v>0.6882769222632622</v>
      </c>
      <c r="J1401">
        <f t="shared" ca="1" si="112"/>
        <v>1</v>
      </c>
      <c r="K1401">
        <f t="shared" ca="1" si="113"/>
        <v>0</v>
      </c>
      <c r="L1401" s="65">
        <v>1395</v>
      </c>
      <c r="M1401" s="71">
        <f t="shared" ca="1" si="109"/>
        <v>0.59378647949795005</v>
      </c>
      <c r="N1401" s="65"/>
    </row>
    <row r="1402" spans="1:14" x14ac:dyDescent="0.25">
      <c r="A1402" s="2">
        <v>1396</v>
      </c>
      <c r="B1402" s="11">
        <f t="shared" ca="1" si="111"/>
        <v>1</v>
      </c>
      <c r="C1402" s="26">
        <f t="shared" ca="1" si="110"/>
        <v>0.20503363789218165</v>
      </c>
      <c r="J1402">
        <f t="shared" ca="1" si="112"/>
        <v>1</v>
      </c>
      <c r="K1402">
        <f t="shared" ca="1" si="113"/>
        <v>0</v>
      </c>
      <c r="L1402" s="65">
        <v>1396</v>
      </c>
      <c r="M1402" s="71">
        <f t="shared" ca="1" si="109"/>
        <v>5.437466816352809</v>
      </c>
      <c r="N1402" s="65"/>
    </row>
    <row r="1403" spans="1:14" x14ac:dyDescent="0.25">
      <c r="A1403" s="2">
        <v>1397</v>
      </c>
      <c r="B1403" s="11">
        <f t="shared" ca="1" si="111"/>
        <v>1</v>
      </c>
      <c r="C1403" s="26">
        <f t="shared" ca="1" si="110"/>
        <v>0.54601347125945809</v>
      </c>
      <c r="J1403">
        <f t="shared" ca="1" si="112"/>
        <v>1</v>
      </c>
      <c r="K1403">
        <f t="shared" ca="1" si="113"/>
        <v>0</v>
      </c>
      <c r="L1403" s="65">
        <v>1397</v>
      </c>
      <c r="M1403" s="71">
        <f t="shared" ca="1" si="109"/>
        <v>4.3507354111684018</v>
      </c>
      <c r="N1403" s="65"/>
    </row>
    <row r="1404" spans="1:14" x14ac:dyDescent="0.25">
      <c r="A1404" s="2">
        <v>1398</v>
      </c>
      <c r="B1404" s="11">
        <f t="shared" ca="1" si="111"/>
        <v>1</v>
      </c>
      <c r="C1404" s="26">
        <f t="shared" ca="1" si="110"/>
        <v>6.5166811045376472E-2</v>
      </c>
      <c r="J1404">
        <f t="shared" ca="1" si="112"/>
        <v>1</v>
      </c>
      <c r="K1404">
        <f t="shared" ca="1" si="113"/>
        <v>0</v>
      </c>
      <c r="L1404" s="65">
        <v>1398</v>
      </c>
      <c r="M1404" s="71">
        <f t="shared" ca="1" si="109"/>
        <v>1.539208597677262</v>
      </c>
      <c r="N1404" s="65"/>
    </row>
    <row r="1405" spans="1:14" x14ac:dyDescent="0.25">
      <c r="A1405" s="2">
        <v>1399</v>
      </c>
      <c r="B1405" s="11">
        <f t="shared" ca="1" si="111"/>
        <v>1</v>
      </c>
      <c r="C1405" s="26">
        <f t="shared" ca="1" si="110"/>
        <v>1.0809826716200788E-2</v>
      </c>
      <c r="J1405">
        <f t="shared" ca="1" si="112"/>
        <v>1</v>
      </c>
      <c r="K1405">
        <f t="shared" ca="1" si="113"/>
        <v>0</v>
      </c>
      <c r="L1405" s="65">
        <v>1399</v>
      </c>
      <c r="M1405" s="71">
        <f t="shared" ca="1" si="109"/>
        <v>2.8862318336760842</v>
      </c>
      <c r="N1405" s="65"/>
    </row>
    <row r="1406" spans="1:14" x14ac:dyDescent="0.25">
      <c r="A1406" s="2">
        <v>1400</v>
      </c>
      <c r="B1406" s="11">
        <f t="shared" ca="1" si="111"/>
        <v>1</v>
      </c>
      <c r="C1406" s="26">
        <f t="shared" ca="1" si="110"/>
        <v>0.18622055130385851</v>
      </c>
      <c r="J1406">
        <f t="shared" ca="1" si="112"/>
        <v>0</v>
      </c>
      <c r="K1406">
        <f t="shared" ca="1" si="113"/>
        <v>0</v>
      </c>
      <c r="L1406" s="65">
        <v>1400</v>
      </c>
      <c r="M1406" s="71">
        <f t="shared" ca="1" si="109"/>
        <v>0.89096375795115001</v>
      </c>
      <c r="N1406" s="65"/>
    </row>
    <row r="1407" spans="1:14" x14ac:dyDescent="0.25">
      <c r="A1407" s="2">
        <v>1401</v>
      </c>
      <c r="B1407" s="11">
        <f t="shared" ca="1" si="111"/>
        <v>0</v>
      </c>
      <c r="C1407" s="26">
        <f t="shared" ca="1" si="110"/>
        <v>0.85296866499459423</v>
      </c>
      <c r="J1407">
        <f t="shared" ca="1" si="112"/>
        <v>0</v>
      </c>
      <c r="K1407">
        <f t="shared" ca="1" si="113"/>
        <v>0</v>
      </c>
      <c r="L1407" s="65">
        <v>1401</v>
      </c>
      <c r="M1407" s="71">
        <f t="shared" ca="1" si="109"/>
        <v>0</v>
      </c>
      <c r="N1407" s="65"/>
    </row>
    <row r="1408" spans="1:14" x14ac:dyDescent="0.25">
      <c r="A1408" s="2">
        <v>1402</v>
      </c>
      <c r="B1408" s="11">
        <f t="shared" ca="1" si="111"/>
        <v>1</v>
      </c>
      <c r="C1408" s="26">
        <f t="shared" ca="1" si="110"/>
        <v>0.43814041629976141</v>
      </c>
      <c r="J1408">
        <f t="shared" ca="1" si="112"/>
        <v>1</v>
      </c>
      <c r="K1408">
        <f t="shared" ca="1" si="113"/>
        <v>0</v>
      </c>
      <c r="L1408" s="65">
        <v>1402</v>
      </c>
      <c r="M1408" s="71">
        <f t="shared" ca="1" si="109"/>
        <v>3.0470106006082576</v>
      </c>
      <c r="N1408" s="65"/>
    </row>
    <row r="1409" spans="1:14" x14ac:dyDescent="0.25">
      <c r="A1409" s="2">
        <v>1403</v>
      </c>
      <c r="B1409" s="11">
        <f t="shared" ca="1" si="111"/>
        <v>1</v>
      </c>
      <c r="C1409" s="26">
        <f t="shared" ca="1" si="110"/>
        <v>0.34165508689216861</v>
      </c>
      <c r="J1409">
        <f t="shared" ca="1" si="112"/>
        <v>1</v>
      </c>
      <c r="K1409">
        <f t="shared" ca="1" si="113"/>
        <v>0</v>
      </c>
      <c r="L1409" s="65">
        <v>1403</v>
      </c>
      <c r="M1409" s="71">
        <f t="shared" ca="1" si="109"/>
        <v>1.4848722571584509</v>
      </c>
      <c r="N1409" s="65"/>
    </row>
    <row r="1410" spans="1:14" x14ac:dyDescent="0.25">
      <c r="A1410" s="2">
        <v>1404</v>
      </c>
      <c r="B1410" s="11">
        <f t="shared" ca="1" si="111"/>
        <v>1</v>
      </c>
      <c r="C1410" s="26">
        <f t="shared" ca="1" si="110"/>
        <v>0.33004103791757577</v>
      </c>
      <c r="J1410">
        <f t="shared" ca="1" si="112"/>
        <v>1</v>
      </c>
      <c r="K1410">
        <f t="shared" ca="1" si="113"/>
        <v>0</v>
      </c>
      <c r="L1410" s="65">
        <v>1404</v>
      </c>
      <c r="M1410" s="71">
        <f t="shared" ca="1" si="109"/>
        <v>0.37079534064636743</v>
      </c>
      <c r="N1410" s="65"/>
    </row>
    <row r="1411" spans="1:14" x14ac:dyDescent="0.25">
      <c r="A1411" s="2">
        <v>1405</v>
      </c>
      <c r="B1411" s="11">
        <f t="shared" ca="1" si="111"/>
        <v>1</v>
      </c>
      <c r="C1411" s="26">
        <f t="shared" ca="1" si="110"/>
        <v>0.48276700771235215</v>
      </c>
      <c r="J1411">
        <f t="shared" ca="1" si="112"/>
        <v>1</v>
      </c>
      <c r="K1411">
        <f t="shared" ca="1" si="113"/>
        <v>0</v>
      </c>
      <c r="L1411" s="65">
        <v>1405</v>
      </c>
      <c r="M1411" s="71">
        <f t="shared" ca="1" si="109"/>
        <v>7.9096737154525893</v>
      </c>
      <c r="N1411" s="65"/>
    </row>
    <row r="1412" spans="1:14" x14ac:dyDescent="0.25">
      <c r="A1412" s="2">
        <v>1406</v>
      </c>
      <c r="B1412" s="11">
        <f t="shared" ca="1" si="111"/>
        <v>1</v>
      </c>
      <c r="C1412" s="26">
        <f t="shared" ca="1" si="110"/>
        <v>0.41471093484489463</v>
      </c>
      <c r="J1412">
        <f t="shared" ca="1" si="112"/>
        <v>1</v>
      </c>
      <c r="K1412">
        <f t="shared" ca="1" si="113"/>
        <v>0</v>
      </c>
      <c r="L1412" s="65">
        <v>1406</v>
      </c>
      <c r="M1412" s="71">
        <f t="shared" ca="1" si="109"/>
        <v>4.1234557703102173</v>
      </c>
      <c r="N1412" s="65"/>
    </row>
    <row r="1413" spans="1:14" x14ac:dyDescent="0.25">
      <c r="A1413" s="2">
        <v>1407</v>
      </c>
      <c r="B1413" s="11">
        <f t="shared" ca="1" si="111"/>
        <v>1</v>
      </c>
      <c r="C1413" s="26">
        <f t="shared" ca="1" si="110"/>
        <v>4.0192052436033965E-2</v>
      </c>
      <c r="J1413">
        <f t="shared" ca="1" si="112"/>
        <v>1</v>
      </c>
      <c r="K1413">
        <f t="shared" ca="1" si="113"/>
        <v>0</v>
      </c>
      <c r="L1413" s="65">
        <v>1407</v>
      </c>
      <c r="M1413" s="71">
        <f t="shared" ca="1" si="109"/>
        <v>6.7395934972320433</v>
      </c>
      <c r="N1413" s="65"/>
    </row>
    <row r="1414" spans="1:14" x14ac:dyDescent="0.25">
      <c r="A1414" s="2">
        <v>1408</v>
      </c>
      <c r="B1414" s="11">
        <f t="shared" ca="1" si="111"/>
        <v>1</v>
      </c>
      <c r="C1414" s="26">
        <f t="shared" ca="1" si="110"/>
        <v>0.31607559893947168</v>
      </c>
      <c r="J1414">
        <f t="shared" ca="1" si="112"/>
        <v>0</v>
      </c>
      <c r="K1414">
        <f t="shared" ca="1" si="113"/>
        <v>0</v>
      </c>
      <c r="L1414" s="65">
        <v>1408</v>
      </c>
      <c r="M1414" s="71">
        <f t="shared" ca="1" si="109"/>
        <v>0.97135631380279408</v>
      </c>
      <c r="N1414" s="65"/>
    </row>
    <row r="1415" spans="1:14" x14ac:dyDescent="0.25">
      <c r="A1415" s="2">
        <v>1409</v>
      </c>
      <c r="B1415" s="11">
        <f t="shared" ca="1" si="111"/>
        <v>0</v>
      </c>
      <c r="C1415" s="26">
        <f t="shared" ca="1" si="110"/>
        <v>0.81410675980195768</v>
      </c>
      <c r="J1415">
        <f t="shared" ca="1" si="112"/>
        <v>0</v>
      </c>
      <c r="K1415">
        <f t="shared" ca="1" si="113"/>
        <v>0</v>
      </c>
      <c r="L1415" s="65">
        <v>1409</v>
      </c>
      <c r="M1415" s="71">
        <f t="shared" ref="M1415:M1478" ca="1" si="114">IF(B1415&gt;0,-LN(1-(RAND()))/lambda,0)</f>
        <v>0</v>
      </c>
      <c r="N1415" s="65"/>
    </row>
    <row r="1416" spans="1:14" x14ac:dyDescent="0.25">
      <c r="A1416" s="2">
        <v>1410</v>
      </c>
      <c r="B1416" s="11">
        <f t="shared" ca="1" si="111"/>
        <v>1</v>
      </c>
      <c r="C1416" s="26">
        <f t="shared" ref="C1416:C1479" ca="1" si="115">RAND()</f>
        <v>0.70494506147840452</v>
      </c>
      <c r="J1416">
        <f t="shared" ca="1" si="112"/>
        <v>1</v>
      </c>
      <c r="K1416">
        <f t="shared" ca="1" si="113"/>
        <v>0</v>
      </c>
      <c r="L1416" s="65">
        <v>1410</v>
      </c>
      <c r="M1416" s="71">
        <f t="shared" ca="1" si="114"/>
        <v>0.30752194682862571</v>
      </c>
      <c r="N1416" s="65"/>
    </row>
    <row r="1417" spans="1:14" x14ac:dyDescent="0.25">
      <c r="A1417" s="2">
        <v>1411</v>
      </c>
      <c r="B1417" s="11">
        <f t="shared" ca="1" si="111"/>
        <v>1</v>
      </c>
      <c r="C1417" s="26">
        <f t="shared" ca="1" si="115"/>
        <v>0.25570638520691136</v>
      </c>
      <c r="J1417">
        <f t="shared" ca="1" si="112"/>
        <v>1</v>
      </c>
      <c r="K1417">
        <f t="shared" ca="1" si="113"/>
        <v>0</v>
      </c>
      <c r="L1417" s="65">
        <v>1411</v>
      </c>
      <c r="M1417" s="71">
        <f t="shared" ca="1" si="114"/>
        <v>0.7664742484740551</v>
      </c>
      <c r="N1417" s="65"/>
    </row>
    <row r="1418" spans="1:14" x14ac:dyDescent="0.25">
      <c r="A1418" s="2">
        <v>1412</v>
      </c>
      <c r="B1418" s="11">
        <f t="shared" ca="1" si="111"/>
        <v>1</v>
      </c>
      <c r="C1418" s="26">
        <f t="shared" ca="1" si="115"/>
        <v>0.36834053336773476</v>
      </c>
      <c r="J1418">
        <f t="shared" ca="1" si="112"/>
        <v>1</v>
      </c>
      <c r="K1418">
        <f t="shared" ca="1" si="113"/>
        <v>0</v>
      </c>
      <c r="L1418" s="65">
        <v>1412</v>
      </c>
      <c r="M1418" s="71">
        <f t="shared" ca="1" si="114"/>
        <v>1.3477131914410552</v>
      </c>
      <c r="N1418" s="65"/>
    </row>
    <row r="1419" spans="1:14" x14ac:dyDescent="0.25">
      <c r="A1419" s="2">
        <v>1413</v>
      </c>
      <c r="B1419" s="11">
        <f t="shared" ca="1" si="111"/>
        <v>1</v>
      </c>
      <c r="C1419" s="26">
        <f t="shared" ca="1" si="115"/>
        <v>0.26818096241973877</v>
      </c>
      <c r="J1419">
        <f t="shared" ca="1" si="112"/>
        <v>1</v>
      </c>
      <c r="K1419">
        <f t="shared" ca="1" si="113"/>
        <v>0</v>
      </c>
      <c r="L1419" s="65">
        <v>1413</v>
      </c>
      <c r="M1419" s="71">
        <f t="shared" ca="1" si="114"/>
        <v>1.9564252661413251</v>
      </c>
      <c r="N1419" s="65"/>
    </row>
    <row r="1420" spans="1:14" x14ac:dyDescent="0.25">
      <c r="A1420" s="2">
        <v>1414</v>
      </c>
      <c r="B1420" s="11">
        <f t="shared" ca="1" si="111"/>
        <v>1</v>
      </c>
      <c r="C1420" s="26">
        <f t="shared" ca="1" si="115"/>
        <v>0.11730701925440468</v>
      </c>
      <c r="J1420">
        <f t="shared" ca="1" si="112"/>
        <v>1</v>
      </c>
      <c r="K1420">
        <f t="shared" ca="1" si="113"/>
        <v>0</v>
      </c>
      <c r="L1420" s="65">
        <v>1414</v>
      </c>
      <c r="M1420" s="71">
        <f t="shared" ca="1" si="114"/>
        <v>1.0930532322563791</v>
      </c>
      <c r="N1420" s="65"/>
    </row>
    <row r="1421" spans="1:14" x14ac:dyDescent="0.25">
      <c r="A1421" s="2">
        <v>1415</v>
      </c>
      <c r="B1421" s="11">
        <f t="shared" ca="1" si="111"/>
        <v>1</v>
      </c>
      <c r="C1421" s="26">
        <f t="shared" ca="1" si="115"/>
        <v>0.34061909868529583</v>
      </c>
      <c r="J1421">
        <f t="shared" ca="1" si="112"/>
        <v>1</v>
      </c>
      <c r="K1421">
        <f t="shared" ca="1" si="113"/>
        <v>0</v>
      </c>
      <c r="L1421" s="65">
        <v>1415</v>
      </c>
      <c r="M1421" s="71">
        <f t="shared" ca="1" si="114"/>
        <v>2.1756582843188301</v>
      </c>
      <c r="N1421" s="65"/>
    </row>
    <row r="1422" spans="1:14" x14ac:dyDescent="0.25">
      <c r="A1422" s="2">
        <v>1416</v>
      </c>
      <c r="B1422" s="11">
        <f t="shared" ca="1" si="111"/>
        <v>1</v>
      </c>
      <c r="C1422" s="26">
        <f t="shared" ca="1" si="115"/>
        <v>0.3525382553791212</v>
      </c>
      <c r="J1422">
        <f t="shared" ca="1" si="112"/>
        <v>1</v>
      </c>
      <c r="K1422">
        <f t="shared" ca="1" si="113"/>
        <v>0</v>
      </c>
      <c r="L1422" s="65">
        <v>1416</v>
      </c>
      <c r="M1422" s="71">
        <f t="shared" ca="1" si="114"/>
        <v>0.19394050740463772</v>
      </c>
      <c r="N1422" s="65"/>
    </row>
    <row r="1423" spans="1:14" x14ac:dyDescent="0.25">
      <c r="A1423" s="2">
        <v>1417</v>
      </c>
      <c r="B1423" s="11">
        <f t="shared" ca="1" si="111"/>
        <v>1</v>
      </c>
      <c r="C1423" s="26">
        <f t="shared" ca="1" si="115"/>
        <v>0.55290564259936859</v>
      </c>
      <c r="J1423">
        <f t="shared" ca="1" si="112"/>
        <v>0</v>
      </c>
      <c r="K1423">
        <f t="shared" ca="1" si="113"/>
        <v>0</v>
      </c>
      <c r="L1423" s="65">
        <v>1417</v>
      </c>
      <c r="M1423" s="71">
        <f t="shared" ca="1" si="114"/>
        <v>5.0405069038888879</v>
      </c>
      <c r="N1423" s="65"/>
    </row>
    <row r="1424" spans="1:14" x14ac:dyDescent="0.25">
      <c r="A1424" s="2">
        <v>1418</v>
      </c>
      <c r="B1424" s="11">
        <f t="shared" ca="1" si="111"/>
        <v>0</v>
      </c>
      <c r="C1424" s="26">
        <f t="shared" ca="1" si="115"/>
        <v>0.96890559075380478</v>
      </c>
      <c r="J1424">
        <f t="shared" ca="1" si="112"/>
        <v>0</v>
      </c>
      <c r="K1424">
        <f t="shared" ca="1" si="113"/>
        <v>0</v>
      </c>
      <c r="L1424" s="65">
        <v>1418</v>
      </c>
      <c r="M1424" s="71">
        <f t="shared" ca="1" si="114"/>
        <v>0</v>
      </c>
      <c r="N1424" s="65"/>
    </row>
    <row r="1425" spans="1:14" x14ac:dyDescent="0.25">
      <c r="A1425" s="2">
        <v>1419</v>
      </c>
      <c r="B1425" s="11">
        <f t="shared" ca="1" si="111"/>
        <v>1</v>
      </c>
      <c r="C1425" s="26">
        <f t="shared" ca="1" si="115"/>
        <v>0.46236631535264028</v>
      </c>
      <c r="J1425">
        <f t="shared" ca="1" si="112"/>
        <v>1</v>
      </c>
      <c r="K1425">
        <f t="shared" ca="1" si="113"/>
        <v>0</v>
      </c>
      <c r="L1425" s="65">
        <v>1419</v>
      </c>
      <c r="M1425" s="71">
        <f t="shared" ca="1" si="114"/>
        <v>0.99326670915418891</v>
      </c>
      <c r="N1425" s="65"/>
    </row>
    <row r="1426" spans="1:14" x14ac:dyDescent="0.25">
      <c r="A1426" s="2">
        <v>1420</v>
      </c>
      <c r="B1426" s="11">
        <f t="shared" ca="1" si="111"/>
        <v>1</v>
      </c>
      <c r="C1426" s="26">
        <f t="shared" ca="1" si="115"/>
        <v>0.67914745705256596</v>
      </c>
      <c r="J1426">
        <f t="shared" ca="1" si="112"/>
        <v>0</v>
      </c>
      <c r="K1426">
        <f t="shared" ca="1" si="113"/>
        <v>0</v>
      </c>
      <c r="L1426" s="65">
        <v>1420</v>
      </c>
      <c r="M1426" s="71">
        <f t="shared" ca="1" si="114"/>
        <v>2.4563110073994894</v>
      </c>
      <c r="N1426" s="65"/>
    </row>
    <row r="1427" spans="1:14" x14ac:dyDescent="0.25">
      <c r="A1427" s="2">
        <v>1421</v>
      </c>
      <c r="B1427" s="11">
        <f t="shared" ca="1" si="111"/>
        <v>0</v>
      </c>
      <c r="C1427" s="26">
        <f t="shared" ca="1" si="115"/>
        <v>0.82547680214255847</v>
      </c>
      <c r="J1427">
        <f t="shared" ca="1" si="112"/>
        <v>0</v>
      </c>
      <c r="K1427">
        <f t="shared" ca="1" si="113"/>
        <v>0</v>
      </c>
      <c r="L1427" s="65">
        <v>1421</v>
      </c>
      <c r="M1427" s="71">
        <f t="shared" ca="1" si="114"/>
        <v>0</v>
      </c>
      <c r="N1427" s="65"/>
    </row>
    <row r="1428" spans="1:14" x14ac:dyDescent="0.25">
      <c r="A1428" s="2">
        <v>1422</v>
      </c>
      <c r="B1428" s="11">
        <f t="shared" ca="1" si="111"/>
        <v>1</v>
      </c>
      <c r="C1428" s="26">
        <f t="shared" ca="1" si="115"/>
        <v>0.33365027817277826</v>
      </c>
      <c r="J1428">
        <f t="shared" ca="1" si="112"/>
        <v>1</v>
      </c>
      <c r="K1428">
        <f t="shared" ca="1" si="113"/>
        <v>0</v>
      </c>
      <c r="L1428" s="65">
        <v>1422</v>
      </c>
      <c r="M1428" s="71">
        <f t="shared" ca="1" si="114"/>
        <v>1.0385285150496717</v>
      </c>
      <c r="N1428" s="65"/>
    </row>
    <row r="1429" spans="1:14" x14ac:dyDescent="0.25">
      <c r="A1429" s="2">
        <v>1423</v>
      </c>
      <c r="B1429" s="11">
        <f t="shared" ca="1" si="111"/>
        <v>1</v>
      </c>
      <c r="C1429" s="26">
        <f t="shared" ca="1" si="115"/>
        <v>0.7672805888180475</v>
      </c>
      <c r="J1429">
        <f t="shared" ca="1" si="112"/>
        <v>1</v>
      </c>
      <c r="K1429">
        <f t="shared" ca="1" si="113"/>
        <v>0</v>
      </c>
      <c r="L1429" s="65">
        <v>1423</v>
      </c>
      <c r="M1429" s="71">
        <f t="shared" ca="1" si="114"/>
        <v>0.29680429509762263</v>
      </c>
      <c r="N1429" s="65"/>
    </row>
    <row r="1430" spans="1:14" x14ac:dyDescent="0.25">
      <c r="A1430" s="2">
        <v>1424</v>
      </c>
      <c r="B1430" s="11">
        <f t="shared" ca="1" si="111"/>
        <v>1</v>
      </c>
      <c r="C1430" s="26">
        <f t="shared" ca="1" si="115"/>
        <v>0.64642661406356627</v>
      </c>
      <c r="J1430">
        <f t="shared" ca="1" si="112"/>
        <v>1</v>
      </c>
      <c r="K1430">
        <f t="shared" ca="1" si="113"/>
        <v>0</v>
      </c>
      <c r="L1430" s="65">
        <v>1424</v>
      </c>
      <c r="M1430" s="71">
        <f t="shared" ca="1" si="114"/>
        <v>2.8376841750445716</v>
      </c>
      <c r="N1430" s="65"/>
    </row>
    <row r="1431" spans="1:14" x14ac:dyDescent="0.25">
      <c r="A1431" s="2">
        <v>1425</v>
      </c>
      <c r="B1431" s="11">
        <f t="shared" ca="1" si="111"/>
        <v>1</v>
      </c>
      <c r="C1431" s="26">
        <f t="shared" ca="1" si="115"/>
        <v>0.62647172361711745</v>
      </c>
      <c r="J1431">
        <f t="shared" ca="1" si="112"/>
        <v>1</v>
      </c>
      <c r="K1431">
        <f t="shared" ca="1" si="113"/>
        <v>0</v>
      </c>
      <c r="L1431" s="65">
        <v>1425</v>
      </c>
      <c r="M1431" s="71">
        <f t="shared" ca="1" si="114"/>
        <v>8.3884551897667308</v>
      </c>
      <c r="N1431" s="65"/>
    </row>
    <row r="1432" spans="1:14" x14ac:dyDescent="0.25">
      <c r="A1432" s="2">
        <v>1426</v>
      </c>
      <c r="B1432" s="11">
        <f t="shared" ca="1" si="111"/>
        <v>1</v>
      </c>
      <c r="C1432" s="26">
        <f t="shared" ca="1" si="115"/>
        <v>0.2192742405782363</v>
      </c>
      <c r="J1432">
        <f t="shared" ca="1" si="112"/>
        <v>1</v>
      </c>
      <c r="K1432">
        <f t="shared" ca="1" si="113"/>
        <v>0</v>
      </c>
      <c r="L1432" s="65">
        <v>1426</v>
      </c>
      <c r="M1432" s="71">
        <f t="shared" ca="1" si="114"/>
        <v>3.4141076878447847</v>
      </c>
      <c r="N1432" s="65"/>
    </row>
    <row r="1433" spans="1:14" x14ac:dyDescent="0.25">
      <c r="A1433" s="2">
        <v>1427</v>
      </c>
      <c r="B1433" s="11">
        <f t="shared" ca="1" si="111"/>
        <v>1</v>
      </c>
      <c r="C1433" s="26">
        <f t="shared" ca="1" si="115"/>
        <v>0.20771575076152626</v>
      </c>
      <c r="J1433">
        <f t="shared" ca="1" si="112"/>
        <v>0</v>
      </c>
      <c r="K1433">
        <f t="shared" ca="1" si="113"/>
        <v>0</v>
      </c>
      <c r="L1433" s="65">
        <v>1427</v>
      </c>
      <c r="M1433" s="71">
        <f t="shared" ca="1" si="114"/>
        <v>0.46377622956481485</v>
      </c>
      <c r="N1433" s="65"/>
    </row>
    <row r="1434" spans="1:14" x14ac:dyDescent="0.25">
      <c r="A1434" s="2">
        <v>1428</v>
      </c>
      <c r="B1434" s="11">
        <f t="shared" ca="1" si="111"/>
        <v>0</v>
      </c>
      <c r="C1434" s="26">
        <f t="shared" ca="1" si="115"/>
        <v>0.81687498164466321</v>
      </c>
      <c r="J1434">
        <f t="shared" ca="1" si="112"/>
        <v>0</v>
      </c>
      <c r="K1434">
        <f t="shared" ca="1" si="113"/>
        <v>1</v>
      </c>
      <c r="L1434" s="65">
        <v>1428</v>
      </c>
      <c r="M1434" s="71">
        <f t="shared" ca="1" si="114"/>
        <v>0</v>
      </c>
      <c r="N1434" s="65"/>
    </row>
    <row r="1435" spans="1:14" x14ac:dyDescent="0.25">
      <c r="A1435" s="2">
        <v>1429</v>
      </c>
      <c r="B1435" s="11">
        <f t="shared" ca="1" si="111"/>
        <v>0</v>
      </c>
      <c r="C1435" s="26">
        <f t="shared" ca="1" si="115"/>
        <v>0.97281841429226112</v>
      </c>
      <c r="J1435">
        <f t="shared" ca="1" si="112"/>
        <v>0</v>
      </c>
      <c r="K1435">
        <f t="shared" ca="1" si="113"/>
        <v>0</v>
      </c>
      <c r="L1435" s="65">
        <v>1429</v>
      </c>
      <c r="M1435" s="71">
        <f t="shared" ca="1" si="114"/>
        <v>0</v>
      </c>
      <c r="N1435" s="65"/>
    </row>
    <row r="1436" spans="1:14" x14ac:dyDescent="0.25">
      <c r="A1436" s="2">
        <v>1430</v>
      </c>
      <c r="B1436" s="11">
        <f t="shared" ca="1" si="111"/>
        <v>1</v>
      </c>
      <c r="C1436" s="26">
        <f t="shared" ca="1" si="115"/>
        <v>0.25811336845991895</v>
      </c>
      <c r="J1436">
        <f t="shared" ca="1" si="112"/>
        <v>0</v>
      </c>
      <c r="K1436">
        <f t="shared" ca="1" si="113"/>
        <v>0</v>
      </c>
      <c r="L1436" s="65">
        <v>1430</v>
      </c>
      <c r="M1436" s="71">
        <f t="shared" ca="1" si="114"/>
        <v>1.8528330533905493E-3</v>
      </c>
      <c r="N1436" s="65"/>
    </row>
    <row r="1437" spans="1:14" x14ac:dyDescent="0.25">
      <c r="A1437" s="2">
        <v>1431</v>
      </c>
      <c r="B1437" s="11">
        <f t="shared" ca="1" si="111"/>
        <v>0</v>
      </c>
      <c r="C1437" s="26">
        <f t="shared" ca="1" si="115"/>
        <v>0.99070060079414513</v>
      </c>
      <c r="J1437">
        <f t="shared" ca="1" si="112"/>
        <v>0</v>
      </c>
      <c r="K1437">
        <f t="shared" ca="1" si="113"/>
        <v>0</v>
      </c>
      <c r="L1437" s="65">
        <v>1431</v>
      </c>
      <c r="M1437" s="71">
        <f t="shared" ca="1" si="114"/>
        <v>0</v>
      </c>
      <c r="N1437" s="65"/>
    </row>
    <row r="1438" spans="1:14" x14ac:dyDescent="0.25">
      <c r="A1438" s="2">
        <v>1432</v>
      </c>
      <c r="B1438" s="11">
        <f t="shared" ca="1" si="111"/>
        <v>1</v>
      </c>
      <c r="C1438" s="26">
        <f t="shared" ca="1" si="115"/>
        <v>0.19420527659756481</v>
      </c>
      <c r="J1438">
        <f t="shared" ca="1" si="112"/>
        <v>1</v>
      </c>
      <c r="K1438">
        <f t="shared" ca="1" si="113"/>
        <v>0</v>
      </c>
      <c r="L1438" s="65">
        <v>1432</v>
      </c>
      <c r="M1438" s="71">
        <f t="shared" ca="1" si="114"/>
        <v>5.4428250460347583</v>
      </c>
      <c r="N1438" s="65"/>
    </row>
    <row r="1439" spans="1:14" x14ac:dyDescent="0.25">
      <c r="A1439" s="2">
        <v>1433</v>
      </c>
      <c r="B1439" s="11">
        <f t="shared" ca="1" si="111"/>
        <v>1</v>
      </c>
      <c r="C1439" s="26">
        <f t="shared" ca="1" si="115"/>
        <v>0.54709019220173094</v>
      </c>
      <c r="J1439">
        <f t="shared" ca="1" si="112"/>
        <v>1</v>
      </c>
      <c r="K1439">
        <f t="shared" ca="1" si="113"/>
        <v>0</v>
      </c>
      <c r="L1439" s="65">
        <v>1433</v>
      </c>
      <c r="M1439" s="71">
        <f t="shared" ca="1" si="114"/>
        <v>1.4546376516485897</v>
      </c>
      <c r="N1439" s="65"/>
    </row>
    <row r="1440" spans="1:14" x14ac:dyDescent="0.25">
      <c r="A1440" s="2">
        <v>1434</v>
      </c>
      <c r="B1440" s="11">
        <f t="shared" ca="1" si="111"/>
        <v>1</v>
      </c>
      <c r="C1440" s="26">
        <f t="shared" ca="1" si="115"/>
        <v>0.40846150967319639</v>
      </c>
      <c r="J1440">
        <f t="shared" ca="1" si="112"/>
        <v>0</v>
      </c>
      <c r="K1440">
        <f t="shared" ca="1" si="113"/>
        <v>0</v>
      </c>
      <c r="L1440" s="65">
        <v>1434</v>
      </c>
      <c r="M1440" s="71">
        <f t="shared" ca="1" si="114"/>
        <v>1.648751598003503</v>
      </c>
      <c r="N1440" s="65"/>
    </row>
    <row r="1441" spans="1:14" x14ac:dyDescent="0.25">
      <c r="A1441" s="2">
        <v>1435</v>
      </c>
      <c r="B1441" s="11">
        <f t="shared" ca="1" si="111"/>
        <v>0</v>
      </c>
      <c r="C1441" s="26">
        <f t="shared" ca="1" si="115"/>
        <v>0.91586945681265175</v>
      </c>
      <c r="J1441">
        <f t="shared" ca="1" si="112"/>
        <v>0</v>
      </c>
      <c r="K1441">
        <f t="shared" ca="1" si="113"/>
        <v>0</v>
      </c>
      <c r="L1441" s="65">
        <v>1435</v>
      </c>
      <c r="M1441" s="71">
        <f t="shared" ca="1" si="114"/>
        <v>0</v>
      </c>
      <c r="N1441" s="65"/>
    </row>
    <row r="1442" spans="1:14" x14ac:dyDescent="0.25">
      <c r="A1442" s="2">
        <v>1436</v>
      </c>
      <c r="B1442" s="11">
        <f t="shared" ca="1" si="111"/>
        <v>1</v>
      </c>
      <c r="C1442" s="26">
        <f t="shared" ca="1" si="115"/>
        <v>0.19173081357974653</v>
      </c>
      <c r="J1442">
        <f t="shared" ca="1" si="112"/>
        <v>1</v>
      </c>
      <c r="K1442">
        <f t="shared" ca="1" si="113"/>
        <v>0</v>
      </c>
      <c r="L1442" s="65">
        <v>1436</v>
      </c>
      <c r="M1442" s="71">
        <f t="shared" ca="1" si="114"/>
        <v>3.3873392191392586</v>
      </c>
      <c r="N1442" s="65"/>
    </row>
    <row r="1443" spans="1:14" x14ac:dyDescent="0.25">
      <c r="A1443" s="2">
        <v>1437</v>
      </c>
      <c r="B1443" s="11">
        <f t="shared" ca="1" si="111"/>
        <v>1</v>
      </c>
      <c r="C1443" s="26">
        <f t="shared" ca="1" si="115"/>
        <v>0.33071653018567004</v>
      </c>
      <c r="J1443">
        <f t="shared" ca="1" si="112"/>
        <v>1</v>
      </c>
      <c r="K1443">
        <f t="shared" ca="1" si="113"/>
        <v>0</v>
      </c>
      <c r="L1443" s="65">
        <v>1437</v>
      </c>
      <c r="M1443" s="71">
        <f t="shared" ca="1" si="114"/>
        <v>1.9971392310227569</v>
      </c>
      <c r="N1443" s="65"/>
    </row>
    <row r="1444" spans="1:14" x14ac:dyDescent="0.25">
      <c r="A1444" s="2">
        <v>1438</v>
      </c>
      <c r="B1444" s="11">
        <f t="shared" ca="1" si="111"/>
        <v>1</v>
      </c>
      <c r="C1444" s="26">
        <f t="shared" ca="1" si="115"/>
        <v>0.41601532051041512</v>
      </c>
      <c r="J1444">
        <f t="shared" ca="1" si="112"/>
        <v>1</v>
      </c>
      <c r="K1444">
        <f t="shared" ca="1" si="113"/>
        <v>0</v>
      </c>
      <c r="L1444" s="65">
        <v>1438</v>
      </c>
      <c r="M1444" s="71">
        <f t="shared" ca="1" si="114"/>
        <v>17.943143815294636</v>
      </c>
      <c r="N1444" s="65"/>
    </row>
    <row r="1445" spans="1:14" x14ac:dyDescent="0.25">
      <c r="A1445" s="2">
        <v>1439</v>
      </c>
      <c r="B1445" s="11">
        <f t="shared" ca="1" si="111"/>
        <v>1</v>
      </c>
      <c r="C1445" s="26">
        <f t="shared" ca="1" si="115"/>
        <v>0.71130418992726641</v>
      </c>
      <c r="J1445">
        <f t="shared" ca="1" si="112"/>
        <v>1</v>
      </c>
      <c r="K1445">
        <f t="shared" ca="1" si="113"/>
        <v>0</v>
      </c>
      <c r="L1445" s="65">
        <v>1439</v>
      </c>
      <c r="M1445" s="71">
        <f t="shared" ca="1" si="114"/>
        <v>4.5342882001332701</v>
      </c>
      <c r="N1445" s="65"/>
    </row>
    <row r="1446" spans="1:14" x14ac:dyDescent="0.25">
      <c r="A1446" s="2">
        <v>1440</v>
      </c>
      <c r="B1446" s="11">
        <f t="shared" ca="1" si="111"/>
        <v>1</v>
      </c>
      <c r="C1446" s="26">
        <f t="shared" ca="1" si="115"/>
        <v>0.76497158914457886</v>
      </c>
      <c r="J1446">
        <f t="shared" ca="1" si="112"/>
        <v>1</v>
      </c>
      <c r="K1446">
        <f t="shared" ca="1" si="113"/>
        <v>0</v>
      </c>
      <c r="L1446" s="65">
        <v>1440</v>
      </c>
      <c r="M1446" s="71">
        <f t="shared" ca="1" si="114"/>
        <v>0.11611430488232904</v>
      </c>
      <c r="N1446" s="65"/>
    </row>
    <row r="1447" spans="1:14" x14ac:dyDescent="0.25">
      <c r="A1447" s="2">
        <v>1441</v>
      </c>
      <c r="B1447" s="11">
        <f t="shared" ca="1" si="111"/>
        <v>1</v>
      </c>
      <c r="C1447" s="26">
        <f t="shared" ca="1" si="115"/>
        <v>0.45541875583425773</v>
      </c>
      <c r="J1447">
        <f t="shared" ca="1" si="112"/>
        <v>0</v>
      </c>
      <c r="K1447">
        <f t="shared" ca="1" si="113"/>
        <v>0</v>
      </c>
      <c r="L1447" s="65">
        <v>1441</v>
      </c>
      <c r="M1447" s="71">
        <f t="shared" ca="1" si="114"/>
        <v>4.2396324073560221</v>
      </c>
      <c r="N1447" s="65"/>
    </row>
    <row r="1448" spans="1:14" x14ac:dyDescent="0.25">
      <c r="A1448" s="2">
        <v>1442</v>
      </c>
      <c r="B1448" s="11">
        <f t="shared" ca="1" si="111"/>
        <v>0</v>
      </c>
      <c r="C1448" s="26">
        <f t="shared" ca="1" si="115"/>
        <v>0.82864053578945995</v>
      </c>
      <c r="J1448">
        <f t="shared" ca="1" si="112"/>
        <v>0</v>
      </c>
      <c r="K1448">
        <f t="shared" ca="1" si="113"/>
        <v>1</v>
      </c>
      <c r="L1448" s="65">
        <v>1442</v>
      </c>
      <c r="M1448" s="71">
        <f t="shared" ca="1" si="114"/>
        <v>0</v>
      </c>
      <c r="N1448" s="65"/>
    </row>
    <row r="1449" spans="1:14" x14ac:dyDescent="0.25">
      <c r="A1449" s="2">
        <v>1443</v>
      </c>
      <c r="B1449" s="11">
        <f t="shared" ca="1" si="111"/>
        <v>0</v>
      </c>
      <c r="C1449" s="26">
        <f t="shared" ca="1" si="115"/>
        <v>0.89109771236492474</v>
      </c>
      <c r="J1449">
        <f t="shared" ca="1" si="112"/>
        <v>0</v>
      </c>
      <c r="K1449">
        <f t="shared" ca="1" si="113"/>
        <v>0</v>
      </c>
      <c r="L1449" s="65">
        <v>1443</v>
      </c>
      <c r="M1449" s="71">
        <f t="shared" ca="1" si="114"/>
        <v>0</v>
      </c>
      <c r="N1449" s="65"/>
    </row>
    <row r="1450" spans="1:14" x14ac:dyDescent="0.25">
      <c r="A1450" s="2">
        <v>1444</v>
      </c>
      <c r="B1450" s="11">
        <f t="shared" ca="1" si="111"/>
        <v>1</v>
      </c>
      <c r="C1450" s="26">
        <f t="shared" ca="1" si="115"/>
        <v>6.3642281743537366E-2</v>
      </c>
      <c r="J1450">
        <f t="shared" ca="1" si="112"/>
        <v>1</v>
      </c>
      <c r="K1450">
        <f t="shared" ca="1" si="113"/>
        <v>0</v>
      </c>
      <c r="L1450" s="65">
        <v>1444</v>
      </c>
      <c r="M1450" s="71">
        <f t="shared" ca="1" si="114"/>
        <v>1.0514710609902445</v>
      </c>
      <c r="N1450" s="65"/>
    </row>
    <row r="1451" spans="1:14" x14ac:dyDescent="0.25">
      <c r="A1451" s="2">
        <v>1445</v>
      </c>
      <c r="B1451" s="11">
        <f t="shared" ca="1" si="111"/>
        <v>1</v>
      </c>
      <c r="C1451" s="26">
        <f t="shared" ca="1" si="115"/>
        <v>0.40045742864080369</v>
      </c>
      <c r="J1451">
        <f t="shared" ca="1" si="112"/>
        <v>1</v>
      </c>
      <c r="K1451">
        <f t="shared" ca="1" si="113"/>
        <v>0</v>
      </c>
      <c r="L1451" s="65">
        <v>1445</v>
      </c>
      <c r="M1451" s="71">
        <f t="shared" ca="1" si="114"/>
        <v>7.2873375762653039</v>
      </c>
      <c r="N1451" s="65"/>
    </row>
    <row r="1452" spans="1:14" x14ac:dyDescent="0.25">
      <c r="A1452" s="2">
        <v>1446</v>
      </c>
      <c r="B1452" s="11">
        <f t="shared" ca="1" si="111"/>
        <v>1</v>
      </c>
      <c r="C1452" s="26">
        <f t="shared" ca="1" si="115"/>
        <v>0.58459056867875292</v>
      </c>
      <c r="J1452">
        <f t="shared" ca="1" si="112"/>
        <v>1</v>
      </c>
      <c r="K1452">
        <f t="shared" ca="1" si="113"/>
        <v>0</v>
      </c>
      <c r="L1452" s="65">
        <v>1446</v>
      </c>
      <c r="M1452" s="71">
        <f t="shared" ca="1" si="114"/>
        <v>2.6860186052654305</v>
      </c>
      <c r="N1452" s="65"/>
    </row>
    <row r="1453" spans="1:14" x14ac:dyDescent="0.25">
      <c r="A1453" s="2">
        <v>1447</v>
      </c>
      <c r="B1453" s="11">
        <f t="shared" ca="1" si="111"/>
        <v>1</v>
      </c>
      <c r="C1453" s="26">
        <f t="shared" ca="1" si="115"/>
        <v>7.2773812379312242E-2</v>
      </c>
      <c r="J1453">
        <f t="shared" ca="1" si="112"/>
        <v>1</v>
      </c>
      <c r="K1453">
        <f t="shared" ca="1" si="113"/>
        <v>0</v>
      </c>
      <c r="L1453" s="65">
        <v>1447</v>
      </c>
      <c r="M1453" s="71">
        <f t="shared" ca="1" si="114"/>
        <v>3.3078070645771622</v>
      </c>
      <c r="N1453" s="65"/>
    </row>
    <row r="1454" spans="1:14" x14ac:dyDescent="0.25">
      <c r="A1454" s="2">
        <v>1448</v>
      </c>
      <c r="B1454" s="11">
        <f t="shared" ca="1" si="111"/>
        <v>1</v>
      </c>
      <c r="C1454" s="26">
        <f t="shared" ca="1" si="115"/>
        <v>0.26287240239133836</v>
      </c>
      <c r="J1454">
        <f t="shared" ca="1" si="112"/>
        <v>1</v>
      </c>
      <c r="K1454">
        <f t="shared" ca="1" si="113"/>
        <v>0</v>
      </c>
      <c r="L1454" s="65">
        <v>1448</v>
      </c>
      <c r="M1454" s="71">
        <f t="shared" ca="1" si="114"/>
        <v>0.24940000197480747</v>
      </c>
      <c r="N1454" s="65"/>
    </row>
    <row r="1455" spans="1:14" x14ac:dyDescent="0.25">
      <c r="A1455" s="2">
        <v>1449</v>
      </c>
      <c r="B1455" s="11">
        <f t="shared" ref="B1455:B1518" ca="1" si="116">IF(B1454&gt;0,IF(C1455&lt;pww,1,0),IF(C1455&lt;pdw,1,0))</f>
        <v>1</v>
      </c>
      <c r="C1455" s="26">
        <f t="shared" ca="1" si="115"/>
        <v>0.65225181216096151</v>
      </c>
      <c r="J1455">
        <f t="shared" ref="J1455:J1518" ca="1" si="117">IF(AND(B1455,B1456),1,0)</f>
        <v>0</v>
      </c>
      <c r="K1455">
        <f t="shared" ref="K1455:K1518" ca="1" si="118">IF(AND(NOT(B1455),NOT(B1456)),1,0)</f>
        <v>0</v>
      </c>
      <c r="L1455" s="65">
        <v>1449</v>
      </c>
      <c r="M1455" s="71">
        <f t="shared" ca="1" si="114"/>
        <v>0.38351630611786808</v>
      </c>
      <c r="N1455" s="65"/>
    </row>
    <row r="1456" spans="1:14" x14ac:dyDescent="0.25">
      <c r="A1456" s="2">
        <v>1450</v>
      </c>
      <c r="B1456" s="11">
        <f t="shared" ca="1" si="116"/>
        <v>0</v>
      </c>
      <c r="C1456" s="26">
        <f t="shared" ca="1" si="115"/>
        <v>0.83313703262686867</v>
      </c>
      <c r="J1456">
        <f t="shared" ca="1" si="117"/>
        <v>0</v>
      </c>
      <c r="K1456">
        <f t="shared" ca="1" si="118"/>
        <v>0</v>
      </c>
      <c r="L1456" s="65">
        <v>1450</v>
      </c>
      <c r="M1456" s="71">
        <f t="shared" ca="1" si="114"/>
        <v>0</v>
      </c>
      <c r="N1456" s="65"/>
    </row>
    <row r="1457" spans="1:14" x14ac:dyDescent="0.25">
      <c r="A1457" s="2">
        <v>1451</v>
      </c>
      <c r="B1457" s="11">
        <f t="shared" ca="1" si="116"/>
        <v>1</v>
      </c>
      <c r="C1457" s="26">
        <f t="shared" ca="1" si="115"/>
        <v>8.4966066386881089E-2</v>
      </c>
      <c r="J1457">
        <f t="shared" ca="1" si="117"/>
        <v>1</v>
      </c>
      <c r="K1457">
        <f t="shared" ca="1" si="118"/>
        <v>0</v>
      </c>
      <c r="L1457" s="65">
        <v>1451</v>
      </c>
      <c r="M1457" s="71">
        <f t="shared" ca="1" si="114"/>
        <v>5.7596154433755427</v>
      </c>
      <c r="N1457" s="65"/>
    </row>
    <row r="1458" spans="1:14" x14ac:dyDescent="0.25">
      <c r="A1458" s="2">
        <v>1452</v>
      </c>
      <c r="B1458" s="11">
        <f t="shared" ca="1" si="116"/>
        <v>1</v>
      </c>
      <c r="C1458" s="26">
        <f t="shared" ca="1" si="115"/>
        <v>0.57373922234994179</v>
      </c>
      <c r="J1458">
        <f t="shared" ca="1" si="117"/>
        <v>1</v>
      </c>
      <c r="K1458">
        <f t="shared" ca="1" si="118"/>
        <v>0</v>
      </c>
      <c r="L1458" s="65">
        <v>1452</v>
      </c>
      <c r="M1458" s="71">
        <f t="shared" ca="1" si="114"/>
        <v>5.462064075277322</v>
      </c>
      <c r="N1458" s="65"/>
    </row>
    <row r="1459" spans="1:14" x14ac:dyDescent="0.25">
      <c r="A1459" s="2">
        <v>1453</v>
      </c>
      <c r="B1459" s="11">
        <f t="shared" ca="1" si="116"/>
        <v>1</v>
      </c>
      <c r="C1459" s="26">
        <f t="shared" ca="1" si="115"/>
        <v>0.445414853761401</v>
      </c>
      <c r="J1459">
        <f t="shared" ca="1" si="117"/>
        <v>0</v>
      </c>
      <c r="K1459">
        <f t="shared" ca="1" si="118"/>
        <v>0</v>
      </c>
      <c r="L1459" s="65">
        <v>1453</v>
      </c>
      <c r="M1459" s="71">
        <f t="shared" ca="1" si="114"/>
        <v>1.2243715800514325</v>
      </c>
      <c r="N1459" s="65"/>
    </row>
    <row r="1460" spans="1:14" x14ac:dyDescent="0.25">
      <c r="A1460" s="2">
        <v>1454</v>
      </c>
      <c r="B1460" s="11">
        <f t="shared" ca="1" si="116"/>
        <v>0</v>
      </c>
      <c r="C1460" s="26">
        <f t="shared" ca="1" si="115"/>
        <v>0.82064086193935748</v>
      </c>
      <c r="J1460">
        <f t="shared" ca="1" si="117"/>
        <v>0</v>
      </c>
      <c r="K1460">
        <f t="shared" ca="1" si="118"/>
        <v>0</v>
      </c>
      <c r="L1460" s="65">
        <v>1454</v>
      </c>
      <c r="M1460" s="71">
        <f t="shared" ca="1" si="114"/>
        <v>0</v>
      </c>
      <c r="N1460" s="65"/>
    </row>
    <row r="1461" spans="1:14" x14ac:dyDescent="0.25">
      <c r="A1461" s="2">
        <v>1455</v>
      </c>
      <c r="B1461" s="11">
        <f t="shared" ca="1" si="116"/>
        <v>1</v>
      </c>
      <c r="C1461" s="26">
        <f t="shared" ca="1" si="115"/>
        <v>0.60791196042990503</v>
      </c>
      <c r="J1461">
        <f t="shared" ca="1" si="117"/>
        <v>0</v>
      </c>
      <c r="K1461">
        <f t="shared" ca="1" si="118"/>
        <v>0</v>
      </c>
      <c r="L1461" s="65">
        <v>1455</v>
      </c>
      <c r="M1461" s="71">
        <f t="shared" ca="1" si="114"/>
        <v>0.1093232248267348</v>
      </c>
      <c r="N1461" s="65"/>
    </row>
    <row r="1462" spans="1:14" x14ac:dyDescent="0.25">
      <c r="A1462" s="2">
        <v>1456</v>
      </c>
      <c r="B1462" s="11">
        <f t="shared" ca="1" si="116"/>
        <v>0</v>
      </c>
      <c r="C1462" s="26">
        <f t="shared" ca="1" si="115"/>
        <v>0.93800105887494933</v>
      </c>
      <c r="J1462">
        <f t="shared" ca="1" si="117"/>
        <v>0</v>
      </c>
      <c r="K1462">
        <f t="shared" ca="1" si="118"/>
        <v>1</v>
      </c>
      <c r="L1462" s="65">
        <v>1456</v>
      </c>
      <c r="M1462" s="71">
        <f t="shared" ca="1" si="114"/>
        <v>0</v>
      </c>
      <c r="N1462" s="65"/>
    </row>
    <row r="1463" spans="1:14" x14ac:dyDescent="0.25">
      <c r="A1463" s="2">
        <v>1457</v>
      </c>
      <c r="B1463" s="11">
        <f t="shared" ca="1" si="116"/>
        <v>0</v>
      </c>
      <c r="C1463" s="26">
        <f t="shared" ca="1" si="115"/>
        <v>0.80575156824988803</v>
      </c>
      <c r="J1463">
        <f t="shared" ca="1" si="117"/>
        <v>0</v>
      </c>
      <c r="K1463">
        <f t="shared" ca="1" si="118"/>
        <v>1</v>
      </c>
      <c r="L1463" s="65">
        <v>1457</v>
      </c>
      <c r="M1463" s="71">
        <f t="shared" ca="1" si="114"/>
        <v>0</v>
      </c>
      <c r="N1463" s="65"/>
    </row>
    <row r="1464" spans="1:14" x14ac:dyDescent="0.25">
      <c r="A1464" s="2">
        <v>1458</v>
      </c>
      <c r="B1464" s="11">
        <f t="shared" ca="1" si="116"/>
        <v>0</v>
      </c>
      <c r="C1464" s="26">
        <f t="shared" ca="1" si="115"/>
        <v>0.88952283332222637</v>
      </c>
      <c r="J1464">
        <f t="shared" ca="1" si="117"/>
        <v>0</v>
      </c>
      <c r="K1464">
        <f t="shared" ca="1" si="118"/>
        <v>1</v>
      </c>
      <c r="L1464" s="65">
        <v>1458</v>
      </c>
      <c r="M1464" s="71">
        <f t="shared" ca="1" si="114"/>
        <v>0</v>
      </c>
      <c r="N1464" s="65"/>
    </row>
    <row r="1465" spans="1:14" x14ac:dyDescent="0.25">
      <c r="A1465" s="2">
        <v>1459</v>
      </c>
      <c r="B1465" s="11">
        <f t="shared" ca="1" si="116"/>
        <v>0</v>
      </c>
      <c r="C1465" s="26">
        <f t="shared" ca="1" si="115"/>
        <v>0.82701468847597248</v>
      </c>
      <c r="J1465">
        <f t="shared" ca="1" si="117"/>
        <v>0</v>
      </c>
      <c r="K1465">
        <f t="shared" ca="1" si="118"/>
        <v>0</v>
      </c>
      <c r="L1465" s="65">
        <v>1459</v>
      </c>
      <c r="M1465" s="71">
        <f t="shared" ca="1" si="114"/>
        <v>0</v>
      </c>
      <c r="N1465" s="65"/>
    </row>
    <row r="1466" spans="1:14" x14ac:dyDescent="0.25">
      <c r="A1466" s="2">
        <v>1460</v>
      </c>
      <c r="B1466" s="11">
        <f t="shared" ca="1" si="116"/>
        <v>1</v>
      </c>
      <c r="C1466" s="26">
        <f t="shared" ca="1" si="115"/>
        <v>0.17600511025391963</v>
      </c>
      <c r="J1466">
        <f t="shared" ca="1" si="117"/>
        <v>1</v>
      </c>
      <c r="K1466">
        <f t="shared" ca="1" si="118"/>
        <v>0</v>
      </c>
      <c r="L1466" s="65">
        <v>1460</v>
      </c>
      <c r="M1466" s="71">
        <f t="shared" ca="1" si="114"/>
        <v>1.1408814802773815</v>
      </c>
      <c r="N1466" s="65"/>
    </row>
    <row r="1467" spans="1:14" x14ac:dyDescent="0.25">
      <c r="A1467" s="2">
        <v>1461</v>
      </c>
      <c r="B1467" s="11">
        <f t="shared" ca="1" si="116"/>
        <v>1</v>
      </c>
      <c r="C1467" s="26">
        <f t="shared" ca="1" si="115"/>
        <v>0.18061198565940528</v>
      </c>
      <c r="J1467">
        <f t="shared" ca="1" si="117"/>
        <v>1</v>
      </c>
      <c r="K1467">
        <f t="shared" ca="1" si="118"/>
        <v>0</v>
      </c>
      <c r="L1467" s="65">
        <v>1461</v>
      </c>
      <c r="M1467" s="71">
        <f t="shared" ca="1" si="114"/>
        <v>7.110544187057771</v>
      </c>
      <c r="N1467" s="65"/>
    </row>
    <row r="1468" spans="1:14" x14ac:dyDescent="0.25">
      <c r="A1468" s="2">
        <v>1462</v>
      </c>
      <c r="B1468" s="11">
        <f t="shared" ca="1" si="116"/>
        <v>1</v>
      </c>
      <c r="C1468" s="26">
        <f t="shared" ca="1" si="115"/>
        <v>0.75120858366359355</v>
      </c>
      <c r="J1468">
        <f t="shared" ca="1" si="117"/>
        <v>1</v>
      </c>
      <c r="K1468">
        <f t="shared" ca="1" si="118"/>
        <v>0</v>
      </c>
      <c r="L1468" s="65">
        <v>1462</v>
      </c>
      <c r="M1468" s="71">
        <f t="shared" ca="1" si="114"/>
        <v>5.1697185573588733</v>
      </c>
      <c r="N1468" s="65"/>
    </row>
    <row r="1469" spans="1:14" x14ac:dyDescent="0.25">
      <c r="A1469" s="2">
        <v>1463</v>
      </c>
      <c r="B1469" s="11">
        <f t="shared" ca="1" si="116"/>
        <v>1</v>
      </c>
      <c r="C1469" s="26">
        <f t="shared" ca="1" si="115"/>
        <v>0.27955992256630546</v>
      </c>
      <c r="J1469">
        <f t="shared" ca="1" si="117"/>
        <v>0</v>
      </c>
      <c r="K1469">
        <f t="shared" ca="1" si="118"/>
        <v>0</v>
      </c>
      <c r="L1469" s="65">
        <v>1463</v>
      </c>
      <c r="M1469" s="71">
        <f t="shared" ca="1" si="114"/>
        <v>6.7527558809556281</v>
      </c>
      <c r="N1469" s="65"/>
    </row>
    <row r="1470" spans="1:14" x14ac:dyDescent="0.25">
      <c r="A1470" s="2">
        <v>1464</v>
      </c>
      <c r="B1470" s="11">
        <f t="shared" ca="1" si="116"/>
        <v>0</v>
      </c>
      <c r="C1470" s="26">
        <f t="shared" ca="1" si="115"/>
        <v>0.89424955367786996</v>
      </c>
      <c r="J1470">
        <f t="shared" ca="1" si="117"/>
        <v>0</v>
      </c>
      <c r="K1470">
        <f t="shared" ca="1" si="118"/>
        <v>0</v>
      </c>
      <c r="L1470" s="65">
        <v>1464</v>
      </c>
      <c r="M1470" s="71">
        <f t="shared" ca="1" si="114"/>
        <v>0</v>
      </c>
      <c r="N1470" s="65"/>
    </row>
    <row r="1471" spans="1:14" x14ac:dyDescent="0.25">
      <c r="A1471" s="2">
        <v>1465</v>
      </c>
      <c r="B1471" s="11">
        <f t="shared" ca="1" si="116"/>
        <v>1</v>
      </c>
      <c r="C1471" s="26">
        <f t="shared" ca="1" si="115"/>
        <v>2.7690592865833086E-2</v>
      </c>
      <c r="J1471">
        <f t="shared" ca="1" si="117"/>
        <v>1</v>
      </c>
      <c r="K1471">
        <f t="shared" ca="1" si="118"/>
        <v>0</v>
      </c>
      <c r="L1471" s="65">
        <v>1465</v>
      </c>
      <c r="M1471" s="71">
        <f t="shared" ca="1" si="114"/>
        <v>3.489612788087185</v>
      </c>
      <c r="N1471" s="65"/>
    </row>
    <row r="1472" spans="1:14" x14ac:dyDescent="0.25">
      <c r="A1472" s="2">
        <v>1466</v>
      </c>
      <c r="B1472" s="11">
        <f t="shared" ca="1" si="116"/>
        <v>1</v>
      </c>
      <c r="C1472" s="26">
        <f t="shared" ca="1" si="115"/>
        <v>0.78065881746226584</v>
      </c>
      <c r="J1472">
        <f t="shared" ca="1" si="117"/>
        <v>0</v>
      </c>
      <c r="K1472">
        <f t="shared" ca="1" si="118"/>
        <v>0</v>
      </c>
      <c r="L1472" s="65">
        <v>1466</v>
      </c>
      <c r="M1472" s="71">
        <f t="shared" ca="1" si="114"/>
        <v>3.3039065031789745</v>
      </c>
      <c r="N1472" s="65"/>
    </row>
    <row r="1473" spans="1:14" x14ac:dyDescent="0.25">
      <c r="A1473" s="2">
        <v>1467</v>
      </c>
      <c r="B1473" s="11">
        <f t="shared" ca="1" si="116"/>
        <v>0</v>
      </c>
      <c r="C1473" s="26">
        <f t="shared" ca="1" si="115"/>
        <v>0.83205130102102998</v>
      </c>
      <c r="J1473">
        <f t="shared" ca="1" si="117"/>
        <v>0</v>
      </c>
      <c r="K1473">
        <f t="shared" ca="1" si="118"/>
        <v>1</v>
      </c>
      <c r="L1473" s="65">
        <v>1467</v>
      </c>
      <c r="M1473" s="71">
        <f t="shared" ca="1" si="114"/>
        <v>0</v>
      </c>
      <c r="N1473" s="65"/>
    </row>
    <row r="1474" spans="1:14" x14ac:dyDescent="0.25">
      <c r="A1474" s="2">
        <v>1468</v>
      </c>
      <c r="B1474" s="11">
        <f t="shared" ca="1" si="116"/>
        <v>0</v>
      </c>
      <c r="C1474" s="26">
        <f t="shared" ca="1" si="115"/>
        <v>0.82656326574946204</v>
      </c>
      <c r="J1474">
        <f t="shared" ca="1" si="117"/>
        <v>0</v>
      </c>
      <c r="K1474">
        <f t="shared" ca="1" si="118"/>
        <v>0</v>
      </c>
      <c r="L1474" s="65">
        <v>1468</v>
      </c>
      <c r="M1474" s="71">
        <f t="shared" ca="1" si="114"/>
        <v>0</v>
      </c>
      <c r="N1474" s="65"/>
    </row>
    <row r="1475" spans="1:14" x14ac:dyDescent="0.25">
      <c r="A1475" s="2">
        <v>1469</v>
      </c>
      <c r="B1475" s="11">
        <f t="shared" ca="1" si="116"/>
        <v>1</v>
      </c>
      <c r="C1475" s="26">
        <f t="shared" ca="1" si="115"/>
        <v>0.5171374353923861</v>
      </c>
      <c r="J1475">
        <f t="shared" ca="1" si="117"/>
        <v>1</v>
      </c>
      <c r="K1475">
        <f t="shared" ca="1" si="118"/>
        <v>0</v>
      </c>
      <c r="L1475" s="65">
        <v>1469</v>
      </c>
      <c r="M1475" s="71">
        <f t="shared" ca="1" si="114"/>
        <v>4.2151056482845943</v>
      </c>
      <c r="N1475" s="65"/>
    </row>
    <row r="1476" spans="1:14" x14ac:dyDescent="0.25">
      <c r="A1476" s="2">
        <v>1470</v>
      </c>
      <c r="B1476" s="11">
        <f t="shared" ca="1" si="116"/>
        <v>1</v>
      </c>
      <c r="C1476" s="26">
        <f t="shared" ca="1" si="115"/>
        <v>0.42152779749402169</v>
      </c>
      <c r="J1476">
        <f t="shared" ca="1" si="117"/>
        <v>1</v>
      </c>
      <c r="K1476">
        <f t="shared" ca="1" si="118"/>
        <v>0</v>
      </c>
      <c r="L1476" s="65">
        <v>1470</v>
      </c>
      <c r="M1476" s="71">
        <f t="shared" ca="1" si="114"/>
        <v>2.9157529542776048</v>
      </c>
      <c r="N1476" s="65"/>
    </row>
    <row r="1477" spans="1:14" x14ac:dyDescent="0.25">
      <c r="A1477" s="2">
        <v>1471</v>
      </c>
      <c r="B1477" s="11">
        <f t="shared" ca="1" si="116"/>
        <v>1</v>
      </c>
      <c r="C1477" s="26">
        <f t="shared" ca="1" si="115"/>
        <v>9.0152577714645799E-2</v>
      </c>
      <c r="J1477">
        <f t="shared" ca="1" si="117"/>
        <v>1</v>
      </c>
      <c r="K1477">
        <f t="shared" ca="1" si="118"/>
        <v>0</v>
      </c>
      <c r="L1477" s="65">
        <v>1471</v>
      </c>
      <c r="M1477" s="71">
        <f t="shared" ca="1" si="114"/>
        <v>3.8626219853135688</v>
      </c>
      <c r="N1477" s="65"/>
    </row>
    <row r="1478" spans="1:14" x14ac:dyDescent="0.25">
      <c r="A1478" s="2">
        <v>1472</v>
      </c>
      <c r="B1478" s="11">
        <f t="shared" ca="1" si="116"/>
        <v>1</v>
      </c>
      <c r="C1478" s="26">
        <f t="shared" ca="1" si="115"/>
        <v>0.72368195309043371</v>
      </c>
      <c r="J1478">
        <f t="shared" ca="1" si="117"/>
        <v>0</v>
      </c>
      <c r="K1478">
        <f t="shared" ca="1" si="118"/>
        <v>0</v>
      </c>
      <c r="L1478" s="65">
        <v>1472</v>
      </c>
      <c r="M1478" s="71">
        <f t="shared" ca="1" si="114"/>
        <v>2.669407933124432</v>
      </c>
      <c r="N1478" s="65"/>
    </row>
    <row r="1479" spans="1:14" x14ac:dyDescent="0.25">
      <c r="A1479" s="2">
        <v>1473</v>
      </c>
      <c r="B1479" s="11">
        <f t="shared" ca="1" si="116"/>
        <v>0</v>
      </c>
      <c r="C1479" s="26">
        <f t="shared" ca="1" si="115"/>
        <v>0.92170709010706753</v>
      </c>
      <c r="J1479">
        <f t="shared" ca="1" si="117"/>
        <v>0</v>
      </c>
      <c r="K1479">
        <f t="shared" ca="1" si="118"/>
        <v>0</v>
      </c>
      <c r="L1479" s="65">
        <v>1473</v>
      </c>
      <c r="M1479" s="71">
        <f t="shared" ref="M1479:M1542" ca="1" si="119">IF(B1479&gt;0,-LN(1-(RAND()))/lambda,0)</f>
        <v>0</v>
      </c>
      <c r="N1479" s="65"/>
    </row>
    <row r="1480" spans="1:14" x14ac:dyDescent="0.25">
      <c r="A1480" s="2">
        <v>1474</v>
      </c>
      <c r="B1480" s="11">
        <f t="shared" ca="1" si="116"/>
        <v>1</v>
      </c>
      <c r="C1480" s="26">
        <f t="shared" ref="C1480:C1543" ca="1" si="120">RAND()</f>
        <v>0.55405229836714376</v>
      </c>
      <c r="J1480">
        <f t="shared" ca="1" si="117"/>
        <v>1</v>
      </c>
      <c r="K1480">
        <f t="shared" ca="1" si="118"/>
        <v>0</v>
      </c>
      <c r="L1480" s="65">
        <v>1474</v>
      </c>
      <c r="M1480" s="71">
        <f t="shared" ca="1" si="119"/>
        <v>0.92144987694555502</v>
      </c>
      <c r="N1480" s="65"/>
    </row>
    <row r="1481" spans="1:14" x14ac:dyDescent="0.25">
      <c r="A1481" s="2">
        <v>1475</v>
      </c>
      <c r="B1481" s="11">
        <f t="shared" ca="1" si="116"/>
        <v>1</v>
      </c>
      <c r="C1481" s="26">
        <f t="shared" ca="1" si="120"/>
        <v>0.46952897131705418</v>
      </c>
      <c r="J1481">
        <f t="shared" ca="1" si="117"/>
        <v>1</v>
      </c>
      <c r="K1481">
        <f t="shared" ca="1" si="118"/>
        <v>0</v>
      </c>
      <c r="L1481" s="65">
        <v>1475</v>
      </c>
      <c r="M1481" s="71">
        <f t="shared" ca="1" si="119"/>
        <v>5.2191590300947581</v>
      </c>
      <c r="N1481" s="65"/>
    </row>
    <row r="1482" spans="1:14" x14ac:dyDescent="0.25">
      <c r="A1482" s="2">
        <v>1476</v>
      </c>
      <c r="B1482" s="11">
        <f t="shared" ca="1" si="116"/>
        <v>1</v>
      </c>
      <c r="C1482" s="26">
        <f t="shared" ca="1" si="120"/>
        <v>0.70792715640251125</v>
      </c>
      <c r="J1482">
        <f t="shared" ca="1" si="117"/>
        <v>0</v>
      </c>
      <c r="K1482">
        <f t="shared" ca="1" si="118"/>
        <v>0</v>
      </c>
      <c r="L1482" s="65">
        <v>1476</v>
      </c>
      <c r="M1482" s="71">
        <f t="shared" ca="1" si="119"/>
        <v>2.9563357826644854</v>
      </c>
      <c r="N1482" s="65"/>
    </row>
    <row r="1483" spans="1:14" x14ac:dyDescent="0.25">
      <c r="A1483" s="2">
        <v>1477</v>
      </c>
      <c r="B1483" s="11">
        <f t="shared" ca="1" si="116"/>
        <v>0</v>
      </c>
      <c r="C1483" s="26">
        <f t="shared" ca="1" si="120"/>
        <v>0.84766737157692751</v>
      </c>
      <c r="J1483">
        <f t="shared" ca="1" si="117"/>
        <v>0</v>
      </c>
      <c r="K1483">
        <f t="shared" ca="1" si="118"/>
        <v>1</v>
      </c>
      <c r="L1483" s="65">
        <v>1477</v>
      </c>
      <c r="M1483" s="71">
        <f t="shared" ca="1" si="119"/>
        <v>0</v>
      </c>
      <c r="N1483" s="65"/>
    </row>
    <row r="1484" spans="1:14" x14ac:dyDescent="0.25">
      <c r="A1484" s="2">
        <v>1478</v>
      </c>
      <c r="B1484" s="11">
        <f t="shared" ca="1" si="116"/>
        <v>0</v>
      </c>
      <c r="C1484" s="26">
        <f t="shared" ca="1" si="120"/>
        <v>0.74072940984240476</v>
      </c>
      <c r="J1484">
        <f t="shared" ca="1" si="117"/>
        <v>0</v>
      </c>
      <c r="K1484">
        <f t="shared" ca="1" si="118"/>
        <v>1</v>
      </c>
      <c r="L1484" s="65">
        <v>1478</v>
      </c>
      <c r="M1484" s="71">
        <f t="shared" ca="1" si="119"/>
        <v>0</v>
      </c>
      <c r="N1484" s="65"/>
    </row>
    <row r="1485" spans="1:14" x14ac:dyDescent="0.25">
      <c r="A1485" s="2">
        <v>1479</v>
      </c>
      <c r="B1485" s="11">
        <f t="shared" ca="1" si="116"/>
        <v>0</v>
      </c>
      <c r="C1485" s="26">
        <f t="shared" ca="1" si="120"/>
        <v>0.75292976400194822</v>
      </c>
      <c r="J1485">
        <f t="shared" ca="1" si="117"/>
        <v>0</v>
      </c>
      <c r="K1485">
        <f t="shared" ca="1" si="118"/>
        <v>0</v>
      </c>
      <c r="L1485" s="65">
        <v>1479</v>
      </c>
      <c r="M1485" s="71">
        <f t="shared" ca="1" si="119"/>
        <v>0</v>
      </c>
      <c r="N1485" s="65"/>
    </row>
    <row r="1486" spans="1:14" x14ac:dyDescent="0.25">
      <c r="A1486" s="2">
        <v>1480</v>
      </c>
      <c r="B1486" s="11">
        <f t="shared" ca="1" si="116"/>
        <v>1</v>
      </c>
      <c r="C1486" s="26">
        <f t="shared" ca="1" si="120"/>
        <v>0.35614942187582699</v>
      </c>
      <c r="J1486">
        <f t="shared" ca="1" si="117"/>
        <v>0</v>
      </c>
      <c r="K1486">
        <f t="shared" ca="1" si="118"/>
        <v>0</v>
      </c>
      <c r="L1486" s="65">
        <v>1480</v>
      </c>
      <c r="M1486" s="71">
        <f t="shared" ca="1" si="119"/>
        <v>0.53589844010810206</v>
      </c>
      <c r="N1486" s="65"/>
    </row>
    <row r="1487" spans="1:14" x14ac:dyDescent="0.25">
      <c r="A1487" s="2">
        <v>1481</v>
      </c>
      <c r="B1487" s="11">
        <f t="shared" ca="1" si="116"/>
        <v>0</v>
      </c>
      <c r="C1487" s="26">
        <f t="shared" ca="1" si="120"/>
        <v>0.9374812412433372</v>
      </c>
      <c r="J1487">
        <f t="shared" ca="1" si="117"/>
        <v>0</v>
      </c>
      <c r="K1487">
        <f t="shared" ca="1" si="118"/>
        <v>1</v>
      </c>
      <c r="L1487" s="65">
        <v>1481</v>
      </c>
      <c r="M1487" s="71">
        <f t="shared" ca="1" si="119"/>
        <v>0</v>
      </c>
      <c r="N1487" s="65"/>
    </row>
    <row r="1488" spans="1:14" x14ac:dyDescent="0.25">
      <c r="A1488" s="2">
        <v>1482</v>
      </c>
      <c r="B1488" s="11">
        <f t="shared" ca="1" si="116"/>
        <v>0</v>
      </c>
      <c r="C1488" s="26">
        <f t="shared" ca="1" si="120"/>
        <v>0.80797803198022944</v>
      </c>
      <c r="J1488">
        <f t="shared" ca="1" si="117"/>
        <v>0</v>
      </c>
      <c r="K1488">
        <f t="shared" ca="1" si="118"/>
        <v>0</v>
      </c>
      <c r="L1488" s="65">
        <v>1482</v>
      </c>
      <c r="M1488" s="71">
        <f t="shared" ca="1" si="119"/>
        <v>0</v>
      </c>
      <c r="N1488" s="65"/>
    </row>
    <row r="1489" spans="1:14" x14ac:dyDescent="0.25">
      <c r="A1489" s="2">
        <v>1483</v>
      </c>
      <c r="B1489" s="11">
        <f t="shared" ca="1" si="116"/>
        <v>1</v>
      </c>
      <c r="C1489" s="26">
        <f t="shared" ca="1" si="120"/>
        <v>0.29999146347939432</v>
      </c>
      <c r="J1489">
        <f t="shared" ca="1" si="117"/>
        <v>1</v>
      </c>
      <c r="K1489">
        <f t="shared" ca="1" si="118"/>
        <v>0</v>
      </c>
      <c r="L1489" s="65">
        <v>1483</v>
      </c>
      <c r="M1489" s="71">
        <f t="shared" ca="1" si="119"/>
        <v>4.4500797427295371</v>
      </c>
      <c r="N1489" s="65"/>
    </row>
    <row r="1490" spans="1:14" x14ac:dyDescent="0.25">
      <c r="A1490" s="2">
        <v>1484</v>
      </c>
      <c r="B1490" s="11">
        <f t="shared" ca="1" si="116"/>
        <v>1</v>
      </c>
      <c r="C1490" s="26">
        <f t="shared" ca="1" si="120"/>
        <v>0.24526644510522622</v>
      </c>
      <c r="J1490">
        <f t="shared" ca="1" si="117"/>
        <v>1</v>
      </c>
      <c r="K1490">
        <f t="shared" ca="1" si="118"/>
        <v>0</v>
      </c>
      <c r="L1490" s="65">
        <v>1484</v>
      </c>
      <c r="M1490" s="71">
        <f t="shared" ca="1" si="119"/>
        <v>2.2413972662708006</v>
      </c>
      <c r="N1490" s="65"/>
    </row>
    <row r="1491" spans="1:14" x14ac:dyDescent="0.25">
      <c r="A1491" s="2">
        <v>1485</v>
      </c>
      <c r="B1491" s="11">
        <f t="shared" ca="1" si="116"/>
        <v>1</v>
      </c>
      <c r="C1491" s="26">
        <f t="shared" ca="1" si="120"/>
        <v>0.10084792838871492</v>
      </c>
      <c r="J1491">
        <f t="shared" ca="1" si="117"/>
        <v>0</v>
      </c>
      <c r="K1491">
        <f t="shared" ca="1" si="118"/>
        <v>0</v>
      </c>
      <c r="L1491" s="65">
        <v>1485</v>
      </c>
      <c r="M1491" s="71">
        <f t="shared" ca="1" si="119"/>
        <v>2.9504463478286556</v>
      </c>
      <c r="N1491" s="65"/>
    </row>
    <row r="1492" spans="1:14" x14ac:dyDescent="0.25">
      <c r="A1492" s="2">
        <v>1486</v>
      </c>
      <c r="B1492" s="11">
        <f t="shared" ca="1" si="116"/>
        <v>0</v>
      </c>
      <c r="C1492" s="26">
        <f t="shared" ca="1" si="120"/>
        <v>0.95252751513204525</v>
      </c>
      <c r="J1492">
        <f t="shared" ca="1" si="117"/>
        <v>0</v>
      </c>
      <c r="K1492">
        <f t="shared" ca="1" si="118"/>
        <v>1</v>
      </c>
      <c r="L1492" s="65">
        <v>1486</v>
      </c>
      <c r="M1492" s="71">
        <f t="shared" ca="1" si="119"/>
        <v>0</v>
      </c>
      <c r="N1492" s="65"/>
    </row>
    <row r="1493" spans="1:14" x14ac:dyDescent="0.25">
      <c r="A1493" s="2">
        <v>1487</v>
      </c>
      <c r="B1493" s="11">
        <f t="shared" ca="1" si="116"/>
        <v>0</v>
      </c>
      <c r="C1493" s="26">
        <f t="shared" ca="1" si="120"/>
        <v>0.72830719139868116</v>
      </c>
      <c r="J1493">
        <f t="shared" ca="1" si="117"/>
        <v>0</v>
      </c>
      <c r="K1493">
        <f t="shared" ca="1" si="118"/>
        <v>0</v>
      </c>
      <c r="L1493" s="65">
        <v>1487</v>
      </c>
      <c r="M1493" s="71">
        <f t="shared" ca="1" si="119"/>
        <v>0</v>
      </c>
      <c r="N1493" s="65"/>
    </row>
    <row r="1494" spans="1:14" x14ac:dyDescent="0.25">
      <c r="A1494" s="2">
        <v>1488</v>
      </c>
      <c r="B1494" s="11">
        <f t="shared" ca="1" si="116"/>
        <v>1</v>
      </c>
      <c r="C1494" s="26">
        <f t="shared" ca="1" si="120"/>
        <v>0.34741817549630594</v>
      </c>
      <c r="J1494">
        <f t="shared" ca="1" si="117"/>
        <v>0</v>
      </c>
      <c r="K1494">
        <f t="shared" ca="1" si="118"/>
        <v>0</v>
      </c>
      <c r="L1494" s="65">
        <v>1488</v>
      </c>
      <c r="M1494" s="71">
        <f t="shared" ca="1" si="119"/>
        <v>3.8223791790909041</v>
      </c>
      <c r="N1494" s="65"/>
    </row>
    <row r="1495" spans="1:14" x14ac:dyDescent="0.25">
      <c r="A1495" s="2">
        <v>1489</v>
      </c>
      <c r="B1495" s="11">
        <f t="shared" ca="1" si="116"/>
        <v>0</v>
      </c>
      <c r="C1495" s="26">
        <f t="shared" ca="1" si="120"/>
        <v>0.99683958831616459</v>
      </c>
      <c r="J1495">
        <f t="shared" ca="1" si="117"/>
        <v>0</v>
      </c>
      <c r="K1495">
        <f t="shared" ca="1" si="118"/>
        <v>0</v>
      </c>
      <c r="L1495" s="65">
        <v>1489</v>
      </c>
      <c r="M1495" s="71">
        <f t="shared" ca="1" si="119"/>
        <v>0</v>
      </c>
      <c r="N1495" s="65"/>
    </row>
    <row r="1496" spans="1:14" x14ac:dyDescent="0.25">
      <c r="A1496" s="2">
        <v>1490</v>
      </c>
      <c r="B1496" s="11">
        <f t="shared" ca="1" si="116"/>
        <v>1</v>
      </c>
      <c r="C1496" s="26">
        <f t="shared" ca="1" si="120"/>
        <v>0.30158016809944244</v>
      </c>
      <c r="J1496">
        <f t="shared" ca="1" si="117"/>
        <v>0</v>
      </c>
      <c r="K1496">
        <f t="shared" ca="1" si="118"/>
        <v>0</v>
      </c>
      <c r="L1496" s="65">
        <v>1490</v>
      </c>
      <c r="M1496" s="71">
        <f t="shared" ca="1" si="119"/>
        <v>4.2651346752888237</v>
      </c>
      <c r="N1496" s="65"/>
    </row>
    <row r="1497" spans="1:14" x14ac:dyDescent="0.25">
      <c r="A1497" s="2">
        <v>1491</v>
      </c>
      <c r="B1497" s="11">
        <f t="shared" ca="1" si="116"/>
        <v>0</v>
      </c>
      <c r="C1497" s="26">
        <f t="shared" ca="1" si="120"/>
        <v>0.82994408465099645</v>
      </c>
      <c r="J1497">
        <f t="shared" ca="1" si="117"/>
        <v>0</v>
      </c>
      <c r="K1497">
        <f t="shared" ca="1" si="118"/>
        <v>0</v>
      </c>
      <c r="L1497" s="65">
        <v>1491</v>
      </c>
      <c r="M1497" s="71">
        <f t="shared" ca="1" si="119"/>
        <v>0</v>
      </c>
      <c r="N1497" s="65"/>
    </row>
    <row r="1498" spans="1:14" x14ac:dyDescent="0.25">
      <c r="A1498" s="2">
        <v>1492</v>
      </c>
      <c r="B1498" s="11">
        <f t="shared" ca="1" si="116"/>
        <v>1</v>
      </c>
      <c r="C1498" s="26">
        <f t="shared" ca="1" si="120"/>
        <v>0.29548088136041717</v>
      </c>
      <c r="J1498">
        <f t="shared" ca="1" si="117"/>
        <v>1</v>
      </c>
      <c r="K1498">
        <f t="shared" ca="1" si="118"/>
        <v>0</v>
      </c>
      <c r="L1498" s="65">
        <v>1492</v>
      </c>
      <c r="M1498" s="71">
        <f t="shared" ca="1" si="119"/>
        <v>6.8738459405592173E-2</v>
      </c>
      <c r="N1498" s="65"/>
    </row>
    <row r="1499" spans="1:14" x14ac:dyDescent="0.25">
      <c r="A1499" s="2">
        <v>1493</v>
      </c>
      <c r="B1499" s="11">
        <f t="shared" ca="1" si="116"/>
        <v>1</v>
      </c>
      <c r="C1499" s="26">
        <f t="shared" ca="1" si="120"/>
        <v>0.79650838752851227</v>
      </c>
      <c r="J1499">
        <f t="shared" ca="1" si="117"/>
        <v>1</v>
      </c>
      <c r="K1499">
        <f t="shared" ca="1" si="118"/>
        <v>0</v>
      </c>
      <c r="L1499" s="65">
        <v>1493</v>
      </c>
      <c r="M1499" s="71">
        <f t="shared" ca="1" si="119"/>
        <v>0.39875777293797798</v>
      </c>
      <c r="N1499" s="65"/>
    </row>
    <row r="1500" spans="1:14" x14ac:dyDescent="0.25">
      <c r="A1500" s="2">
        <v>1494</v>
      </c>
      <c r="B1500" s="11">
        <f t="shared" ca="1" si="116"/>
        <v>1</v>
      </c>
      <c r="C1500" s="26">
        <f t="shared" ca="1" si="120"/>
        <v>0.30591238812105626</v>
      </c>
      <c r="J1500">
        <f t="shared" ca="1" si="117"/>
        <v>1</v>
      </c>
      <c r="K1500">
        <f t="shared" ca="1" si="118"/>
        <v>0</v>
      </c>
      <c r="L1500" s="65">
        <v>1494</v>
      </c>
      <c r="M1500" s="71">
        <f t="shared" ca="1" si="119"/>
        <v>0.18413376748769097</v>
      </c>
      <c r="N1500" s="65"/>
    </row>
    <row r="1501" spans="1:14" x14ac:dyDescent="0.25">
      <c r="A1501" s="2">
        <v>1495</v>
      </c>
      <c r="B1501" s="11">
        <f t="shared" ca="1" si="116"/>
        <v>1</v>
      </c>
      <c r="C1501" s="26">
        <f t="shared" ca="1" si="120"/>
        <v>0.29875349172769028</v>
      </c>
      <c r="J1501">
        <f t="shared" ca="1" si="117"/>
        <v>1</v>
      </c>
      <c r="K1501">
        <f t="shared" ca="1" si="118"/>
        <v>0</v>
      </c>
      <c r="L1501" s="65">
        <v>1495</v>
      </c>
      <c r="M1501" s="71">
        <f t="shared" ca="1" si="119"/>
        <v>5.5461153726667574</v>
      </c>
      <c r="N1501" s="65"/>
    </row>
    <row r="1502" spans="1:14" x14ac:dyDescent="0.25">
      <c r="A1502" s="2">
        <v>1496</v>
      </c>
      <c r="B1502" s="11">
        <f t="shared" ca="1" si="116"/>
        <v>1</v>
      </c>
      <c r="C1502" s="26">
        <f t="shared" ca="1" si="120"/>
        <v>0.14802279965978715</v>
      </c>
      <c r="J1502">
        <f t="shared" ca="1" si="117"/>
        <v>1</v>
      </c>
      <c r="K1502">
        <f t="shared" ca="1" si="118"/>
        <v>0</v>
      </c>
      <c r="L1502" s="65">
        <v>1496</v>
      </c>
      <c r="M1502" s="71">
        <f t="shared" ca="1" si="119"/>
        <v>1.4943227421620189</v>
      </c>
      <c r="N1502" s="65"/>
    </row>
    <row r="1503" spans="1:14" x14ac:dyDescent="0.25">
      <c r="A1503" s="2">
        <v>1497</v>
      </c>
      <c r="B1503" s="11">
        <f t="shared" ca="1" si="116"/>
        <v>1</v>
      </c>
      <c r="C1503" s="26">
        <f t="shared" ca="1" si="120"/>
        <v>1.5425600142607632E-2</v>
      </c>
      <c r="J1503">
        <f t="shared" ca="1" si="117"/>
        <v>1</v>
      </c>
      <c r="K1503">
        <f t="shared" ca="1" si="118"/>
        <v>0</v>
      </c>
      <c r="L1503" s="65">
        <v>1497</v>
      </c>
      <c r="M1503" s="71">
        <f t="shared" ca="1" si="119"/>
        <v>1.8477021706203001</v>
      </c>
      <c r="N1503" s="65"/>
    </row>
    <row r="1504" spans="1:14" x14ac:dyDescent="0.25">
      <c r="A1504" s="2">
        <v>1498</v>
      </c>
      <c r="B1504" s="11">
        <f t="shared" ca="1" si="116"/>
        <v>1</v>
      </c>
      <c r="C1504" s="26">
        <f t="shared" ca="1" si="120"/>
        <v>9.7870177247615153E-2</v>
      </c>
      <c r="J1504">
        <f t="shared" ca="1" si="117"/>
        <v>0</v>
      </c>
      <c r="K1504">
        <f t="shared" ca="1" si="118"/>
        <v>0</v>
      </c>
      <c r="L1504" s="65">
        <v>1498</v>
      </c>
      <c r="M1504" s="71">
        <f t="shared" ca="1" si="119"/>
        <v>5.7144448468395996E-2</v>
      </c>
      <c r="N1504" s="65"/>
    </row>
    <row r="1505" spans="1:14" x14ac:dyDescent="0.25">
      <c r="A1505" s="2">
        <v>1499</v>
      </c>
      <c r="B1505" s="11">
        <f t="shared" ca="1" si="116"/>
        <v>0</v>
      </c>
      <c r="C1505" s="26">
        <f t="shared" ca="1" si="120"/>
        <v>0.86024976922409446</v>
      </c>
      <c r="J1505">
        <f t="shared" ca="1" si="117"/>
        <v>0</v>
      </c>
      <c r="K1505">
        <f t="shared" ca="1" si="118"/>
        <v>0</v>
      </c>
      <c r="L1505" s="65">
        <v>1499</v>
      </c>
      <c r="M1505" s="71">
        <f t="shared" ca="1" si="119"/>
        <v>0</v>
      </c>
      <c r="N1505" s="65"/>
    </row>
    <row r="1506" spans="1:14" x14ac:dyDescent="0.25">
      <c r="A1506" s="2">
        <v>1500</v>
      </c>
      <c r="B1506" s="11">
        <f t="shared" ca="1" si="116"/>
        <v>1</v>
      </c>
      <c r="C1506" s="26">
        <f t="shared" ca="1" si="120"/>
        <v>0.53470542284944378</v>
      </c>
      <c r="J1506">
        <f t="shared" ca="1" si="117"/>
        <v>1</v>
      </c>
      <c r="K1506">
        <f t="shared" ca="1" si="118"/>
        <v>0</v>
      </c>
      <c r="L1506" s="65">
        <v>1500</v>
      </c>
      <c r="M1506" s="71">
        <f t="shared" ca="1" si="119"/>
        <v>9.0936002417692912</v>
      </c>
      <c r="N1506" s="65"/>
    </row>
    <row r="1507" spans="1:14" x14ac:dyDescent="0.25">
      <c r="A1507" s="2">
        <v>1501</v>
      </c>
      <c r="B1507" s="11">
        <f t="shared" ca="1" si="116"/>
        <v>1</v>
      </c>
      <c r="C1507" s="26">
        <f t="shared" ca="1" si="120"/>
        <v>0.27314823944351341</v>
      </c>
      <c r="J1507">
        <f t="shared" ca="1" si="117"/>
        <v>1</v>
      </c>
      <c r="K1507">
        <f t="shared" ca="1" si="118"/>
        <v>0</v>
      </c>
      <c r="L1507" s="65">
        <v>1501</v>
      </c>
      <c r="M1507" s="71">
        <f t="shared" ca="1" si="119"/>
        <v>6.071831820163351</v>
      </c>
      <c r="N1507" s="65"/>
    </row>
    <row r="1508" spans="1:14" x14ac:dyDescent="0.25">
      <c r="A1508" s="2">
        <v>1502</v>
      </c>
      <c r="B1508" s="11">
        <f t="shared" ca="1" si="116"/>
        <v>1</v>
      </c>
      <c r="C1508" s="26">
        <f t="shared" ca="1" si="120"/>
        <v>0.47077212462950047</v>
      </c>
      <c r="J1508">
        <f t="shared" ca="1" si="117"/>
        <v>1</v>
      </c>
      <c r="K1508">
        <f t="shared" ca="1" si="118"/>
        <v>0</v>
      </c>
      <c r="L1508" s="65">
        <v>1502</v>
      </c>
      <c r="M1508" s="71">
        <f t="shared" ca="1" si="119"/>
        <v>1.2331832490263042</v>
      </c>
      <c r="N1508" s="65"/>
    </row>
    <row r="1509" spans="1:14" x14ac:dyDescent="0.25">
      <c r="A1509" s="2">
        <v>1503</v>
      </c>
      <c r="B1509" s="11">
        <f t="shared" ca="1" si="116"/>
        <v>1</v>
      </c>
      <c r="C1509" s="26">
        <f t="shared" ca="1" si="120"/>
        <v>0.23324892820551624</v>
      </c>
      <c r="J1509">
        <f t="shared" ca="1" si="117"/>
        <v>1</v>
      </c>
      <c r="K1509">
        <f t="shared" ca="1" si="118"/>
        <v>0</v>
      </c>
      <c r="L1509" s="65">
        <v>1503</v>
      </c>
      <c r="M1509" s="71">
        <f t="shared" ca="1" si="119"/>
        <v>9.2003272400893099</v>
      </c>
      <c r="N1509" s="65"/>
    </row>
    <row r="1510" spans="1:14" x14ac:dyDescent="0.25">
      <c r="A1510" s="2">
        <v>1504</v>
      </c>
      <c r="B1510" s="11">
        <f t="shared" ca="1" si="116"/>
        <v>1</v>
      </c>
      <c r="C1510" s="26">
        <f t="shared" ca="1" si="120"/>
        <v>0.45091244124389396</v>
      </c>
      <c r="J1510">
        <f t="shared" ca="1" si="117"/>
        <v>1</v>
      </c>
      <c r="K1510">
        <f t="shared" ca="1" si="118"/>
        <v>0</v>
      </c>
      <c r="L1510" s="65">
        <v>1504</v>
      </c>
      <c r="M1510" s="71">
        <f t="shared" ca="1" si="119"/>
        <v>0.20406248848443281</v>
      </c>
      <c r="N1510" s="65"/>
    </row>
    <row r="1511" spans="1:14" x14ac:dyDescent="0.25">
      <c r="A1511" s="2">
        <v>1505</v>
      </c>
      <c r="B1511" s="11">
        <f t="shared" ca="1" si="116"/>
        <v>1</v>
      </c>
      <c r="C1511" s="26">
        <f t="shared" ca="1" si="120"/>
        <v>0.14282388804684443</v>
      </c>
      <c r="J1511">
        <f t="shared" ca="1" si="117"/>
        <v>1</v>
      </c>
      <c r="K1511">
        <f t="shared" ca="1" si="118"/>
        <v>0</v>
      </c>
      <c r="L1511" s="65">
        <v>1505</v>
      </c>
      <c r="M1511" s="71">
        <f t="shared" ca="1" si="119"/>
        <v>1.2694781906976713</v>
      </c>
      <c r="N1511" s="65"/>
    </row>
    <row r="1512" spans="1:14" x14ac:dyDescent="0.25">
      <c r="A1512" s="2">
        <v>1506</v>
      </c>
      <c r="B1512" s="11">
        <f t="shared" ca="1" si="116"/>
        <v>1</v>
      </c>
      <c r="C1512" s="26">
        <f t="shared" ca="1" si="120"/>
        <v>4.9066093926483756E-2</v>
      </c>
      <c r="J1512">
        <f t="shared" ca="1" si="117"/>
        <v>0</v>
      </c>
      <c r="K1512">
        <f t="shared" ca="1" si="118"/>
        <v>0</v>
      </c>
      <c r="L1512" s="65">
        <v>1506</v>
      </c>
      <c r="M1512" s="71">
        <f t="shared" ca="1" si="119"/>
        <v>4.7252704149304359</v>
      </c>
      <c r="N1512" s="65"/>
    </row>
    <row r="1513" spans="1:14" x14ac:dyDescent="0.25">
      <c r="A1513" s="2">
        <v>1507</v>
      </c>
      <c r="B1513" s="11">
        <f t="shared" ca="1" si="116"/>
        <v>0</v>
      </c>
      <c r="C1513" s="26">
        <f t="shared" ca="1" si="120"/>
        <v>0.93874107153744302</v>
      </c>
      <c r="J1513">
        <f t="shared" ca="1" si="117"/>
        <v>0</v>
      </c>
      <c r="K1513">
        <f t="shared" ca="1" si="118"/>
        <v>0</v>
      </c>
      <c r="L1513" s="65">
        <v>1507</v>
      </c>
      <c r="M1513" s="71">
        <f t="shared" ca="1" si="119"/>
        <v>0</v>
      </c>
      <c r="N1513" s="65"/>
    </row>
    <row r="1514" spans="1:14" x14ac:dyDescent="0.25">
      <c r="A1514" s="2">
        <v>1508</v>
      </c>
      <c r="B1514" s="11">
        <f t="shared" ca="1" si="116"/>
        <v>1</v>
      </c>
      <c r="C1514" s="26">
        <f t="shared" ca="1" si="120"/>
        <v>1.5393603029082104E-2</v>
      </c>
      <c r="J1514">
        <f t="shared" ca="1" si="117"/>
        <v>1</v>
      </c>
      <c r="K1514">
        <f t="shared" ca="1" si="118"/>
        <v>0</v>
      </c>
      <c r="L1514" s="65">
        <v>1508</v>
      </c>
      <c r="M1514" s="71">
        <f t="shared" ca="1" si="119"/>
        <v>0.40703394071979965</v>
      </c>
      <c r="N1514" s="65"/>
    </row>
    <row r="1515" spans="1:14" x14ac:dyDescent="0.25">
      <c r="A1515" s="2">
        <v>1509</v>
      </c>
      <c r="B1515" s="11">
        <f t="shared" ca="1" si="116"/>
        <v>1</v>
      </c>
      <c r="C1515" s="26">
        <f t="shared" ca="1" si="120"/>
        <v>0.34294433977681438</v>
      </c>
      <c r="J1515">
        <f t="shared" ca="1" si="117"/>
        <v>1</v>
      </c>
      <c r="K1515">
        <f t="shared" ca="1" si="118"/>
        <v>0</v>
      </c>
      <c r="L1515" s="65">
        <v>1509</v>
      </c>
      <c r="M1515" s="71">
        <f t="shared" ca="1" si="119"/>
        <v>15.442944353817959</v>
      </c>
      <c r="N1515" s="65"/>
    </row>
    <row r="1516" spans="1:14" x14ac:dyDescent="0.25">
      <c r="A1516" s="2">
        <v>1510</v>
      </c>
      <c r="B1516" s="11">
        <f t="shared" ca="1" si="116"/>
        <v>1</v>
      </c>
      <c r="C1516" s="26">
        <f t="shared" ca="1" si="120"/>
        <v>0.70267168430636118</v>
      </c>
      <c r="J1516">
        <f t="shared" ca="1" si="117"/>
        <v>1</v>
      </c>
      <c r="K1516">
        <f t="shared" ca="1" si="118"/>
        <v>0</v>
      </c>
      <c r="L1516" s="65">
        <v>1510</v>
      </c>
      <c r="M1516" s="71">
        <f t="shared" ca="1" si="119"/>
        <v>1.259255105357185</v>
      </c>
      <c r="N1516" s="65"/>
    </row>
    <row r="1517" spans="1:14" x14ac:dyDescent="0.25">
      <c r="A1517" s="2">
        <v>1511</v>
      </c>
      <c r="B1517" s="11">
        <f t="shared" ca="1" si="116"/>
        <v>1</v>
      </c>
      <c r="C1517" s="26">
        <f t="shared" ca="1" si="120"/>
        <v>0.20820084245626735</v>
      </c>
      <c r="J1517">
        <f t="shared" ca="1" si="117"/>
        <v>0</v>
      </c>
      <c r="K1517">
        <f t="shared" ca="1" si="118"/>
        <v>0</v>
      </c>
      <c r="L1517" s="65">
        <v>1511</v>
      </c>
      <c r="M1517" s="71">
        <f t="shared" ca="1" si="119"/>
        <v>0.47134683037748099</v>
      </c>
      <c r="N1517" s="65"/>
    </row>
    <row r="1518" spans="1:14" x14ac:dyDescent="0.25">
      <c r="A1518" s="2">
        <v>1512</v>
      </c>
      <c r="B1518" s="11">
        <f t="shared" ca="1" si="116"/>
        <v>0</v>
      </c>
      <c r="C1518" s="26">
        <f t="shared" ca="1" si="120"/>
        <v>0.88638541305420226</v>
      </c>
      <c r="J1518">
        <f t="shared" ca="1" si="117"/>
        <v>0</v>
      </c>
      <c r="K1518">
        <f t="shared" ca="1" si="118"/>
        <v>1</v>
      </c>
      <c r="L1518" s="65">
        <v>1512</v>
      </c>
      <c r="M1518" s="71">
        <f t="shared" ca="1" si="119"/>
        <v>0</v>
      </c>
      <c r="N1518" s="65"/>
    </row>
    <row r="1519" spans="1:14" x14ac:dyDescent="0.25">
      <c r="A1519" s="2">
        <v>1513</v>
      </c>
      <c r="B1519" s="11">
        <f t="shared" ref="B1519:B1582" ca="1" si="121">IF(B1518&gt;0,IF(C1519&lt;pww,1,0),IF(C1519&lt;pdw,1,0))</f>
        <v>0</v>
      </c>
      <c r="C1519" s="26">
        <f t="shared" ca="1" si="120"/>
        <v>0.73833757431807456</v>
      </c>
      <c r="J1519">
        <f t="shared" ref="J1519:J1582" ca="1" si="122">IF(AND(B1519,B1520),1,0)</f>
        <v>0</v>
      </c>
      <c r="K1519">
        <f t="shared" ref="K1519:K1582" ca="1" si="123">IF(AND(NOT(B1519),NOT(B1520)),1,0)</f>
        <v>1</v>
      </c>
      <c r="L1519" s="65">
        <v>1513</v>
      </c>
      <c r="M1519" s="71">
        <f t="shared" ca="1" si="119"/>
        <v>0</v>
      </c>
      <c r="N1519" s="65"/>
    </row>
    <row r="1520" spans="1:14" x14ac:dyDescent="0.25">
      <c r="A1520" s="2">
        <v>1514</v>
      </c>
      <c r="B1520" s="11">
        <f t="shared" ca="1" si="121"/>
        <v>0</v>
      </c>
      <c r="C1520" s="26">
        <f t="shared" ca="1" si="120"/>
        <v>0.77133956749168764</v>
      </c>
      <c r="J1520">
        <f t="shared" ca="1" si="122"/>
        <v>0</v>
      </c>
      <c r="K1520">
        <f t="shared" ca="1" si="123"/>
        <v>1</v>
      </c>
      <c r="L1520" s="65">
        <v>1514</v>
      </c>
      <c r="M1520" s="71">
        <f t="shared" ca="1" si="119"/>
        <v>0</v>
      </c>
      <c r="N1520" s="65"/>
    </row>
    <row r="1521" spans="1:14" x14ac:dyDescent="0.25">
      <c r="A1521" s="2">
        <v>1515</v>
      </c>
      <c r="B1521" s="11">
        <f t="shared" ca="1" si="121"/>
        <v>0</v>
      </c>
      <c r="C1521" s="26">
        <f t="shared" ca="1" si="120"/>
        <v>0.95886986581101141</v>
      </c>
      <c r="J1521">
        <f t="shared" ca="1" si="122"/>
        <v>0</v>
      </c>
      <c r="K1521">
        <f t="shared" ca="1" si="123"/>
        <v>0</v>
      </c>
      <c r="L1521" s="65">
        <v>1515</v>
      </c>
      <c r="M1521" s="71">
        <f t="shared" ca="1" si="119"/>
        <v>0</v>
      </c>
      <c r="N1521" s="65"/>
    </row>
    <row r="1522" spans="1:14" x14ac:dyDescent="0.25">
      <c r="A1522" s="2">
        <v>1516</v>
      </c>
      <c r="B1522" s="11">
        <f t="shared" ca="1" si="121"/>
        <v>1</v>
      </c>
      <c r="C1522" s="26">
        <f t="shared" ca="1" si="120"/>
        <v>1.6802334354802384E-2</v>
      </c>
      <c r="J1522">
        <f t="shared" ca="1" si="122"/>
        <v>1</v>
      </c>
      <c r="K1522">
        <f t="shared" ca="1" si="123"/>
        <v>0</v>
      </c>
      <c r="L1522" s="65">
        <v>1516</v>
      </c>
      <c r="M1522" s="71">
        <f t="shared" ca="1" si="119"/>
        <v>0.70244873632195548</v>
      </c>
      <c r="N1522" s="65"/>
    </row>
    <row r="1523" spans="1:14" x14ac:dyDescent="0.25">
      <c r="A1523" s="2">
        <v>1517</v>
      </c>
      <c r="B1523" s="11">
        <f t="shared" ca="1" si="121"/>
        <v>1</v>
      </c>
      <c r="C1523" s="26">
        <f t="shared" ca="1" si="120"/>
        <v>5.8635265733425368E-2</v>
      </c>
      <c r="J1523">
        <f t="shared" ca="1" si="122"/>
        <v>1</v>
      </c>
      <c r="K1523">
        <f t="shared" ca="1" si="123"/>
        <v>0</v>
      </c>
      <c r="L1523" s="65">
        <v>1517</v>
      </c>
      <c r="M1523" s="71">
        <f t="shared" ca="1" si="119"/>
        <v>2.7919123432913691</v>
      </c>
      <c r="N1523" s="65"/>
    </row>
    <row r="1524" spans="1:14" x14ac:dyDescent="0.25">
      <c r="A1524" s="2">
        <v>1518</v>
      </c>
      <c r="B1524" s="11">
        <f t="shared" ca="1" si="121"/>
        <v>1</v>
      </c>
      <c r="C1524" s="26">
        <f t="shared" ca="1" si="120"/>
        <v>0.49398484007558086</v>
      </c>
      <c r="J1524">
        <f t="shared" ca="1" si="122"/>
        <v>0</v>
      </c>
      <c r="K1524">
        <f t="shared" ca="1" si="123"/>
        <v>0</v>
      </c>
      <c r="L1524" s="65">
        <v>1518</v>
      </c>
      <c r="M1524" s="71">
        <f t="shared" ca="1" si="119"/>
        <v>2.8761855222629809</v>
      </c>
      <c r="N1524" s="65"/>
    </row>
    <row r="1525" spans="1:14" x14ac:dyDescent="0.25">
      <c r="A1525" s="2">
        <v>1519</v>
      </c>
      <c r="B1525" s="11">
        <f t="shared" ca="1" si="121"/>
        <v>0</v>
      </c>
      <c r="C1525" s="26">
        <f t="shared" ca="1" si="120"/>
        <v>0.84166757243090595</v>
      </c>
      <c r="J1525">
        <f t="shared" ca="1" si="122"/>
        <v>0</v>
      </c>
      <c r="K1525">
        <f t="shared" ca="1" si="123"/>
        <v>1</v>
      </c>
      <c r="L1525" s="65">
        <v>1519</v>
      </c>
      <c r="M1525" s="71">
        <f t="shared" ca="1" si="119"/>
        <v>0</v>
      </c>
      <c r="N1525" s="65"/>
    </row>
    <row r="1526" spans="1:14" x14ac:dyDescent="0.25">
      <c r="A1526" s="2">
        <v>1520</v>
      </c>
      <c r="B1526" s="11">
        <f t="shared" ca="1" si="121"/>
        <v>0</v>
      </c>
      <c r="C1526" s="26">
        <f t="shared" ca="1" si="120"/>
        <v>0.98678888727758418</v>
      </c>
      <c r="J1526">
        <f t="shared" ca="1" si="122"/>
        <v>0</v>
      </c>
      <c r="K1526">
        <f t="shared" ca="1" si="123"/>
        <v>0</v>
      </c>
      <c r="L1526" s="65">
        <v>1520</v>
      </c>
      <c r="M1526" s="71">
        <f t="shared" ca="1" si="119"/>
        <v>0</v>
      </c>
      <c r="N1526" s="65"/>
    </row>
    <row r="1527" spans="1:14" x14ac:dyDescent="0.25">
      <c r="A1527" s="2">
        <v>1521</v>
      </c>
      <c r="B1527" s="11">
        <f t="shared" ca="1" si="121"/>
        <v>1</v>
      </c>
      <c r="C1527" s="26">
        <f t="shared" ca="1" si="120"/>
        <v>0.53168854308394231</v>
      </c>
      <c r="J1527">
        <f t="shared" ca="1" si="122"/>
        <v>1</v>
      </c>
      <c r="K1527">
        <f t="shared" ca="1" si="123"/>
        <v>0</v>
      </c>
      <c r="L1527" s="65">
        <v>1521</v>
      </c>
      <c r="M1527" s="71">
        <f t="shared" ca="1" si="119"/>
        <v>1.266988927019675</v>
      </c>
      <c r="N1527" s="65"/>
    </row>
    <row r="1528" spans="1:14" x14ac:dyDescent="0.25">
      <c r="A1528" s="2">
        <v>1522</v>
      </c>
      <c r="B1528" s="11">
        <f t="shared" ca="1" si="121"/>
        <v>1</v>
      </c>
      <c r="C1528" s="26">
        <f t="shared" ca="1" si="120"/>
        <v>0.19099122353961939</v>
      </c>
      <c r="J1528">
        <f t="shared" ca="1" si="122"/>
        <v>1</v>
      </c>
      <c r="K1528">
        <f t="shared" ca="1" si="123"/>
        <v>0</v>
      </c>
      <c r="L1528" s="65">
        <v>1522</v>
      </c>
      <c r="M1528" s="71">
        <f t="shared" ca="1" si="119"/>
        <v>1.2675384567898131</v>
      </c>
      <c r="N1528" s="65"/>
    </row>
    <row r="1529" spans="1:14" x14ac:dyDescent="0.25">
      <c r="A1529" s="2">
        <v>1523</v>
      </c>
      <c r="B1529" s="11">
        <f t="shared" ca="1" si="121"/>
        <v>1</v>
      </c>
      <c r="C1529" s="26">
        <f t="shared" ca="1" si="120"/>
        <v>0.77539182408304597</v>
      </c>
      <c r="J1529">
        <f t="shared" ca="1" si="122"/>
        <v>1</v>
      </c>
      <c r="K1529">
        <f t="shared" ca="1" si="123"/>
        <v>0</v>
      </c>
      <c r="L1529" s="65">
        <v>1523</v>
      </c>
      <c r="M1529" s="71">
        <f t="shared" ca="1" si="119"/>
        <v>1.6516843221635273</v>
      </c>
      <c r="N1529" s="65"/>
    </row>
    <row r="1530" spans="1:14" x14ac:dyDescent="0.25">
      <c r="A1530" s="2">
        <v>1524</v>
      </c>
      <c r="B1530" s="11">
        <f t="shared" ca="1" si="121"/>
        <v>1</v>
      </c>
      <c r="C1530" s="26">
        <f t="shared" ca="1" si="120"/>
        <v>8.9786651878198676E-3</v>
      </c>
      <c r="J1530">
        <f t="shared" ca="1" si="122"/>
        <v>0</v>
      </c>
      <c r="K1530">
        <f t="shared" ca="1" si="123"/>
        <v>0</v>
      </c>
      <c r="L1530" s="65">
        <v>1524</v>
      </c>
      <c r="M1530" s="71">
        <f t="shared" ca="1" si="119"/>
        <v>0.91553360222699365</v>
      </c>
      <c r="N1530" s="65"/>
    </row>
    <row r="1531" spans="1:14" x14ac:dyDescent="0.25">
      <c r="A1531" s="2">
        <v>1525</v>
      </c>
      <c r="B1531" s="11">
        <f t="shared" ca="1" si="121"/>
        <v>0</v>
      </c>
      <c r="C1531" s="26">
        <f t="shared" ca="1" si="120"/>
        <v>0.99766945084358949</v>
      </c>
      <c r="J1531">
        <f t="shared" ca="1" si="122"/>
        <v>0</v>
      </c>
      <c r="K1531">
        <f t="shared" ca="1" si="123"/>
        <v>0</v>
      </c>
      <c r="L1531" s="65">
        <v>1525</v>
      </c>
      <c r="M1531" s="71">
        <f t="shared" ca="1" si="119"/>
        <v>0</v>
      </c>
      <c r="N1531" s="65"/>
    </row>
    <row r="1532" spans="1:14" x14ac:dyDescent="0.25">
      <c r="A1532" s="2">
        <v>1526</v>
      </c>
      <c r="B1532" s="11">
        <f t="shared" ca="1" si="121"/>
        <v>1</v>
      </c>
      <c r="C1532" s="26">
        <f t="shared" ca="1" si="120"/>
        <v>0.14965967951415104</v>
      </c>
      <c r="J1532">
        <f t="shared" ca="1" si="122"/>
        <v>1</v>
      </c>
      <c r="K1532">
        <f t="shared" ca="1" si="123"/>
        <v>0</v>
      </c>
      <c r="L1532" s="65">
        <v>1526</v>
      </c>
      <c r="M1532" s="71">
        <f t="shared" ca="1" si="119"/>
        <v>13.178874096902954</v>
      </c>
      <c r="N1532" s="65"/>
    </row>
    <row r="1533" spans="1:14" x14ac:dyDescent="0.25">
      <c r="A1533" s="2">
        <v>1527</v>
      </c>
      <c r="B1533" s="11">
        <f t="shared" ca="1" si="121"/>
        <v>1</v>
      </c>
      <c r="C1533" s="26">
        <f t="shared" ca="1" si="120"/>
        <v>0.34916160242456606</v>
      </c>
      <c r="J1533">
        <f t="shared" ca="1" si="122"/>
        <v>1</v>
      </c>
      <c r="K1533">
        <f t="shared" ca="1" si="123"/>
        <v>0</v>
      </c>
      <c r="L1533" s="65">
        <v>1527</v>
      </c>
      <c r="M1533" s="71">
        <f t="shared" ca="1" si="119"/>
        <v>1.2441552409702963</v>
      </c>
      <c r="N1533" s="65"/>
    </row>
    <row r="1534" spans="1:14" x14ac:dyDescent="0.25">
      <c r="A1534" s="2">
        <v>1528</v>
      </c>
      <c r="B1534" s="11">
        <f t="shared" ca="1" si="121"/>
        <v>1</v>
      </c>
      <c r="C1534" s="26">
        <f t="shared" ca="1" si="120"/>
        <v>0.10507482855034767</v>
      </c>
      <c r="J1534">
        <f t="shared" ca="1" si="122"/>
        <v>1</v>
      </c>
      <c r="K1534">
        <f t="shared" ca="1" si="123"/>
        <v>0</v>
      </c>
      <c r="L1534" s="65">
        <v>1528</v>
      </c>
      <c r="M1534" s="71">
        <f t="shared" ca="1" si="119"/>
        <v>8.9611082238937811</v>
      </c>
      <c r="N1534" s="65"/>
    </row>
    <row r="1535" spans="1:14" x14ac:dyDescent="0.25">
      <c r="A1535" s="2">
        <v>1529</v>
      </c>
      <c r="B1535" s="11">
        <f t="shared" ca="1" si="121"/>
        <v>1</v>
      </c>
      <c r="C1535" s="26">
        <f t="shared" ca="1" si="120"/>
        <v>0.59049404337581535</v>
      </c>
      <c r="J1535">
        <f t="shared" ca="1" si="122"/>
        <v>1</v>
      </c>
      <c r="K1535">
        <f t="shared" ca="1" si="123"/>
        <v>0</v>
      </c>
      <c r="L1535" s="65">
        <v>1529</v>
      </c>
      <c r="M1535" s="71">
        <f t="shared" ca="1" si="119"/>
        <v>12.204206768450652</v>
      </c>
      <c r="N1535" s="65"/>
    </row>
    <row r="1536" spans="1:14" x14ac:dyDescent="0.25">
      <c r="A1536" s="2">
        <v>1530</v>
      </c>
      <c r="B1536" s="11">
        <f t="shared" ca="1" si="121"/>
        <v>1</v>
      </c>
      <c r="C1536" s="26">
        <f t="shared" ca="1" si="120"/>
        <v>0.39752644051007791</v>
      </c>
      <c r="J1536">
        <f t="shared" ca="1" si="122"/>
        <v>1</v>
      </c>
      <c r="K1536">
        <f t="shared" ca="1" si="123"/>
        <v>0</v>
      </c>
      <c r="L1536" s="65">
        <v>1530</v>
      </c>
      <c r="M1536" s="71">
        <f t="shared" ca="1" si="119"/>
        <v>0.43212308546385836</v>
      </c>
      <c r="N1536" s="65"/>
    </row>
    <row r="1537" spans="1:14" x14ac:dyDescent="0.25">
      <c r="A1537" s="2">
        <v>1531</v>
      </c>
      <c r="B1537" s="11">
        <f t="shared" ca="1" si="121"/>
        <v>1</v>
      </c>
      <c r="C1537" s="26">
        <f t="shared" ca="1" si="120"/>
        <v>1.6134983474810127E-2</v>
      </c>
      <c r="J1537">
        <f t="shared" ca="1" si="122"/>
        <v>0</v>
      </c>
      <c r="K1537">
        <f t="shared" ca="1" si="123"/>
        <v>0</v>
      </c>
      <c r="L1537" s="65">
        <v>1531</v>
      </c>
      <c r="M1537" s="71">
        <f t="shared" ca="1" si="119"/>
        <v>13.893980177012816</v>
      </c>
      <c r="N1537" s="65"/>
    </row>
    <row r="1538" spans="1:14" x14ac:dyDescent="0.25">
      <c r="A1538" s="2">
        <v>1532</v>
      </c>
      <c r="B1538" s="11">
        <f t="shared" ca="1" si="121"/>
        <v>0</v>
      </c>
      <c r="C1538" s="26">
        <f t="shared" ca="1" si="120"/>
        <v>0.86012070930760887</v>
      </c>
      <c r="J1538">
        <f t="shared" ca="1" si="122"/>
        <v>0</v>
      </c>
      <c r="K1538">
        <f t="shared" ca="1" si="123"/>
        <v>0</v>
      </c>
      <c r="L1538" s="65">
        <v>1532</v>
      </c>
      <c r="M1538" s="71">
        <f t="shared" ca="1" si="119"/>
        <v>0</v>
      </c>
      <c r="N1538" s="65"/>
    </row>
    <row r="1539" spans="1:14" x14ac:dyDescent="0.25">
      <c r="A1539" s="2">
        <v>1533</v>
      </c>
      <c r="B1539" s="11">
        <f t="shared" ca="1" si="121"/>
        <v>1</v>
      </c>
      <c r="C1539" s="26">
        <f t="shared" ca="1" si="120"/>
        <v>0.62247785950804124</v>
      </c>
      <c r="J1539">
        <f t="shared" ca="1" si="122"/>
        <v>1</v>
      </c>
      <c r="K1539">
        <f t="shared" ca="1" si="123"/>
        <v>0</v>
      </c>
      <c r="L1539" s="65">
        <v>1533</v>
      </c>
      <c r="M1539" s="71">
        <f t="shared" ca="1" si="119"/>
        <v>3.8970386801332091</v>
      </c>
      <c r="N1539" s="65"/>
    </row>
    <row r="1540" spans="1:14" x14ac:dyDescent="0.25">
      <c r="A1540" s="2">
        <v>1534</v>
      </c>
      <c r="B1540" s="11">
        <f t="shared" ca="1" si="121"/>
        <v>1</v>
      </c>
      <c r="C1540" s="26">
        <f t="shared" ca="1" si="120"/>
        <v>0.17703322063147997</v>
      </c>
      <c r="J1540">
        <f t="shared" ca="1" si="122"/>
        <v>1</v>
      </c>
      <c r="K1540">
        <f t="shared" ca="1" si="123"/>
        <v>0</v>
      </c>
      <c r="L1540" s="65">
        <v>1534</v>
      </c>
      <c r="M1540" s="71">
        <f t="shared" ca="1" si="119"/>
        <v>0.64678266948264362</v>
      </c>
      <c r="N1540" s="65"/>
    </row>
    <row r="1541" spans="1:14" x14ac:dyDescent="0.25">
      <c r="A1541" s="2">
        <v>1535</v>
      </c>
      <c r="B1541" s="11">
        <f t="shared" ca="1" si="121"/>
        <v>1</v>
      </c>
      <c r="C1541" s="26">
        <f t="shared" ca="1" si="120"/>
        <v>0.10970171194296785</v>
      </c>
      <c r="J1541">
        <f t="shared" ca="1" si="122"/>
        <v>1</v>
      </c>
      <c r="K1541">
        <f t="shared" ca="1" si="123"/>
        <v>0</v>
      </c>
      <c r="L1541" s="65">
        <v>1535</v>
      </c>
      <c r="M1541" s="71">
        <f t="shared" ca="1" si="119"/>
        <v>3.9515397087557447</v>
      </c>
      <c r="N1541" s="65"/>
    </row>
    <row r="1542" spans="1:14" x14ac:dyDescent="0.25">
      <c r="A1542" s="2">
        <v>1536</v>
      </c>
      <c r="B1542" s="11">
        <f t="shared" ca="1" si="121"/>
        <v>1</v>
      </c>
      <c r="C1542" s="26">
        <f t="shared" ca="1" si="120"/>
        <v>0.40813726767864777</v>
      </c>
      <c r="J1542">
        <f t="shared" ca="1" si="122"/>
        <v>1</v>
      </c>
      <c r="K1542">
        <f t="shared" ca="1" si="123"/>
        <v>0</v>
      </c>
      <c r="L1542" s="65">
        <v>1536</v>
      </c>
      <c r="M1542" s="71">
        <f t="shared" ca="1" si="119"/>
        <v>4.4264687293751876</v>
      </c>
      <c r="N1542" s="65"/>
    </row>
    <row r="1543" spans="1:14" x14ac:dyDescent="0.25">
      <c r="A1543" s="2">
        <v>1537</v>
      </c>
      <c r="B1543" s="11">
        <f t="shared" ca="1" si="121"/>
        <v>1</v>
      </c>
      <c r="C1543" s="26">
        <f t="shared" ca="1" si="120"/>
        <v>0.62800549164975183</v>
      </c>
      <c r="J1543">
        <f t="shared" ca="1" si="122"/>
        <v>1</v>
      </c>
      <c r="K1543">
        <f t="shared" ca="1" si="123"/>
        <v>0</v>
      </c>
      <c r="L1543" s="65">
        <v>1537</v>
      </c>
      <c r="M1543" s="71">
        <f t="shared" ref="M1543:M1606" ca="1" si="124">IF(B1543&gt;0,-LN(1-(RAND()))/lambda,0)</f>
        <v>1.0989781465983766</v>
      </c>
      <c r="N1543" s="65"/>
    </row>
    <row r="1544" spans="1:14" x14ac:dyDescent="0.25">
      <c r="A1544" s="2">
        <v>1538</v>
      </c>
      <c r="B1544" s="11">
        <f t="shared" ca="1" si="121"/>
        <v>1</v>
      </c>
      <c r="C1544" s="26">
        <f t="shared" ref="C1544:C1607" ca="1" si="125">RAND()</f>
        <v>0.18069247302881608</v>
      </c>
      <c r="J1544">
        <f t="shared" ca="1" si="122"/>
        <v>1</v>
      </c>
      <c r="K1544">
        <f t="shared" ca="1" si="123"/>
        <v>0</v>
      </c>
      <c r="L1544" s="65">
        <v>1538</v>
      </c>
      <c r="M1544" s="71">
        <f t="shared" ca="1" si="124"/>
        <v>1.7201756278540039</v>
      </c>
      <c r="N1544" s="65"/>
    </row>
    <row r="1545" spans="1:14" x14ac:dyDescent="0.25">
      <c r="A1545" s="2">
        <v>1539</v>
      </c>
      <c r="B1545" s="11">
        <f t="shared" ca="1" si="121"/>
        <v>1</v>
      </c>
      <c r="C1545" s="26">
        <f t="shared" ca="1" si="125"/>
        <v>0.37070032444698486</v>
      </c>
      <c r="J1545">
        <f t="shared" ca="1" si="122"/>
        <v>1</v>
      </c>
      <c r="K1545">
        <f t="shared" ca="1" si="123"/>
        <v>0</v>
      </c>
      <c r="L1545" s="65">
        <v>1539</v>
      </c>
      <c r="M1545" s="71">
        <f t="shared" ca="1" si="124"/>
        <v>0.18344608581092572</v>
      </c>
      <c r="N1545" s="65"/>
    </row>
    <row r="1546" spans="1:14" x14ac:dyDescent="0.25">
      <c r="A1546" s="2">
        <v>1540</v>
      </c>
      <c r="B1546" s="11">
        <f t="shared" ca="1" si="121"/>
        <v>1</v>
      </c>
      <c r="C1546" s="26">
        <f t="shared" ca="1" si="125"/>
        <v>0.27812422490269773</v>
      </c>
      <c r="J1546">
        <f t="shared" ca="1" si="122"/>
        <v>1</v>
      </c>
      <c r="K1546">
        <f t="shared" ca="1" si="123"/>
        <v>0</v>
      </c>
      <c r="L1546" s="65">
        <v>1540</v>
      </c>
      <c r="M1546" s="71">
        <f t="shared" ca="1" si="124"/>
        <v>0.23740275817376447</v>
      </c>
      <c r="N1546" s="65"/>
    </row>
    <row r="1547" spans="1:14" x14ac:dyDescent="0.25">
      <c r="A1547" s="2">
        <v>1541</v>
      </c>
      <c r="B1547" s="11">
        <f t="shared" ca="1" si="121"/>
        <v>1</v>
      </c>
      <c r="C1547" s="26">
        <f t="shared" ca="1" si="125"/>
        <v>0.36539343475109087</v>
      </c>
      <c r="J1547">
        <f t="shared" ca="1" si="122"/>
        <v>1</v>
      </c>
      <c r="K1547">
        <f t="shared" ca="1" si="123"/>
        <v>0</v>
      </c>
      <c r="L1547" s="65">
        <v>1541</v>
      </c>
      <c r="M1547" s="71">
        <f t="shared" ca="1" si="124"/>
        <v>4.3710958506114652</v>
      </c>
      <c r="N1547" s="65"/>
    </row>
    <row r="1548" spans="1:14" x14ac:dyDescent="0.25">
      <c r="A1548" s="2">
        <v>1542</v>
      </c>
      <c r="B1548" s="11">
        <f t="shared" ca="1" si="121"/>
        <v>1</v>
      </c>
      <c r="C1548" s="26">
        <f t="shared" ca="1" si="125"/>
        <v>8.46500799410973E-2</v>
      </c>
      <c r="J1548">
        <f t="shared" ca="1" si="122"/>
        <v>1</v>
      </c>
      <c r="K1548">
        <f t="shared" ca="1" si="123"/>
        <v>0</v>
      </c>
      <c r="L1548" s="65">
        <v>1542</v>
      </c>
      <c r="M1548" s="71">
        <f t="shared" ca="1" si="124"/>
        <v>7.5798931537841244E-2</v>
      </c>
      <c r="N1548" s="65"/>
    </row>
    <row r="1549" spans="1:14" x14ac:dyDescent="0.25">
      <c r="A1549" s="2">
        <v>1543</v>
      </c>
      <c r="B1549" s="11">
        <f t="shared" ca="1" si="121"/>
        <v>1</v>
      </c>
      <c r="C1549" s="26">
        <f t="shared" ca="1" si="125"/>
        <v>0.10373586533518098</v>
      </c>
      <c r="J1549">
        <f t="shared" ca="1" si="122"/>
        <v>1</v>
      </c>
      <c r="K1549">
        <f t="shared" ca="1" si="123"/>
        <v>0</v>
      </c>
      <c r="L1549" s="65">
        <v>1543</v>
      </c>
      <c r="M1549" s="71">
        <f t="shared" ca="1" si="124"/>
        <v>1.3676267695512514</v>
      </c>
      <c r="N1549" s="65"/>
    </row>
    <row r="1550" spans="1:14" x14ac:dyDescent="0.25">
      <c r="A1550" s="2">
        <v>1544</v>
      </c>
      <c r="B1550" s="11">
        <f t="shared" ca="1" si="121"/>
        <v>1</v>
      </c>
      <c r="C1550" s="26">
        <f t="shared" ca="1" si="125"/>
        <v>0.31783604473761407</v>
      </c>
      <c r="J1550">
        <f t="shared" ca="1" si="122"/>
        <v>1</v>
      </c>
      <c r="K1550">
        <f t="shared" ca="1" si="123"/>
        <v>0</v>
      </c>
      <c r="L1550" s="65">
        <v>1544</v>
      </c>
      <c r="M1550" s="71">
        <f t="shared" ca="1" si="124"/>
        <v>10.136882396182118</v>
      </c>
      <c r="N1550" s="65"/>
    </row>
    <row r="1551" spans="1:14" x14ac:dyDescent="0.25">
      <c r="A1551" s="2">
        <v>1545</v>
      </c>
      <c r="B1551" s="11">
        <f t="shared" ca="1" si="121"/>
        <v>1</v>
      </c>
      <c r="C1551" s="26">
        <f t="shared" ca="1" si="125"/>
        <v>0.37943576609748231</v>
      </c>
      <c r="J1551">
        <f t="shared" ca="1" si="122"/>
        <v>1</v>
      </c>
      <c r="K1551">
        <f t="shared" ca="1" si="123"/>
        <v>0</v>
      </c>
      <c r="L1551" s="65">
        <v>1545</v>
      </c>
      <c r="M1551" s="71">
        <f t="shared" ca="1" si="124"/>
        <v>1.8153363378232357</v>
      </c>
      <c r="N1551" s="65"/>
    </row>
    <row r="1552" spans="1:14" x14ac:dyDescent="0.25">
      <c r="A1552" s="2">
        <v>1546</v>
      </c>
      <c r="B1552" s="11">
        <f t="shared" ca="1" si="121"/>
        <v>1</v>
      </c>
      <c r="C1552" s="26">
        <f t="shared" ca="1" si="125"/>
        <v>0.39051226661216021</v>
      </c>
      <c r="J1552">
        <f t="shared" ca="1" si="122"/>
        <v>0</v>
      </c>
      <c r="K1552">
        <f t="shared" ca="1" si="123"/>
        <v>0</v>
      </c>
      <c r="L1552" s="65">
        <v>1546</v>
      </c>
      <c r="M1552" s="71">
        <f t="shared" ca="1" si="124"/>
        <v>3.2955579853199106</v>
      </c>
      <c r="N1552" s="65"/>
    </row>
    <row r="1553" spans="1:14" x14ac:dyDescent="0.25">
      <c r="A1553" s="2">
        <v>1547</v>
      </c>
      <c r="B1553" s="11">
        <f t="shared" ca="1" si="121"/>
        <v>0</v>
      </c>
      <c r="C1553" s="26">
        <f t="shared" ca="1" si="125"/>
        <v>0.9342126267708365</v>
      </c>
      <c r="J1553">
        <f t="shared" ca="1" si="122"/>
        <v>0</v>
      </c>
      <c r="K1553">
        <f t="shared" ca="1" si="123"/>
        <v>0</v>
      </c>
      <c r="L1553" s="65">
        <v>1547</v>
      </c>
      <c r="M1553" s="71">
        <f t="shared" ca="1" si="124"/>
        <v>0</v>
      </c>
      <c r="N1553" s="65"/>
    </row>
    <row r="1554" spans="1:14" x14ac:dyDescent="0.25">
      <c r="A1554" s="2">
        <v>1548</v>
      </c>
      <c r="B1554" s="11">
        <f t="shared" ca="1" si="121"/>
        <v>1</v>
      </c>
      <c r="C1554" s="26">
        <f t="shared" ca="1" si="125"/>
        <v>7.5039044843851044E-2</v>
      </c>
      <c r="J1554">
        <f t="shared" ca="1" si="122"/>
        <v>1</v>
      </c>
      <c r="K1554">
        <f t="shared" ca="1" si="123"/>
        <v>0</v>
      </c>
      <c r="L1554" s="65">
        <v>1548</v>
      </c>
      <c r="M1554" s="71">
        <f t="shared" ca="1" si="124"/>
        <v>4.6176878164901103</v>
      </c>
      <c r="N1554" s="65"/>
    </row>
    <row r="1555" spans="1:14" x14ac:dyDescent="0.25">
      <c r="A1555" s="2">
        <v>1549</v>
      </c>
      <c r="B1555" s="11">
        <f t="shared" ca="1" si="121"/>
        <v>1</v>
      </c>
      <c r="C1555" s="26">
        <f t="shared" ca="1" si="125"/>
        <v>0.3905871879993611</v>
      </c>
      <c r="J1555">
        <f t="shared" ca="1" si="122"/>
        <v>1</v>
      </c>
      <c r="K1555">
        <f t="shared" ca="1" si="123"/>
        <v>0</v>
      </c>
      <c r="L1555" s="65">
        <v>1549</v>
      </c>
      <c r="M1555" s="71">
        <f t="shared" ca="1" si="124"/>
        <v>4.128750621482502</v>
      </c>
      <c r="N1555" s="65"/>
    </row>
    <row r="1556" spans="1:14" x14ac:dyDescent="0.25">
      <c r="A1556" s="2">
        <v>1550</v>
      </c>
      <c r="B1556" s="11">
        <f t="shared" ca="1" si="121"/>
        <v>1</v>
      </c>
      <c r="C1556" s="26">
        <f t="shared" ca="1" si="125"/>
        <v>6.1038173435569165E-3</v>
      </c>
      <c r="J1556">
        <f t="shared" ca="1" si="122"/>
        <v>1</v>
      </c>
      <c r="K1556">
        <f t="shared" ca="1" si="123"/>
        <v>0</v>
      </c>
      <c r="L1556" s="65">
        <v>1550</v>
      </c>
      <c r="M1556" s="71">
        <f t="shared" ca="1" si="124"/>
        <v>0.89043355046952577</v>
      </c>
      <c r="N1556" s="65"/>
    </row>
    <row r="1557" spans="1:14" x14ac:dyDescent="0.25">
      <c r="A1557" s="2">
        <v>1551</v>
      </c>
      <c r="B1557" s="11">
        <f t="shared" ca="1" si="121"/>
        <v>1</v>
      </c>
      <c r="C1557" s="26">
        <f t="shared" ca="1" si="125"/>
        <v>0.26919562866157265</v>
      </c>
      <c r="J1557">
        <f t="shared" ca="1" si="122"/>
        <v>1</v>
      </c>
      <c r="K1557">
        <f t="shared" ca="1" si="123"/>
        <v>0</v>
      </c>
      <c r="L1557" s="65">
        <v>1551</v>
      </c>
      <c r="M1557" s="71">
        <f t="shared" ca="1" si="124"/>
        <v>2.7565513779910127</v>
      </c>
      <c r="N1557" s="65"/>
    </row>
    <row r="1558" spans="1:14" x14ac:dyDescent="0.25">
      <c r="A1558" s="2">
        <v>1552</v>
      </c>
      <c r="B1558" s="11">
        <f t="shared" ca="1" si="121"/>
        <v>1</v>
      </c>
      <c r="C1558" s="26">
        <f t="shared" ca="1" si="125"/>
        <v>0.68176401380882778</v>
      </c>
      <c r="J1558">
        <f t="shared" ca="1" si="122"/>
        <v>0</v>
      </c>
      <c r="K1558">
        <f t="shared" ca="1" si="123"/>
        <v>0</v>
      </c>
      <c r="L1558" s="65">
        <v>1552</v>
      </c>
      <c r="M1558" s="71">
        <f t="shared" ca="1" si="124"/>
        <v>1.3277698083923819</v>
      </c>
      <c r="N1558" s="65"/>
    </row>
    <row r="1559" spans="1:14" x14ac:dyDescent="0.25">
      <c r="A1559" s="2">
        <v>1553</v>
      </c>
      <c r="B1559" s="11">
        <f t="shared" ca="1" si="121"/>
        <v>0</v>
      </c>
      <c r="C1559" s="26">
        <f t="shared" ca="1" si="125"/>
        <v>0.86095279713624573</v>
      </c>
      <c r="J1559">
        <f t="shared" ca="1" si="122"/>
        <v>0</v>
      </c>
      <c r="K1559">
        <f t="shared" ca="1" si="123"/>
        <v>0</v>
      </c>
      <c r="L1559" s="65">
        <v>1553</v>
      </c>
      <c r="M1559" s="71">
        <f t="shared" ca="1" si="124"/>
        <v>0</v>
      </c>
      <c r="N1559" s="65"/>
    </row>
    <row r="1560" spans="1:14" x14ac:dyDescent="0.25">
      <c r="A1560" s="2">
        <v>1554</v>
      </c>
      <c r="B1560" s="11">
        <f t="shared" ca="1" si="121"/>
        <v>1</v>
      </c>
      <c r="C1560" s="26">
        <f t="shared" ca="1" si="125"/>
        <v>0.20715076453278303</v>
      </c>
      <c r="J1560">
        <f t="shared" ca="1" si="122"/>
        <v>1</v>
      </c>
      <c r="K1560">
        <f t="shared" ca="1" si="123"/>
        <v>0</v>
      </c>
      <c r="L1560" s="65">
        <v>1554</v>
      </c>
      <c r="M1560" s="71">
        <f t="shared" ca="1" si="124"/>
        <v>3.2968392864405978</v>
      </c>
      <c r="N1560" s="65"/>
    </row>
    <row r="1561" spans="1:14" x14ac:dyDescent="0.25">
      <c r="A1561" s="2">
        <v>1555</v>
      </c>
      <c r="B1561" s="11">
        <f t="shared" ca="1" si="121"/>
        <v>1</v>
      </c>
      <c r="C1561" s="26">
        <f t="shared" ca="1" si="125"/>
        <v>0.77781212714171633</v>
      </c>
      <c r="J1561">
        <f t="shared" ca="1" si="122"/>
        <v>1</v>
      </c>
      <c r="K1561">
        <f t="shared" ca="1" si="123"/>
        <v>0</v>
      </c>
      <c r="L1561" s="65">
        <v>1555</v>
      </c>
      <c r="M1561" s="71">
        <f t="shared" ca="1" si="124"/>
        <v>2.3226054032326666</v>
      </c>
      <c r="N1561" s="65"/>
    </row>
    <row r="1562" spans="1:14" x14ac:dyDescent="0.25">
      <c r="A1562" s="2">
        <v>1556</v>
      </c>
      <c r="B1562" s="11">
        <f t="shared" ca="1" si="121"/>
        <v>1</v>
      </c>
      <c r="C1562" s="26">
        <f t="shared" ca="1" si="125"/>
        <v>0.46935962797425346</v>
      </c>
      <c r="J1562">
        <f t="shared" ca="1" si="122"/>
        <v>1</v>
      </c>
      <c r="K1562">
        <f t="shared" ca="1" si="123"/>
        <v>0</v>
      </c>
      <c r="L1562" s="65">
        <v>1556</v>
      </c>
      <c r="M1562" s="71">
        <f t="shared" ca="1" si="124"/>
        <v>1.9169240667420873</v>
      </c>
      <c r="N1562" s="65"/>
    </row>
    <row r="1563" spans="1:14" x14ac:dyDescent="0.25">
      <c r="A1563" s="2">
        <v>1557</v>
      </c>
      <c r="B1563" s="11">
        <f t="shared" ca="1" si="121"/>
        <v>1</v>
      </c>
      <c r="C1563" s="26">
        <f t="shared" ca="1" si="125"/>
        <v>0.31838789118378441</v>
      </c>
      <c r="J1563">
        <f t="shared" ca="1" si="122"/>
        <v>0</v>
      </c>
      <c r="K1563">
        <f t="shared" ca="1" si="123"/>
        <v>0</v>
      </c>
      <c r="L1563" s="65">
        <v>1557</v>
      </c>
      <c r="M1563" s="71">
        <f t="shared" ca="1" si="124"/>
        <v>15.969489644583078</v>
      </c>
      <c r="N1563" s="65"/>
    </row>
    <row r="1564" spans="1:14" x14ac:dyDescent="0.25">
      <c r="A1564" s="2">
        <v>1558</v>
      </c>
      <c r="B1564" s="11">
        <f t="shared" ca="1" si="121"/>
        <v>0</v>
      </c>
      <c r="C1564" s="26">
        <f t="shared" ca="1" si="125"/>
        <v>0.838388449989379</v>
      </c>
      <c r="J1564">
        <f t="shared" ca="1" si="122"/>
        <v>0</v>
      </c>
      <c r="K1564">
        <f t="shared" ca="1" si="123"/>
        <v>1</v>
      </c>
      <c r="L1564" s="65">
        <v>1558</v>
      </c>
      <c r="M1564" s="71">
        <f t="shared" ca="1" si="124"/>
        <v>0</v>
      </c>
      <c r="N1564" s="65"/>
    </row>
    <row r="1565" spans="1:14" x14ac:dyDescent="0.25">
      <c r="A1565" s="2">
        <v>1559</v>
      </c>
      <c r="B1565" s="11">
        <f t="shared" ca="1" si="121"/>
        <v>0</v>
      </c>
      <c r="C1565" s="26">
        <f t="shared" ca="1" si="125"/>
        <v>0.94045173044934971</v>
      </c>
      <c r="J1565">
        <f t="shared" ca="1" si="122"/>
        <v>0</v>
      </c>
      <c r="K1565">
        <f t="shared" ca="1" si="123"/>
        <v>1</v>
      </c>
      <c r="L1565" s="65">
        <v>1559</v>
      </c>
      <c r="M1565" s="71">
        <f t="shared" ca="1" si="124"/>
        <v>0</v>
      </c>
      <c r="N1565" s="65"/>
    </row>
    <row r="1566" spans="1:14" x14ac:dyDescent="0.25">
      <c r="A1566" s="2">
        <v>1560</v>
      </c>
      <c r="B1566" s="11">
        <f t="shared" ca="1" si="121"/>
        <v>0</v>
      </c>
      <c r="C1566" s="26">
        <f t="shared" ca="1" si="125"/>
        <v>0.84169525038443305</v>
      </c>
      <c r="J1566">
        <f t="shared" ca="1" si="122"/>
        <v>0</v>
      </c>
      <c r="K1566">
        <f t="shared" ca="1" si="123"/>
        <v>1</v>
      </c>
      <c r="L1566" s="65">
        <v>1560</v>
      </c>
      <c r="M1566" s="71">
        <f t="shared" ca="1" si="124"/>
        <v>0</v>
      </c>
      <c r="N1566" s="65"/>
    </row>
    <row r="1567" spans="1:14" x14ac:dyDescent="0.25">
      <c r="A1567" s="2">
        <v>1561</v>
      </c>
      <c r="B1567" s="11">
        <f t="shared" ca="1" si="121"/>
        <v>0</v>
      </c>
      <c r="C1567" s="26">
        <f t="shared" ca="1" si="125"/>
        <v>0.83620514842135785</v>
      </c>
      <c r="J1567">
        <f t="shared" ca="1" si="122"/>
        <v>0</v>
      </c>
      <c r="K1567">
        <f t="shared" ca="1" si="123"/>
        <v>0</v>
      </c>
      <c r="L1567" s="65">
        <v>1561</v>
      </c>
      <c r="M1567" s="71">
        <f t="shared" ca="1" si="124"/>
        <v>0</v>
      </c>
      <c r="N1567" s="65"/>
    </row>
    <row r="1568" spans="1:14" x14ac:dyDescent="0.25">
      <c r="A1568" s="2">
        <v>1562</v>
      </c>
      <c r="B1568" s="11">
        <f t="shared" ca="1" si="121"/>
        <v>1</v>
      </c>
      <c r="C1568" s="26">
        <f t="shared" ca="1" si="125"/>
        <v>0.65662973249413048</v>
      </c>
      <c r="J1568">
        <f t="shared" ca="1" si="122"/>
        <v>1</v>
      </c>
      <c r="K1568">
        <f t="shared" ca="1" si="123"/>
        <v>0</v>
      </c>
      <c r="L1568" s="65">
        <v>1562</v>
      </c>
      <c r="M1568" s="71">
        <f t="shared" ca="1" si="124"/>
        <v>1.2163439919208117</v>
      </c>
      <c r="N1568" s="65"/>
    </row>
    <row r="1569" spans="1:14" x14ac:dyDescent="0.25">
      <c r="A1569" s="2">
        <v>1563</v>
      </c>
      <c r="B1569" s="11">
        <f t="shared" ca="1" si="121"/>
        <v>1</v>
      </c>
      <c r="C1569" s="26">
        <f t="shared" ca="1" si="125"/>
        <v>0.59296781096405182</v>
      </c>
      <c r="J1569">
        <f t="shared" ca="1" si="122"/>
        <v>0</v>
      </c>
      <c r="K1569">
        <f t="shared" ca="1" si="123"/>
        <v>0</v>
      </c>
      <c r="L1569" s="65">
        <v>1563</v>
      </c>
      <c r="M1569" s="71">
        <f t="shared" ca="1" si="124"/>
        <v>6.2903124215235983E-3</v>
      </c>
      <c r="N1569" s="65"/>
    </row>
    <row r="1570" spans="1:14" x14ac:dyDescent="0.25">
      <c r="A1570" s="2">
        <v>1564</v>
      </c>
      <c r="B1570" s="11">
        <f t="shared" ca="1" si="121"/>
        <v>0</v>
      </c>
      <c r="C1570" s="26">
        <f t="shared" ca="1" si="125"/>
        <v>0.94569782393301438</v>
      </c>
      <c r="J1570">
        <f t="shared" ca="1" si="122"/>
        <v>0</v>
      </c>
      <c r="K1570">
        <f t="shared" ca="1" si="123"/>
        <v>0</v>
      </c>
      <c r="L1570" s="65">
        <v>1564</v>
      </c>
      <c r="M1570" s="71">
        <f t="shared" ca="1" si="124"/>
        <v>0</v>
      </c>
      <c r="N1570" s="65"/>
    </row>
    <row r="1571" spans="1:14" x14ac:dyDescent="0.25">
      <c r="A1571" s="2">
        <v>1565</v>
      </c>
      <c r="B1571" s="11">
        <f t="shared" ca="1" si="121"/>
        <v>1</v>
      </c>
      <c r="C1571" s="26">
        <f t="shared" ca="1" si="125"/>
        <v>0.33876813601288236</v>
      </c>
      <c r="J1571">
        <f t="shared" ca="1" si="122"/>
        <v>1</v>
      </c>
      <c r="K1571">
        <f t="shared" ca="1" si="123"/>
        <v>0</v>
      </c>
      <c r="L1571" s="65">
        <v>1565</v>
      </c>
      <c r="M1571" s="71">
        <f t="shared" ca="1" si="124"/>
        <v>8.1776436759733606</v>
      </c>
      <c r="N1571" s="65"/>
    </row>
    <row r="1572" spans="1:14" x14ac:dyDescent="0.25">
      <c r="A1572" s="2">
        <v>1566</v>
      </c>
      <c r="B1572" s="11">
        <f t="shared" ca="1" si="121"/>
        <v>1</v>
      </c>
      <c r="C1572" s="26">
        <f t="shared" ca="1" si="125"/>
        <v>0.35408956231721944</v>
      </c>
      <c r="J1572">
        <f t="shared" ca="1" si="122"/>
        <v>1</v>
      </c>
      <c r="K1572">
        <f t="shared" ca="1" si="123"/>
        <v>0</v>
      </c>
      <c r="L1572" s="65">
        <v>1566</v>
      </c>
      <c r="M1572" s="71">
        <f t="shared" ca="1" si="124"/>
        <v>1.4926702380509647</v>
      </c>
      <c r="N1572" s="65"/>
    </row>
    <row r="1573" spans="1:14" x14ac:dyDescent="0.25">
      <c r="A1573" s="2">
        <v>1567</v>
      </c>
      <c r="B1573" s="11">
        <f t="shared" ca="1" si="121"/>
        <v>1</v>
      </c>
      <c r="C1573" s="26">
        <f t="shared" ca="1" si="125"/>
        <v>0.24402085617082159</v>
      </c>
      <c r="J1573">
        <f t="shared" ca="1" si="122"/>
        <v>0</v>
      </c>
      <c r="K1573">
        <f t="shared" ca="1" si="123"/>
        <v>0</v>
      </c>
      <c r="L1573" s="65">
        <v>1567</v>
      </c>
      <c r="M1573" s="71">
        <f t="shared" ca="1" si="124"/>
        <v>3.0743644242241119</v>
      </c>
      <c r="N1573" s="65"/>
    </row>
    <row r="1574" spans="1:14" x14ac:dyDescent="0.25">
      <c r="A1574" s="2">
        <v>1568</v>
      </c>
      <c r="B1574" s="11">
        <f t="shared" ca="1" si="121"/>
        <v>0</v>
      </c>
      <c r="C1574" s="26">
        <f t="shared" ca="1" si="125"/>
        <v>0.96489894273226495</v>
      </c>
      <c r="J1574">
        <f t="shared" ca="1" si="122"/>
        <v>0</v>
      </c>
      <c r="K1574">
        <f t="shared" ca="1" si="123"/>
        <v>0</v>
      </c>
      <c r="L1574" s="65">
        <v>1568</v>
      </c>
      <c r="M1574" s="71">
        <f t="shared" ca="1" si="124"/>
        <v>0</v>
      </c>
      <c r="N1574" s="65"/>
    </row>
    <row r="1575" spans="1:14" x14ac:dyDescent="0.25">
      <c r="A1575" s="2">
        <v>1569</v>
      </c>
      <c r="B1575" s="11">
        <f t="shared" ca="1" si="121"/>
        <v>1</v>
      </c>
      <c r="C1575" s="26">
        <f t="shared" ca="1" si="125"/>
        <v>0.29075912095144096</v>
      </c>
      <c r="J1575">
        <f t="shared" ca="1" si="122"/>
        <v>0</v>
      </c>
      <c r="K1575">
        <f t="shared" ca="1" si="123"/>
        <v>0</v>
      </c>
      <c r="L1575" s="65">
        <v>1569</v>
      </c>
      <c r="M1575" s="71">
        <f t="shared" ca="1" si="124"/>
        <v>0.89101389290403576</v>
      </c>
      <c r="N1575" s="65"/>
    </row>
    <row r="1576" spans="1:14" x14ac:dyDescent="0.25">
      <c r="A1576" s="2">
        <v>1570</v>
      </c>
      <c r="B1576" s="11">
        <f t="shared" ca="1" si="121"/>
        <v>0</v>
      </c>
      <c r="C1576" s="26">
        <f t="shared" ca="1" si="125"/>
        <v>0.97453632789017519</v>
      </c>
      <c r="J1576">
        <f t="shared" ca="1" si="122"/>
        <v>0</v>
      </c>
      <c r="K1576">
        <f t="shared" ca="1" si="123"/>
        <v>0</v>
      </c>
      <c r="L1576" s="65">
        <v>1570</v>
      </c>
      <c r="M1576" s="71">
        <f t="shared" ca="1" si="124"/>
        <v>0</v>
      </c>
      <c r="N1576" s="65"/>
    </row>
    <row r="1577" spans="1:14" x14ac:dyDescent="0.25">
      <c r="A1577" s="2">
        <v>1571</v>
      </c>
      <c r="B1577" s="11">
        <f t="shared" ca="1" si="121"/>
        <v>1</v>
      </c>
      <c r="C1577" s="26">
        <f t="shared" ca="1" si="125"/>
        <v>0.32772641628081234</v>
      </c>
      <c r="J1577">
        <f t="shared" ca="1" si="122"/>
        <v>0</v>
      </c>
      <c r="K1577">
        <f t="shared" ca="1" si="123"/>
        <v>0</v>
      </c>
      <c r="L1577" s="65">
        <v>1571</v>
      </c>
      <c r="M1577" s="71">
        <f t="shared" ca="1" si="124"/>
        <v>1.0482909167162751</v>
      </c>
      <c r="N1577" s="65"/>
    </row>
    <row r="1578" spans="1:14" x14ac:dyDescent="0.25">
      <c r="A1578" s="2">
        <v>1572</v>
      </c>
      <c r="B1578" s="11">
        <f t="shared" ca="1" si="121"/>
        <v>0</v>
      </c>
      <c r="C1578" s="26">
        <f t="shared" ca="1" si="125"/>
        <v>0.8976417484199597</v>
      </c>
      <c r="J1578">
        <f t="shared" ca="1" si="122"/>
        <v>0</v>
      </c>
      <c r="K1578">
        <f t="shared" ca="1" si="123"/>
        <v>0</v>
      </c>
      <c r="L1578" s="65">
        <v>1572</v>
      </c>
      <c r="M1578" s="71">
        <f t="shared" ca="1" si="124"/>
        <v>0</v>
      </c>
      <c r="N1578" s="65"/>
    </row>
    <row r="1579" spans="1:14" x14ac:dyDescent="0.25">
      <c r="A1579" s="2">
        <v>1573</v>
      </c>
      <c r="B1579" s="11">
        <f t="shared" ca="1" si="121"/>
        <v>1</v>
      </c>
      <c r="C1579" s="26">
        <f t="shared" ca="1" si="125"/>
        <v>0.53352975863837737</v>
      </c>
      <c r="J1579">
        <f t="shared" ca="1" si="122"/>
        <v>0</v>
      </c>
      <c r="K1579">
        <f t="shared" ca="1" si="123"/>
        <v>0</v>
      </c>
      <c r="L1579" s="65">
        <v>1573</v>
      </c>
      <c r="M1579" s="71">
        <f t="shared" ca="1" si="124"/>
        <v>1.3925180310689089</v>
      </c>
      <c r="N1579" s="65"/>
    </row>
    <row r="1580" spans="1:14" x14ac:dyDescent="0.25">
      <c r="A1580" s="2">
        <v>1574</v>
      </c>
      <c r="B1580" s="11">
        <f t="shared" ca="1" si="121"/>
        <v>0</v>
      </c>
      <c r="C1580" s="26">
        <f t="shared" ca="1" si="125"/>
        <v>0.89065476343969874</v>
      </c>
      <c r="J1580">
        <f t="shared" ca="1" si="122"/>
        <v>0</v>
      </c>
      <c r="K1580">
        <f t="shared" ca="1" si="123"/>
        <v>0</v>
      </c>
      <c r="L1580" s="65">
        <v>1574</v>
      </c>
      <c r="M1580" s="71">
        <f t="shared" ca="1" si="124"/>
        <v>0</v>
      </c>
      <c r="N1580" s="65"/>
    </row>
    <row r="1581" spans="1:14" x14ac:dyDescent="0.25">
      <c r="A1581" s="2">
        <v>1575</v>
      </c>
      <c r="B1581" s="11">
        <f t="shared" ca="1" si="121"/>
        <v>1</v>
      </c>
      <c r="C1581" s="26">
        <f t="shared" ca="1" si="125"/>
        <v>0.65283768410648202</v>
      </c>
      <c r="J1581">
        <f t="shared" ca="1" si="122"/>
        <v>0</v>
      </c>
      <c r="K1581">
        <f t="shared" ca="1" si="123"/>
        <v>0</v>
      </c>
      <c r="L1581" s="65">
        <v>1575</v>
      </c>
      <c r="M1581" s="71">
        <f t="shared" ca="1" si="124"/>
        <v>1.2178769754209593</v>
      </c>
      <c r="N1581" s="65"/>
    </row>
    <row r="1582" spans="1:14" x14ac:dyDescent="0.25">
      <c r="A1582" s="2">
        <v>1576</v>
      </c>
      <c r="B1582" s="11">
        <f t="shared" ca="1" si="121"/>
        <v>0</v>
      </c>
      <c r="C1582" s="26">
        <f t="shared" ca="1" si="125"/>
        <v>0.95611663033593974</v>
      </c>
      <c r="J1582">
        <f t="shared" ca="1" si="122"/>
        <v>0</v>
      </c>
      <c r="K1582">
        <f t="shared" ca="1" si="123"/>
        <v>0</v>
      </c>
      <c r="L1582" s="65">
        <v>1576</v>
      </c>
      <c r="M1582" s="71">
        <f t="shared" ca="1" si="124"/>
        <v>0</v>
      </c>
      <c r="N1582" s="65"/>
    </row>
    <row r="1583" spans="1:14" x14ac:dyDescent="0.25">
      <c r="A1583" s="2">
        <v>1577</v>
      </c>
      <c r="B1583" s="11">
        <f t="shared" ref="B1583:B1646" ca="1" si="126">IF(B1582&gt;0,IF(C1583&lt;pww,1,0),IF(C1583&lt;pdw,1,0))</f>
        <v>1</v>
      </c>
      <c r="C1583" s="26">
        <f t="shared" ca="1" si="125"/>
        <v>0.64991174803515483</v>
      </c>
      <c r="J1583">
        <f t="shared" ref="J1583:J1646" ca="1" si="127">IF(AND(B1583,B1584),1,0)</f>
        <v>1</v>
      </c>
      <c r="K1583">
        <f t="shared" ref="K1583:K1646" ca="1" si="128">IF(AND(NOT(B1583),NOT(B1584)),1,0)</f>
        <v>0</v>
      </c>
      <c r="L1583" s="65">
        <v>1577</v>
      </c>
      <c r="M1583" s="71">
        <f t="shared" ca="1" si="124"/>
        <v>0.79666005781183358</v>
      </c>
      <c r="N1583" s="65"/>
    </row>
    <row r="1584" spans="1:14" x14ac:dyDescent="0.25">
      <c r="A1584" s="2">
        <v>1578</v>
      </c>
      <c r="B1584" s="11">
        <f t="shared" ca="1" si="126"/>
        <v>1</v>
      </c>
      <c r="C1584" s="26">
        <f t="shared" ca="1" si="125"/>
        <v>0.1189751825374149</v>
      </c>
      <c r="J1584">
        <f t="shared" ca="1" si="127"/>
        <v>0</v>
      </c>
      <c r="K1584">
        <f t="shared" ca="1" si="128"/>
        <v>0</v>
      </c>
      <c r="L1584" s="65">
        <v>1578</v>
      </c>
      <c r="M1584" s="71">
        <f t="shared" ca="1" si="124"/>
        <v>2.0985396305073886E-2</v>
      </c>
      <c r="N1584" s="65"/>
    </row>
    <row r="1585" spans="1:14" x14ac:dyDescent="0.25">
      <c r="A1585" s="2">
        <v>1579</v>
      </c>
      <c r="B1585" s="11">
        <f t="shared" ca="1" si="126"/>
        <v>0</v>
      </c>
      <c r="C1585" s="26">
        <f t="shared" ca="1" si="125"/>
        <v>0.94985211233107092</v>
      </c>
      <c r="J1585">
        <f t="shared" ca="1" si="127"/>
        <v>0</v>
      </c>
      <c r="K1585">
        <f t="shared" ca="1" si="128"/>
        <v>1</v>
      </c>
      <c r="L1585" s="65">
        <v>1579</v>
      </c>
      <c r="M1585" s="71">
        <f t="shared" ca="1" si="124"/>
        <v>0</v>
      </c>
      <c r="N1585" s="65"/>
    </row>
    <row r="1586" spans="1:14" x14ac:dyDescent="0.25">
      <c r="A1586" s="2">
        <v>1580</v>
      </c>
      <c r="B1586" s="11">
        <f t="shared" ca="1" si="126"/>
        <v>0</v>
      </c>
      <c r="C1586" s="26">
        <f t="shared" ca="1" si="125"/>
        <v>0.8689913849167451</v>
      </c>
      <c r="J1586">
        <f t="shared" ca="1" si="127"/>
        <v>0</v>
      </c>
      <c r="K1586">
        <f t="shared" ca="1" si="128"/>
        <v>1</v>
      </c>
      <c r="L1586" s="65">
        <v>1580</v>
      </c>
      <c r="M1586" s="71">
        <f t="shared" ca="1" si="124"/>
        <v>0</v>
      </c>
      <c r="N1586" s="65"/>
    </row>
    <row r="1587" spans="1:14" x14ac:dyDescent="0.25">
      <c r="A1587" s="2">
        <v>1581</v>
      </c>
      <c r="B1587" s="11">
        <f t="shared" ca="1" si="126"/>
        <v>0</v>
      </c>
      <c r="C1587" s="26">
        <f t="shared" ca="1" si="125"/>
        <v>0.86869719220623576</v>
      </c>
      <c r="J1587">
        <f t="shared" ca="1" si="127"/>
        <v>0</v>
      </c>
      <c r="K1587">
        <f t="shared" ca="1" si="128"/>
        <v>0</v>
      </c>
      <c r="L1587" s="65">
        <v>1581</v>
      </c>
      <c r="M1587" s="71">
        <f t="shared" ca="1" si="124"/>
        <v>0</v>
      </c>
      <c r="N1587" s="65"/>
    </row>
    <row r="1588" spans="1:14" x14ac:dyDescent="0.25">
      <c r="A1588" s="2">
        <v>1582</v>
      </c>
      <c r="B1588" s="11">
        <f t="shared" ca="1" si="126"/>
        <v>1</v>
      </c>
      <c r="C1588" s="26">
        <f t="shared" ca="1" si="125"/>
        <v>0.68827207618717445</v>
      </c>
      <c r="J1588">
        <f t="shared" ca="1" si="127"/>
        <v>1</v>
      </c>
      <c r="K1588">
        <f t="shared" ca="1" si="128"/>
        <v>0</v>
      </c>
      <c r="L1588" s="65">
        <v>1582</v>
      </c>
      <c r="M1588" s="71">
        <f t="shared" ca="1" si="124"/>
        <v>4.9070096573075022</v>
      </c>
      <c r="N1588" s="65"/>
    </row>
    <row r="1589" spans="1:14" x14ac:dyDescent="0.25">
      <c r="A1589" s="2">
        <v>1583</v>
      </c>
      <c r="B1589" s="11">
        <f t="shared" ca="1" si="126"/>
        <v>1</v>
      </c>
      <c r="C1589" s="26">
        <f t="shared" ca="1" si="125"/>
        <v>0.15639873870124954</v>
      </c>
      <c r="J1589">
        <f t="shared" ca="1" si="127"/>
        <v>1</v>
      </c>
      <c r="K1589">
        <f t="shared" ca="1" si="128"/>
        <v>0</v>
      </c>
      <c r="L1589" s="65">
        <v>1583</v>
      </c>
      <c r="M1589" s="71">
        <f t="shared" ca="1" si="124"/>
        <v>9.77988621055682E-3</v>
      </c>
      <c r="N1589" s="65"/>
    </row>
    <row r="1590" spans="1:14" x14ac:dyDescent="0.25">
      <c r="A1590" s="2">
        <v>1584</v>
      </c>
      <c r="B1590" s="11">
        <f t="shared" ca="1" si="126"/>
        <v>1</v>
      </c>
      <c r="C1590" s="26">
        <f t="shared" ca="1" si="125"/>
        <v>4.2013894968570886E-2</v>
      </c>
      <c r="J1590">
        <f t="shared" ca="1" si="127"/>
        <v>0</v>
      </c>
      <c r="K1590">
        <f t="shared" ca="1" si="128"/>
        <v>0</v>
      </c>
      <c r="L1590" s="65">
        <v>1584</v>
      </c>
      <c r="M1590" s="71">
        <f t="shared" ca="1" si="124"/>
        <v>5.6430389442377633</v>
      </c>
      <c r="N1590" s="65"/>
    </row>
    <row r="1591" spans="1:14" x14ac:dyDescent="0.25">
      <c r="A1591" s="2">
        <v>1585</v>
      </c>
      <c r="B1591" s="11">
        <f t="shared" ca="1" si="126"/>
        <v>0</v>
      </c>
      <c r="C1591" s="26">
        <f t="shared" ca="1" si="125"/>
        <v>0.82907217433373559</v>
      </c>
      <c r="J1591">
        <f t="shared" ca="1" si="127"/>
        <v>0</v>
      </c>
      <c r="K1591">
        <f t="shared" ca="1" si="128"/>
        <v>1</v>
      </c>
      <c r="L1591" s="65">
        <v>1585</v>
      </c>
      <c r="M1591" s="71">
        <f t="shared" ca="1" si="124"/>
        <v>0</v>
      </c>
      <c r="N1591" s="65"/>
    </row>
    <row r="1592" spans="1:14" x14ac:dyDescent="0.25">
      <c r="A1592" s="2">
        <v>1586</v>
      </c>
      <c r="B1592" s="11">
        <f t="shared" ca="1" si="126"/>
        <v>0</v>
      </c>
      <c r="C1592" s="26">
        <f t="shared" ca="1" si="125"/>
        <v>0.79909927688619631</v>
      </c>
      <c r="J1592">
        <f t="shared" ca="1" si="127"/>
        <v>0</v>
      </c>
      <c r="K1592">
        <f t="shared" ca="1" si="128"/>
        <v>0</v>
      </c>
      <c r="L1592" s="65">
        <v>1586</v>
      </c>
      <c r="M1592" s="71">
        <f t="shared" ca="1" si="124"/>
        <v>0</v>
      </c>
      <c r="N1592" s="65"/>
    </row>
    <row r="1593" spans="1:14" x14ac:dyDescent="0.25">
      <c r="A1593" s="2">
        <v>1587</v>
      </c>
      <c r="B1593" s="11">
        <f t="shared" ca="1" si="126"/>
        <v>1</v>
      </c>
      <c r="C1593" s="26">
        <f t="shared" ca="1" si="125"/>
        <v>0.18822654384263759</v>
      </c>
      <c r="J1593">
        <f t="shared" ca="1" si="127"/>
        <v>0</v>
      </c>
      <c r="K1593">
        <f t="shared" ca="1" si="128"/>
        <v>0</v>
      </c>
      <c r="L1593" s="65">
        <v>1587</v>
      </c>
      <c r="M1593" s="71">
        <f t="shared" ca="1" si="124"/>
        <v>0.18575590955274091</v>
      </c>
      <c r="N1593" s="65"/>
    </row>
    <row r="1594" spans="1:14" x14ac:dyDescent="0.25">
      <c r="A1594" s="2">
        <v>1588</v>
      </c>
      <c r="B1594" s="11">
        <f t="shared" ca="1" si="126"/>
        <v>0</v>
      </c>
      <c r="C1594" s="26">
        <f t="shared" ca="1" si="125"/>
        <v>0.83763398342355033</v>
      </c>
      <c r="J1594">
        <f t="shared" ca="1" si="127"/>
        <v>0</v>
      </c>
      <c r="K1594">
        <f t="shared" ca="1" si="128"/>
        <v>0</v>
      </c>
      <c r="L1594" s="65">
        <v>1588</v>
      </c>
      <c r="M1594" s="71">
        <f t="shared" ca="1" si="124"/>
        <v>0</v>
      </c>
      <c r="N1594" s="65"/>
    </row>
    <row r="1595" spans="1:14" x14ac:dyDescent="0.25">
      <c r="A1595" s="2">
        <v>1589</v>
      </c>
      <c r="B1595" s="11">
        <f t="shared" ca="1" si="126"/>
        <v>1</v>
      </c>
      <c r="C1595" s="26">
        <f t="shared" ca="1" si="125"/>
        <v>0.50443065529070019</v>
      </c>
      <c r="J1595">
        <f t="shared" ca="1" si="127"/>
        <v>1</v>
      </c>
      <c r="K1595">
        <f t="shared" ca="1" si="128"/>
        <v>0</v>
      </c>
      <c r="L1595" s="65">
        <v>1589</v>
      </c>
      <c r="M1595" s="71">
        <f t="shared" ca="1" si="124"/>
        <v>4.0290345500725913</v>
      </c>
      <c r="N1595" s="65"/>
    </row>
    <row r="1596" spans="1:14" x14ac:dyDescent="0.25">
      <c r="A1596" s="2">
        <v>1590</v>
      </c>
      <c r="B1596" s="11">
        <f t="shared" ca="1" si="126"/>
        <v>1</v>
      </c>
      <c r="C1596" s="26">
        <f t="shared" ca="1" si="125"/>
        <v>0.74276772366059685</v>
      </c>
      <c r="J1596">
        <f t="shared" ca="1" si="127"/>
        <v>1</v>
      </c>
      <c r="K1596">
        <f t="shared" ca="1" si="128"/>
        <v>0</v>
      </c>
      <c r="L1596" s="65">
        <v>1590</v>
      </c>
      <c r="M1596" s="71">
        <f t="shared" ca="1" si="124"/>
        <v>10.708703983757967</v>
      </c>
      <c r="N1596" s="65"/>
    </row>
    <row r="1597" spans="1:14" x14ac:dyDescent="0.25">
      <c r="A1597" s="2">
        <v>1591</v>
      </c>
      <c r="B1597" s="11">
        <f t="shared" ca="1" si="126"/>
        <v>1</v>
      </c>
      <c r="C1597" s="26">
        <f t="shared" ca="1" si="125"/>
        <v>0.78409999395328467</v>
      </c>
      <c r="J1597">
        <f t="shared" ca="1" si="127"/>
        <v>0</v>
      </c>
      <c r="K1597">
        <f t="shared" ca="1" si="128"/>
        <v>0</v>
      </c>
      <c r="L1597" s="65">
        <v>1591</v>
      </c>
      <c r="M1597" s="71">
        <f t="shared" ca="1" si="124"/>
        <v>5.686440001991711</v>
      </c>
      <c r="N1597" s="65"/>
    </row>
    <row r="1598" spans="1:14" x14ac:dyDescent="0.25">
      <c r="A1598" s="2">
        <v>1592</v>
      </c>
      <c r="B1598" s="11">
        <f t="shared" ca="1" si="126"/>
        <v>0</v>
      </c>
      <c r="C1598" s="26">
        <f t="shared" ca="1" si="125"/>
        <v>0.91865741229395048</v>
      </c>
      <c r="J1598">
        <f t="shared" ca="1" si="127"/>
        <v>0</v>
      </c>
      <c r="K1598">
        <f t="shared" ca="1" si="128"/>
        <v>1</v>
      </c>
      <c r="L1598" s="65">
        <v>1592</v>
      </c>
      <c r="M1598" s="71">
        <f t="shared" ca="1" si="124"/>
        <v>0</v>
      </c>
      <c r="N1598" s="65"/>
    </row>
    <row r="1599" spans="1:14" x14ac:dyDescent="0.25">
      <c r="A1599" s="2">
        <v>1593</v>
      </c>
      <c r="B1599" s="11">
        <f t="shared" ca="1" si="126"/>
        <v>0</v>
      </c>
      <c r="C1599" s="26">
        <f t="shared" ca="1" si="125"/>
        <v>0.7326636936840113</v>
      </c>
      <c r="J1599">
        <f t="shared" ca="1" si="127"/>
        <v>0</v>
      </c>
      <c r="K1599">
        <f t="shared" ca="1" si="128"/>
        <v>0</v>
      </c>
      <c r="L1599" s="65">
        <v>1593</v>
      </c>
      <c r="M1599" s="71">
        <f t="shared" ca="1" si="124"/>
        <v>0</v>
      </c>
      <c r="N1599" s="65"/>
    </row>
    <row r="1600" spans="1:14" x14ac:dyDescent="0.25">
      <c r="A1600" s="2">
        <v>1594</v>
      </c>
      <c r="B1600" s="11">
        <f t="shared" ca="1" si="126"/>
        <v>1</v>
      </c>
      <c r="C1600" s="26">
        <f t="shared" ca="1" si="125"/>
        <v>0.23202302606113245</v>
      </c>
      <c r="J1600">
        <f t="shared" ca="1" si="127"/>
        <v>1</v>
      </c>
      <c r="K1600">
        <f t="shared" ca="1" si="128"/>
        <v>0</v>
      </c>
      <c r="L1600" s="65">
        <v>1594</v>
      </c>
      <c r="M1600" s="71">
        <f t="shared" ca="1" si="124"/>
        <v>8.0099084991030836</v>
      </c>
      <c r="N1600" s="65"/>
    </row>
    <row r="1601" spans="1:14" x14ac:dyDescent="0.25">
      <c r="A1601" s="2">
        <v>1595</v>
      </c>
      <c r="B1601" s="11">
        <f t="shared" ca="1" si="126"/>
        <v>1</v>
      </c>
      <c r="C1601" s="26">
        <f t="shared" ca="1" si="125"/>
        <v>0.62116377829243019</v>
      </c>
      <c r="J1601">
        <f t="shared" ca="1" si="127"/>
        <v>1</v>
      </c>
      <c r="K1601">
        <f t="shared" ca="1" si="128"/>
        <v>0</v>
      </c>
      <c r="L1601" s="65">
        <v>1595</v>
      </c>
      <c r="M1601" s="71">
        <f t="shared" ca="1" si="124"/>
        <v>9.6349725645207762</v>
      </c>
      <c r="N1601" s="65"/>
    </row>
    <row r="1602" spans="1:14" x14ac:dyDescent="0.25">
      <c r="A1602" s="2">
        <v>1596</v>
      </c>
      <c r="B1602" s="11">
        <f t="shared" ca="1" si="126"/>
        <v>1</v>
      </c>
      <c r="C1602" s="26">
        <f t="shared" ca="1" si="125"/>
        <v>0.38755498437868119</v>
      </c>
      <c r="J1602">
        <f t="shared" ca="1" si="127"/>
        <v>1</v>
      </c>
      <c r="K1602">
        <f t="shared" ca="1" si="128"/>
        <v>0</v>
      </c>
      <c r="L1602" s="65">
        <v>1596</v>
      </c>
      <c r="M1602" s="71">
        <f t="shared" ca="1" si="124"/>
        <v>4.5875159208843774</v>
      </c>
      <c r="N1602" s="65"/>
    </row>
    <row r="1603" spans="1:14" x14ac:dyDescent="0.25">
      <c r="A1603" s="2">
        <v>1597</v>
      </c>
      <c r="B1603" s="11">
        <f t="shared" ca="1" si="126"/>
        <v>1</v>
      </c>
      <c r="C1603" s="26">
        <f t="shared" ca="1" si="125"/>
        <v>0.7992211807631957</v>
      </c>
      <c r="J1603">
        <f t="shared" ca="1" si="127"/>
        <v>1</v>
      </c>
      <c r="K1603">
        <f t="shared" ca="1" si="128"/>
        <v>0</v>
      </c>
      <c r="L1603" s="65">
        <v>1597</v>
      </c>
      <c r="M1603" s="71">
        <f t="shared" ca="1" si="124"/>
        <v>3.0381816931127807</v>
      </c>
      <c r="N1603" s="65"/>
    </row>
    <row r="1604" spans="1:14" x14ac:dyDescent="0.25">
      <c r="A1604" s="2">
        <v>1598</v>
      </c>
      <c r="B1604" s="11">
        <f t="shared" ca="1" si="126"/>
        <v>1</v>
      </c>
      <c r="C1604" s="26">
        <f t="shared" ca="1" si="125"/>
        <v>0.76825021021282536</v>
      </c>
      <c r="J1604">
        <f t="shared" ca="1" si="127"/>
        <v>1</v>
      </c>
      <c r="K1604">
        <f t="shared" ca="1" si="128"/>
        <v>0</v>
      </c>
      <c r="L1604" s="65">
        <v>1598</v>
      </c>
      <c r="M1604" s="71">
        <f t="shared" ca="1" si="124"/>
        <v>0.67701515616709995</v>
      </c>
      <c r="N1604" s="65"/>
    </row>
    <row r="1605" spans="1:14" x14ac:dyDescent="0.25">
      <c r="A1605" s="2">
        <v>1599</v>
      </c>
      <c r="B1605" s="11">
        <f t="shared" ca="1" si="126"/>
        <v>1</v>
      </c>
      <c r="C1605" s="26">
        <f t="shared" ca="1" si="125"/>
        <v>0.42903532279578216</v>
      </c>
      <c r="J1605">
        <f t="shared" ca="1" si="127"/>
        <v>1</v>
      </c>
      <c r="K1605">
        <f t="shared" ca="1" si="128"/>
        <v>0</v>
      </c>
      <c r="L1605" s="65">
        <v>1599</v>
      </c>
      <c r="M1605" s="71">
        <f t="shared" ca="1" si="124"/>
        <v>3.5423782053245514</v>
      </c>
      <c r="N1605" s="65"/>
    </row>
    <row r="1606" spans="1:14" x14ac:dyDescent="0.25">
      <c r="A1606" s="2">
        <v>1600</v>
      </c>
      <c r="B1606" s="11">
        <f t="shared" ca="1" si="126"/>
        <v>1</v>
      </c>
      <c r="C1606" s="26">
        <f t="shared" ca="1" si="125"/>
        <v>0.70543054273607353</v>
      </c>
      <c r="J1606">
        <f t="shared" ca="1" si="127"/>
        <v>1</v>
      </c>
      <c r="K1606">
        <f t="shared" ca="1" si="128"/>
        <v>0</v>
      </c>
      <c r="L1606" s="65">
        <v>1600</v>
      </c>
      <c r="M1606" s="71">
        <f t="shared" ca="1" si="124"/>
        <v>4.9292022860132416</v>
      </c>
      <c r="N1606" s="65"/>
    </row>
    <row r="1607" spans="1:14" x14ac:dyDescent="0.25">
      <c r="A1607" s="2">
        <v>1601</v>
      </c>
      <c r="B1607" s="11">
        <f t="shared" ca="1" si="126"/>
        <v>1</v>
      </c>
      <c r="C1607" s="26">
        <f t="shared" ca="1" si="125"/>
        <v>0.75675618000473843</v>
      </c>
      <c r="J1607">
        <f t="shared" ca="1" si="127"/>
        <v>1</v>
      </c>
      <c r="K1607">
        <f t="shared" ca="1" si="128"/>
        <v>0</v>
      </c>
      <c r="L1607" s="65">
        <v>1601</v>
      </c>
      <c r="M1607" s="71">
        <f t="shared" ref="M1607:M1670" ca="1" si="129">IF(B1607&gt;0,-LN(1-(RAND()))/lambda,0)</f>
        <v>0.8196428780593249</v>
      </c>
      <c r="N1607" s="65"/>
    </row>
    <row r="1608" spans="1:14" x14ac:dyDescent="0.25">
      <c r="A1608" s="2">
        <v>1602</v>
      </c>
      <c r="B1608" s="11">
        <f t="shared" ca="1" si="126"/>
        <v>1</v>
      </c>
      <c r="C1608" s="26">
        <f t="shared" ref="C1608:C1671" ca="1" si="130">RAND()</f>
        <v>0.34822641390651432</v>
      </c>
      <c r="J1608">
        <f t="shared" ca="1" si="127"/>
        <v>1</v>
      </c>
      <c r="K1608">
        <f t="shared" ca="1" si="128"/>
        <v>0</v>
      </c>
      <c r="L1608" s="65">
        <v>1602</v>
      </c>
      <c r="M1608" s="71">
        <f t="shared" ca="1" si="129"/>
        <v>8.9709131575428174</v>
      </c>
      <c r="N1608" s="65"/>
    </row>
    <row r="1609" spans="1:14" x14ac:dyDescent="0.25">
      <c r="A1609" s="2">
        <v>1603</v>
      </c>
      <c r="B1609" s="11">
        <f t="shared" ca="1" si="126"/>
        <v>1</v>
      </c>
      <c r="C1609" s="26">
        <f t="shared" ca="1" si="130"/>
        <v>0.15211804451763045</v>
      </c>
      <c r="J1609">
        <f t="shared" ca="1" si="127"/>
        <v>1</v>
      </c>
      <c r="K1609">
        <f t="shared" ca="1" si="128"/>
        <v>0</v>
      </c>
      <c r="L1609" s="65">
        <v>1603</v>
      </c>
      <c r="M1609" s="71">
        <f t="shared" ca="1" si="129"/>
        <v>7.5997983577510819</v>
      </c>
      <c r="N1609" s="65"/>
    </row>
    <row r="1610" spans="1:14" x14ac:dyDescent="0.25">
      <c r="A1610" s="2">
        <v>1604</v>
      </c>
      <c r="B1610" s="11">
        <f t="shared" ca="1" si="126"/>
        <v>1</v>
      </c>
      <c r="C1610" s="26">
        <f t="shared" ca="1" si="130"/>
        <v>0.11619539134522194</v>
      </c>
      <c r="J1610">
        <f t="shared" ca="1" si="127"/>
        <v>1</v>
      </c>
      <c r="K1610">
        <f t="shared" ca="1" si="128"/>
        <v>0</v>
      </c>
      <c r="L1610" s="65">
        <v>1604</v>
      </c>
      <c r="M1610" s="71">
        <f t="shared" ca="1" si="129"/>
        <v>0.87643429054315869</v>
      </c>
      <c r="N1610" s="65"/>
    </row>
    <row r="1611" spans="1:14" x14ac:dyDescent="0.25">
      <c r="A1611" s="2">
        <v>1605</v>
      </c>
      <c r="B1611" s="11">
        <f t="shared" ca="1" si="126"/>
        <v>1</v>
      </c>
      <c r="C1611" s="26">
        <f t="shared" ca="1" si="130"/>
        <v>0.57323879531471689</v>
      </c>
      <c r="J1611">
        <f t="shared" ca="1" si="127"/>
        <v>0</v>
      </c>
      <c r="K1611">
        <f t="shared" ca="1" si="128"/>
        <v>0</v>
      </c>
      <c r="L1611" s="65">
        <v>1605</v>
      </c>
      <c r="M1611" s="71">
        <f t="shared" ca="1" si="129"/>
        <v>1.4861733950165008</v>
      </c>
      <c r="N1611" s="65"/>
    </row>
    <row r="1612" spans="1:14" x14ac:dyDescent="0.25">
      <c r="A1612" s="2">
        <v>1606</v>
      </c>
      <c r="B1612" s="11">
        <f t="shared" ca="1" si="126"/>
        <v>0</v>
      </c>
      <c r="C1612" s="26">
        <f t="shared" ca="1" si="130"/>
        <v>0.98184393151499461</v>
      </c>
      <c r="J1612">
        <f t="shared" ca="1" si="127"/>
        <v>0</v>
      </c>
      <c r="K1612">
        <f t="shared" ca="1" si="128"/>
        <v>1</v>
      </c>
      <c r="L1612" s="65">
        <v>1606</v>
      </c>
      <c r="M1612" s="71">
        <f t="shared" ca="1" si="129"/>
        <v>0</v>
      </c>
      <c r="N1612" s="65"/>
    </row>
    <row r="1613" spans="1:14" x14ac:dyDescent="0.25">
      <c r="A1613" s="2">
        <v>1607</v>
      </c>
      <c r="B1613" s="11">
        <f t="shared" ca="1" si="126"/>
        <v>0</v>
      </c>
      <c r="C1613" s="26">
        <f t="shared" ca="1" si="130"/>
        <v>0.85006882271212603</v>
      </c>
      <c r="J1613">
        <f t="shared" ca="1" si="127"/>
        <v>0</v>
      </c>
      <c r="K1613">
        <f t="shared" ca="1" si="128"/>
        <v>0</v>
      </c>
      <c r="L1613" s="65">
        <v>1607</v>
      </c>
      <c r="M1613" s="71">
        <f t="shared" ca="1" si="129"/>
        <v>0</v>
      </c>
      <c r="N1613" s="65"/>
    </row>
    <row r="1614" spans="1:14" x14ac:dyDescent="0.25">
      <c r="A1614" s="2">
        <v>1608</v>
      </c>
      <c r="B1614" s="11">
        <f t="shared" ca="1" si="126"/>
        <v>1</v>
      </c>
      <c r="C1614" s="26">
        <f t="shared" ca="1" si="130"/>
        <v>0.31646590436527888</v>
      </c>
      <c r="J1614">
        <f t="shared" ca="1" si="127"/>
        <v>0</v>
      </c>
      <c r="K1614">
        <f t="shared" ca="1" si="128"/>
        <v>0</v>
      </c>
      <c r="L1614" s="65">
        <v>1608</v>
      </c>
      <c r="M1614" s="71">
        <f t="shared" ca="1" si="129"/>
        <v>0.51391026282202512</v>
      </c>
      <c r="N1614" s="65"/>
    </row>
    <row r="1615" spans="1:14" x14ac:dyDescent="0.25">
      <c r="A1615" s="2">
        <v>1609</v>
      </c>
      <c r="B1615" s="11">
        <f t="shared" ca="1" si="126"/>
        <v>0</v>
      </c>
      <c r="C1615" s="26">
        <f t="shared" ca="1" si="130"/>
        <v>0.9022425372708891</v>
      </c>
      <c r="J1615">
        <f t="shared" ca="1" si="127"/>
        <v>0</v>
      </c>
      <c r="K1615">
        <f t="shared" ca="1" si="128"/>
        <v>0</v>
      </c>
      <c r="L1615" s="65">
        <v>1609</v>
      </c>
      <c r="M1615" s="71">
        <f t="shared" ca="1" si="129"/>
        <v>0</v>
      </c>
      <c r="N1615" s="65"/>
    </row>
    <row r="1616" spans="1:14" x14ac:dyDescent="0.25">
      <c r="A1616" s="2">
        <v>1610</v>
      </c>
      <c r="B1616" s="11">
        <f t="shared" ca="1" si="126"/>
        <v>1</v>
      </c>
      <c r="C1616" s="26">
        <f t="shared" ca="1" si="130"/>
        <v>0.28550528231284666</v>
      </c>
      <c r="J1616">
        <f t="shared" ca="1" si="127"/>
        <v>1</v>
      </c>
      <c r="K1616">
        <f t="shared" ca="1" si="128"/>
        <v>0</v>
      </c>
      <c r="L1616" s="65">
        <v>1610</v>
      </c>
      <c r="M1616" s="71">
        <f t="shared" ca="1" si="129"/>
        <v>6.5961955447196763</v>
      </c>
      <c r="N1616" s="65"/>
    </row>
    <row r="1617" spans="1:14" x14ac:dyDescent="0.25">
      <c r="A1617" s="2">
        <v>1611</v>
      </c>
      <c r="B1617" s="11">
        <f t="shared" ca="1" si="126"/>
        <v>1</v>
      </c>
      <c r="C1617" s="26">
        <f t="shared" ca="1" si="130"/>
        <v>0.71879277049619938</v>
      </c>
      <c r="J1617">
        <f t="shared" ca="1" si="127"/>
        <v>1</v>
      </c>
      <c r="K1617">
        <f t="shared" ca="1" si="128"/>
        <v>0</v>
      </c>
      <c r="L1617" s="65">
        <v>1611</v>
      </c>
      <c r="M1617" s="71">
        <f t="shared" ca="1" si="129"/>
        <v>12.313897668845954</v>
      </c>
      <c r="N1617" s="65"/>
    </row>
    <row r="1618" spans="1:14" x14ac:dyDescent="0.25">
      <c r="A1618" s="2">
        <v>1612</v>
      </c>
      <c r="B1618" s="11">
        <f t="shared" ca="1" si="126"/>
        <v>1</v>
      </c>
      <c r="C1618" s="26">
        <f t="shared" ca="1" si="130"/>
        <v>0.47471444771586235</v>
      </c>
      <c r="J1618">
        <f t="shared" ca="1" si="127"/>
        <v>1</v>
      </c>
      <c r="K1618">
        <f t="shared" ca="1" si="128"/>
        <v>0</v>
      </c>
      <c r="L1618" s="65">
        <v>1612</v>
      </c>
      <c r="M1618" s="71">
        <f t="shared" ca="1" si="129"/>
        <v>1.0596923189488869</v>
      </c>
      <c r="N1618" s="65"/>
    </row>
    <row r="1619" spans="1:14" x14ac:dyDescent="0.25">
      <c r="A1619" s="2">
        <v>1613</v>
      </c>
      <c r="B1619" s="11">
        <f t="shared" ca="1" si="126"/>
        <v>1</v>
      </c>
      <c r="C1619" s="26">
        <f t="shared" ca="1" si="130"/>
        <v>0.44270542882794672</v>
      </c>
      <c r="J1619">
        <f t="shared" ca="1" si="127"/>
        <v>1</v>
      </c>
      <c r="K1619">
        <f t="shared" ca="1" si="128"/>
        <v>0</v>
      </c>
      <c r="L1619" s="65">
        <v>1613</v>
      </c>
      <c r="M1619" s="71">
        <f t="shared" ca="1" si="129"/>
        <v>5.6917563288269006</v>
      </c>
      <c r="N1619" s="65"/>
    </row>
    <row r="1620" spans="1:14" x14ac:dyDescent="0.25">
      <c r="A1620" s="2">
        <v>1614</v>
      </c>
      <c r="B1620" s="11">
        <f t="shared" ca="1" si="126"/>
        <v>1</v>
      </c>
      <c r="C1620" s="26">
        <f t="shared" ca="1" si="130"/>
        <v>0.73165586875558108</v>
      </c>
      <c r="J1620">
        <f t="shared" ca="1" si="127"/>
        <v>1</v>
      </c>
      <c r="K1620">
        <f t="shared" ca="1" si="128"/>
        <v>0</v>
      </c>
      <c r="L1620" s="65">
        <v>1614</v>
      </c>
      <c r="M1620" s="71">
        <f t="shared" ca="1" si="129"/>
        <v>1.3372395064207601</v>
      </c>
      <c r="N1620" s="65"/>
    </row>
    <row r="1621" spans="1:14" x14ac:dyDescent="0.25">
      <c r="A1621" s="2">
        <v>1615</v>
      </c>
      <c r="B1621" s="11">
        <f t="shared" ca="1" si="126"/>
        <v>1</v>
      </c>
      <c r="C1621" s="26">
        <f t="shared" ca="1" si="130"/>
        <v>5.6722856730419324E-2</v>
      </c>
      <c r="J1621">
        <f t="shared" ca="1" si="127"/>
        <v>1</v>
      </c>
      <c r="K1621">
        <f t="shared" ca="1" si="128"/>
        <v>0</v>
      </c>
      <c r="L1621" s="65">
        <v>1615</v>
      </c>
      <c r="M1621" s="71">
        <f t="shared" ca="1" si="129"/>
        <v>0.48122440833953761</v>
      </c>
      <c r="N1621" s="65"/>
    </row>
    <row r="1622" spans="1:14" x14ac:dyDescent="0.25">
      <c r="A1622" s="2">
        <v>1616</v>
      </c>
      <c r="B1622" s="11">
        <f t="shared" ca="1" si="126"/>
        <v>1</v>
      </c>
      <c r="C1622" s="26">
        <f t="shared" ca="1" si="130"/>
        <v>0.12234884205822749</v>
      </c>
      <c r="J1622">
        <f t="shared" ca="1" si="127"/>
        <v>1</v>
      </c>
      <c r="K1622">
        <f t="shared" ca="1" si="128"/>
        <v>0</v>
      </c>
      <c r="L1622" s="65">
        <v>1616</v>
      </c>
      <c r="M1622" s="71">
        <f t="shared" ca="1" si="129"/>
        <v>8.6816084242023912</v>
      </c>
      <c r="N1622" s="65"/>
    </row>
    <row r="1623" spans="1:14" x14ac:dyDescent="0.25">
      <c r="A1623" s="2">
        <v>1617</v>
      </c>
      <c r="B1623" s="11">
        <f t="shared" ca="1" si="126"/>
        <v>1</v>
      </c>
      <c r="C1623" s="26">
        <f t="shared" ca="1" si="130"/>
        <v>0.45963953475799546</v>
      </c>
      <c r="J1623">
        <f t="shared" ca="1" si="127"/>
        <v>1</v>
      </c>
      <c r="K1623">
        <f t="shared" ca="1" si="128"/>
        <v>0</v>
      </c>
      <c r="L1623" s="65">
        <v>1617</v>
      </c>
      <c r="M1623" s="71">
        <f t="shared" ca="1" si="129"/>
        <v>3.9551762335482104</v>
      </c>
      <c r="N1623" s="65"/>
    </row>
    <row r="1624" spans="1:14" x14ac:dyDescent="0.25">
      <c r="A1624" s="2">
        <v>1618</v>
      </c>
      <c r="B1624" s="11">
        <f t="shared" ca="1" si="126"/>
        <v>1</v>
      </c>
      <c r="C1624" s="26">
        <f t="shared" ca="1" si="130"/>
        <v>0.30936304416088123</v>
      </c>
      <c r="J1624">
        <f t="shared" ca="1" si="127"/>
        <v>1</v>
      </c>
      <c r="K1624">
        <f t="shared" ca="1" si="128"/>
        <v>0</v>
      </c>
      <c r="L1624" s="65">
        <v>1618</v>
      </c>
      <c r="M1624" s="71">
        <f t="shared" ca="1" si="129"/>
        <v>0.68411680344646142</v>
      </c>
      <c r="N1624" s="65"/>
    </row>
    <row r="1625" spans="1:14" x14ac:dyDescent="0.25">
      <c r="A1625" s="2">
        <v>1619</v>
      </c>
      <c r="B1625" s="11">
        <f t="shared" ca="1" si="126"/>
        <v>1</v>
      </c>
      <c r="C1625" s="26">
        <f t="shared" ca="1" si="130"/>
        <v>0.60302684463354839</v>
      </c>
      <c r="J1625">
        <f t="shared" ca="1" si="127"/>
        <v>1</v>
      </c>
      <c r="K1625">
        <f t="shared" ca="1" si="128"/>
        <v>0</v>
      </c>
      <c r="L1625" s="65">
        <v>1619</v>
      </c>
      <c r="M1625" s="71">
        <f t="shared" ca="1" si="129"/>
        <v>0.18500106852649723</v>
      </c>
      <c r="N1625" s="65"/>
    </row>
    <row r="1626" spans="1:14" x14ac:dyDescent="0.25">
      <c r="A1626" s="2">
        <v>1620</v>
      </c>
      <c r="B1626" s="11">
        <f t="shared" ca="1" si="126"/>
        <v>1</v>
      </c>
      <c r="C1626" s="26">
        <f t="shared" ca="1" si="130"/>
        <v>4.4782243317514348E-2</v>
      </c>
      <c r="J1626">
        <f t="shared" ca="1" si="127"/>
        <v>1</v>
      </c>
      <c r="K1626">
        <f t="shared" ca="1" si="128"/>
        <v>0</v>
      </c>
      <c r="L1626" s="65">
        <v>1620</v>
      </c>
      <c r="M1626" s="71">
        <f t="shared" ca="1" si="129"/>
        <v>3.0650174118419713</v>
      </c>
      <c r="N1626" s="65"/>
    </row>
    <row r="1627" spans="1:14" x14ac:dyDescent="0.25">
      <c r="A1627" s="2">
        <v>1621</v>
      </c>
      <c r="B1627" s="11">
        <f t="shared" ca="1" si="126"/>
        <v>1</v>
      </c>
      <c r="C1627" s="26">
        <f t="shared" ca="1" si="130"/>
        <v>0.16642166950082227</v>
      </c>
      <c r="J1627">
        <f t="shared" ca="1" si="127"/>
        <v>1</v>
      </c>
      <c r="K1627">
        <f t="shared" ca="1" si="128"/>
        <v>0</v>
      </c>
      <c r="L1627" s="65">
        <v>1621</v>
      </c>
      <c r="M1627" s="71">
        <f t="shared" ca="1" si="129"/>
        <v>9.7790727890830542</v>
      </c>
      <c r="N1627" s="65"/>
    </row>
    <row r="1628" spans="1:14" x14ac:dyDescent="0.25">
      <c r="A1628" s="2">
        <v>1622</v>
      </c>
      <c r="B1628" s="11">
        <f t="shared" ca="1" si="126"/>
        <v>1</v>
      </c>
      <c r="C1628" s="26">
        <f t="shared" ca="1" si="130"/>
        <v>8.6784885366560371E-2</v>
      </c>
      <c r="J1628">
        <f t="shared" ca="1" si="127"/>
        <v>1</v>
      </c>
      <c r="K1628">
        <f t="shared" ca="1" si="128"/>
        <v>0</v>
      </c>
      <c r="L1628" s="65">
        <v>1622</v>
      </c>
      <c r="M1628" s="71">
        <f t="shared" ca="1" si="129"/>
        <v>3.5978291014529131</v>
      </c>
      <c r="N1628" s="65"/>
    </row>
    <row r="1629" spans="1:14" x14ac:dyDescent="0.25">
      <c r="A1629" s="2">
        <v>1623</v>
      </c>
      <c r="B1629" s="11">
        <f t="shared" ca="1" si="126"/>
        <v>1</v>
      </c>
      <c r="C1629" s="26">
        <f t="shared" ca="1" si="130"/>
        <v>4.1073347557137874E-2</v>
      </c>
      <c r="J1629">
        <f t="shared" ca="1" si="127"/>
        <v>0</v>
      </c>
      <c r="K1629">
        <f t="shared" ca="1" si="128"/>
        <v>0</v>
      </c>
      <c r="L1629" s="65">
        <v>1623</v>
      </c>
      <c r="M1629" s="71">
        <f t="shared" ca="1" si="129"/>
        <v>0.45514300944192493</v>
      </c>
      <c r="N1629" s="65"/>
    </row>
    <row r="1630" spans="1:14" x14ac:dyDescent="0.25">
      <c r="A1630" s="2">
        <v>1624</v>
      </c>
      <c r="B1630" s="11">
        <f t="shared" ca="1" si="126"/>
        <v>0</v>
      </c>
      <c r="C1630" s="26">
        <f t="shared" ca="1" si="130"/>
        <v>0.92147030207786895</v>
      </c>
      <c r="J1630">
        <f t="shared" ca="1" si="127"/>
        <v>0</v>
      </c>
      <c r="K1630">
        <f t="shared" ca="1" si="128"/>
        <v>0</v>
      </c>
      <c r="L1630" s="65">
        <v>1624</v>
      </c>
      <c r="M1630" s="71">
        <f t="shared" ca="1" si="129"/>
        <v>0</v>
      </c>
      <c r="N1630" s="65"/>
    </row>
    <row r="1631" spans="1:14" x14ac:dyDescent="0.25">
      <c r="A1631" s="2">
        <v>1625</v>
      </c>
      <c r="B1631" s="11">
        <f t="shared" ca="1" si="126"/>
        <v>1</v>
      </c>
      <c r="C1631" s="26">
        <f t="shared" ca="1" si="130"/>
        <v>0.17003255190452904</v>
      </c>
      <c r="J1631">
        <f t="shared" ca="1" si="127"/>
        <v>1</v>
      </c>
      <c r="K1631">
        <f t="shared" ca="1" si="128"/>
        <v>0</v>
      </c>
      <c r="L1631" s="65">
        <v>1625</v>
      </c>
      <c r="M1631" s="71">
        <f t="shared" ca="1" si="129"/>
        <v>3.5670380639479298</v>
      </c>
      <c r="N1631" s="65"/>
    </row>
    <row r="1632" spans="1:14" x14ac:dyDescent="0.25">
      <c r="A1632" s="2">
        <v>1626</v>
      </c>
      <c r="B1632" s="11">
        <f t="shared" ca="1" si="126"/>
        <v>1</v>
      </c>
      <c r="C1632" s="26">
        <f t="shared" ca="1" si="130"/>
        <v>0.10815782138078056</v>
      </c>
      <c r="J1632">
        <f t="shared" ca="1" si="127"/>
        <v>1</v>
      </c>
      <c r="K1632">
        <f t="shared" ca="1" si="128"/>
        <v>0</v>
      </c>
      <c r="L1632" s="65">
        <v>1626</v>
      </c>
      <c r="M1632" s="71">
        <f t="shared" ca="1" si="129"/>
        <v>4.3428539092838658</v>
      </c>
      <c r="N1632" s="65"/>
    </row>
    <row r="1633" spans="1:14" x14ac:dyDescent="0.25">
      <c r="A1633" s="2">
        <v>1627</v>
      </c>
      <c r="B1633" s="11">
        <f t="shared" ca="1" si="126"/>
        <v>1</v>
      </c>
      <c r="C1633" s="26">
        <f t="shared" ca="1" si="130"/>
        <v>0.61844818782694611</v>
      </c>
      <c r="J1633">
        <f t="shared" ca="1" si="127"/>
        <v>1</v>
      </c>
      <c r="K1633">
        <f t="shared" ca="1" si="128"/>
        <v>0</v>
      </c>
      <c r="L1633" s="65">
        <v>1627</v>
      </c>
      <c r="M1633" s="71">
        <f t="shared" ca="1" si="129"/>
        <v>3.5072579247461002</v>
      </c>
      <c r="N1633" s="65"/>
    </row>
    <row r="1634" spans="1:14" x14ac:dyDescent="0.25">
      <c r="A1634" s="2">
        <v>1628</v>
      </c>
      <c r="B1634" s="11">
        <f t="shared" ca="1" si="126"/>
        <v>1</v>
      </c>
      <c r="C1634" s="26">
        <f t="shared" ca="1" si="130"/>
        <v>0.48766372818846537</v>
      </c>
      <c r="J1634">
        <f t="shared" ca="1" si="127"/>
        <v>1</v>
      </c>
      <c r="K1634">
        <f t="shared" ca="1" si="128"/>
        <v>0</v>
      </c>
      <c r="L1634" s="65">
        <v>1628</v>
      </c>
      <c r="M1634" s="71">
        <f t="shared" ca="1" si="129"/>
        <v>1.3618541841709104</v>
      </c>
      <c r="N1634" s="65"/>
    </row>
    <row r="1635" spans="1:14" x14ac:dyDescent="0.25">
      <c r="A1635" s="2">
        <v>1629</v>
      </c>
      <c r="B1635" s="11">
        <f t="shared" ca="1" si="126"/>
        <v>1</v>
      </c>
      <c r="C1635" s="26">
        <f t="shared" ca="1" si="130"/>
        <v>0.73004273132238573</v>
      </c>
      <c r="J1635">
        <f t="shared" ca="1" si="127"/>
        <v>1</v>
      </c>
      <c r="K1635">
        <f t="shared" ca="1" si="128"/>
        <v>0</v>
      </c>
      <c r="L1635" s="65">
        <v>1629</v>
      </c>
      <c r="M1635" s="71">
        <f t="shared" ca="1" si="129"/>
        <v>2.6648349921785548</v>
      </c>
      <c r="N1635" s="65"/>
    </row>
    <row r="1636" spans="1:14" x14ac:dyDescent="0.25">
      <c r="A1636" s="2">
        <v>1630</v>
      </c>
      <c r="B1636" s="11">
        <f t="shared" ca="1" si="126"/>
        <v>1</v>
      </c>
      <c r="C1636" s="26">
        <f t="shared" ca="1" si="130"/>
        <v>0.29975332515634245</v>
      </c>
      <c r="J1636">
        <f t="shared" ca="1" si="127"/>
        <v>1</v>
      </c>
      <c r="K1636">
        <f t="shared" ca="1" si="128"/>
        <v>0</v>
      </c>
      <c r="L1636" s="65">
        <v>1630</v>
      </c>
      <c r="M1636" s="71">
        <f t="shared" ca="1" si="129"/>
        <v>12.689279903328508</v>
      </c>
      <c r="N1636" s="65"/>
    </row>
    <row r="1637" spans="1:14" x14ac:dyDescent="0.25">
      <c r="A1637" s="2">
        <v>1631</v>
      </c>
      <c r="B1637" s="11">
        <f t="shared" ca="1" si="126"/>
        <v>1</v>
      </c>
      <c r="C1637" s="26">
        <f t="shared" ca="1" si="130"/>
        <v>0.37977399664356859</v>
      </c>
      <c r="J1637">
        <f t="shared" ca="1" si="127"/>
        <v>1</v>
      </c>
      <c r="K1637">
        <f t="shared" ca="1" si="128"/>
        <v>0</v>
      </c>
      <c r="L1637" s="65">
        <v>1631</v>
      </c>
      <c r="M1637" s="71">
        <f t="shared" ca="1" si="129"/>
        <v>6.9248443477969595</v>
      </c>
      <c r="N1637" s="65"/>
    </row>
    <row r="1638" spans="1:14" x14ac:dyDescent="0.25">
      <c r="A1638" s="2">
        <v>1632</v>
      </c>
      <c r="B1638" s="11">
        <f t="shared" ca="1" si="126"/>
        <v>1</v>
      </c>
      <c r="C1638" s="26">
        <f t="shared" ca="1" si="130"/>
        <v>0.37323893532570607</v>
      </c>
      <c r="J1638">
        <f t="shared" ca="1" si="127"/>
        <v>0</v>
      </c>
      <c r="K1638">
        <f t="shared" ca="1" si="128"/>
        <v>0</v>
      </c>
      <c r="L1638" s="65">
        <v>1632</v>
      </c>
      <c r="M1638" s="71">
        <f t="shared" ca="1" si="129"/>
        <v>6.4833448173485229</v>
      </c>
      <c r="N1638" s="65"/>
    </row>
    <row r="1639" spans="1:14" x14ac:dyDescent="0.25">
      <c r="A1639" s="2">
        <v>1633</v>
      </c>
      <c r="B1639" s="11">
        <f t="shared" ca="1" si="126"/>
        <v>0</v>
      </c>
      <c r="C1639" s="26">
        <f t="shared" ca="1" si="130"/>
        <v>0.83710550816403972</v>
      </c>
      <c r="J1639">
        <f t="shared" ca="1" si="127"/>
        <v>0</v>
      </c>
      <c r="K1639">
        <f t="shared" ca="1" si="128"/>
        <v>0</v>
      </c>
      <c r="L1639" s="65">
        <v>1633</v>
      </c>
      <c r="M1639" s="71">
        <f t="shared" ca="1" si="129"/>
        <v>0</v>
      </c>
      <c r="N1639" s="65"/>
    </row>
    <row r="1640" spans="1:14" x14ac:dyDescent="0.25">
      <c r="A1640" s="2">
        <v>1634</v>
      </c>
      <c r="B1640" s="11">
        <f t="shared" ca="1" si="126"/>
        <v>1</v>
      </c>
      <c r="C1640" s="26">
        <f t="shared" ca="1" si="130"/>
        <v>0.58534467205237284</v>
      </c>
      <c r="J1640">
        <f t="shared" ca="1" si="127"/>
        <v>1</v>
      </c>
      <c r="K1640">
        <f t="shared" ca="1" si="128"/>
        <v>0</v>
      </c>
      <c r="L1640" s="65">
        <v>1634</v>
      </c>
      <c r="M1640" s="71">
        <f t="shared" ca="1" si="129"/>
        <v>1.1721872325235476</v>
      </c>
      <c r="N1640" s="65"/>
    </row>
    <row r="1641" spans="1:14" x14ac:dyDescent="0.25">
      <c r="A1641" s="2">
        <v>1635</v>
      </c>
      <c r="B1641" s="11">
        <f t="shared" ca="1" si="126"/>
        <v>1</v>
      </c>
      <c r="C1641" s="26">
        <f t="shared" ca="1" si="130"/>
        <v>0.34642134705920846</v>
      </c>
      <c r="J1641">
        <f t="shared" ca="1" si="127"/>
        <v>1</v>
      </c>
      <c r="K1641">
        <f t="shared" ca="1" si="128"/>
        <v>0</v>
      </c>
      <c r="L1641" s="65">
        <v>1635</v>
      </c>
      <c r="M1641" s="71">
        <f t="shared" ca="1" si="129"/>
        <v>4.3584778662563695</v>
      </c>
      <c r="N1641" s="65"/>
    </row>
    <row r="1642" spans="1:14" x14ac:dyDescent="0.25">
      <c r="A1642" s="2">
        <v>1636</v>
      </c>
      <c r="B1642" s="11">
        <f t="shared" ca="1" si="126"/>
        <v>1</v>
      </c>
      <c r="C1642" s="26">
        <f t="shared" ca="1" si="130"/>
        <v>0.48871396504591758</v>
      </c>
      <c r="J1642">
        <f t="shared" ca="1" si="127"/>
        <v>1</v>
      </c>
      <c r="K1642">
        <f t="shared" ca="1" si="128"/>
        <v>0</v>
      </c>
      <c r="L1642" s="65">
        <v>1636</v>
      </c>
      <c r="M1642" s="71">
        <f t="shared" ca="1" si="129"/>
        <v>7.499773225771678</v>
      </c>
      <c r="N1642" s="65"/>
    </row>
    <row r="1643" spans="1:14" x14ac:dyDescent="0.25">
      <c r="A1643" s="2">
        <v>1637</v>
      </c>
      <c r="B1643" s="11">
        <f t="shared" ca="1" si="126"/>
        <v>1</v>
      </c>
      <c r="C1643" s="26">
        <f t="shared" ca="1" si="130"/>
        <v>0.46548999467961505</v>
      </c>
      <c r="J1643">
        <f t="shared" ca="1" si="127"/>
        <v>1</v>
      </c>
      <c r="K1643">
        <f t="shared" ca="1" si="128"/>
        <v>0</v>
      </c>
      <c r="L1643" s="65">
        <v>1637</v>
      </c>
      <c r="M1643" s="71">
        <f t="shared" ca="1" si="129"/>
        <v>8.4507370691709234</v>
      </c>
      <c r="N1643" s="65"/>
    </row>
    <row r="1644" spans="1:14" x14ac:dyDescent="0.25">
      <c r="A1644" s="2">
        <v>1638</v>
      </c>
      <c r="B1644" s="11">
        <f t="shared" ca="1" si="126"/>
        <v>1</v>
      </c>
      <c r="C1644" s="26">
        <f t="shared" ca="1" si="130"/>
        <v>0.72040955438999865</v>
      </c>
      <c r="J1644">
        <f t="shared" ca="1" si="127"/>
        <v>1</v>
      </c>
      <c r="K1644">
        <f t="shared" ca="1" si="128"/>
        <v>0</v>
      </c>
      <c r="L1644" s="65">
        <v>1638</v>
      </c>
      <c r="M1644" s="71">
        <f t="shared" ca="1" si="129"/>
        <v>3.3405721164281998</v>
      </c>
      <c r="N1644" s="65"/>
    </row>
    <row r="1645" spans="1:14" x14ac:dyDescent="0.25">
      <c r="A1645" s="2">
        <v>1639</v>
      </c>
      <c r="B1645" s="11">
        <f t="shared" ca="1" si="126"/>
        <v>1</v>
      </c>
      <c r="C1645" s="26">
        <f t="shared" ca="1" si="130"/>
        <v>2.0302894653336567E-2</v>
      </c>
      <c r="J1645">
        <f t="shared" ca="1" si="127"/>
        <v>1</v>
      </c>
      <c r="K1645">
        <f t="shared" ca="1" si="128"/>
        <v>0</v>
      </c>
      <c r="L1645" s="65">
        <v>1639</v>
      </c>
      <c r="M1645" s="71">
        <f t="shared" ca="1" si="129"/>
        <v>1.8992070683618658</v>
      </c>
      <c r="N1645" s="65"/>
    </row>
    <row r="1646" spans="1:14" x14ac:dyDescent="0.25">
      <c r="A1646" s="2">
        <v>1640</v>
      </c>
      <c r="B1646" s="11">
        <f t="shared" ca="1" si="126"/>
        <v>1</v>
      </c>
      <c r="C1646" s="26">
        <f t="shared" ca="1" si="130"/>
        <v>0.59664615544606669</v>
      </c>
      <c r="J1646">
        <f t="shared" ca="1" si="127"/>
        <v>0</v>
      </c>
      <c r="K1646">
        <f t="shared" ca="1" si="128"/>
        <v>0</v>
      </c>
      <c r="L1646" s="65">
        <v>1640</v>
      </c>
      <c r="M1646" s="71">
        <f t="shared" ca="1" si="129"/>
        <v>5.0696163494204134</v>
      </c>
      <c r="N1646" s="65"/>
    </row>
    <row r="1647" spans="1:14" x14ac:dyDescent="0.25">
      <c r="A1647" s="2">
        <v>1641</v>
      </c>
      <c r="B1647" s="11">
        <f t="shared" ref="B1647:B1710" ca="1" si="131">IF(B1646&gt;0,IF(C1647&lt;pww,1,0),IF(C1647&lt;pdw,1,0))</f>
        <v>0</v>
      </c>
      <c r="C1647" s="26">
        <f t="shared" ca="1" si="130"/>
        <v>0.98953283627752064</v>
      </c>
      <c r="J1647">
        <f t="shared" ref="J1647:J1710" ca="1" si="132">IF(AND(B1647,B1648),1,0)</f>
        <v>0</v>
      </c>
      <c r="K1647">
        <f t="shared" ref="K1647:K1710" ca="1" si="133">IF(AND(NOT(B1647),NOT(B1648)),1,0)</f>
        <v>0</v>
      </c>
      <c r="L1647" s="65">
        <v>1641</v>
      </c>
      <c r="M1647" s="71">
        <f t="shared" ca="1" si="129"/>
        <v>0</v>
      </c>
      <c r="N1647" s="65"/>
    </row>
    <row r="1648" spans="1:14" x14ac:dyDescent="0.25">
      <c r="A1648" s="2">
        <v>1642</v>
      </c>
      <c r="B1648" s="11">
        <f t="shared" ca="1" si="131"/>
        <v>1</v>
      </c>
      <c r="C1648" s="26">
        <f t="shared" ca="1" si="130"/>
        <v>0.60310241349834282</v>
      </c>
      <c r="J1648">
        <f t="shared" ca="1" si="132"/>
        <v>1</v>
      </c>
      <c r="K1648">
        <f t="shared" ca="1" si="133"/>
        <v>0</v>
      </c>
      <c r="L1648" s="65">
        <v>1642</v>
      </c>
      <c r="M1648" s="71">
        <f t="shared" ca="1" si="129"/>
        <v>4.1049797206949981</v>
      </c>
      <c r="N1648" s="65"/>
    </row>
    <row r="1649" spans="1:14" x14ac:dyDescent="0.25">
      <c r="A1649" s="2">
        <v>1643</v>
      </c>
      <c r="B1649" s="11">
        <f t="shared" ca="1" si="131"/>
        <v>1</v>
      </c>
      <c r="C1649" s="26">
        <f t="shared" ca="1" si="130"/>
        <v>0.20865661512585021</v>
      </c>
      <c r="J1649">
        <f t="shared" ca="1" si="132"/>
        <v>1</v>
      </c>
      <c r="K1649">
        <f t="shared" ca="1" si="133"/>
        <v>0</v>
      </c>
      <c r="L1649" s="65">
        <v>1643</v>
      </c>
      <c r="M1649" s="71">
        <f t="shared" ca="1" si="129"/>
        <v>0.25620047545329583</v>
      </c>
      <c r="N1649" s="65"/>
    </row>
    <row r="1650" spans="1:14" x14ac:dyDescent="0.25">
      <c r="A1650" s="2">
        <v>1644</v>
      </c>
      <c r="B1650" s="11">
        <f t="shared" ca="1" si="131"/>
        <v>1</v>
      </c>
      <c r="C1650" s="26">
        <f t="shared" ca="1" si="130"/>
        <v>0.65802217120378792</v>
      </c>
      <c r="J1650">
        <f t="shared" ca="1" si="132"/>
        <v>1</v>
      </c>
      <c r="K1650">
        <f t="shared" ca="1" si="133"/>
        <v>0</v>
      </c>
      <c r="L1650" s="65">
        <v>1644</v>
      </c>
      <c r="M1650" s="71">
        <f t="shared" ca="1" si="129"/>
        <v>24.25054579517753</v>
      </c>
      <c r="N1650" s="65"/>
    </row>
    <row r="1651" spans="1:14" x14ac:dyDescent="0.25">
      <c r="A1651" s="2">
        <v>1645</v>
      </c>
      <c r="B1651" s="11">
        <f t="shared" ca="1" si="131"/>
        <v>1</v>
      </c>
      <c r="C1651" s="26">
        <f t="shared" ca="1" si="130"/>
        <v>0.62787147711933722</v>
      </c>
      <c r="J1651">
        <f t="shared" ca="1" si="132"/>
        <v>0</v>
      </c>
      <c r="K1651">
        <f t="shared" ca="1" si="133"/>
        <v>0</v>
      </c>
      <c r="L1651" s="65">
        <v>1645</v>
      </c>
      <c r="M1651" s="71">
        <f t="shared" ca="1" si="129"/>
        <v>8.6300029393819297</v>
      </c>
      <c r="N1651" s="65"/>
    </row>
    <row r="1652" spans="1:14" x14ac:dyDescent="0.25">
      <c r="A1652" s="2">
        <v>1646</v>
      </c>
      <c r="B1652" s="11">
        <f t="shared" ca="1" si="131"/>
        <v>0</v>
      </c>
      <c r="C1652" s="26">
        <f t="shared" ca="1" si="130"/>
        <v>0.84265441801566621</v>
      </c>
      <c r="J1652">
        <f t="shared" ca="1" si="132"/>
        <v>0</v>
      </c>
      <c r="K1652">
        <f t="shared" ca="1" si="133"/>
        <v>0</v>
      </c>
      <c r="L1652" s="65">
        <v>1646</v>
      </c>
      <c r="M1652" s="71">
        <f t="shared" ca="1" si="129"/>
        <v>0</v>
      </c>
      <c r="N1652" s="65"/>
    </row>
    <row r="1653" spans="1:14" x14ac:dyDescent="0.25">
      <c r="A1653" s="2">
        <v>1647</v>
      </c>
      <c r="B1653" s="11">
        <f t="shared" ca="1" si="131"/>
        <v>1</v>
      </c>
      <c r="C1653" s="26">
        <f t="shared" ca="1" si="130"/>
        <v>0.10306464043263719</v>
      </c>
      <c r="J1653">
        <f t="shared" ca="1" si="132"/>
        <v>1</v>
      </c>
      <c r="K1653">
        <f t="shared" ca="1" si="133"/>
        <v>0</v>
      </c>
      <c r="L1653" s="65">
        <v>1647</v>
      </c>
      <c r="M1653" s="71">
        <f t="shared" ca="1" si="129"/>
        <v>1.3259430752376062</v>
      </c>
      <c r="N1653" s="65"/>
    </row>
    <row r="1654" spans="1:14" x14ac:dyDescent="0.25">
      <c r="A1654" s="2">
        <v>1648</v>
      </c>
      <c r="B1654" s="11">
        <f t="shared" ca="1" si="131"/>
        <v>1</v>
      </c>
      <c r="C1654" s="26">
        <f t="shared" ca="1" si="130"/>
        <v>0.45295269816163475</v>
      </c>
      <c r="J1654">
        <f t="shared" ca="1" si="132"/>
        <v>1</v>
      </c>
      <c r="K1654">
        <f t="shared" ca="1" si="133"/>
        <v>0</v>
      </c>
      <c r="L1654" s="65">
        <v>1648</v>
      </c>
      <c r="M1654" s="71">
        <f t="shared" ca="1" si="129"/>
        <v>2.1648690711862728</v>
      </c>
      <c r="N1654" s="65"/>
    </row>
    <row r="1655" spans="1:14" x14ac:dyDescent="0.25">
      <c r="A1655" s="2">
        <v>1649</v>
      </c>
      <c r="B1655" s="11">
        <f t="shared" ca="1" si="131"/>
        <v>1</v>
      </c>
      <c r="C1655" s="26">
        <f t="shared" ca="1" si="130"/>
        <v>0.33509749719495852</v>
      </c>
      <c r="J1655">
        <f t="shared" ca="1" si="132"/>
        <v>0</v>
      </c>
      <c r="K1655">
        <f t="shared" ca="1" si="133"/>
        <v>0</v>
      </c>
      <c r="L1655" s="65">
        <v>1649</v>
      </c>
      <c r="M1655" s="71">
        <f t="shared" ca="1" si="129"/>
        <v>2.4459187729418628</v>
      </c>
      <c r="N1655" s="65"/>
    </row>
    <row r="1656" spans="1:14" x14ac:dyDescent="0.25">
      <c r="A1656" s="2">
        <v>1650</v>
      </c>
      <c r="B1656" s="11">
        <f t="shared" ca="1" si="131"/>
        <v>0</v>
      </c>
      <c r="C1656" s="26">
        <f t="shared" ca="1" si="130"/>
        <v>0.8605359702416735</v>
      </c>
      <c r="J1656">
        <f t="shared" ca="1" si="132"/>
        <v>0</v>
      </c>
      <c r="K1656">
        <f t="shared" ca="1" si="133"/>
        <v>0</v>
      </c>
      <c r="L1656" s="65">
        <v>1650</v>
      </c>
      <c r="M1656" s="71">
        <f t="shared" ca="1" si="129"/>
        <v>0</v>
      </c>
      <c r="N1656" s="65"/>
    </row>
    <row r="1657" spans="1:14" x14ac:dyDescent="0.25">
      <c r="A1657" s="2">
        <v>1651</v>
      </c>
      <c r="B1657" s="11">
        <f t="shared" ca="1" si="131"/>
        <v>1</v>
      </c>
      <c r="C1657" s="26">
        <f t="shared" ca="1" si="130"/>
        <v>8.5988239232786867E-2</v>
      </c>
      <c r="J1657">
        <f t="shared" ca="1" si="132"/>
        <v>1</v>
      </c>
      <c r="K1657">
        <f t="shared" ca="1" si="133"/>
        <v>0</v>
      </c>
      <c r="L1657" s="65">
        <v>1651</v>
      </c>
      <c r="M1657" s="71">
        <f t="shared" ca="1" si="129"/>
        <v>2.02035637688462</v>
      </c>
      <c r="N1657" s="65"/>
    </row>
    <row r="1658" spans="1:14" x14ac:dyDescent="0.25">
      <c r="A1658" s="2">
        <v>1652</v>
      </c>
      <c r="B1658" s="11">
        <f t="shared" ca="1" si="131"/>
        <v>1</v>
      </c>
      <c r="C1658" s="26">
        <f t="shared" ca="1" si="130"/>
        <v>0.36007579446599147</v>
      </c>
      <c r="J1658">
        <f t="shared" ca="1" si="132"/>
        <v>1</v>
      </c>
      <c r="K1658">
        <f t="shared" ca="1" si="133"/>
        <v>0</v>
      </c>
      <c r="L1658" s="65">
        <v>1652</v>
      </c>
      <c r="M1658" s="71">
        <f t="shared" ca="1" si="129"/>
        <v>1.6740333029602077</v>
      </c>
      <c r="N1658" s="65"/>
    </row>
    <row r="1659" spans="1:14" x14ac:dyDescent="0.25">
      <c r="A1659" s="2">
        <v>1653</v>
      </c>
      <c r="B1659" s="11">
        <f t="shared" ca="1" si="131"/>
        <v>1</v>
      </c>
      <c r="C1659" s="26">
        <f t="shared" ca="1" si="130"/>
        <v>0.11404773008484426</v>
      </c>
      <c r="J1659">
        <f t="shared" ca="1" si="132"/>
        <v>1</v>
      </c>
      <c r="K1659">
        <f t="shared" ca="1" si="133"/>
        <v>0</v>
      </c>
      <c r="L1659" s="65">
        <v>1653</v>
      </c>
      <c r="M1659" s="71">
        <f t="shared" ca="1" si="129"/>
        <v>9.7463726201656282</v>
      </c>
      <c r="N1659" s="65"/>
    </row>
    <row r="1660" spans="1:14" x14ac:dyDescent="0.25">
      <c r="A1660" s="2">
        <v>1654</v>
      </c>
      <c r="B1660" s="11">
        <f t="shared" ca="1" si="131"/>
        <v>1</v>
      </c>
      <c r="C1660" s="26">
        <f t="shared" ca="1" si="130"/>
        <v>0.32191298364546472</v>
      </c>
      <c r="J1660">
        <f t="shared" ca="1" si="132"/>
        <v>0</v>
      </c>
      <c r="K1660">
        <f t="shared" ca="1" si="133"/>
        <v>0</v>
      </c>
      <c r="L1660" s="65">
        <v>1654</v>
      </c>
      <c r="M1660" s="71">
        <f t="shared" ca="1" si="129"/>
        <v>0.91517714058815836</v>
      </c>
      <c r="N1660" s="65"/>
    </row>
    <row r="1661" spans="1:14" x14ac:dyDescent="0.25">
      <c r="A1661" s="2">
        <v>1655</v>
      </c>
      <c r="B1661" s="11">
        <f t="shared" ca="1" si="131"/>
        <v>0</v>
      </c>
      <c r="C1661" s="26">
        <f t="shared" ca="1" si="130"/>
        <v>0.86994669104504385</v>
      </c>
      <c r="J1661">
        <f t="shared" ca="1" si="132"/>
        <v>0</v>
      </c>
      <c r="K1661">
        <f t="shared" ca="1" si="133"/>
        <v>0</v>
      </c>
      <c r="L1661" s="65">
        <v>1655</v>
      </c>
      <c r="M1661" s="71">
        <f t="shared" ca="1" si="129"/>
        <v>0</v>
      </c>
      <c r="N1661" s="65"/>
    </row>
    <row r="1662" spans="1:14" x14ac:dyDescent="0.25">
      <c r="A1662" s="2">
        <v>1656</v>
      </c>
      <c r="B1662" s="11">
        <f t="shared" ca="1" si="131"/>
        <v>1</v>
      </c>
      <c r="C1662" s="26">
        <f t="shared" ca="1" si="130"/>
        <v>0.42118037414843879</v>
      </c>
      <c r="J1662">
        <f t="shared" ca="1" si="132"/>
        <v>1</v>
      </c>
      <c r="K1662">
        <f t="shared" ca="1" si="133"/>
        <v>0</v>
      </c>
      <c r="L1662" s="65">
        <v>1656</v>
      </c>
      <c r="M1662" s="71">
        <f t="shared" ca="1" si="129"/>
        <v>7.3531243998896434</v>
      </c>
      <c r="N1662" s="65"/>
    </row>
    <row r="1663" spans="1:14" x14ac:dyDescent="0.25">
      <c r="A1663" s="2">
        <v>1657</v>
      </c>
      <c r="B1663" s="11">
        <f t="shared" ca="1" si="131"/>
        <v>1</v>
      </c>
      <c r="C1663" s="26">
        <f t="shared" ca="1" si="130"/>
        <v>6.1002245306007064E-2</v>
      </c>
      <c r="J1663">
        <f t="shared" ca="1" si="132"/>
        <v>1</v>
      </c>
      <c r="K1663">
        <f t="shared" ca="1" si="133"/>
        <v>0</v>
      </c>
      <c r="L1663" s="65">
        <v>1657</v>
      </c>
      <c r="M1663" s="71">
        <f t="shared" ca="1" si="129"/>
        <v>12.856283802806452</v>
      </c>
      <c r="N1663" s="65"/>
    </row>
    <row r="1664" spans="1:14" x14ac:dyDescent="0.25">
      <c r="A1664" s="2">
        <v>1658</v>
      </c>
      <c r="B1664" s="11">
        <f t="shared" ca="1" si="131"/>
        <v>1</v>
      </c>
      <c r="C1664" s="26">
        <f t="shared" ca="1" si="130"/>
        <v>0.59602178829706731</v>
      </c>
      <c r="J1664">
        <f t="shared" ca="1" si="132"/>
        <v>1</v>
      </c>
      <c r="K1664">
        <f t="shared" ca="1" si="133"/>
        <v>0</v>
      </c>
      <c r="L1664" s="65">
        <v>1658</v>
      </c>
      <c r="M1664" s="71">
        <f t="shared" ca="1" si="129"/>
        <v>1.2018774612717311</v>
      </c>
      <c r="N1664" s="65"/>
    </row>
    <row r="1665" spans="1:14" x14ac:dyDescent="0.25">
      <c r="A1665" s="2">
        <v>1659</v>
      </c>
      <c r="B1665" s="11">
        <f t="shared" ca="1" si="131"/>
        <v>1</v>
      </c>
      <c r="C1665" s="26">
        <f t="shared" ca="1" si="130"/>
        <v>0.73359596731414234</v>
      </c>
      <c r="J1665">
        <f t="shared" ca="1" si="132"/>
        <v>0</v>
      </c>
      <c r="K1665">
        <f t="shared" ca="1" si="133"/>
        <v>0</v>
      </c>
      <c r="L1665" s="65">
        <v>1659</v>
      </c>
      <c r="M1665" s="71">
        <f t="shared" ca="1" si="129"/>
        <v>4.2531655088751261</v>
      </c>
      <c r="N1665" s="65"/>
    </row>
    <row r="1666" spans="1:14" x14ac:dyDescent="0.25">
      <c r="A1666" s="2">
        <v>1660</v>
      </c>
      <c r="B1666" s="11">
        <f t="shared" ca="1" si="131"/>
        <v>0</v>
      </c>
      <c r="C1666" s="26">
        <f t="shared" ca="1" si="130"/>
        <v>0.9114857161539478</v>
      </c>
      <c r="J1666">
        <f t="shared" ca="1" si="132"/>
        <v>0</v>
      </c>
      <c r="K1666">
        <f t="shared" ca="1" si="133"/>
        <v>0</v>
      </c>
      <c r="L1666" s="65">
        <v>1660</v>
      </c>
      <c r="M1666" s="71">
        <f t="shared" ca="1" si="129"/>
        <v>0</v>
      </c>
      <c r="N1666" s="65"/>
    </row>
    <row r="1667" spans="1:14" x14ac:dyDescent="0.25">
      <c r="A1667" s="2">
        <v>1661</v>
      </c>
      <c r="B1667" s="11">
        <f t="shared" ca="1" si="131"/>
        <v>1</v>
      </c>
      <c r="C1667" s="26">
        <f t="shared" ca="1" si="130"/>
        <v>0.31093433789307012</v>
      </c>
      <c r="J1667">
        <f t="shared" ca="1" si="132"/>
        <v>1</v>
      </c>
      <c r="K1667">
        <f t="shared" ca="1" si="133"/>
        <v>0</v>
      </c>
      <c r="L1667" s="65">
        <v>1661</v>
      </c>
      <c r="M1667" s="71">
        <f t="shared" ca="1" si="129"/>
        <v>1.8604791585594074</v>
      </c>
      <c r="N1667" s="65"/>
    </row>
    <row r="1668" spans="1:14" x14ac:dyDescent="0.25">
      <c r="A1668" s="2">
        <v>1662</v>
      </c>
      <c r="B1668" s="11">
        <f t="shared" ca="1" si="131"/>
        <v>1</v>
      </c>
      <c r="C1668" s="26">
        <f t="shared" ca="1" si="130"/>
        <v>0.48724832369296567</v>
      </c>
      <c r="J1668">
        <f t="shared" ca="1" si="132"/>
        <v>1</v>
      </c>
      <c r="K1668">
        <f t="shared" ca="1" si="133"/>
        <v>0</v>
      </c>
      <c r="L1668" s="65">
        <v>1662</v>
      </c>
      <c r="M1668" s="71">
        <f t="shared" ca="1" si="129"/>
        <v>6.4011755627231492</v>
      </c>
      <c r="N1668" s="65"/>
    </row>
    <row r="1669" spans="1:14" x14ac:dyDescent="0.25">
      <c r="A1669" s="2">
        <v>1663</v>
      </c>
      <c r="B1669" s="11">
        <f t="shared" ca="1" si="131"/>
        <v>1</v>
      </c>
      <c r="C1669" s="26">
        <f t="shared" ca="1" si="130"/>
        <v>0.551298482169153</v>
      </c>
      <c r="J1669">
        <f t="shared" ca="1" si="132"/>
        <v>1</v>
      </c>
      <c r="K1669">
        <f t="shared" ca="1" si="133"/>
        <v>0</v>
      </c>
      <c r="L1669" s="65">
        <v>1663</v>
      </c>
      <c r="M1669" s="71">
        <f t="shared" ca="1" si="129"/>
        <v>6.4998692100282502</v>
      </c>
      <c r="N1669" s="65"/>
    </row>
    <row r="1670" spans="1:14" x14ac:dyDescent="0.25">
      <c r="A1670" s="2">
        <v>1664</v>
      </c>
      <c r="B1670" s="11">
        <f t="shared" ca="1" si="131"/>
        <v>1</v>
      </c>
      <c r="C1670" s="26">
        <f t="shared" ca="1" si="130"/>
        <v>2.8809497116760729E-3</v>
      </c>
      <c r="J1670">
        <f t="shared" ca="1" si="132"/>
        <v>1</v>
      </c>
      <c r="K1670">
        <f t="shared" ca="1" si="133"/>
        <v>0</v>
      </c>
      <c r="L1670" s="65">
        <v>1664</v>
      </c>
      <c r="M1670" s="71">
        <f t="shared" ca="1" si="129"/>
        <v>13.386665494747049</v>
      </c>
      <c r="N1670" s="65"/>
    </row>
    <row r="1671" spans="1:14" x14ac:dyDescent="0.25">
      <c r="A1671" s="2">
        <v>1665</v>
      </c>
      <c r="B1671" s="11">
        <f t="shared" ca="1" si="131"/>
        <v>1</v>
      </c>
      <c r="C1671" s="26">
        <f t="shared" ca="1" si="130"/>
        <v>0.14918812270971837</v>
      </c>
      <c r="J1671">
        <f t="shared" ca="1" si="132"/>
        <v>1</v>
      </c>
      <c r="K1671">
        <f t="shared" ca="1" si="133"/>
        <v>0</v>
      </c>
      <c r="L1671" s="65">
        <v>1665</v>
      </c>
      <c r="M1671" s="71">
        <f t="shared" ref="M1671:M1734" ca="1" si="134">IF(B1671&gt;0,-LN(1-(RAND()))/lambda,0)</f>
        <v>3.990500839981459</v>
      </c>
      <c r="N1671" s="65"/>
    </row>
    <row r="1672" spans="1:14" x14ac:dyDescent="0.25">
      <c r="A1672" s="2">
        <v>1666</v>
      </c>
      <c r="B1672" s="11">
        <f t="shared" ca="1" si="131"/>
        <v>1</v>
      </c>
      <c r="C1672" s="26">
        <f t="shared" ref="C1672:C1735" ca="1" si="135">RAND()</f>
        <v>0.36780530522679311</v>
      </c>
      <c r="J1672">
        <f t="shared" ca="1" si="132"/>
        <v>1</v>
      </c>
      <c r="K1672">
        <f t="shared" ca="1" si="133"/>
        <v>0</v>
      </c>
      <c r="L1672" s="65">
        <v>1666</v>
      </c>
      <c r="M1672" s="71">
        <f t="shared" ca="1" si="134"/>
        <v>15.06195760017081</v>
      </c>
      <c r="N1672" s="65"/>
    </row>
    <row r="1673" spans="1:14" x14ac:dyDescent="0.25">
      <c r="A1673" s="2">
        <v>1667</v>
      </c>
      <c r="B1673" s="11">
        <f t="shared" ca="1" si="131"/>
        <v>1</v>
      </c>
      <c r="C1673" s="26">
        <f t="shared" ca="1" si="135"/>
        <v>0.66595176252993837</v>
      </c>
      <c r="J1673">
        <f t="shared" ca="1" si="132"/>
        <v>1</v>
      </c>
      <c r="K1673">
        <f t="shared" ca="1" si="133"/>
        <v>0</v>
      </c>
      <c r="L1673" s="65">
        <v>1667</v>
      </c>
      <c r="M1673" s="71">
        <f t="shared" ca="1" si="134"/>
        <v>5.812258947871034</v>
      </c>
      <c r="N1673" s="65"/>
    </row>
    <row r="1674" spans="1:14" x14ac:dyDescent="0.25">
      <c r="A1674" s="2">
        <v>1668</v>
      </c>
      <c r="B1674" s="11">
        <f t="shared" ca="1" si="131"/>
        <v>1</v>
      </c>
      <c r="C1674" s="26">
        <f t="shared" ca="1" si="135"/>
        <v>0.68669174834315949</v>
      </c>
      <c r="J1674">
        <f t="shared" ca="1" si="132"/>
        <v>1</v>
      </c>
      <c r="K1674">
        <f t="shared" ca="1" si="133"/>
        <v>0</v>
      </c>
      <c r="L1674" s="65">
        <v>1668</v>
      </c>
      <c r="M1674" s="71">
        <f t="shared" ca="1" si="134"/>
        <v>7.7254758613722334</v>
      </c>
      <c r="N1674" s="65"/>
    </row>
    <row r="1675" spans="1:14" x14ac:dyDescent="0.25">
      <c r="A1675" s="2">
        <v>1669</v>
      </c>
      <c r="B1675" s="11">
        <f t="shared" ca="1" si="131"/>
        <v>1</v>
      </c>
      <c r="C1675" s="26">
        <f t="shared" ca="1" si="135"/>
        <v>0.47312462461321914</v>
      </c>
      <c r="J1675">
        <f t="shared" ca="1" si="132"/>
        <v>1</v>
      </c>
      <c r="K1675">
        <f t="shared" ca="1" si="133"/>
        <v>0</v>
      </c>
      <c r="L1675" s="65">
        <v>1669</v>
      </c>
      <c r="M1675" s="71">
        <f t="shared" ca="1" si="134"/>
        <v>9.1578807369362565</v>
      </c>
      <c r="N1675" s="65"/>
    </row>
    <row r="1676" spans="1:14" x14ac:dyDescent="0.25">
      <c r="A1676" s="2">
        <v>1670</v>
      </c>
      <c r="B1676" s="11">
        <f t="shared" ca="1" si="131"/>
        <v>1</v>
      </c>
      <c r="C1676" s="26">
        <f t="shared" ca="1" si="135"/>
        <v>0.75551849962888218</v>
      </c>
      <c r="J1676">
        <f t="shared" ca="1" si="132"/>
        <v>1</v>
      </c>
      <c r="K1676">
        <f t="shared" ca="1" si="133"/>
        <v>0</v>
      </c>
      <c r="L1676" s="65">
        <v>1670</v>
      </c>
      <c r="M1676" s="71">
        <f t="shared" ca="1" si="134"/>
        <v>1.8152693134659157</v>
      </c>
      <c r="N1676" s="65"/>
    </row>
    <row r="1677" spans="1:14" x14ac:dyDescent="0.25">
      <c r="A1677" s="2">
        <v>1671</v>
      </c>
      <c r="B1677" s="11">
        <f t="shared" ca="1" si="131"/>
        <v>1</v>
      </c>
      <c r="C1677" s="26">
        <f t="shared" ca="1" si="135"/>
        <v>0.69306043093696323</v>
      </c>
      <c r="J1677">
        <f t="shared" ca="1" si="132"/>
        <v>1</v>
      </c>
      <c r="K1677">
        <f t="shared" ca="1" si="133"/>
        <v>0</v>
      </c>
      <c r="L1677" s="65">
        <v>1671</v>
      </c>
      <c r="M1677" s="71">
        <f t="shared" ca="1" si="134"/>
        <v>2.8730277147754526</v>
      </c>
      <c r="N1677" s="65"/>
    </row>
    <row r="1678" spans="1:14" x14ac:dyDescent="0.25">
      <c r="A1678" s="2">
        <v>1672</v>
      </c>
      <c r="B1678" s="11">
        <f t="shared" ca="1" si="131"/>
        <v>1</v>
      </c>
      <c r="C1678" s="26">
        <f t="shared" ca="1" si="135"/>
        <v>0.70593012225601481</v>
      </c>
      <c r="J1678">
        <f t="shared" ca="1" si="132"/>
        <v>1</v>
      </c>
      <c r="K1678">
        <f t="shared" ca="1" si="133"/>
        <v>0</v>
      </c>
      <c r="L1678" s="65">
        <v>1672</v>
      </c>
      <c r="M1678" s="71">
        <f t="shared" ca="1" si="134"/>
        <v>0.30485135707058503</v>
      </c>
      <c r="N1678" s="65"/>
    </row>
    <row r="1679" spans="1:14" x14ac:dyDescent="0.25">
      <c r="A1679" s="2">
        <v>1673</v>
      </c>
      <c r="B1679" s="11">
        <f t="shared" ca="1" si="131"/>
        <v>1</v>
      </c>
      <c r="C1679" s="26">
        <f t="shared" ca="1" si="135"/>
        <v>0.10825552799588711</v>
      </c>
      <c r="J1679">
        <f t="shared" ca="1" si="132"/>
        <v>1</v>
      </c>
      <c r="K1679">
        <f t="shared" ca="1" si="133"/>
        <v>0</v>
      </c>
      <c r="L1679" s="65">
        <v>1673</v>
      </c>
      <c r="M1679" s="71">
        <f t="shared" ca="1" si="134"/>
        <v>7.5411040458087673</v>
      </c>
      <c r="N1679" s="65"/>
    </row>
    <row r="1680" spans="1:14" x14ac:dyDescent="0.25">
      <c r="A1680" s="2">
        <v>1674</v>
      </c>
      <c r="B1680" s="11">
        <f t="shared" ca="1" si="131"/>
        <v>1</v>
      </c>
      <c r="C1680" s="26">
        <f t="shared" ca="1" si="135"/>
        <v>0.67445952067388959</v>
      </c>
      <c r="J1680">
        <f t="shared" ca="1" si="132"/>
        <v>1</v>
      </c>
      <c r="K1680">
        <f t="shared" ca="1" si="133"/>
        <v>0</v>
      </c>
      <c r="L1680" s="65">
        <v>1674</v>
      </c>
      <c r="M1680" s="71">
        <f t="shared" ca="1" si="134"/>
        <v>5.8399633812713798</v>
      </c>
      <c r="N1680" s="65"/>
    </row>
    <row r="1681" spans="1:14" x14ac:dyDescent="0.25">
      <c r="A1681" s="2">
        <v>1675</v>
      </c>
      <c r="B1681" s="11">
        <f t="shared" ca="1" si="131"/>
        <v>1</v>
      </c>
      <c r="C1681" s="26">
        <f t="shared" ca="1" si="135"/>
        <v>0.48960568927902126</v>
      </c>
      <c r="J1681">
        <f t="shared" ca="1" si="132"/>
        <v>1</v>
      </c>
      <c r="K1681">
        <f t="shared" ca="1" si="133"/>
        <v>0</v>
      </c>
      <c r="L1681" s="65">
        <v>1675</v>
      </c>
      <c r="M1681" s="71">
        <f t="shared" ca="1" si="134"/>
        <v>9.2686045497633613E-3</v>
      </c>
      <c r="N1681" s="65"/>
    </row>
    <row r="1682" spans="1:14" x14ac:dyDescent="0.25">
      <c r="A1682" s="2">
        <v>1676</v>
      </c>
      <c r="B1682" s="11">
        <f t="shared" ca="1" si="131"/>
        <v>1</v>
      </c>
      <c r="C1682" s="26">
        <f t="shared" ca="1" si="135"/>
        <v>0.70174223094615651</v>
      </c>
      <c r="J1682">
        <f t="shared" ca="1" si="132"/>
        <v>0</v>
      </c>
      <c r="K1682">
        <f t="shared" ca="1" si="133"/>
        <v>0</v>
      </c>
      <c r="L1682" s="65">
        <v>1676</v>
      </c>
      <c r="M1682" s="71">
        <f t="shared" ca="1" si="134"/>
        <v>2.5519023267402701</v>
      </c>
      <c r="N1682" s="65"/>
    </row>
    <row r="1683" spans="1:14" x14ac:dyDescent="0.25">
      <c r="A1683" s="2">
        <v>1677</v>
      </c>
      <c r="B1683" s="11">
        <f t="shared" ca="1" si="131"/>
        <v>0</v>
      </c>
      <c r="C1683" s="26">
        <f t="shared" ca="1" si="135"/>
        <v>0.92016672998565296</v>
      </c>
      <c r="J1683">
        <f t="shared" ca="1" si="132"/>
        <v>0</v>
      </c>
      <c r="K1683">
        <f t="shared" ca="1" si="133"/>
        <v>0</v>
      </c>
      <c r="L1683" s="65">
        <v>1677</v>
      </c>
      <c r="M1683" s="71">
        <f t="shared" ca="1" si="134"/>
        <v>0</v>
      </c>
      <c r="N1683" s="65"/>
    </row>
    <row r="1684" spans="1:14" x14ac:dyDescent="0.25">
      <c r="A1684" s="2">
        <v>1678</v>
      </c>
      <c r="B1684" s="11">
        <f t="shared" ca="1" si="131"/>
        <v>1</v>
      </c>
      <c r="C1684" s="26">
        <f t="shared" ca="1" si="135"/>
        <v>0.44749129504071972</v>
      </c>
      <c r="J1684">
        <f t="shared" ca="1" si="132"/>
        <v>1</v>
      </c>
      <c r="K1684">
        <f t="shared" ca="1" si="133"/>
        <v>0</v>
      </c>
      <c r="L1684" s="65">
        <v>1678</v>
      </c>
      <c r="M1684" s="71">
        <f t="shared" ca="1" si="134"/>
        <v>1.0929283253165964</v>
      </c>
      <c r="N1684" s="65"/>
    </row>
    <row r="1685" spans="1:14" x14ac:dyDescent="0.25">
      <c r="A1685" s="2">
        <v>1679</v>
      </c>
      <c r="B1685" s="11">
        <f t="shared" ca="1" si="131"/>
        <v>1</v>
      </c>
      <c r="C1685" s="26">
        <f t="shared" ca="1" si="135"/>
        <v>0.25000702478788761</v>
      </c>
      <c r="J1685">
        <f t="shared" ca="1" si="132"/>
        <v>1</v>
      </c>
      <c r="K1685">
        <f t="shared" ca="1" si="133"/>
        <v>0</v>
      </c>
      <c r="L1685" s="65">
        <v>1679</v>
      </c>
      <c r="M1685" s="71">
        <f t="shared" ca="1" si="134"/>
        <v>3.5136987230072863</v>
      </c>
      <c r="N1685" s="65"/>
    </row>
    <row r="1686" spans="1:14" x14ac:dyDescent="0.25">
      <c r="A1686" s="2">
        <v>1680</v>
      </c>
      <c r="B1686" s="11">
        <f t="shared" ca="1" si="131"/>
        <v>1</v>
      </c>
      <c r="C1686" s="26">
        <f t="shared" ca="1" si="135"/>
        <v>0.53663153964458743</v>
      </c>
      <c r="J1686">
        <f t="shared" ca="1" si="132"/>
        <v>1</v>
      </c>
      <c r="K1686">
        <f t="shared" ca="1" si="133"/>
        <v>0</v>
      </c>
      <c r="L1686" s="65">
        <v>1680</v>
      </c>
      <c r="M1686" s="71">
        <f t="shared" ca="1" si="134"/>
        <v>0.84496509697196442</v>
      </c>
      <c r="N1686" s="65"/>
    </row>
    <row r="1687" spans="1:14" x14ac:dyDescent="0.25">
      <c r="A1687" s="2">
        <v>1681</v>
      </c>
      <c r="B1687" s="11">
        <f t="shared" ca="1" si="131"/>
        <v>1</v>
      </c>
      <c r="C1687" s="26">
        <f t="shared" ca="1" si="135"/>
        <v>0.57189555442924922</v>
      </c>
      <c r="J1687">
        <f t="shared" ca="1" si="132"/>
        <v>1</v>
      </c>
      <c r="K1687">
        <f t="shared" ca="1" si="133"/>
        <v>0</v>
      </c>
      <c r="L1687" s="65">
        <v>1681</v>
      </c>
      <c r="M1687" s="71">
        <f t="shared" ca="1" si="134"/>
        <v>2.3563216685911983</v>
      </c>
      <c r="N1687" s="65"/>
    </row>
    <row r="1688" spans="1:14" x14ac:dyDescent="0.25">
      <c r="A1688" s="2">
        <v>1682</v>
      </c>
      <c r="B1688" s="11">
        <f t="shared" ca="1" si="131"/>
        <v>1</v>
      </c>
      <c r="C1688" s="26">
        <f t="shared" ca="1" si="135"/>
        <v>3.081147900269976E-2</v>
      </c>
      <c r="J1688">
        <f t="shared" ca="1" si="132"/>
        <v>1</v>
      </c>
      <c r="K1688">
        <f t="shared" ca="1" si="133"/>
        <v>0</v>
      </c>
      <c r="L1688" s="65">
        <v>1682</v>
      </c>
      <c r="M1688" s="71">
        <f t="shared" ca="1" si="134"/>
        <v>1.8515171263715351</v>
      </c>
      <c r="N1688" s="65"/>
    </row>
    <row r="1689" spans="1:14" x14ac:dyDescent="0.25">
      <c r="A1689" s="2">
        <v>1683</v>
      </c>
      <c r="B1689" s="11">
        <f t="shared" ca="1" si="131"/>
        <v>1</v>
      </c>
      <c r="C1689" s="26">
        <f t="shared" ca="1" si="135"/>
        <v>0.42810857512157552</v>
      </c>
      <c r="J1689">
        <f t="shared" ca="1" si="132"/>
        <v>0</v>
      </c>
      <c r="K1689">
        <f t="shared" ca="1" si="133"/>
        <v>0</v>
      </c>
      <c r="L1689" s="65">
        <v>1683</v>
      </c>
      <c r="M1689" s="71">
        <f t="shared" ca="1" si="134"/>
        <v>1.4279093494166304</v>
      </c>
      <c r="N1689" s="65"/>
    </row>
    <row r="1690" spans="1:14" x14ac:dyDescent="0.25">
      <c r="A1690" s="2">
        <v>1684</v>
      </c>
      <c r="B1690" s="11">
        <f t="shared" ca="1" si="131"/>
        <v>0</v>
      </c>
      <c r="C1690" s="26">
        <f t="shared" ca="1" si="135"/>
        <v>0.89117493215462806</v>
      </c>
      <c r="J1690">
        <f t="shared" ca="1" si="132"/>
        <v>0</v>
      </c>
      <c r="K1690">
        <f t="shared" ca="1" si="133"/>
        <v>0</v>
      </c>
      <c r="L1690" s="65">
        <v>1684</v>
      </c>
      <c r="M1690" s="71">
        <f t="shared" ca="1" si="134"/>
        <v>0</v>
      </c>
      <c r="N1690" s="65"/>
    </row>
    <row r="1691" spans="1:14" x14ac:dyDescent="0.25">
      <c r="A1691" s="2">
        <v>1685</v>
      </c>
      <c r="B1691" s="11">
        <f t="shared" ca="1" si="131"/>
        <v>1</v>
      </c>
      <c r="C1691" s="26">
        <f t="shared" ca="1" si="135"/>
        <v>0.26792198285250324</v>
      </c>
      <c r="J1691">
        <f t="shared" ca="1" si="132"/>
        <v>0</v>
      </c>
      <c r="K1691">
        <f t="shared" ca="1" si="133"/>
        <v>0</v>
      </c>
      <c r="L1691" s="65">
        <v>1685</v>
      </c>
      <c r="M1691" s="71">
        <f t="shared" ca="1" si="134"/>
        <v>7.0538919934131021</v>
      </c>
      <c r="N1691" s="65"/>
    </row>
    <row r="1692" spans="1:14" x14ac:dyDescent="0.25">
      <c r="A1692" s="2">
        <v>1686</v>
      </c>
      <c r="B1692" s="11">
        <f t="shared" ca="1" si="131"/>
        <v>0</v>
      </c>
      <c r="C1692" s="26">
        <f t="shared" ca="1" si="135"/>
        <v>0.82283162844856983</v>
      </c>
      <c r="J1692">
        <f t="shared" ca="1" si="132"/>
        <v>0</v>
      </c>
      <c r="K1692">
        <f t="shared" ca="1" si="133"/>
        <v>0</v>
      </c>
      <c r="L1692" s="65">
        <v>1686</v>
      </c>
      <c r="M1692" s="71">
        <f t="shared" ca="1" si="134"/>
        <v>0</v>
      </c>
      <c r="N1692" s="65"/>
    </row>
    <row r="1693" spans="1:14" x14ac:dyDescent="0.25">
      <c r="A1693" s="2">
        <v>1687</v>
      </c>
      <c r="B1693" s="11">
        <f t="shared" ca="1" si="131"/>
        <v>1</v>
      </c>
      <c r="C1693" s="26">
        <f t="shared" ca="1" si="135"/>
        <v>0.10960720685487546</v>
      </c>
      <c r="J1693">
        <f t="shared" ca="1" si="132"/>
        <v>1</v>
      </c>
      <c r="K1693">
        <f t="shared" ca="1" si="133"/>
        <v>0</v>
      </c>
      <c r="L1693" s="65">
        <v>1687</v>
      </c>
      <c r="M1693" s="71">
        <f t="shared" ca="1" si="134"/>
        <v>3.1503748587257889</v>
      </c>
      <c r="N1693" s="65"/>
    </row>
    <row r="1694" spans="1:14" x14ac:dyDescent="0.25">
      <c r="A1694" s="2">
        <v>1688</v>
      </c>
      <c r="B1694" s="11">
        <f t="shared" ca="1" si="131"/>
        <v>1</v>
      </c>
      <c r="C1694" s="26">
        <f t="shared" ca="1" si="135"/>
        <v>0.76343224924363084</v>
      </c>
      <c r="J1694">
        <f t="shared" ca="1" si="132"/>
        <v>1</v>
      </c>
      <c r="K1694">
        <f t="shared" ca="1" si="133"/>
        <v>0</v>
      </c>
      <c r="L1694" s="65">
        <v>1688</v>
      </c>
      <c r="M1694" s="71">
        <f t="shared" ca="1" si="134"/>
        <v>7.6040070819079837</v>
      </c>
      <c r="N1694" s="65"/>
    </row>
    <row r="1695" spans="1:14" x14ac:dyDescent="0.25">
      <c r="A1695" s="2">
        <v>1689</v>
      </c>
      <c r="B1695" s="11">
        <f t="shared" ca="1" si="131"/>
        <v>1</v>
      </c>
      <c r="C1695" s="26">
        <f t="shared" ca="1" si="135"/>
        <v>0.33918134593244631</v>
      </c>
      <c r="J1695">
        <f t="shared" ca="1" si="132"/>
        <v>1</v>
      </c>
      <c r="K1695">
        <f t="shared" ca="1" si="133"/>
        <v>0</v>
      </c>
      <c r="L1695" s="65">
        <v>1689</v>
      </c>
      <c r="M1695" s="71">
        <f t="shared" ca="1" si="134"/>
        <v>6.8675477177278648</v>
      </c>
      <c r="N1695" s="65"/>
    </row>
    <row r="1696" spans="1:14" x14ac:dyDescent="0.25">
      <c r="A1696" s="2">
        <v>1690</v>
      </c>
      <c r="B1696" s="11">
        <f t="shared" ca="1" si="131"/>
        <v>1</v>
      </c>
      <c r="C1696" s="26">
        <f t="shared" ca="1" si="135"/>
        <v>0.44956617906228313</v>
      </c>
      <c r="J1696">
        <f t="shared" ca="1" si="132"/>
        <v>1</v>
      </c>
      <c r="K1696">
        <f t="shared" ca="1" si="133"/>
        <v>0</v>
      </c>
      <c r="L1696" s="65">
        <v>1690</v>
      </c>
      <c r="M1696" s="71">
        <f t="shared" ca="1" si="134"/>
        <v>3.3777223308408693</v>
      </c>
      <c r="N1696" s="65"/>
    </row>
    <row r="1697" spans="1:14" x14ac:dyDescent="0.25">
      <c r="A1697" s="2">
        <v>1691</v>
      </c>
      <c r="B1697" s="11">
        <f t="shared" ca="1" si="131"/>
        <v>1</v>
      </c>
      <c r="C1697" s="26">
        <f t="shared" ca="1" si="135"/>
        <v>0.38698359931825921</v>
      </c>
      <c r="J1697">
        <f t="shared" ca="1" si="132"/>
        <v>0</v>
      </c>
      <c r="K1697">
        <f t="shared" ca="1" si="133"/>
        <v>0</v>
      </c>
      <c r="L1697" s="65">
        <v>1691</v>
      </c>
      <c r="M1697" s="71">
        <f t="shared" ca="1" si="134"/>
        <v>0.49144759505923208</v>
      </c>
      <c r="N1697" s="65"/>
    </row>
    <row r="1698" spans="1:14" x14ac:dyDescent="0.25">
      <c r="A1698" s="2">
        <v>1692</v>
      </c>
      <c r="B1698" s="11">
        <f t="shared" ca="1" si="131"/>
        <v>0</v>
      </c>
      <c r="C1698" s="26">
        <f t="shared" ca="1" si="135"/>
        <v>0.90746953759318116</v>
      </c>
      <c r="J1698">
        <f t="shared" ca="1" si="132"/>
        <v>0</v>
      </c>
      <c r="K1698">
        <f t="shared" ca="1" si="133"/>
        <v>1</v>
      </c>
      <c r="L1698" s="65">
        <v>1692</v>
      </c>
      <c r="M1698" s="71">
        <f t="shared" ca="1" si="134"/>
        <v>0</v>
      </c>
      <c r="N1698" s="65"/>
    </row>
    <row r="1699" spans="1:14" x14ac:dyDescent="0.25">
      <c r="A1699" s="2">
        <v>1693</v>
      </c>
      <c r="B1699" s="11">
        <f t="shared" ca="1" si="131"/>
        <v>0</v>
      </c>
      <c r="C1699" s="26">
        <f t="shared" ca="1" si="135"/>
        <v>0.995555310268604</v>
      </c>
      <c r="J1699">
        <f t="shared" ca="1" si="132"/>
        <v>0</v>
      </c>
      <c r="K1699">
        <f t="shared" ca="1" si="133"/>
        <v>1</v>
      </c>
      <c r="L1699" s="65">
        <v>1693</v>
      </c>
      <c r="M1699" s="71">
        <f t="shared" ca="1" si="134"/>
        <v>0</v>
      </c>
      <c r="N1699" s="65"/>
    </row>
    <row r="1700" spans="1:14" x14ac:dyDescent="0.25">
      <c r="A1700" s="2">
        <v>1694</v>
      </c>
      <c r="B1700" s="11">
        <f t="shared" ca="1" si="131"/>
        <v>0</v>
      </c>
      <c r="C1700" s="26">
        <f t="shared" ca="1" si="135"/>
        <v>0.92205930814199</v>
      </c>
      <c r="J1700">
        <f t="shared" ca="1" si="132"/>
        <v>0</v>
      </c>
      <c r="K1700">
        <f t="shared" ca="1" si="133"/>
        <v>0</v>
      </c>
      <c r="L1700" s="65">
        <v>1694</v>
      </c>
      <c r="M1700" s="71">
        <f t="shared" ca="1" si="134"/>
        <v>0</v>
      </c>
      <c r="N1700" s="65"/>
    </row>
    <row r="1701" spans="1:14" x14ac:dyDescent="0.25">
      <c r="A1701" s="2">
        <v>1695</v>
      </c>
      <c r="B1701" s="11">
        <f t="shared" ca="1" si="131"/>
        <v>1</v>
      </c>
      <c r="C1701" s="26">
        <f t="shared" ca="1" si="135"/>
        <v>0.40600697766287397</v>
      </c>
      <c r="J1701">
        <f t="shared" ca="1" si="132"/>
        <v>1</v>
      </c>
      <c r="K1701">
        <f t="shared" ca="1" si="133"/>
        <v>0</v>
      </c>
      <c r="L1701" s="65">
        <v>1695</v>
      </c>
      <c r="M1701" s="71">
        <f t="shared" ca="1" si="134"/>
        <v>3.3808119383122297</v>
      </c>
      <c r="N1701" s="65"/>
    </row>
    <row r="1702" spans="1:14" x14ac:dyDescent="0.25">
      <c r="A1702" s="2">
        <v>1696</v>
      </c>
      <c r="B1702" s="11">
        <f t="shared" ca="1" si="131"/>
        <v>1</v>
      </c>
      <c r="C1702" s="26">
        <f t="shared" ca="1" si="135"/>
        <v>0.35027899534527074</v>
      </c>
      <c r="J1702">
        <f t="shared" ca="1" si="132"/>
        <v>0</v>
      </c>
      <c r="K1702">
        <f t="shared" ca="1" si="133"/>
        <v>0</v>
      </c>
      <c r="L1702" s="65">
        <v>1696</v>
      </c>
      <c r="M1702" s="71">
        <f t="shared" ca="1" si="134"/>
        <v>1.6764539843627184</v>
      </c>
      <c r="N1702" s="65"/>
    </row>
    <row r="1703" spans="1:14" x14ac:dyDescent="0.25">
      <c r="A1703" s="2">
        <v>1697</v>
      </c>
      <c r="B1703" s="11">
        <f t="shared" ca="1" si="131"/>
        <v>0</v>
      </c>
      <c r="C1703" s="26">
        <f t="shared" ca="1" si="135"/>
        <v>0.90468963151375048</v>
      </c>
      <c r="J1703">
        <f t="shared" ca="1" si="132"/>
        <v>0</v>
      </c>
      <c r="K1703">
        <f t="shared" ca="1" si="133"/>
        <v>0</v>
      </c>
      <c r="L1703" s="65">
        <v>1697</v>
      </c>
      <c r="M1703" s="71">
        <f t="shared" ca="1" si="134"/>
        <v>0</v>
      </c>
      <c r="N1703" s="65"/>
    </row>
    <row r="1704" spans="1:14" x14ac:dyDescent="0.25">
      <c r="A1704" s="2">
        <v>1698</v>
      </c>
      <c r="B1704" s="11">
        <f t="shared" ca="1" si="131"/>
        <v>1</v>
      </c>
      <c r="C1704" s="26">
        <f t="shared" ca="1" si="135"/>
        <v>5.4595476744525917E-2</v>
      </c>
      <c r="J1704">
        <f t="shared" ca="1" si="132"/>
        <v>1</v>
      </c>
      <c r="K1704">
        <f t="shared" ca="1" si="133"/>
        <v>0</v>
      </c>
      <c r="L1704" s="65">
        <v>1698</v>
      </c>
      <c r="M1704" s="71">
        <f t="shared" ca="1" si="134"/>
        <v>1.2229680326203338</v>
      </c>
      <c r="N1704" s="65"/>
    </row>
    <row r="1705" spans="1:14" x14ac:dyDescent="0.25">
      <c r="A1705" s="2">
        <v>1699</v>
      </c>
      <c r="B1705" s="11">
        <f t="shared" ca="1" si="131"/>
        <v>1</v>
      </c>
      <c r="C1705" s="26">
        <f t="shared" ca="1" si="135"/>
        <v>0.1182977370024646</v>
      </c>
      <c r="J1705">
        <f t="shared" ca="1" si="132"/>
        <v>1</v>
      </c>
      <c r="K1705">
        <f t="shared" ca="1" si="133"/>
        <v>0</v>
      </c>
      <c r="L1705" s="65">
        <v>1699</v>
      </c>
      <c r="M1705" s="71">
        <f t="shared" ca="1" si="134"/>
        <v>1.3320647420499414</v>
      </c>
      <c r="N1705" s="65"/>
    </row>
    <row r="1706" spans="1:14" x14ac:dyDescent="0.25">
      <c r="A1706" s="2">
        <v>1700</v>
      </c>
      <c r="B1706" s="11">
        <f t="shared" ca="1" si="131"/>
        <v>1</v>
      </c>
      <c r="C1706" s="26">
        <f t="shared" ca="1" si="135"/>
        <v>0.74957023395493305</v>
      </c>
      <c r="J1706">
        <f t="shared" ca="1" si="132"/>
        <v>1</v>
      </c>
      <c r="K1706">
        <f t="shared" ca="1" si="133"/>
        <v>0</v>
      </c>
      <c r="L1706" s="65">
        <v>1700</v>
      </c>
      <c r="M1706" s="71">
        <f t="shared" ca="1" si="134"/>
        <v>7.3761030412419286</v>
      </c>
      <c r="N1706" s="65"/>
    </row>
    <row r="1707" spans="1:14" x14ac:dyDescent="0.25">
      <c r="A1707" s="2">
        <v>1701</v>
      </c>
      <c r="B1707" s="11">
        <f t="shared" ca="1" si="131"/>
        <v>1</v>
      </c>
      <c r="C1707" s="26">
        <f t="shared" ca="1" si="135"/>
        <v>0.64247659289037318</v>
      </c>
      <c r="J1707">
        <f t="shared" ca="1" si="132"/>
        <v>1</v>
      </c>
      <c r="K1707">
        <f t="shared" ca="1" si="133"/>
        <v>0</v>
      </c>
      <c r="L1707" s="65">
        <v>1701</v>
      </c>
      <c r="M1707" s="71">
        <f t="shared" ca="1" si="134"/>
        <v>18.296861280028502</v>
      </c>
      <c r="N1707" s="65"/>
    </row>
    <row r="1708" spans="1:14" x14ac:dyDescent="0.25">
      <c r="A1708" s="2">
        <v>1702</v>
      </c>
      <c r="B1708" s="11">
        <f t="shared" ca="1" si="131"/>
        <v>1</v>
      </c>
      <c r="C1708" s="26">
        <f t="shared" ca="1" si="135"/>
        <v>0.39789945070439559</v>
      </c>
      <c r="J1708">
        <f t="shared" ca="1" si="132"/>
        <v>1</v>
      </c>
      <c r="K1708">
        <f t="shared" ca="1" si="133"/>
        <v>0</v>
      </c>
      <c r="L1708" s="65">
        <v>1702</v>
      </c>
      <c r="M1708" s="71">
        <f t="shared" ca="1" si="134"/>
        <v>0.29479118754046046</v>
      </c>
      <c r="N1708" s="65"/>
    </row>
    <row r="1709" spans="1:14" x14ac:dyDescent="0.25">
      <c r="A1709" s="2">
        <v>1703</v>
      </c>
      <c r="B1709" s="11">
        <f t="shared" ca="1" si="131"/>
        <v>1</v>
      </c>
      <c r="C1709" s="26">
        <f t="shared" ca="1" si="135"/>
        <v>0.31203260759917406</v>
      </c>
      <c r="J1709">
        <f t="shared" ca="1" si="132"/>
        <v>0</v>
      </c>
      <c r="K1709">
        <f t="shared" ca="1" si="133"/>
        <v>0</v>
      </c>
      <c r="L1709" s="65">
        <v>1703</v>
      </c>
      <c r="M1709" s="71">
        <f t="shared" ca="1" si="134"/>
        <v>3.4635080215157509E-2</v>
      </c>
      <c r="N1709" s="65"/>
    </row>
    <row r="1710" spans="1:14" x14ac:dyDescent="0.25">
      <c r="A1710" s="2">
        <v>1704</v>
      </c>
      <c r="B1710" s="11">
        <f t="shared" ca="1" si="131"/>
        <v>0</v>
      </c>
      <c r="C1710" s="26">
        <f t="shared" ca="1" si="135"/>
        <v>0.95730014975447231</v>
      </c>
      <c r="J1710">
        <f t="shared" ca="1" si="132"/>
        <v>0</v>
      </c>
      <c r="K1710">
        <f t="shared" ca="1" si="133"/>
        <v>0</v>
      </c>
      <c r="L1710" s="65">
        <v>1704</v>
      </c>
      <c r="M1710" s="71">
        <f t="shared" ca="1" si="134"/>
        <v>0</v>
      </c>
      <c r="N1710" s="65"/>
    </row>
    <row r="1711" spans="1:14" x14ac:dyDescent="0.25">
      <c r="A1711" s="2">
        <v>1705</v>
      </c>
      <c r="B1711" s="11">
        <f t="shared" ref="B1711:B1774" ca="1" si="136">IF(B1710&gt;0,IF(C1711&lt;pww,1,0),IF(C1711&lt;pdw,1,0))</f>
        <v>1</v>
      </c>
      <c r="C1711" s="26">
        <f t="shared" ca="1" si="135"/>
        <v>0.14813097613088921</v>
      </c>
      <c r="J1711">
        <f t="shared" ref="J1711:J1774" ca="1" si="137">IF(AND(B1711,B1712),1,0)</f>
        <v>1</v>
      </c>
      <c r="K1711">
        <f t="shared" ref="K1711:K1774" ca="1" si="138">IF(AND(NOT(B1711),NOT(B1712)),1,0)</f>
        <v>0</v>
      </c>
      <c r="L1711" s="65">
        <v>1705</v>
      </c>
      <c r="M1711" s="71">
        <f t="shared" ca="1" si="134"/>
        <v>6.668172920588658</v>
      </c>
      <c r="N1711" s="65"/>
    </row>
    <row r="1712" spans="1:14" x14ac:dyDescent="0.25">
      <c r="A1712" s="2">
        <v>1706</v>
      </c>
      <c r="B1712" s="11">
        <f t="shared" ca="1" si="136"/>
        <v>1</v>
      </c>
      <c r="C1712" s="26">
        <f t="shared" ca="1" si="135"/>
        <v>0.62929617434880492</v>
      </c>
      <c r="J1712">
        <f t="shared" ca="1" si="137"/>
        <v>1</v>
      </c>
      <c r="K1712">
        <f t="shared" ca="1" si="138"/>
        <v>0</v>
      </c>
      <c r="L1712" s="65">
        <v>1706</v>
      </c>
      <c r="M1712" s="71">
        <f t="shared" ca="1" si="134"/>
        <v>4.9388584952019485</v>
      </c>
      <c r="N1712" s="65"/>
    </row>
    <row r="1713" spans="1:14" x14ac:dyDescent="0.25">
      <c r="A1713" s="2">
        <v>1707</v>
      </c>
      <c r="B1713" s="11">
        <f t="shared" ca="1" si="136"/>
        <v>1</v>
      </c>
      <c r="C1713" s="26">
        <f t="shared" ca="1" si="135"/>
        <v>0.6424351419453409</v>
      </c>
      <c r="J1713">
        <f t="shared" ca="1" si="137"/>
        <v>1</v>
      </c>
      <c r="K1713">
        <f t="shared" ca="1" si="138"/>
        <v>0</v>
      </c>
      <c r="L1713" s="65">
        <v>1707</v>
      </c>
      <c r="M1713" s="71">
        <f t="shared" ca="1" si="134"/>
        <v>5.1830043321729402</v>
      </c>
      <c r="N1713" s="65"/>
    </row>
    <row r="1714" spans="1:14" x14ac:dyDescent="0.25">
      <c r="A1714" s="2">
        <v>1708</v>
      </c>
      <c r="B1714" s="11">
        <f t="shared" ca="1" si="136"/>
        <v>1</v>
      </c>
      <c r="C1714" s="26">
        <f t="shared" ca="1" si="135"/>
        <v>0.55258961472809054</v>
      </c>
      <c r="J1714">
        <f t="shared" ca="1" si="137"/>
        <v>1</v>
      </c>
      <c r="K1714">
        <f t="shared" ca="1" si="138"/>
        <v>0</v>
      </c>
      <c r="L1714" s="65">
        <v>1708</v>
      </c>
      <c r="M1714" s="71">
        <f t="shared" ca="1" si="134"/>
        <v>2.200730170321012</v>
      </c>
      <c r="N1714" s="65"/>
    </row>
    <row r="1715" spans="1:14" x14ac:dyDescent="0.25">
      <c r="A1715" s="2">
        <v>1709</v>
      </c>
      <c r="B1715" s="11">
        <f t="shared" ca="1" si="136"/>
        <v>1</v>
      </c>
      <c r="C1715" s="26">
        <f t="shared" ca="1" si="135"/>
        <v>0.48093088410318618</v>
      </c>
      <c r="J1715">
        <f t="shared" ca="1" si="137"/>
        <v>1</v>
      </c>
      <c r="K1715">
        <f t="shared" ca="1" si="138"/>
        <v>0</v>
      </c>
      <c r="L1715" s="65">
        <v>1709</v>
      </c>
      <c r="M1715" s="71">
        <f t="shared" ca="1" si="134"/>
        <v>9.6108865070678284</v>
      </c>
      <c r="N1715" s="65"/>
    </row>
    <row r="1716" spans="1:14" x14ac:dyDescent="0.25">
      <c r="A1716" s="2">
        <v>1710</v>
      </c>
      <c r="B1716" s="11">
        <f t="shared" ca="1" si="136"/>
        <v>1</v>
      </c>
      <c r="C1716" s="26">
        <f t="shared" ca="1" si="135"/>
        <v>0.45503005865597812</v>
      </c>
      <c r="J1716">
        <f t="shared" ca="1" si="137"/>
        <v>1</v>
      </c>
      <c r="K1716">
        <f t="shared" ca="1" si="138"/>
        <v>0</v>
      </c>
      <c r="L1716" s="65">
        <v>1710</v>
      </c>
      <c r="M1716" s="71">
        <f t="shared" ca="1" si="134"/>
        <v>2.1265301454622767</v>
      </c>
      <c r="N1716" s="65"/>
    </row>
    <row r="1717" spans="1:14" x14ac:dyDescent="0.25">
      <c r="A1717" s="2">
        <v>1711</v>
      </c>
      <c r="B1717" s="11">
        <f t="shared" ca="1" si="136"/>
        <v>1</v>
      </c>
      <c r="C1717" s="26">
        <f t="shared" ca="1" si="135"/>
        <v>3.4874355239407073E-3</v>
      </c>
      <c r="J1717">
        <f t="shared" ca="1" si="137"/>
        <v>1</v>
      </c>
      <c r="K1717">
        <f t="shared" ca="1" si="138"/>
        <v>0</v>
      </c>
      <c r="L1717" s="65">
        <v>1711</v>
      </c>
      <c r="M1717" s="71">
        <f t="shared" ca="1" si="134"/>
        <v>4.1465388431767787</v>
      </c>
      <c r="N1717" s="65"/>
    </row>
    <row r="1718" spans="1:14" x14ac:dyDescent="0.25">
      <c r="A1718" s="2">
        <v>1712</v>
      </c>
      <c r="B1718" s="11">
        <f t="shared" ca="1" si="136"/>
        <v>1</v>
      </c>
      <c r="C1718" s="26">
        <f t="shared" ca="1" si="135"/>
        <v>0.13425353989640398</v>
      </c>
      <c r="J1718">
        <f t="shared" ca="1" si="137"/>
        <v>1</v>
      </c>
      <c r="K1718">
        <f t="shared" ca="1" si="138"/>
        <v>0</v>
      </c>
      <c r="L1718" s="65">
        <v>1712</v>
      </c>
      <c r="M1718" s="71">
        <f t="shared" ca="1" si="134"/>
        <v>8.684160465076042</v>
      </c>
      <c r="N1718" s="65"/>
    </row>
    <row r="1719" spans="1:14" x14ac:dyDescent="0.25">
      <c r="A1719" s="2">
        <v>1713</v>
      </c>
      <c r="B1719" s="11">
        <f t="shared" ca="1" si="136"/>
        <v>1</v>
      </c>
      <c r="C1719" s="26">
        <f t="shared" ca="1" si="135"/>
        <v>7.6125380346679927E-3</v>
      </c>
      <c r="J1719">
        <f t="shared" ca="1" si="137"/>
        <v>1</v>
      </c>
      <c r="K1719">
        <f t="shared" ca="1" si="138"/>
        <v>0</v>
      </c>
      <c r="L1719" s="65">
        <v>1713</v>
      </c>
      <c r="M1719" s="71">
        <f t="shared" ca="1" si="134"/>
        <v>0.34007675493538431</v>
      </c>
      <c r="N1719" s="65"/>
    </row>
    <row r="1720" spans="1:14" x14ac:dyDescent="0.25">
      <c r="A1720" s="2">
        <v>1714</v>
      </c>
      <c r="B1720" s="11">
        <f t="shared" ca="1" si="136"/>
        <v>1</v>
      </c>
      <c r="C1720" s="26">
        <f t="shared" ca="1" si="135"/>
        <v>4.9946633194482004E-2</v>
      </c>
      <c r="J1720">
        <f t="shared" ca="1" si="137"/>
        <v>1</v>
      </c>
      <c r="K1720">
        <f t="shared" ca="1" si="138"/>
        <v>0</v>
      </c>
      <c r="L1720" s="65">
        <v>1714</v>
      </c>
      <c r="M1720" s="71">
        <f t="shared" ca="1" si="134"/>
        <v>1.7553320426302415</v>
      </c>
      <c r="N1720" s="65"/>
    </row>
    <row r="1721" spans="1:14" x14ac:dyDescent="0.25">
      <c r="A1721" s="2">
        <v>1715</v>
      </c>
      <c r="B1721" s="11">
        <f t="shared" ca="1" si="136"/>
        <v>1</v>
      </c>
      <c r="C1721" s="26">
        <f t="shared" ca="1" si="135"/>
        <v>0.49209915255219472</v>
      </c>
      <c r="J1721">
        <f t="shared" ca="1" si="137"/>
        <v>0</v>
      </c>
      <c r="K1721">
        <f t="shared" ca="1" si="138"/>
        <v>0</v>
      </c>
      <c r="L1721" s="65">
        <v>1715</v>
      </c>
      <c r="M1721" s="71">
        <f t="shared" ca="1" si="134"/>
        <v>2.8606191105821828</v>
      </c>
      <c r="N1721" s="65"/>
    </row>
    <row r="1722" spans="1:14" x14ac:dyDescent="0.25">
      <c r="A1722" s="2">
        <v>1716</v>
      </c>
      <c r="B1722" s="11">
        <f t="shared" ca="1" si="136"/>
        <v>0</v>
      </c>
      <c r="C1722" s="26">
        <f t="shared" ca="1" si="135"/>
        <v>0.8624176349100573</v>
      </c>
      <c r="J1722">
        <f t="shared" ca="1" si="137"/>
        <v>0</v>
      </c>
      <c r="K1722">
        <f t="shared" ca="1" si="138"/>
        <v>0</v>
      </c>
      <c r="L1722" s="65">
        <v>1716</v>
      </c>
      <c r="M1722" s="71">
        <f t="shared" ca="1" si="134"/>
        <v>0</v>
      </c>
      <c r="N1722" s="65"/>
    </row>
    <row r="1723" spans="1:14" x14ac:dyDescent="0.25">
      <c r="A1723" s="2">
        <v>1717</v>
      </c>
      <c r="B1723" s="11">
        <f t="shared" ca="1" si="136"/>
        <v>1</v>
      </c>
      <c r="C1723" s="26">
        <f t="shared" ca="1" si="135"/>
        <v>0.20064517928432823</v>
      </c>
      <c r="J1723">
        <f t="shared" ca="1" si="137"/>
        <v>1</v>
      </c>
      <c r="K1723">
        <f t="shared" ca="1" si="138"/>
        <v>0</v>
      </c>
      <c r="L1723" s="65">
        <v>1717</v>
      </c>
      <c r="M1723" s="71">
        <f t="shared" ca="1" si="134"/>
        <v>5.5997780327988638</v>
      </c>
      <c r="N1723" s="65"/>
    </row>
    <row r="1724" spans="1:14" x14ac:dyDescent="0.25">
      <c r="A1724" s="2">
        <v>1718</v>
      </c>
      <c r="B1724" s="11">
        <f t="shared" ca="1" si="136"/>
        <v>1</v>
      </c>
      <c r="C1724" s="26">
        <f t="shared" ca="1" si="135"/>
        <v>0.26921088931443682</v>
      </c>
      <c r="J1724">
        <f t="shared" ca="1" si="137"/>
        <v>0</v>
      </c>
      <c r="K1724">
        <f t="shared" ca="1" si="138"/>
        <v>0</v>
      </c>
      <c r="L1724" s="65">
        <v>1718</v>
      </c>
      <c r="M1724" s="71">
        <f t="shared" ca="1" si="134"/>
        <v>1.5270409488572276</v>
      </c>
      <c r="N1724" s="65"/>
    </row>
    <row r="1725" spans="1:14" x14ac:dyDescent="0.25">
      <c r="A1725" s="2">
        <v>1719</v>
      </c>
      <c r="B1725" s="11">
        <f t="shared" ca="1" si="136"/>
        <v>0</v>
      </c>
      <c r="C1725" s="26">
        <f t="shared" ca="1" si="135"/>
        <v>0.93063754759345518</v>
      </c>
      <c r="J1725">
        <f t="shared" ca="1" si="137"/>
        <v>0</v>
      </c>
      <c r="K1725">
        <f t="shared" ca="1" si="138"/>
        <v>1</v>
      </c>
      <c r="L1725" s="65">
        <v>1719</v>
      </c>
      <c r="M1725" s="71">
        <f t="shared" ca="1" si="134"/>
        <v>0</v>
      </c>
      <c r="N1725" s="65"/>
    </row>
    <row r="1726" spans="1:14" x14ac:dyDescent="0.25">
      <c r="A1726" s="2">
        <v>1720</v>
      </c>
      <c r="B1726" s="11">
        <f t="shared" ca="1" si="136"/>
        <v>0</v>
      </c>
      <c r="C1726" s="26">
        <f t="shared" ca="1" si="135"/>
        <v>0.85069988877702174</v>
      </c>
      <c r="J1726">
        <f t="shared" ca="1" si="137"/>
        <v>0</v>
      </c>
      <c r="K1726">
        <f t="shared" ca="1" si="138"/>
        <v>1</v>
      </c>
      <c r="L1726" s="65">
        <v>1720</v>
      </c>
      <c r="M1726" s="71">
        <f t="shared" ca="1" si="134"/>
        <v>0</v>
      </c>
      <c r="N1726" s="65"/>
    </row>
    <row r="1727" spans="1:14" x14ac:dyDescent="0.25">
      <c r="A1727" s="2">
        <v>1721</v>
      </c>
      <c r="B1727" s="11">
        <f t="shared" ca="1" si="136"/>
        <v>0</v>
      </c>
      <c r="C1727" s="26">
        <f t="shared" ca="1" si="135"/>
        <v>0.90684970554855249</v>
      </c>
      <c r="J1727">
        <f t="shared" ca="1" si="137"/>
        <v>0</v>
      </c>
      <c r="K1727">
        <f t="shared" ca="1" si="138"/>
        <v>0</v>
      </c>
      <c r="L1727" s="65">
        <v>1721</v>
      </c>
      <c r="M1727" s="71">
        <f t="shared" ca="1" si="134"/>
        <v>0</v>
      </c>
      <c r="N1727" s="65"/>
    </row>
    <row r="1728" spans="1:14" x14ac:dyDescent="0.25">
      <c r="A1728" s="2">
        <v>1722</v>
      </c>
      <c r="B1728" s="11">
        <f t="shared" ca="1" si="136"/>
        <v>1</v>
      </c>
      <c r="C1728" s="26">
        <f t="shared" ca="1" si="135"/>
        <v>0.55415386257519716</v>
      </c>
      <c r="J1728">
        <f t="shared" ca="1" si="137"/>
        <v>1</v>
      </c>
      <c r="K1728">
        <f t="shared" ca="1" si="138"/>
        <v>0</v>
      </c>
      <c r="L1728" s="65">
        <v>1722</v>
      </c>
      <c r="M1728" s="71">
        <f t="shared" ca="1" si="134"/>
        <v>1.576181202258476</v>
      </c>
      <c r="N1728" s="65"/>
    </row>
    <row r="1729" spans="1:14" x14ac:dyDescent="0.25">
      <c r="A1729" s="2">
        <v>1723</v>
      </c>
      <c r="B1729" s="11">
        <f t="shared" ca="1" si="136"/>
        <v>1</v>
      </c>
      <c r="C1729" s="26">
        <f t="shared" ca="1" si="135"/>
        <v>9.4887002614382432E-2</v>
      </c>
      <c r="J1729">
        <f t="shared" ca="1" si="137"/>
        <v>0</v>
      </c>
      <c r="K1729">
        <f t="shared" ca="1" si="138"/>
        <v>0</v>
      </c>
      <c r="L1729" s="65">
        <v>1723</v>
      </c>
      <c r="M1729" s="71">
        <f t="shared" ca="1" si="134"/>
        <v>0.13701647205472808</v>
      </c>
      <c r="N1729" s="65"/>
    </row>
    <row r="1730" spans="1:14" x14ac:dyDescent="0.25">
      <c r="A1730" s="2">
        <v>1724</v>
      </c>
      <c r="B1730" s="11">
        <f t="shared" ca="1" si="136"/>
        <v>0</v>
      </c>
      <c r="C1730" s="26">
        <f t="shared" ca="1" si="135"/>
        <v>0.9931323362249268</v>
      </c>
      <c r="J1730">
        <f t="shared" ca="1" si="137"/>
        <v>0</v>
      </c>
      <c r="K1730">
        <f t="shared" ca="1" si="138"/>
        <v>1</v>
      </c>
      <c r="L1730" s="65">
        <v>1724</v>
      </c>
      <c r="M1730" s="71">
        <f t="shared" ca="1" si="134"/>
        <v>0</v>
      </c>
      <c r="N1730" s="65"/>
    </row>
    <row r="1731" spans="1:14" x14ac:dyDescent="0.25">
      <c r="A1731" s="2">
        <v>1725</v>
      </c>
      <c r="B1731" s="11">
        <f t="shared" ca="1" si="136"/>
        <v>0</v>
      </c>
      <c r="C1731" s="26">
        <f t="shared" ca="1" si="135"/>
        <v>0.82246827352516427</v>
      </c>
      <c r="J1731">
        <f t="shared" ca="1" si="137"/>
        <v>0</v>
      </c>
      <c r="K1731">
        <f t="shared" ca="1" si="138"/>
        <v>0</v>
      </c>
      <c r="L1731" s="65">
        <v>1725</v>
      </c>
      <c r="M1731" s="71">
        <f t="shared" ca="1" si="134"/>
        <v>0</v>
      </c>
      <c r="N1731" s="65"/>
    </row>
    <row r="1732" spans="1:14" x14ac:dyDescent="0.25">
      <c r="A1732" s="2">
        <v>1726</v>
      </c>
      <c r="B1732" s="11">
        <f t="shared" ca="1" si="136"/>
        <v>1</v>
      </c>
      <c r="C1732" s="26">
        <f t="shared" ca="1" si="135"/>
        <v>0.39710434070670531</v>
      </c>
      <c r="J1732">
        <f t="shared" ca="1" si="137"/>
        <v>1</v>
      </c>
      <c r="K1732">
        <f t="shared" ca="1" si="138"/>
        <v>0</v>
      </c>
      <c r="L1732" s="65">
        <v>1726</v>
      </c>
      <c r="M1732" s="71">
        <f t="shared" ca="1" si="134"/>
        <v>8.3676184310581311E-2</v>
      </c>
      <c r="N1732" s="65"/>
    </row>
    <row r="1733" spans="1:14" x14ac:dyDescent="0.25">
      <c r="A1733" s="2">
        <v>1727</v>
      </c>
      <c r="B1733" s="11">
        <f t="shared" ca="1" si="136"/>
        <v>1</v>
      </c>
      <c r="C1733" s="26">
        <f t="shared" ca="1" si="135"/>
        <v>0.6075250089172487</v>
      </c>
      <c r="J1733">
        <f t="shared" ca="1" si="137"/>
        <v>1</v>
      </c>
      <c r="K1733">
        <f t="shared" ca="1" si="138"/>
        <v>0</v>
      </c>
      <c r="L1733" s="65">
        <v>1727</v>
      </c>
      <c r="M1733" s="71">
        <f t="shared" ca="1" si="134"/>
        <v>6.326750112378285</v>
      </c>
      <c r="N1733" s="65"/>
    </row>
    <row r="1734" spans="1:14" x14ac:dyDescent="0.25">
      <c r="A1734" s="2">
        <v>1728</v>
      </c>
      <c r="B1734" s="11">
        <f t="shared" ca="1" si="136"/>
        <v>1</v>
      </c>
      <c r="C1734" s="26">
        <f t="shared" ca="1" si="135"/>
        <v>0.79379255995762454</v>
      </c>
      <c r="J1734">
        <f t="shared" ca="1" si="137"/>
        <v>1</v>
      </c>
      <c r="K1734">
        <f t="shared" ca="1" si="138"/>
        <v>0</v>
      </c>
      <c r="L1734" s="65">
        <v>1728</v>
      </c>
      <c r="M1734" s="71">
        <f t="shared" ca="1" si="134"/>
        <v>0.39628145669312009</v>
      </c>
      <c r="N1734" s="65"/>
    </row>
    <row r="1735" spans="1:14" x14ac:dyDescent="0.25">
      <c r="A1735" s="2">
        <v>1729</v>
      </c>
      <c r="B1735" s="11">
        <f t="shared" ca="1" si="136"/>
        <v>1</v>
      </c>
      <c r="C1735" s="26">
        <f t="shared" ca="1" si="135"/>
        <v>0.23509368257633623</v>
      </c>
      <c r="J1735">
        <f t="shared" ca="1" si="137"/>
        <v>1</v>
      </c>
      <c r="K1735">
        <f t="shared" ca="1" si="138"/>
        <v>0</v>
      </c>
      <c r="L1735" s="65">
        <v>1729</v>
      </c>
      <c r="M1735" s="71">
        <f t="shared" ref="M1735:M1798" ca="1" si="139">IF(B1735&gt;0,-LN(1-(RAND()))/lambda,0)</f>
        <v>5.6593336104654881</v>
      </c>
      <c r="N1735" s="65"/>
    </row>
    <row r="1736" spans="1:14" x14ac:dyDescent="0.25">
      <c r="A1736" s="2">
        <v>1730</v>
      </c>
      <c r="B1736" s="11">
        <f t="shared" ca="1" si="136"/>
        <v>1</v>
      </c>
      <c r="C1736" s="26">
        <f t="shared" ref="C1736:C1799" ca="1" si="140">RAND()</f>
        <v>0.10355957166597007</v>
      </c>
      <c r="J1736">
        <f t="shared" ca="1" si="137"/>
        <v>0</v>
      </c>
      <c r="K1736">
        <f t="shared" ca="1" si="138"/>
        <v>0</v>
      </c>
      <c r="L1736" s="65">
        <v>1730</v>
      </c>
      <c r="M1736" s="71">
        <f t="shared" ca="1" si="139"/>
        <v>1.2716270386669883</v>
      </c>
      <c r="N1736" s="65"/>
    </row>
    <row r="1737" spans="1:14" x14ac:dyDescent="0.25">
      <c r="A1737" s="2">
        <v>1731</v>
      </c>
      <c r="B1737" s="11">
        <f t="shared" ca="1" si="136"/>
        <v>0</v>
      </c>
      <c r="C1737" s="26">
        <f t="shared" ca="1" si="140"/>
        <v>0.87912218436073097</v>
      </c>
      <c r="J1737">
        <f t="shared" ca="1" si="137"/>
        <v>0</v>
      </c>
      <c r="K1737">
        <f t="shared" ca="1" si="138"/>
        <v>1</v>
      </c>
      <c r="L1737" s="65">
        <v>1731</v>
      </c>
      <c r="M1737" s="71">
        <f t="shared" ca="1" si="139"/>
        <v>0</v>
      </c>
      <c r="N1737" s="65"/>
    </row>
    <row r="1738" spans="1:14" x14ac:dyDescent="0.25">
      <c r="A1738" s="2">
        <v>1732</v>
      </c>
      <c r="B1738" s="11">
        <f t="shared" ca="1" si="136"/>
        <v>0</v>
      </c>
      <c r="C1738" s="26">
        <f t="shared" ca="1" si="140"/>
        <v>0.8604794005365618</v>
      </c>
      <c r="J1738">
        <f t="shared" ca="1" si="137"/>
        <v>0</v>
      </c>
      <c r="K1738">
        <f t="shared" ca="1" si="138"/>
        <v>0</v>
      </c>
      <c r="L1738" s="65">
        <v>1732</v>
      </c>
      <c r="M1738" s="71">
        <f t="shared" ca="1" si="139"/>
        <v>0</v>
      </c>
      <c r="N1738" s="65"/>
    </row>
    <row r="1739" spans="1:14" x14ac:dyDescent="0.25">
      <c r="A1739" s="2">
        <v>1733</v>
      </c>
      <c r="B1739" s="11">
        <f t="shared" ca="1" si="136"/>
        <v>1</v>
      </c>
      <c r="C1739" s="26">
        <f t="shared" ca="1" si="140"/>
        <v>0.6240035192603548</v>
      </c>
      <c r="J1739">
        <f t="shared" ca="1" si="137"/>
        <v>1</v>
      </c>
      <c r="K1739">
        <f t="shared" ca="1" si="138"/>
        <v>0</v>
      </c>
      <c r="L1739" s="65">
        <v>1733</v>
      </c>
      <c r="M1739" s="71">
        <f t="shared" ca="1" si="139"/>
        <v>3.0007338152250465</v>
      </c>
      <c r="N1739" s="65"/>
    </row>
    <row r="1740" spans="1:14" x14ac:dyDescent="0.25">
      <c r="A1740" s="2">
        <v>1734</v>
      </c>
      <c r="B1740" s="11">
        <f t="shared" ca="1" si="136"/>
        <v>1</v>
      </c>
      <c r="C1740" s="26">
        <f t="shared" ca="1" si="140"/>
        <v>0.52959601138550361</v>
      </c>
      <c r="J1740">
        <f t="shared" ca="1" si="137"/>
        <v>0</v>
      </c>
      <c r="K1740">
        <f t="shared" ca="1" si="138"/>
        <v>0</v>
      </c>
      <c r="L1740" s="65">
        <v>1734</v>
      </c>
      <c r="M1740" s="71">
        <f t="shared" ca="1" si="139"/>
        <v>2.4672402686453454</v>
      </c>
      <c r="N1740" s="65"/>
    </row>
    <row r="1741" spans="1:14" x14ac:dyDescent="0.25">
      <c r="A1741" s="2">
        <v>1735</v>
      </c>
      <c r="B1741" s="11">
        <f t="shared" ca="1" si="136"/>
        <v>0</v>
      </c>
      <c r="C1741" s="26">
        <f t="shared" ca="1" si="140"/>
        <v>0.94681427388539485</v>
      </c>
      <c r="J1741">
        <f t="shared" ca="1" si="137"/>
        <v>0</v>
      </c>
      <c r="K1741">
        <f t="shared" ca="1" si="138"/>
        <v>0</v>
      </c>
      <c r="L1741" s="65">
        <v>1735</v>
      </c>
      <c r="M1741" s="71">
        <f t="shared" ca="1" si="139"/>
        <v>0</v>
      </c>
      <c r="N1741" s="65"/>
    </row>
    <row r="1742" spans="1:14" x14ac:dyDescent="0.25">
      <c r="A1742" s="2">
        <v>1736</v>
      </c>
      <c r="B1742" s="11">
        <f t="shared" ca="1" si="136"/>
        <v>1</v>
      </c>
      <c r="C1742" s="26">
        <f t="shared" ca="1" si="140"/>
        <v>5.4594530683464759E-2</v>
      </c>
      <c r="J1742">
        <f t="shared" ca="1" si="137"/>
        <v>1</v>
      </c>
      <c r="K1742">
        <f t="shared" ca="1" si="138"/>
        <v>0</v>
      </c>
      <c r="L1742" s="65">
        <v>1736</v>
      </c>
      <c r="M1742" s="71">
        <f t="shared" ca="1" si="139"/>
        <v>0.69441608596905069</v>
      </c>
      <c r="N1742" s="65"/>
    </row>
    <row r="1743" spans="1:14" x14ac:dyDescent="0.25">
      <c r="A1743" s="2">
        <v>1737</v>
      </c>
      <c r="B1743" s="11">
        <f t="shared" ca="1" si="136"/>
        <v>1</v>
      </c>
      <c r="C1743" s="26">
        <f t="shared" ca="1" si="140"/>
        <v>0.69877289173109813</v>
      </c>
      <c r="J1743">
        <f t="shared" ca="1" si="137"/>
        <v>1</v>
      </c>
      <c r="K1743">
        <f t="shared" ca="1" si="138"/>
        <v>0</v>
      </c>
      <c r="L1743" s="65">
        <v>1737</v>
      </c>
      <c r="M1743" s="71">
        <f t="shared" ca="1" si="139"/>
        <v>6.849734257000236</v>
      </c>
      <c r="N1743" s="65"/>
    </row>
    <row r="1744" spans="1:14" x14ac:dyDescent="0.25">
      <c r="A1744" s="2">
        <v>1738</v>
      </c>
      <c r="B1744" s="11">
        <f t="shared" ca="1" si="136"/>
        <v>1</v>
      </c>
      <c r="C1744" s="26">
        <f t="shared" ca="1" si="140"/>
        <v>0.19524311417876938</v>
      </c>
      <c r="J1744">
        <f t="shared" ca="1" si="137"/>
        <v>1</v>
      </c>
      <c r="K1744">
        <f t="shared" ca="1" si="138"/>
        <v>0</v>
      </c>
      <c r="L1744" s="65">
        <v>1738</v>
      </c>
      <c r="M1744" s="71">
        <f t="shared" ca="1" si="139"/>
        <v>3.9042236375437032</v>
      </c>
      <c r="N1744" s="65"/>
    </row>
    <row r="1745" spans="1:14" x14ac:dyDescent="0.25">
      <c r="A1745" s="2">
        <v>1739</v>
      </c>
      <c r="B1745" s="11">
        <f t="shared" ca="1" si="136"/>
        <v>1</v>
      </c>
      <c r="C1745" s="26">
        <f t="shared" ca="1" si="140"/>
        <v>0.47807722263414298</v>
      </c>
      <c r="J1745">
        <f t="shared" ca="1" si="137"/>
        <v>1</v>
      </c>
      <c r="K1745">
        <f t="shared" ca="1" si="138"/>
        <v>0</v>
      </c>
      <c r="L1745" s="65">
        <v>1739</v>
      </c>
      <c r="M1745" s="71">
        <f t="shared" ca="1" si="139"/>
        <v>0.50961732904991031</v>
      </c>
      <c r="N1745" s="65"/>
    </row>
    <row r="1746" spans="1:14" x14ac:dyDescent="0.25">
      <c r="A1746" s="2">
        <v>1740</v>
      </c>
      <c r="B1746" s="11">
        <f t="shared" ca="1" si="136"/>
        <v>1</v>
      </c>
      <c r="C1746" s="26">
        <f t="shared" ca="1" si="140"/>
        <v>0.58872650195573528</v>
      </c>
      <c r="J1746">
        <f t="shared" ca="1" si="137"/>
        <v>1</v>
      </c>
      <c r="K1746">
        <f t="shared" ca="1" si="138"/>
        <v>0</v>
      </c>
      <c r="L1746" s="65">
        <v>1740</v>
      </c>
      <c r="M1746" s="71">
        <f t="shared" ca="1" si="139"/>
        <v>6.4625420808993486</v>
      </c>
      <c r="N1746" s="65"/>
    </row>
    <row r="1747" spans="1:14" x14ac:dyDescent="0.25">
      <c r="A1747" s="2">
        <v>1741</v>
      </c>
      <c r="B1747" s="11">
        <f t="shared" ca="1" si="136"/>
        <v>1</v>
      </c>
      <c r="C1747" s="26">
        <f t="shared" ca="1" si="140"/>
        <v>0.44014012085304299</v>
      </c>
      <c r="J1747">
        <f t="shared" ca="1" si="137"/>
        <v>1</v>
      </c>
      <c r="K1747">
        <f t="shared" ca="1" si="138"/>
        <v>0</v>
      </c>
      <c r="L1747" s="65">
        <v>1741</v>
      </c>
      <c r="M1747" s="71">
        <f t="shared" ca="1" si="139"/>
        <v>3.9545387528827298</v>
      </c>
      <c r="N1747" s="65"/>
    </row>
    <row r="1748" spans="1:14" x14ac:dyDescent="0.25">
      <c r="A1748" s="2">
        <v>1742</v>
      </c>
      <c r="B1748" s="11">
        <f t="shared" ca="1" si="136"/>
        <v>1</v>
      </c>
      <c r="C1748" s="26">
        <f t="shared" ca="1" si="140"/>
        <v>0.5273323431264787</v>
      </c>
      <c r="J1748">
        <f t="shared" ca="1" si="137"/>
        <v>1</v>
      </c>
      <c r="K1748">
        <f t="shared" ca="1" si="138"/>
        <v>0</v>
      </c>
      <c r="L1748" s="65">
        <v>1742</v>
      </c>
      <c r="M1748" s="71">
        <f t="shared" ca="1" si="139"/>
        <v>0.5926738497951215</v>
      </c>
      <c r="N1748" s="65"/>
    </row>
    <row r="1749" spans="1:14" x14ac:dyDescent="0.25">
      <c r="A1749" s="2">
        <v>1743</v>
      </c>
      <c r="B1749" s="11">
        <f t="shared" ca="1" si="136"/>
        <v>1</v>
      </c>
      <c r="C1749" s="26">
        <f t="shared" ca="1" si="140"/>
        <v>0.4230505613455644</v>
      </c>
      <c r="J1749">
        <f t="shared" ca="1" si="137"/>
        <v>1</v>
      </c>
      <c r="K1749">
        <f t="shared" ca="1" si="138"/>
        <v>0</v>
      </c>
      <c r="L1749" s="65">
        <v>1743</v>
      </c>
      <c r="M1749" s="71">
        <f t="shared" ca="1" si="139"/>
        <v>1.9307473378724702</v>
      </c>
      <c r="N1749" s="65"/>
    </row>
    <row r="1750" spans="1:14" x14ac:dyDescent="0.25">
      <c r="A1750" s="2">
        <v>1744</v>
      </c>
      <c r="B1750" s="11">
        <f t="shared" ca="1" si="136"/>
        <v>1</v>
      </c>
      <c r="C1750" s="26">
        <f t="shared" ca="1" si="140"/>
        <v>0.25914243894626832</v>
      </c>
      <c r="J1750">
        <f t="shared" ca="1" si="137"/>
        <v>1</v>
      </c>
      <c r="K1750">
        <f t="shared" ca="1" si="138"/>
        <v>0</v>
      </c>
      <c r="L1750" s="65">
        <v>1744</v>
      </c>
      <c r="M1750" s="71">
        <f t="shared" ca="1" si="139"/>
        <v>0.84430803513526465</v>
      </c>
      <c r="N1750" s="65"/>
    </row>
    <row r="1751" spans="1:14" x14ac:dyDescent="0.25">
      <c r="A1751" s="2">
        <v>1745</v>
      </c>
      <c r="B1751" s="11">
        <f t="shared" ca="1" si="136"/>
        <v>1</v>
      </c>
      <c r="C1751" s="26">
        <f t="shared" ca="1" si="140"/>
        <v>0.11064610000677788</v>
      </c>
      <c r="J1751">
        <f t="shared" ca="1" si="137"/>
        <v>1</v>
      </c>
      <c r="K1751">
        <f t="shared" ca="1" si="138"/>
        <v>0</v>
      </c>
      <c r="L1751" s="65">
        <v>1745</v>
      </c>
      <c r="M1751" s="71">
        <f t="shared" ca="1" si="139"/>
        <v>8.8626723379702437</v>
      </c>
      <c r="N1751" s="65"/>
    </row>
    <row r="1752" spans="1:14" x14ac:dyDescent="0.25">
      <c r="A1752" s="2">
        <v>1746</v>
      </c>
      <c r="B1752" s="11">
        <f t="shared" ca="1" si="136"/>
        <v>1</v>
      </c>
      <c r="C1752" s="26">
        <f t="shared" ca="1" si="140"/>
        <v>0.59007778114611065</v>
      </c>
      <c r="J1752">
        <f t="shared" ca="1" si="137"/>
        <v>1</v>
      </c>
      <c r="K1752">
        <f t="shared" ca="1" si="138"/>
        <v>0</v>
      </c>
      <c r="L1752" s="65">
        <v>1746</v>
      </c>
      <c r="M1752" s="71">
        <f t="shared" ca="1" si="139"/>
        <v>0.44112373745153027</v>
      </c>
      <c r="N1752" s="65"/>
    </row>
    <row r="1753" spans="1:14" x14ac:dyDescent="0.25">
      <c r="A1753" s="2">
        <v>1747</v>
      </c>
      <c r="B1753" s="11">
        <f t="shared" ca="1" si="136"/>
        <v>1</v>
      </c>
      <c r="C1753" s="26">
        <f t="shared" ca="1" si="140"/>
        <v>0.54608429999258534</v>
      </c>
      <c r="J1753">
        <f t="shared" ca="1" si="137"/>
        <v>0</v>
      </c>
      <c r="K1753">
        <f t="shared" ca="1" si="138"/>
        <v>0</v>
      </c>
      <c r="L1753" s="65">
        <v>1747</v>
      </c>
      <c r="M1753" s="71">
        <f t="shared" ca="1" si="139"/>
        <v>8.477507953283375</v>
      </c>
      <c r="N1753" s="65"/>
    </row>
    <row r="1754" spans="1:14" x14ac:dyDescent="0.25">
      <c r="A1754" s="2">
        <v>1748</v>
      </c>
      <c r="B1754" s="11">
        <f t="shared" ca="1" si="136"/>
        <v>0</v>
      </c>
      <c r="C1754" s="26">
        <f t="shared" ca="1" si="140"/>
        <v>0.83198579822711938</v>
      </c>
      <c r="J1754">
        <f t="shared" ca="1" si="137"/>
        <v>0</v>
      </c>
      <c r="K1754">
        <f t="shared" ca="1" si="138"/>
        <v>0</v>
      </c>
      <c r="L1754" s="65">
        <v>1748</v>
      </c>
      <c r="M1754" s="71">
        <f t="shared" ca="1" si="139"/>
        <v>0</v>
      </c>
      <c r="N1754" s="65"/>
    </row>
    <row r="1755" spans="1:14" x14ac:dyDescent="0.25">
      <c r="A1755" s="2">
        <v>1749</v>
      </c>
      <c r="B1755" s="11">
        <f t="shared" ca="1" si="136"/>
        <v>1</v>
      </c>
      <c r="C1755" s="26">
        <f t="shared" ca="1" si="140"/>
        <v>0.22590160492580103</v>
      </c>
      <c r="J1755">
        <f t="shared" ca="1" si="137"/>
        <v>1</v>
      </c>
      <c r="K1755">
        <f t="shared" ca="1" si="138"/>
        <v>0</v>
      </c>
      <c r="L1755" s="65">
        <v>1749</v>
      </c>
      <c r="M1755" s="71">
        <f t="shared" ca="1" si="139"/>
        <v>0.51325853786277931</v>
      </c>
      <c r="N1755" s="65"/>
    </row>
    <row r="1756" spans="1:14" x14ac:dyDescent="0.25">
      <c r="A1756" s="2">
        <v>1750</v>
      </c>
      <c r="B1756" s="11">
        <f t="shared" ca="1" si="136"/>
        <v>1</v>
      </c>
      <c r="C1756" s="26">
        <f t="shared" ca="1" si="140"/>
        <v>6.9397945054062715E-3</v>
      </c>
      <c r="J1756">
        <f t="shared" ca="1" si="137"/>
        <v>1</v>
      </c>
      <c r="K1756">
        <f t="shared" ca="1" si="138"/>
        <v>0</v>
      </c>
      <c r="L1756" s="65">
        <v>1750</v>
      </c>
      <c r="M1756" s="71">
        <f t="shared" ca="1" si="139"/>
        <v>1.0929790722041204</v>
      </c>
      <c r="N1756" s="65"/>
    </row>
    <row r="1757" spans="1:14" x14ac:dyDescent="0.25">
      <c r="A1757" s="2">
        <v>1751</v>
      </c>
      <c r="B1757" s="11">
        <f t="shared" ca="1" si="136"/>
        <v>1</v>
      </c>
      <c r="C1757" s="26">
        <f t="shared" ca="1" si="140"/>
        <v>0.57684265487608877</v>
      </c>
      <c r="J1757">
        <f t="shared" ca="1" si="137"/>
        <v>1</v>
      </c>
      <c r="K1757">
        <f t="shared" ca="1" si="138"/>
        <v>0</v>
      </c>
      <c r="L1757" s="65">
        <v>1751</v>
      </c>
      <c r="M1757" s="71">
        <f t="shared" ca="1" si="139"/>
        <v>1.1448650392237347</v>
      </c>
      <c r="N1757" s="65"/>
    </row>
    <row r="1758" spans="1:14" x14ac:dyDescent="0.25">
      <c r="A1758" s="2">
        <v>1752</v>
      </c>
      <c r="B1758" s="11">
        <f t="shared" ca="1" si="136"/>
        <v>1</v>
      </c>
      <c r="C1758" s="26">
        <f t="shared" ca="1" si="140"/>
        <v>0.75659044108166673</v>
      </c>
      <c r="J1758">
        <f t="shared" ca="1" si="137"/>
        <v>1</v>
      </c>
      <c r="K1758">
        <f t="shared" ca="1" si="138"/>
        <v>0</v>
      </c>
      <c r="L1758" s="65">
        <v>1752</v>
      </c>
      <c r="M1758" s="71">
        <f t="shared" ca="1" si="139"/>
        <v>2.2055935914644995</v>
      </c>
      <c r="N1758" s="65"/>
    </row>
    <row r="1759" spans="1:14" x14ac:dyDescent="0.25">
      <c r="A1759" s="2">
        <v>1753</v>
      </c>
      <c r="B1759" s="11">
        <f t="shared" ca="1" si="136"/>
        <v>1</v>
      </c>
      <c r="C1759" s="26">
        <f t="shared" ca="1" si="140"/>
        <v>0.35660270691431484</v>
      </c>
      <c r="J1759">
        <f t="shared" ca="1" si="137"/>
        <v>0</v>
      </c>
      <c r="K1759">
        <f t="shared" ca="1" si="138"/>
        <v>0</v>
      </c>
      <c r="L1759" s="65">
        <v>1753</v>
      </c>
      <c r="M1759" s="71">
        <f t="shared" ca="1" si="139"/>
        <v>4.0754699078059069</v>
      </c>
      <c r="N1759" s="65"/>
    </row>
    <row r="1760" spans="1:14" x14ac:dyDescent="0.25">
      <c r="A1760" s="2">
        <v>1754</v>
      </c>
      <c r="B1760" s="11">
        <f t="shared" ca="1" si="136"/>
        <v>0</v>
      </c>
      <c r="C1760" s="26">
        <f t="shared" ca="1" si="140"/>
        <v>0.9720161796080663</v>
      </c>
      <c r="J1760">
        <f t="shared" ca="1" si="137"/>
        <v>0</v>
      </c>
      <c r="K1760">
        <f t="shared" ca="1" si="138"/>
        <v>1</v>
      </c>
      <c r="L1760" s="65">
        <v>1754</v>
      </c>
      <c r="M1760" s="71">
        <f t="shared" ca="1" si="139"/>
        <v>0</v>
      </c>
      <c r="N1760" s="65"/>
    </row>
    <row r="1761" spans="1:14" x14ac:dyDescent="0.25">
      <c r="A1761" s="2">
        <v>1755</v>
      </c>
      <c r="B1761" s="11">
        <f t="shared" ca="1" si="136"/>
        <v>0</v>
      </c>
      <c r="C1761" s="26">
        <f t="shared" ca="1" si="140"/>
        <v>0.9941538237970371</v>
      </c>
      <c r="J1761">
        <f t="shared" ca="1" si="137"/>
        <v>0</v>
      </c>
      <c r="K1761">
        <f t="shared" ca="1" si="138"/>
        <v>0</v>
      </c>
      <c r="L1761" s="65">
        <v>1755</v>
      </c>
      <c r="M1761" s="71">
        <f t="shared" ca="1" si="139"/>
        <v>0</v>
      </c>
      <c r="N1761" s="65"/>
    </row>
    <row r="1762" spans="1:14" x14ac:dyDescent="0.25">
      <c r="A1762" s="2">
        <v>1756</v>
      </c>
      <c r="B1762" s="11">
        <f t="shared" ca="1" si="136"/>
        <v>1</v>
      </c>
      <c r="C1762" s="26">
        <f t="shared" ca="1" si="140"/>
        <v>0.34446986881266439</v>
      </c>
      <c r="J1762">
        <f t="shared" ca="1" si="137"/>
        <v>1</v>
      </c>
      <c r="K1762">
        <f t="shared" ca="1" si="138"/>
        <v>0</v>
      </c>
      <c r="L1762" s="65">
        <v>1756</v>
      </c>
      <c r="M1762" s="71">
        <f t="shared" ca="1" si="139"/>
        <v>0.37197924492041562</v>
      </c>
      <c r="N1762" s="65"/>
    </row>
    <row r="1763" spans="1:14" x14ac:dyDescent="0.25">
      <c r="A1763" s="2">
        <v>1757</v>
      </c>
      <c r="B1763" s="11">
        <f t="shared" ca="1" si="136"/>
        <v>1</v>
      </c>
      <c r="C1763" s="26">
        <f t="shared" ca="1" si="140"/>
        <v>0.47975981161451853</v>
      </c>
      <c r="J1763">
        <f t="shared" ca="1" si="137"/>
        <v>1</v>
      </c>
      <c r="K1763">
        <f t="shared" ca="1" si="138"/>
        <v>0</v>
      </c>
      <c r="L1763" s="65">
        <v>1757</v>
      </c>
      <c r="M1763" s="71">
        <f t="shared" ca="1" si="139"/>
        <v>7.9025788040377885</v>
      </c>
      <c r="N1763" s="65"/>
    </row>
    <row r="1764" spans="1:14" x14ac:dyDescent="0.25">
      <c r="A1764" s="2">
        <v>1758</v>
      </c>
      <c r="B1764" s="11">
        <f t="shared" ca="1" si="136"/>
        <v>1</v>
      </c>
      <c r="C1764" s="26">
        <f t="shared" ca="1" si="140"/>
        <v>0.22289834216770477</v>
      </c>
      <c r="J1764">
        <f t="shared" ca="1" si="137"/>
        <v>1</v>
      </c>
      <c r="K1764">
        <f t="shared" ca="1" si="138"/>
        <v>0</v>
      </c>
      <c r="L1764" s="65">
        <v>1758</v>
      </c>
      <c r="M1764" s="71">
        <f t="shared" ca="1" si="139"/>
        <v>0.72453296190308181</v>
      </c>
      <c r="N1764" s="65"/>
    </row>
    <row r="1765" spans="1:14" x14ac:dyDescent="0.25">
      <c r="A1765" s="2">
        <v>1759</v>
      </c>
      <c r="B1765" s="11">
        <f t="shared" ca="1" si="136"/>
        <v>1</v>
      </c>
      <c r="C1765" s="26">
        <f t="shared" ca="1" si="140"/>
        <v>0.46795389130132392</v>
      </c>
      <c r="J1765">
        <f t="shared" ca="1" si="137"/>
        <v>0</v>
      </c>
      <c r="K1765">
        <f t="shared" ca="1" si="138"/>
        <v>0</v>
      </c>
      <c r="L1765" s="65">
        <v>1759</v>
      </c>
      <c r="M1765" s="71">
        <f t="shared" ca="1" si="139"/>
        <v>4.6807283464722254</v>
      </c>
      <c r="N1765" s="65"/>
    </row>
    <row r="1766" spans="1:14" x14ac:dyDescent="0.25">
      <c r="A1766" s="2">
        <v>1760</v>
      </c>
      <c r="B1766" s="11">
        <f t="shared" ca="1" si="136"/>
        <v>0</v>
      </c>
      <c r="C1766" s="26">
        <f t="shared" ca="1" si="140"/>
        <v>0.9263397648645183</v>
      </c>
      <c r="J1766">
        <f t="shared" ca="1" si="137"/>
        <v>0</v>
      </c>
      <c r="K1766">
        <f t="shared" ca="1" si="138"/>
        <v>1</v>
      </c>
      <c r="L1766" s="65">
        <v>1760</v>
      </c>
      <c r="M1766" s="71">
        <f t="shared" ca="1" si="139"/>
        <v>0</v>
      </c>
      <c r="N1766" s="65"/>
    </row>
    <row r="1767" spans="1:14" x14ac:dyDescent="0.25">
      <c r="A1767" s="2">
        <v>1761</v>
      </c>
      <c r="B1767" s="11">
        <f t="shared" ca="1" si="136"/>
        <v>0</v>
      </c>
      <c r="C1767" s="26">
        <f t="shared" ca="1" si="140"/>
        <v>0.81033366567354226</v>
      </c>
      <c r="J1767">
        <f t="shared" ca="1" si="137"/>
        <v>0</v>
      </c>
      <c r="K1767">
        <f t="shared" ca="1" si="138"/>
        <v>0</v>
      </c>
      <c r="L1767" s="65">
        <v>1761</v>
      </c>
      <c r="M1767" s="71">
        <f t="shared" ca="1" si="139"/>
        <v>0</v>
      </c>
      <c r="N1767" s="65"/>
    </row>
    <row r="1768" spans="1:14" x14ac:dyDescent="0.25">
      <c r="A1768" s="2">
        <v>1762</v>
      </c>
      <c r="B1768" s="11">
        <f t="shared" ca="1" si="136"/>
        <v>1</v>
      </c>
      <c r="C1768" s="26">
        <f t="shared" ca="1" si="140"/>
        <v>0.4685891402997221</v>
      </c>
      <c r="J1768">
        <f t="shared" ca="1" si="137"/>
        <v>1</v>
      </c>
      <c r="K1768">
        <f t="shared" ca="1" si="138"/>
        <v>0</v>
      </c>
      <c r="L1768" s="65">
        <v>1762</v>
      </c>
      <c r="M1768" s="71">
        <f t="shared" ca="1" si="139"/>
        <v>8.0590738176023784</v>
      </c>
      <c r="N1768" s="65"/>
    </row>
    <row r="1769" spans="1:14" x14ac:dyDescent="0.25">
      <c r="A1769" s="2">
        <v>1763</v>
      </c>
      <c r="B1769" s="11">
        <f t="shared" ca="1" si="136"/>
        <v>1</v>
      </c>
      <c r="C1769" s="26">
        <f t="shared" ca="1" si="140"/>
        <v>0.50480307282899595</v>
      </c>
      <c r="J1769">
        <f t="shared" ca="1" si="137"/>
        <v>1</v>
      </c>
      <c r="K1769">
        <f t="shared" ca="1" si="138"/>
        <v>0</v>
      </c>
      <c r="L1769" s="65">
        <v>1763</v>
      </c>
      <c r="M1769" s="71">
        <f t="shared" ca="1" si="139"/>
        <v>4.4008806458838272</v>
      </c>
      <c r="N1769" s="65"/>
    </row>
    <row r="1770" spans="1:14" x14ac:dyDescent="0.25">
      <c r="A1770" s="2">
        <v>1764</v>
      </c>
      <c r="B1770" s="11">
        <f t="shared" ca="1" si="136"/>
        <v>1</v>
      </c>
      <c r="C1770" s="26">
        <f t="shared" ca="1" si="140"/>
        <v>0.22248218348224746</v>
      </c>
      <c r="J1770">
        <f t="shared" ca="1" si="137"/>
        <v>1</v>
      </c>
      <c r="K1770">
        <f t="shared" ca="1" si="138"/>
        <v>0</v>
      </c>
      <c r="L1770" s="65">
        <v>1764</v>
      </c>
      <c r="M1770" s="71">
        <f t="shared" ca="1" si="139"/>
        <v>9.0800235893321357</v>
      </c>
      <c r="N1770" s="65"/>
    </row>
    <row r="1771" spans="1:14" x14ac:dyDescent="0.25">
      <c r="A1771" s="2">
        <v>1765</v>
      </c>
      <c r="B1771" s="11">
        <f t="shared" ca="1" si="136"/>
        <v>1</v>
      </c>
      <c r="C1771" s="26">
        <f t="shared" ca="1" si="140"/>
        <v>0.59237929566179959</v>
      </c>
      <c r="J1771">
        <f t="shared" ca="1" si="137"/>
        <v>1</v>
      </c>
      <c r="K1771">
        <f t="shared" ca="1" si="138"/>
        <v>0</v>
      </c>
      <c r="L1771" s="65">
        <v>1765</v>
      </c>
      <c r="M1771" s="71">
        <f t="shared" ca="1" si="139"/>
        <v>6.4420790062802418</v>
      </c>
      <c r="N1771" s="65"/>
    </row>
    <row r="1772" spans="1:14" x14ac:dyDescent="0.25">
      <c r="A1772" s="2">
        <v>1766</v>
      </c>
      <c r="B1772" s="11">
        <f t="shared" ca="1" si="136"/>
        <v>1</v>
      </c>
      <c r="C1772" s="26">
        <f t="shared" ca="1" si="140"/>
        <v>0.38213370132606317</v>
      </c>
      <c r="J1772">
        <f t="shared" ca="1" si="137"/>
        <v>1</v>
      </c>
      <c r="K1772">
        <f t="shared" ca="1" si="138"/>
        <v>0</v>
      </c>
      <c r="L1772" s="65">
        <v>1766</v>
      </c>
      <c r="M1772" s="71">
        <f t="shared" ca="1" si="139"/>
        <v>1.494683091409023</v>
      </c>
      <c r="N1772" s="65"/>
    </row>
    <row r="1773" spans="1:14" x14ac:dyDescent="0.25">
      <c r="A1773" s="2">
        <v>1767</v>
      </c>
      <c r="B1773" s="11">
        <f t="shared" ca="1" si="136"/>
        <v>1</v>
      </c>
      <c r="C1773" s="26">
        <f t="shared" ca="1" si="140"/>
        <v>3.192048101674505E-2</v>
      </c>
      <c r="J1773">
        <f t="shared" ca="1" si="137"/>
        <v>1</v>
      </c>
      <c r="K1773">
        <f t="shared" ca="1" si="138"/>
        <v>0</v>
      </c>
      <c r="L1773" s="65">
        <v>1767</v>
      </c>
      <c r="M1773" s="71">
        <f t="shared" ca="1" si="139"/>
        <v>0.27870589534271006</v>
      </c>
      <c r="N1773" s="65"/>
    </row>
    <row r="1774" spans="1:14" x14ac:dyDescent="0.25">
      <c r="A1774" s="2">
        <v>1768</v>
      </c>
      <c r="B1774" s="11">
        <f t="shared" ca="1" si="136"/>
        <v>1</v>
      </c>
      <c r="C1774" s="26">
        <f t="shared" ca="1" si="140"/>
        <v>0.56875121030042886</v>
      </c>
      <c r="J1774">
        <f t="shared" ca="1" si="137"/>
        <v>1</v>
      </c>
      <c r="K1774">
        <f t="shared" ca="1" si="138"/>
        <v>0</v>
      </c>
      <c r="L1774" s="65">
        <v>1768</v>
      </c>
      <c r="M1774" s="71">
        <f t="shared" ca="1" si="139"/>
        <v>2.21437846806977</v>
      </c>
      <c r="N1774" s="65"/>
    </row>
    <row r="1775" spans="1:14" x14ac:dyDescent="0.25">
      <c r="A1775" s="2">
        <v>1769</v>
      </c>
      <c r="B1775" s="11">
        <f t="shared" ref="B1775:B1838" ca="1" si="141">IF(B1774&gt;0,IF(C1775&lt;pww,1,0),IF(C1775&lt;pdw,1,0))</f>
        <v>1</v>
      </c>
      <c r="C1775" s="26">
        <f t="shared" ca="1" si="140"/>
        <v>0.78378854626695538</v>
      </c>
      <c r="J1775">
        <f t="shared" ref="J1775:J1838" ca="1" si="142">IF(AND(B1775,B1776),1,0)</f>
        <v>1</v>
      </c>
      <c r="K1775">
        <f t="shared" ref="K1775:K1838" ca="1" si="143">IF(AND(NOT(B1775),NOT(B1776)),1,0)</f>
        <v>0</v>
      </c>
      <c r="L1775" s="65">
        <v>1769</v>
      </c>
      <c r="M1775" s="71">
        <f t="shared" ca="1" si="139"/>
        <v>3.6332994562780092</v>
      </c>
      <c r="N1775" s="65"/>
    </row>
    <row r="1776" spans="1:14" x14ac:dyDescent="0.25">
      <c r="A1776" s="2">
        <v>1770</v>
      </c>
      <c r="B1776" s="11">
        <f t="shared" ca="1" si="141"/>
        <v>1</v>
      </c>
      <c r="C1776" s="26">
        <f t="shared" ca="1" si="140"/>
        <v>0.79490147312007375</v>
      </c>
      <c r="J1776">
        <f t="shared" ca="1" si="142"/>
        <v>1</v>
      </c>
      <c r="K1776">
        <f t="shared" ca="1" si="143"/>
        <v>0</v>
      </c>
      <c r="L1776" s="65">
        <v>1770</v>
      </c>
      <c r="M1776" s="71">
        <f t="shared" ca="1" si="139"/>
        <v>0.24059313488654649</v>
      </c>
      <c r="N1776" s="65"/>
    </row>
    <row r="1777" spans="1:14" x14ac:dyDescent="0.25">
      <c r="A1777" s="2">
        <v>1771</v>
      </c>
      <c r="B1777" s="11">
        <f t="shared" ca="1" si="141"/>
        <v>1</v>
      </c>
      <c r="C1777" s="26">
        <f t="shared" ca="1" si="140"/>
        <v>0.30206680661676244</v>
      </c>
      <c r="J1777">
        <f t="shared" ca="1" si="142"/>
        <v>1</v>
      </c>
      <c r="K1777">
        <f t="shared" ca="1" si="143"/>
        <v>0</v>
      </c>
      <c r="L1777" s="65">
        <v>1771</v>
      </c>
      <c r="M1777" s="71">
        <f t="shared" ca="1" si="139"/>
        <v>6.7751691338592455</v>
      </c>
      <c r="N1777" s="65"/>
    </row>
    <row r="1778" spans="1:14" x14ac:dyDescent="0.25">
      <c r="A1778" s="2">
        <v>1772</v>
      </c>
      <c r="B1778" s="11">
        <f t="shared" ca="1" si="141"/>
        <v>1</v>
      </c>
      <c r="C1778" s="26">
        <f t="shared" ca="1" si="140"/>
        <v>0.42708583733410332</v>
      </c>
      <c r="J1778">
        <f t="shared" ca="1" si="142"/>
        <v>1</v>
      </c>
      <c r="K1778">
        <f t="shared" ca="1" si="143"/>
        <v>0</v>
      </c>
      <c r="L1778" s="65">
        <v>1772</v>
      </c>
      <c r="M1778" s="71">
        <f t="shared" ca="1" si="139"/>
        <v>0.31218412460832906</v>
      </c>
      <c r="N1778" s="65"/>
    </row>
    <row r="1779" spans="1:14" x14ac:dyDescent="0.25">
      <c r="A1779" s="2">
        <v>1773</v>
      </c>
      <c r="B1779" s="11">
        <f t="shared" ca="1" si="141"/>
        <v>1</v>
      </c>
      <c r="C1779" s="26">
        <f t="shared" ca="1" si="140"/>
        <v>0.35365411187231943</v>
      </c>
      <c r="J1779">
        <f t="shared" ca="1" si="142"/>
        <v>0</v>
      </c>
      <c r="K1779">
        <f t="shared" ca="1" si="143"/>
        <v>0</v>
      </c>
      <c r="L1779" s="65">
        <v>1773</v>
      </c>
      <c r="M1779" s="71">
        <f t="shared" ca="1" si="139"/>
        <v>1.1901135604703206</v>
      </c>
      <c r="N1779" s="65"/>
    </row>
    <row r="1780" spans="1:14" x14ac:dyDescent="0.25">
      <c r="A1780" s="2">
        <v>1774</v>
      </c>
      <c r="B1780" s="11">
        <f t="shared" ca="1" si="141"/>
        <v>0</v>
      </c>
      <c r="C1780" s="26">
        <f t="shared" ca="1" si="140"/>
        <v>0.8727643098692468</v>
      </c>
      <c r="J1780">
        <f t="shared" ca="1" si="142"/>
        <v>0</v>
      </c>
      <c r="K1780">
        <f t="shared" ca="1" si="143"/>
        <v>0</v>
      </c>
      <c r="L1780" s="65">
        <v>1774</v>
      </c>
      <c r="M1780" s="71">
        <f t="shared" ca="1" si="139"/>
        <v>0</v>
      </c>
      <c r="N1780" s="65"/>
    </row>
    <row r="1781" spans="1:14" x14ac:dyDescent="0.25">
      <c r="A1781" s="2">
        <v>1775</v>
      </c>
      <c r="B1781" s="11">
        <f t="shared" ca="1" si="141"/>
        <v>1</v>
      </c>
      <c r="C1781" s="26">
        <f t="shared" ca="1" si="140"/>
        <v>0.45130270138726947</v>
      </c>
      <c r="J1781">
        <f t="shared" ca="1" si="142"/>
        <v>1</v>
      </c>
      <c r="K1781">
        <f t="shared" ca="1" si="143"/>
        <v>0</v>
      </c>
      <c r="L1781" s="65">
        <v>1775</v>
      </c>
      <c r="M1781" s="71">
        <f t="shared" ca="1" si="139"/>
        <v>6.0862368675890473</v>
      </c>
      <c r="N1781" s="65"/>
    </row>
    <row r="1782" spans="1:14" x14ac:dyDescent="0.25">
      <c r="A1782" s="2">
        <v>1776</v>
      </c>
      <c r="B1782" s="11">
        <f t="shared" ca="1" si="141"/>
        <v>1</v>
      </c>
      <c r="C1782" s="26">
        <f t="shared" ca="1" si="140"/>
        <v>0.54310777835267154</v>
      </c>
      <c r="J1782">
        <f t="shared" ca="1" si="142"/>
        <v>1</v>
      </c>
      <c r="K1782">
        <f t="shared" ca="1" si="143"/>
        <v>0</v>
      </c>
      <c r="L1782" s="65">
        <v>1776</v>
      </c>
      <c r="M1782" s="71">
        <f t="shared" ca="1" si="139"/>
        <v>4.4425646303608515</v>
      </c>
      <c r="N1782" s="65"/>
    </row>
    <row r="1783" spans="1:14" x14ac:dyDescent="0.25">
      <c r="A1783" s="2">
        <v>1777</v>
      </c>
      <c r="B1783" s="11">
        <f t="shared" ca="1" si="141"/>
        <v>1</v>
      </c>
      <c r="C1783" s="26">
        <f t="shared" ca="1" si="140"/>
        <v>0.12859491100451093</v>
      </c>
      <c r="J1783">
        <f t="shared" ca="1" si="142"/>
        <v>1</v>
      </c>
      <c r="K1783">
        <f t="shared" ca="1" si="143"/>
        <v>0</v>
      </c>
      <c r="L1783" s="65">
        <v>1777</v>
      </c>
      <c r="M1783" s="71">
        <f t="shared" ca="1" si="139"/>
        <v>5.5720737981612878</v>
      </c>
      <c r="N1783" s="65"/>
    </row>
    <row r="1784" spans="1:14" x14ac:dyDescent="0.25">
      <c r="A1784" s="2">
        <v>1778</v>
      </c>
      <c r="B1784" s="11">
        <f t="shared" ca="1" si="141"/>
        <v>1</v>
      </c>
      <c r="C1784" s="26">
        <f t="shared" ca="1" si="140"/>
        <v>0.48160005164386499</v>
      </c>
      <c r="J1784">
        <f t="shared" ca="1" si="142"/>
        <v>1</v>
      </c>
      <c r="K1784">
        <f t="shared" ca="1" si="143"/>
        <v>0</v>
      </c>
      <c r="L1784" s="65">
        <v>1778</v>
      </c>
      <c r="M1784" s="71">
        <f t="shared" ca="1" si="139"/>
        <v>1.904266940019729</v>
      </c>
      <c r="N1784" s="65"/>
    </row>
    <row r="1785" spans="1:14" x14ac:dyDescent="0.25">
      <c r="A1785" s="2">
        <v>1779</v>
      </c>
      <c r="B1785" s="11">
        <f t="shared" ca="1" si="141"/>
        <v>1</v>
      </c>
      <c r="C1785" s="26">
        <f t="shared" ca="1" si="140"/>
        <v>0.11778341506454415</v>
      </c>
      <c r="J1785">
        <f t="shared" ca="1" si="142"/>
        <v>1</v>
      </c>
      <c r="K1785">
        <f t="shared" ca="1" si="143"/>
        <v>0</v>
      </c>
      <c r="L1785" s="65">
        <v>1779</v>
      </c>
      <c r="M1785" s="71">
        <f t="shared" ca="1" si="139"/>
        <v>4.1788225842836635</v>
      </c>
      <c r="N1785" s="65"/>
    </row>
    <row r="1786" spans="1:14" x14ac:dyDescent="0.25">
      <c r="A1786" s="2">
        <v>1780</v>
      </c>
      <c r="B1786" s="11">
        <f t="shared" ca="1" si="141"/>
        <v>1</v>
      </c>
      <c r="C1786" s="26">
        <f t="shared" ca="1" si="140"/>
        <v>8.9453746384151156E-2</v>
      </c>
      <c r="J1786">
        <f t="shared" ca="1" si="142"/>
        <v>1</v>
      </c>
      <c r="K1786">
        <f t="shared" ca="1" si="143"/>
        <v>0</v>
      </c>
      <c r="L1786" s="65">
        <v>1780</v>
      </c>
      <c r="M1786" s="71">
        <f t="shared" ca="1" si="139"/>
        <v>1.616187416537511</v>
      </c>
      <c r="N1786" s="65"/>
    </row>
    <row r="1787" spans="1:14" x14ac:dyDescent="0.25">
      <c r="A1787" s="2">
        <v>1781</v>
      </c>
      <c r="B1787" s="11">
        <f t="shared" ca="1" si="141"/>
        <v>1</v>
      </c>
      <c r="C1787" s="26">
        <f t="shared" ca="1" si="140"/>
        <v>0.29788887047998058</v>
      </c>
      <c r="J1787">
        <f t="shared" ca="1" si="142"/>
        <v>1</v>
      </c>
      <c r="K1787">
        <f t="shared" ca="1" si="143"/>
        <v>0</v>
      </c>
      <c r="L1787" s="65">
        <v>1781</v>
      </c>
      <c r="M1787" s="71">
        <f t="shared" ca="1" si="139"/>
        <v>2.330656806175134</v>
      </c>
      <c r="N1787" s="65"/>
    </row>
    <row r="1788" spans="1:14" x14ac:dyDescent="0.25">
      <c r="A1788" s="2">
        <v>1782</v>
      </c>
      <c r="B1788" s="11">
        <f t="shared" ca="1" si="141"/>
        <v>1</v>
      </c>
      <c r="C1788" s="26">
        <f t="shared" ca="1" si="140"/>
        <v>0.5700178251939898</v>
      </c>
      <c r="J1788">
        <f t="shared" ca="1" si="142"/>
        <v>1</v>
      </c>
      <c r="K1788">
        <f t="shared" ca="1" si="143"/>
        <v>0</v>
      </c>
      <c r="L1788" s="65">
        <v>1782</v>
      </c>
      <c r="M1788" s="71">
        <f t="shared" ca="1" si="139"/>
        <v>1.18429928305488</v>
      </c>
      <c r="N1788" s="65"/>
    </row>
    <row r="1789" spans="1:14" x14ac:dyDescent="0.25">
      <c r="A1789" s="2">
        <v>1783</v>
      </c>
      <c r="B1789" s="11">
        <f t="shared" ca="1" si="141"/>
        <v>1</v>
      </c>
      <c r="C1789" s="26">
        <f t="shared" ca="1" si="140"/>
        <v>0.1220695949972026</v>
      </c>
      <c r="J1789">
        <f t="shared" ca="1" si="142"/>
        <v>1</v>
      </c>
      <c r="K1789">
        <f t="shared" ca="1" si="143"/>
        <v>0</v>
      </c>
      <c r="L1789" s="65">
        <v>1783</v>
      </c>
      <c r="M1789" s="71">
        <f t="shared" ca="1" si="139"/>
        <v>3.6076394083167682</v>
      </c>
      <c r="N1789" s="65"/>
    </row>
    <row r="1790" spans="1:14" x14ac:dyDescent="0.25">
      <c r="A1790" s="2">
        <v>1784</v>
      </c>
      <c r="B1790" s="11">
        <f t="shared" ca="1" si="141"/>
        <v>1</v>
      </c>
      <c r="C1790" s="26">
        <f t="shared" ca="1" si="140"/>
        <v>0.24134642441282816</v>
      </c>
      <c r="J1790">
        <f t="shared" ca="1" si="142"/>
        <v>1</v>
      </c>
      <c r="K1790">
        <f t="shared" ca="1" si="143"/>
        <v>0</v>
      </c>
      <c r="L1790" s="65">
        <v>1784</v>
      </c>
      <c r="M1790" s="71">
        <f t="shared" ca="1" si="139"/>
        <v>0.49041819477466059</v>
      </c>
      <c r="N1790" s="65"/>
    </row>
    <row r="1791" spans="1:14" x14ac:dyDescent="0.25">
      <c r="A1791" s="2">
        <v>1785</v>
      </c>
      <c r="B1791" s="11">
        <f t="shared" ca="1" si="141"/>
        <v>1</v>
      </c>
      <c r="C1791" s="26">
        <f t="shared" ca="1" si="140"/>
        <v>0.63367686820237878</v>
      </c>
      <c r="J1791">
        <f t="shared" ca="1" si="142"/>
        <v>1</v>
      </c>
      <c r="K1791">
        <f t="shared" ca="1" si="143"/>
        <v>0</v>
      </c>
      <c r="L1791" s="65">
        <v>1785</v>
      </c>
      <c r="M1791" s="71">
        <f t="shared" ca="1" si="139"/>
        <v>7.0830622717097738</v>
      </c>
      <c r="N1791" s="65"/>
    </row>
    <row r="1792" spans="1:14" x14ac:dyDescent="0.25">
      <c r="A1792" s="2">
        <v>1786</v>
      </c>
      <c r="B1792" s="11">
        <f t="shared" ca="1" si="141"/>
        <v>1</v>
      </c>
      <c r="C1792" s="26">
        <f t="shared" ca="1" si="140"/>
        <v>0.65139698252172518</v>
      </c>
      <c r="J1792">
        <f t="shared" ca="1" si="142"/>
        <v>0</v>
      </c>
      <c r="K1792">
        <f t="shared" ca="1" si="143"/>
        <v>0</v>
      </c>
      <c r="L1792" s="65">
        <v>1786</v>
      </c>
      <c r="M1792" s="71">
        <f t="shared" ca="1" si="139"/>
        <v>3.0769187833312737</v>
      </c>
      <c r="N1792" s="65"/>
    </row>
    <row r="1793" spans="1:14" x14ac:dyDescent="0.25">
      <c r="A1793" s="2">
        <v>1787</v>
      </c>
      <c r="B1793" s="11">
        <f t="shared" ca="1" si="141"/>
        <v>0</v>
      </c>
      <c r="C1793" s="26">
        <f t="shared" ca="1" si="140"/>
        <v>0.98425514146121917</v>
      </c>
      <c r="J1793">
        <f t="shared" ca="1" si="142"/>
        <v>0</v>
      </c>
      <c r="K1793">
        <f t="shared" ca="1" si="143"/>
        <v>0</v>
      </c>
      <c r="L1793" s="65">
        <v>1787</v>
      </c>
      <c r="M1793" s="71">
        <f t="shared" ca="1" si="139"/>
        <v>0</v>
      </c>
      <c r="N1793" s="65"/>
    </row>
    <row r="1794" spans="1:14" x14ac:dyDescent="0.25">
      <c r="A1794" s="2">
        <v>1788</v>
      </c>
      <c r="B1794" s="11">
        <f t="shared" ca="1" si="141"/>
        <v>1</v>
      </c>
      <c r="C1794" s="26">
        <f t="shared" ca="1" si="140"/>
        <v>0.60083147181879293</v>
      </c>
      <c r="J1794">
        <f t="shared" ca="1" si="142"/>
        <v>1</v>
      </c>
      <c r="K1794">
        <f t="shared" ca="1" si="143"/>
        <v>0</v>
      </c>
      <c r="L1794" s="65">
        <v>1788</v>
      </c>
      <c r="M1794" s="71">
        <f t="shared" ca="1" si="139"/>
        <v>11.787788521682154</v>
      </c>
      <c r="N1794" s="65"/>
    </row>
    <row r="1795" spans="1:14" x14ac:dyDescent="0.25">
      <c r="A1795" s="2">
        <v>1789</v>
      </c>
      <c r="B1795" s="11">
        <f t="shared" ca="1" si="141"/>
        <v>1</v>
      </c>
      <c r="C1795" s="26">
        <f t="shared" ca="1" si="140"/>
        <v>0.71799753296850899</v>
      </c>
      <c r="J1795">
        <f t="shared" ca="1" si="142"/>
        <v>1</v>
      </c>
      <c r="K1795">
        <f t="shared" ca="1" si="143"/>
        <v>0</v>
      </c>
      <c r="L1795" s="65">
        <v>1789</v>
      </c>
      <c r="M1795" s="71">
        <f t="shared" ca="1" si="139"/>
        <v>0.7168233133896913</v>
      </c>
      <c r="N1795" s="65"/>
    </row>
    <row r="1796" spans="1:14" x14ac:dyDescent="0.25">
      <c r="A1796" s="2">
        <v>1790</v>
      </c>
      <c r="B1796" s="11">
        <f t="shared" ca="1" si="141"/>
        <v>1</v>
      </c>
      <c r="C1796" s="26">
        <f t="shared" ca="1" si="140"/>
        <v>0.56996340505957044</v>
      </c>
      <c r="J1796">
        <f t="shared" ca="1" si="142"/>
        <v>1</v>
      </c>
      <c r="K1796">
        <f t="shared" ca="1" si="143"/>
        <v>0</v>
      </c>
      <c r="L1796" s="65">
        <v>1790</v>
      </c>
      <c r="M1796" s="71">
        <f t="shared" ca="1" si="139"/>
        <v>14.090818243523229</v>
      </c>
      <c r="N1796" s="65"/>
    </row>
    <row r="1797" spans="1:14" x14ac:dyDescent="0.25">
      <c r="A1797" s="2">
        <v>1791</v>
      </c>
      <c r="B1797" s="11">
        <f t="shared" ca="1" si="141"/>
        <v>1</v>
      </c>
      <c r="C1797" s="26">
        <f t="shared" ca="1" si="140"/>
        <v>0.60827055716632805</v>
      </c>
      <c r="J1797">
        <f t="shared" ca="1" si="142"/>
        <v>1</v>
      </c>
      <c r="K1797">
        <f t="shared" ca="1" si="143"/>
        <v>0</v>
      </c>
      <c r="L1797" s="65">
        <v>1791</v>
      </c>
      <c r="M1797" s="71">
        <f t="shared" ca="1" si="139"/>
        <v>1.3806918196661608</v>
      </c>
      <c r="N1797" s="65"/>
    </row>
    <row r="1798" spans="1:14" x14ac:dyDescent="0.25">
      <c r="A1798" s="2">
        <v>1792</v>
      </c>
      <c r="B1798" s="11">
        <f t="shared" ca="1" si="141"/>
        <v>1</v>
      </c>
      <c r="C1798" s="26">
        <f t="shared" ca="1" si="140"/>
        <v>0.66768963192970121</v>
      </c>
      <c r="J1798">
        <f t="shared" ca="1" si="142"/>
        <v>1</v>
      </c>
      <c r="K1798">
        <f t="shared" ca="1" si="143"/>
        <v>0</v>
      </c>
      <c r="L1798" s="65">
        <v>1792</v>
      </c>
      <c r="M1798" s="71">
        <f t="shared" ca="1" si="139"/>
        <v>2.5597177512282117</v>
      </c>
      <c r="N1798" s="65"/>
    </row>
    <row r="1799" spans="1:14" x14ac:dyDescent="0.25">
      <c r="A1799" s="2">
        <v>1793</v>
      </c>
      <c r="B1799" s="11">
        <f t="shared" ca="1" si="141"/>
        <v>1</v>
      </c>
      <c r="C1799" s="26">
        <f t="shared" ca="1" si="140"/>
        <v>0.42762583971916723</v>
      </c>
      <c r="J1799">
        <f t="shared" ca="1" si="142"/>
        <v>1</v>
      </c>
      <c r="K1799">
        <f t="shared" ca="1" si="143"/>
        <v>0</v>
      </c>
      <c r="L1799" s="65">
        <v>1793</v>
      </c>
      <c r="M1799" s="71">
        <f t="shared" ref="M1799:M1862" ca="1" si="144">IF(B1799&gt;0,-LN(1-(RAND()))/lambda,0)</f>
        <v>1.5846140561196109</v>
      </c>
      <c r="N1799" s="65"/>
    </row>
    <row r="1800" spans="1:14" x14ac:dyDescent="0.25">
      <c r="A1800" s="2">
        <v>1794</v>
      </c>
      <c r="B1800" s="11">
        <f t="shared" ca="1" si="141"/>
        <v>1</v>
      </c>
      <c r="C1800" s="26">
        <f t="shared" ref="C1800:C1863" ca="1" si="145">RAND()</f>
        <v>0.20166520355804807</v>
      </c>
      <c r="J1800">
        <f t="shared" ca="1" si="142"/>
        <v>1</v>
      </c>
      <c r="K1800">
        <f t="shared" ca="1" si="143"/>
        <v>0</v>
      </c>
      <c r="L1800" s="65">
        <v>1794</v>
      </c>
      <c r="M1800" s="71">
        <f t="shared" ca="1" si="144"/>
        <v>5.1292893015254686</v>
      </c>
      <c r="N1800" s="65"/>
    </row>
    <row r="1801" spans="1:14" x14ac:dyDescent="0.25">
      <c r="A1801" s="2">
        <v>1795</v>
      </c>
      <c r="B1801" s="11">
        <f t="shared" ca="1" si="141"/>
        <v>1</v>
      </c>
      <c r="C1801" s="26">
        <f t="shared" ca="1" si="145"/>
        <v>0.50571198858164657</v>
      </c>
      <c r="J1801">
        <f t="shared" ca="1" si="142"/>
        <v>1</v>
      </c>
      <c r="K1801">
        <f t="shared" ca="1" si="143"/>
        <v>0</v>
      </c>
      <c r="L1801" s="65">
        <v>1795</v>
      </c>
      <c r="M1801" s="71">
        <f t="shared" ca="1" si="144"/>
        <v>0.60167949123926734</v>
      </c>
      <c r="N1801" s="65"/>
    </row>
    <row r="1802" spans="1:14" x14ac:dyDescent="0.25">
      <c r="A1802" s="2">
        <v>1796</v>
      </c>
      <c r="B1802" s="11">
        <f t="shared" ca="1" si="141"/>
        <v>1</v>
      </c>
      <c r="C1802" s="26">
        <f t="shared" ca="1" si="145"/>
        <v>0.52700301035040464</v>
      </c>
      <c r="J1802">
        <f t="shared" ca="1" si="142"/>
        <v>1</v>
      </c>
      <c r="K1802">
        <f t="shared" ca="1" si="143"/>
        <v>0</v>
      </c>
      <c r="L1802" s="65">
        <v>1796</v>
      </c>
      <c r="M1802" s="71">
        <f t="shared" ca="1" si="144"/>
        <v>0.79081492293168565</v>
      </c>
      <c r="N1802" s="65"/>
    </row>
    <row r="1803" spans="1:14" x14ac:dyDescent="0.25">
      <c r="A1803" s="2">
        <v>1797</v>
      </c>
      <c r="B1803" s="11">
        <f t="shared" ca="1" si="141"/>
        <v>1</v>
      </c>
      <c r="C1803" s="26">
        <f t="shared" ca="1" si="145"/>
        <v>0.37088044610408744</v>
      </c>
      <c r="J1803">
        <f t="shared" ca="1" si="142"/>
        <v>1</v>
      </c>
      <c r="K1803">
        <f t="shared" ca="1" si="143"/>
        <v>0</v>
      </c>
      <c r="L1803" s="65">
        <v>1797</v>
      </c>
      <c r="M1803" s="71">
        <f t="shared" ca="1" si="144"/>
        <v>3.2109364539706555</v>
      </c>
      <c r="N1803" s="65"/>
    </row>
    <row r="1804" spans="1:14" x14ac:dyDescent="0.25">
      <c r="A1804" s="2">
        <v>1798</v>
      </c>
      <c r="B1804" s="11">
        <f t="shared" ca="1" si="141"/>
        <v>1</v>
      </c>
      <c r="C1804" s="26">
        <f t="shared" ca="1" si="145"/>
        <v>0.54682376948672995</v>
      </c>
      <c r="J1804">
        <f t="shared" ca="1" si="142"/>
        <v>1</v>
      </c>
      <c r="K1804">
        <f t="shared" ca="1" si="143"/>
        <v>0</v>
      </c>
      <c r="L1804" s="65">
        <v>1798</v>
      </c>
      <c r="M1804" s="71">
        <f t="shared" ca="1" si="144"/>
        <v>0.97970465363091119</v>
      </c>
      <c r="N1804" s="65"/>
    </row>
    <row r="1805" spans="1:14" x14ac:dyDescent="0.25">
      <c r="A1805" s="2">
        <v>1799</v>
      </c>
      <c r="B1805" s="11">
        <f t="shared" ca="1" si="141"/>
        <v>1</v>
      </c>
      <c r="C1805" s="26">
        <f t="shared" ca="1" si="145"/>
        <v>0.11831406119468901</v>
      </c>
      <c r="J1805">
        <f t="shared" ca="1" si="142"/>
        <v>0</v>
      </c>
      <c r="K1805">
        <f t="shared" ca="1" si="143"/>
        <v>0</v>
      </c>
      <c r="L1805" s="65">
        <v>1799</v>
      </c>
      <c r="M1805" s="71">
        <f t="shared" ca="1" si="144"/>
        <v>1.946415504300832</v>
      </c>
      <c r="N1805" s="65"/>
    </row>
    <row r="1806" spans="1:14" x14ac:dyDescent="0.25">
      <c r="A1806" s="2">
        <v>1800</v>
      </c>
      <c r="B1806" s="11">
        <f t="shared" ca="1" si="141"/>
        <v>0</v>
      </c>
      <c r="C1806" s="26">
        <f t="shared" ca="1" si="145"/>
        <v>0.94200845016952273</v>
      </c>
      <c r="J1806">
        <f t="shared" ca="1" si="142"/>
        <v>0</v>
      </c>
      <c r="K1806">
        <f t="shared" ca="1" si="143"/>
        <v>0</v>
      </c>
      <c r="L1806" s="65">
        <v>1800</v>
      </c>
      <c r="M1806" s="71">
        <f t="shared" ca="1" si="144"/>
        <v>0</v>
      </c>
      <c r="N1806" s="65"/>
    </row>
    <row r="1807" spans="1:14" x14ac:dyDescent="0.25">
      <c r="A1807" s="2">
        <v>1801</v>
      </c>
      <c r="B1807" s="11">
        <f t="shared" ca="1" si="141"/>
        <v>1</v>
      </c>
      <c r="C1807" s="26">
        <f t="shared" ca="1" si="145"/>
        <v>0.30751187376535061</v>
      </c>
      <c r="J1807">
        <f t="shared" ca="1" si="142"/>
        <v>1</v>
      </c>
      <c r="K1807">
        <f t="shared" ca="1" si="143"/>
        <v>0</v>
      </c>
      <c r="L1807" s="65">
        <v>1801</v>
      </c>
      <c r="M1807" s="71">
        <f t="shared" ca="1" si="144"/>
        <v>2.5027906939265456</v>
      </c>
      <c r="N1807" s="65"/>
    </row>
    <row r="1808" spans="1:14" x14ac:dyDescent="0.25">
      <c r="A1808" s="2">
        <v>1802</v>
      </c>
      <c r="B1808" s="11">
        <f t="shared" ca="1" si="141"/>
        <v>1</v>
      </c>
      <c r="C1808" s="26">
        <f t="shared" ca="1" si="145"/>
        <v>0.52780550268645543</v>
      </c>
      <c r="J1808">
        <f t="shared" ca="1" si="142"/>
        <v>1</v>
      </c>
      <c r="K1808">
        <f t="shared" ca="1" si="143"/>
        <v>0</v>
      </c>
      <c r="L1808" s="65">
        <v>1802</v>
      </c>
      <c r="M1808" s="71">
        <f t="shared" ca="1" si="144"/>
        <v>2.8617815363455552</v>
      </c>
      <c r="N1808" s="65"/>
    </row>
    <row r="1809" spans="1:14" x14ac:dyDescent="0.25">
      <c r="A1809" s="2">
        <v>1803</v>
      </c>
      <c r="B1809" s="11">
        <f t="shared" ca="1" si="141"/>
        <v>1</v>
      </c>
      <c r="C1809" s="26">
        <f t="shared" ca="1" si="145"/>
        <v>0.68706701942225945</v>
      </c>
      <c r="J1809">
        <f t="shared" ca="1" si="142"/>
        <v>1</v>
      </c>
      <c r="K1809">
        <f t="shared" ca="1" si="143"/>
        <v>0</v>
      </c>
      <c r="L1809" s="65">
        <v>1803</v>
      </c>
      <c r="M1809" s="71">
        <f t="shared" ca="1" si="144"/>
        <v>0.41760489007757501</v>
      </c>
      <c r="N1809" s="65"/>
    </row>
    <row r="1810" spans="1:14" x14ac:dyDescent="0.25">
      <c r="A1810" s="2">
        <v>1804</v>
      </c>
      <c r="B1810" s="11">
        <f t="shared" ca="1" si="141"/>
        <v>1</v>
      </c>
      <c r="C1810" s="26">
        <f t="shared" ca="1" si="145"/>
        <v>0.45161041219320353</v>
      </c>
      <c r="J1810">
        <f t="shared" ca="1" si="142"/>
        <v>0</v>
      </c>
      <c r="K1810">
        <f t="shared" ca="1" si="143"/>
        <v>0</v>
      </c>
      <c r="L1810" s="65">
        <v>1804</v>
      </c>
      <c r="M1810" s="71">
        <f t="shared" ca="1" si="144"/>
        <v>5.7230204616997122</v>
      </c>
      <c r="N1810" s="65"/>
    </row>
    <row r="1811" spans="1:14" x14ac:dyDescent="0.25">
      <c r="A1811" s="2">
        <v>1805</v>
      </c>
      <c r="B1811" s="11">
        <f t="shared" ca="1" si="141"/>
        <v>0</v>
      </c>
      <c r="C1811" s="26">
        <f t="shared" ca="1" si="145"/>
        <v>0.90411727927185581</v>
      </c>
      <c r="J1811">
        <f t="shared" ca="1" si="142"/>
        <v>0</v>
      </c>
      <c r="K1811">
        <f t="shared" ca="1" si="143"/>
        <v>0</v>
      </c>
      <c r="L1811" s="65">
        <v>1805</v>
      </c>
      <c r="M1811" s="71">
        <f t="shared" ca="1" si="144"/>
        <v>0</v>
      </c>
      <c r="N1811" s="65"/>
    </row>
    <row r="1812" spans="1:14" x14ac:dyDescent="0.25">
      <c r="A1812" s="2">
        <v>1806</v>
      </c>
      <c r="B1812" s="11">
        <f t="shared" ca="1" si="141"/>
        <v>1</v>
      </c>
      <c r="C1812" s="26">
        <f t="shared" ca="1" si="145"/>
        <v>0.28318216354667036</v>
      </c>
      <c r="J1812">
        <f t="shared" ca="1" si="142"/>
        <v>1</v>
      </c>
      <c r="K1812">
        <f t="shared" ca="1" si="143"/>
        <v>0</v>
      </c>
      <c r="L1812" s="65">
        <v>1806</v>
      </c>
      <c r="M1812" s="71">
        <f t="shared" ca="1" si="144"/>
        <v>0.32544321876349336</v>
      </c>
      <c r="N1812" s="65"/>
    </row>
    <row r="1813" spans="1:14" x14ac:dyDescent="0.25">
      <c r="A1813" s="2">
        <v>1807</v>
      </c>
      <c r="B1813" s="11">
        <f t="shared" ca="1" si="141"/>
        <v>1</v>
      </c>
      <c r="C1813" s="26">
        <f t="shared" ca="1" si="145"/>
        <v>0.10182685978315509</v>
      </c>
      <c r="J1813">
        <f t="shared" ca="1" si="142"/>
        <v>1</v>
      </c>
      <c r="K1813">
        <f t="shared" ca="1" si="143"/>
        <v>0</v>
      </c>
      <c r="L1813" s="65">
        <v>1807</v>
      </c>
      <c r="M1813" s="71">
        <f t="shared" ca="1" si="144"/>
        <v>1.6796257565939829</v>
      </c>
      <c r="N1813" s="65"/>
    </row>
    <row r="1814" spans="1:14" x14ac:dyDescent="0.25">
      <c r="A1814" s="2">
        <v>1808</v>
      </c>
      <c r="B1814" s="11">
        <f t="shared" ca="1" si="141"/>
        <v>1</v>
      </c>
      <c r="C1814" s="26">
        <f t="shared" ca="1" si="145"/>
        <v>0.33641120052479312</v>
      </c>
      <c r="J1814">
        <f t="shared" ca="1" si="142"/>
        <v>1</v>
      </c>
      <c r="K1814">
        <f t="shared" ca="1" si="143"/>
        <v>0</v>
      </c>
      <c r="L1814" s="65">
        <v>1808</v>
      </c>
      <c r="M1814" s="71">
        <f t="shared" ca="1" si="144"/>
        <v>5.1724090366099498</v>
      </c>
      <c r="N1814" s="65"/>
    </row>
    <row r="1815" spans="1:14" x14ac:dyDescent="0.25">
      <c r="A1815" s="2">
        <v>1809</v>
      </c>
      <c r="B1815" s="11">
        <f t="shared" ca="1" si="141"/>
        <v>1</v>
      </c>
      <c r="C1815" s="26">
        <f t="shared" ca="1" si="145"/>
        <v>0.37544608853707762</v>
      </c>
      <c r="J1815">
        <f t="shared" ca="1" si="142"/>
        <v>0</v>
      </c>
      <c r="K1815">
        <f t="shared" ca="1" si="143"/>
        <v>0</v>
      </c>
      <c r="L1815" s="65">
        <v>1809</v>
      </c>
      <c r="M1815" s="71">
        <f t="shared" ca="1" si="144"/>
        <v>1.35395151857217</v>
      </c>
      <c r="N1815" s="65"/>
    </row>
    <row r="1816" spans="1:14" x14ac:dyDescent="0.25">
      <c r="A1816" s="2">
        <v>1810</v>
      </c>
      <c r="B1816" s="11">
        <f t="shared" ca="1" si="141"/>
        <v>0</v>
      </c>
      <c r="C1816" s="26">
        <f t="shared" ca="1" si="145"/>
        <v>0.83982287080534823</v>
      </c>
      <c r="J1816">
        <f t="shared" ca="1" si="142"/>
        <v>0</v>
      </c>
      <c r="K1816">
        <f t="shared" ca="1" si="143"/>
        <v>0</v>
      </c>
      <c r="L1816" s="65">
        <v>1810</v>
      </c>
      <c r="M1816" s="71">
        <f t="shared" ca="1" si="144"/>
        <v>0</v>
      </c>
      <c r="N1816" s="65"/>
    </row>
    <row r="1817" spans="1:14" x14ac:dyDescent="0.25">
      <c r="A1817" s="2">
        <v>1811</v>
      </c>
      <c r="B1817" s="11">
        <f t="shared" ca="1" si="141"/>
        <v>1</v>
      </c>
      <c r="C1817" s="26">
        <f t="shared" ca="1" si="145"/>
        <v>6.1542339598065765E-2</v>
      </c>
      <c r="J1817">
        <f t="shared" ca="1" si="142"/>
        <v>0</v>
      </c>
      <c r="K1817">
        <f t="shared" ca="1" si="143"/>
        <v>0</v>
      </c>
      <c r="L1817" s="65">
        <v>1811</v>
      </c>
      <c r="M1817" s="71">
        <f t="shared" ca="1" si="144"/>
        <v>4.6503140187887011</v>
      </c>
      <c r="N1817" s="65"/>
    </row>
    <row r="1818" spans="1:14" x14ac:dyDescent="0.25">
      <c r="A1818" s="2">
        <v>1812</v>
      </c>
      <c r="B1818" s="11">
        <f t="shared" ca="1" si="141"/>
        <v>0</v>
      </c>
      <c r="C1818" s="26">
        <f t="shared" ca="1" si="145"/>
        <v>0.92630787454160879</v>
      </c>
      <c r="J1818">
        <f t="shared" ca="1" si="142"/>
        <v>0</v>
      </c>
      <c r="K1818">
        <f t="shared" ca="1" si="143"/>
        <v>0</v>
      </c>
      <c r="L1818" s="65">
        <v>1812</v>
      </c>
      <c r="M1818" s="71">
        <f t="shared" ca="1" si="144"/>
        <v>0</v>
      </c>
      <c r="N1818" s="65"/>
    </row>
    <row r="1819" spans="1:14" x14ac:dyDescent="0.25">
      <c r="A1819" s="2">
        <v>1813</v>
      </c>
      <c r="B1819" s="11">
        <f t="shared" ca="1" si="141"/>
        <v>1</v>
      </c>
      <c r="C1819" s="26">
        <f t="shared" ca="1" si="145"/>
        <v>0.18299655284008731</v>
      </c>
      <c r="J1819">
        <f t="shared" ca="1" si="142"/>
        <v>0</v>
      </c>
      <c r="K1819">
        <f t="shared" ca="1" si="143"/>
        <v>0</v>
      </c>
      <c r="L1819" s="65">
        <v>1813</v>
      </c>
      <c r="M1819" s="71">
        <f t="shared" ca="1" si="144"/>
        <v>1.1691546128971697</v>
      </c>
      <c r="N1819" s="65"/>
    </row>
    <row r="1820" spans="1:14" x14ac:dyDescent="0.25">
      <c r="A1820" s="2">
        <v>1814</v>
      </c>
      <c r="B1820" s="11">
        <f t="shared" ca="1" si="141"/>
        <v>0</v>
      </c>
      <c r="C1820" s="26">
        <f t="shared" ca="1" si="145"/>
        <v>0.8144599517616955</v>
      </c>
      <c r="J1820">
        <f t="shared" ca="1" si="142"/>
        <v>0</v>
      </c>
      <c r="K1820">
        <f t="shared" ca="1" si="143"/>
        <v>0</v>
      </c>
      <c r="L1820" s="65">
        <v>1814</v>
      </c>
      <c r="M1820" s="71">
        <f t="shared" ca="1" si="144"/>
        <v>0</v>
      </c>
      <c r="N1820" s="65"/>
    </row>
    <row r="1821" spans="1:14" x14ac:dyDescent="0.25">
      <c r="A1821" s="2">
        <v>1815</v>
      </c>
      <c r="B1821" s="11">
        <f t="shared" ca="1" si="141"/>
        <v>1</v>
      </c>
      <c r="C1821" s="26">
        <f t="shared" ca="1" si="145"/>
        <v>0.37789241239870741</v>
      </c>
      <c r="J1821">
        <f t="shared" ca="1" si="142"/>
        <v>1</v>
      </c>
      <c r="K1821">
        <f t="shared" ca="1" si="143"/>
        <v>0</v>
      </c>
      <c r="L1821" s="65">
        <v>1815</v>
      </c>
      <c r="M1821" s="71">
        <f t="shared" ca="1" si="144"/>
        <v>9.6524241429018485</v>
      </c>
      <c r="N1821" s="65"/>
    </row>
    <row r="1822" spans="1:14" x14ac:dyDescent="0.25">
      <c r="A1822" s="2">
        <v>1816</v>
      </c>
      <c r="B1822" s="11">
        <f t="shared" ca="1" si="141"/>
        <v>1</v>
      </c>
      <c r="C1822" s="26">
        <f t="shared" ca="1" si="145"/>
        <v>0.75654525528345296</v>
      </c>
      <c r="J1822">
        <f t="shared" ca="1" si="142"/>
        <v>1</v>
      </c>
      <c r="K1822">
        <f t="shared" ca="1" si="143"/>
        <v>0</v>
      </c>
      <c r="L1822" s="65">
        <v>1816</v>
      </c>
      <c r="M1822" s="71">
        <f t="shared" ca="1" si="144"/>
        <v>3.1586383238488738</v>
      </c>
      <c r="N1822" s="65"/>
    </row>
    <row r="1823" spans="1:14" x14ac:dyDescent="0.25">
      <c r="A1823" s="2">
        <v>1817</v>
      </c>
      <c r="B1823" s="11">
        <f t="shared" ca="1" si="141"/>
        <v>1</v>
      </c>
      <c r="C1823" s="26">
        <f t="shared" ca="1" si="145"/>
        <v>0.71477734588413588</v>
      </c>
      <c r="J1823">
        <f t="shared" ca="1" si="142"/>
        <v>1</v>
      </c>
      <c r="K1823">
        <f t="shared" ca="1" si="143"/>
        <v>0</v>
      </c>
      <c r="L1823" s="65">
        <v>1817</v>
      </c>
      <c r="M1823" s="71">
        <f t="shared" ca="1" si="144"/>
        <v>0.32711925460428831</v>
      </c>
      <c r="N1823" s="65"/>
    </row>
    <row r="1824" spans="1:14" x14ac:dyDescent="0.25">
      <c r="A1824" s="2">
        <v>1818</v>
      </c>
      <c r="B1824" s="11">
        <f t="shared" ca="1" si="141"/>
        <v>1</v>
      </c>
      <c r="C1824" s="26">
        <f t="shared" ca="1" si="145"/>
        <v>0.54055754686626278</v>
      </c>
      <c r="J1824">
        <f t="shared" ca="1" si="142"/>
        <v>0</v>
      </c>
      <c r="K1824">
        <f t="shared" ca="1" si="143"/>
        <v>0</v>
      </c>
      <c r="L1824" s="65">
        <v>1818</v>
      </c>
      <c r="M1824" s="71">
        <f t="shared" ca="1" si="144"/>
        <v>0.34602878932827486</v>
      </c>
      <c r="N1824" s="65"/>
    </row>
    <row r="1825" spans="1:14" x14ac:dyDescent="0.25">
      <c r="A1825" s="2">
        <v>1819</v>
      </c>
      <c r="B1825" s="11">
        <f t="shared" ca="1" si="141"/>
        <v>0</v>
      </c>
      <c r="C1825" s="26">
        <f t="shared" ca="1" si="145"/>
        <v>0.99457310875395033</v>
      </c>
      <c r="J1825">
        <f t="shared" ca="1" si="142"/>
        <v>0</v>
      </c>
      <c r="K1825">
        <f t="shared" ca="1" si="143"/>
        <v>0</v>
      </c>
      <c r="L1825" s="65">
        <v>1819</v>
      </c>
      <c r="M1825" s="71">
        <f t="shared" ca="1" si="144"/>
        <v>0</v>
      </c>
      <c r="N1825" s="65"/>
    </row>
    <row r="1826" spans="1:14" x14ac:dyDescent="0.25">
      <c r="A1826" s="2">
        <v>1820</v>
      </c>
      <c r="B1826" s="11">
        <f t="shared" ca="1" si="141"/>
        <v>1</v>
      </c>
      <c r="C1826" s="26">
        <f t="shared" ca="1" si="145"/>
        <v>3.2374535352418965E-2</v>
      </c>
      <c r="J1826">
        <f t="shared" ca="1" si="142"/>
        <v>1</v>
      </c>
      <c r="K1826">
        <f t="shared" ca="1" si="143"/>
        <v>0</v>
      </c>
      <c r="L1826" s="65">
        <v>1820</v>
      </c>
      <c r="M1826" s="71">
        <f t="shared" ca="1" si="144"/>
        <v>6.5206148383711255</v>
      </c>
      <c r="N1826" s="65"/>
    </row>
    <row r="1827" spans="1:14" x14ac:dyDescent="0.25">
      <c r="A1827" s="2">
        <v>1821</v>
      </c>
      <c r="B1827" s="11">
        <f t="shared" ca="1" si="141"/>
        <v>1</v>
      </c>
      <c r="C1827" s="26">
        <f t="shared" ca="1" si="145"/>
        <v>0.79602723059152469</v>
      </c>
      <c r="J1827">
        <f t="shared" ca="1" si="142"/>
        <v>1</v>
      </c>
      <c r="K1827">
        <f t="shared" ca="1" si="143"/>
        <v>0</v>
      </c>
      <c r="L1827" s="65">
        <v>1821</v>
      </c>
      <c r="M1827" s="71">
        <f t="shared" ca="1" si="144"/>
        <v>1.8999567756374252</v>
      </c>
      <c r="N1827" s="65"/>
    </row>
    <row r="1828" spans="1:14" x14ac:dyDescent="0.25">
      <c r="A1828" s="2">
        <v>1822</v>
      </c>
      <c r="B1828" s="11">
        <f t="shared" ca="1" si="141"/>
        <v>1</v>
      </c>
      <c r="C1828" s="26">
        <f t="shared" ca="1" si="145"/>
        <v>0.76117441390830809</v>
      </c>
      <c r="J1828">
        <f t="shared" ca="1" si="142"/>
        <v>0</v>
      </c>
      <c r="K1828">
        <f t="shared" ca="1" si="143"/>
        <v>0</v>
      </c>
      <c r="L1828" s="65">
        <v>1822</v>
      </c>
      <c r="M1828" s="71">
        <f t="shared" ca="1" si="144"/>
        <v>1.8209131450050886</v>
      </c>
      <c r="N1828" s="65"/>
    </row>
    <row r="1829" spans="1:14" x14ac:dyDescent="0.25">
      <c r="A1829" s="2">
        <v>1823</v>
      </c>
      <c r="B1829" s="11">
        <f t="shared" ca="1" si="141"/>
        <v>0</v>
      </c>
      <c r="C1829" s="26">
        <f t="shared" ca="1" si="145"/>
        <v>0.82055375735980995</v>
      </c>
      <c r="J1829">
        <f t="shared" ca="1" si="142"/>
        <v>0</v>
      </c>
      <c r="K1829">
        <f t="shared" ca="1" si="143"/>
        <v>0</v>
      </c>
      <c r="L1829" s="65">
        <v>1823</v>
      </c>
      <c r="M1829" s="71">
        <f t="shared" ca="1" si="144"/>
        <v>0</v>
      </c>
      <c r="N1829" s="65"/>
    </row>
    <row r="1830" spans="1:14" x14ac:dyDescent="0.25">
      <c r="A1830" s="2">
        <v>1824</v>
      </c>
      <c r="B1830" s="11">
        <f t="shared" ca="1" si="141"/>
        <v>1</v>
      </c>
      <c r="C1830" s="26">
        <f t="shared" ca="1" si="145"/>
        <v>0.18163965995417708</v>
      </c>
      <c r="J1830">
        <f t="shared" ca="1" si="142"/>
        <v>1</v>
      </c>
      <c r="K1830">
        <f t="shared" ca="1" si="143"/>
        <v>0</v>
      </c>
      <c r="L1830" s="65">
        <v>1824</v>
      </c>
      <c r="M1830" s="71">
        <f t="shared" ca="1" si="144"/>
        <v>0.30920975226050035</v>
      </c>
      <c r="N1830" s="65"/>
    </row>
    <row r="1831" spans="1:14" x14ac:dyDescent="0.25">
      <c r="A1831" s="2">
        <v>1825</v>
      </c>
      <c r="B1831" s="11">
        <f t="shared" ca="1" si="141"/>
        <v>1</v>
      </c>
      <c r="C1831" s="26">
        <f t="shared" ca="1" si="145"/>
        <v>0.30773004919017422</v>
      </c>
      <c r="J1831">
        <f t="shared" ca="1" si="142"/>
        <v>1</v>
      </c>
      <c r="K1831">
        <f t="shared" ca="1" si="143"/>
        <v>0</v>
      </c>
      <c r="L1831" s="65">
        <v>1825</v>
      </c>
      <c r="M1831" s="71">
        <f t="shared" ca="1" si="144"/>
        <v>2.1089985241276947</v>
      </c>
      <c r="N1831" s="65"/>
    </row>
    <row r="1832" spans="1:14" x14ac:dyDescent="0.25">
      <c r="A1832" s="2">
        <v>1826</v>
      </c>
      <c r="B1832" s="11">
        <f t="shared" ca="1" si="141"/>
        <v>1</v>
      </c>
      <c r="C1832" s="26">
        <f t="shared" ca="1" si="145"/>
        <v>0.46234442970697054</v>
      </c>
      <c r="J1832">
        <f t="shared" ca="1" si="142"/>
        <v>1</v>
      </c>
      <c r="K1832">
        <f t="shared" ca="1" si="143"/>
        <v>0</v>
      </c>
      <c r="L1832" s="65">
        <v>1826</v>
      </c>
      <c r="M1832" s="71">
        <f t="shared" ca="1" si="144"/>
        <v>6.0849866301239492</v>
      </c>
      <c r="N1832" s="65"/>
    </row>
    <row r="1833" spans="1:14" x14ac:dyDescent="0.25">
      <c r="A1833" s="2">
        <v>1827</v>
      </c>
      <c r="B1833" s="11">
        <f t="shared" ca="1" si="141"/>
        <v>1</v>
      </c>
      <c r="C1833" s="26">
        <f t="shared" ca="1" si="145"/>
        <v>0.51819432211206462</v>
      </c>
      <c r="J1833">
        <f t="shared" ca="1" si="142"/>
        <v>1</v>
      </c>
      <c r="K1833">
        <f t="shared" ca="1" si="143"/>
        <v>0</v>
      </c>
      <c r="L1833" s="65">
        <v>1827</v>
      </c>
      <c r="M1833" s="71">
        <f t="shared" ca="1" si="144"/>
        <v>6.5453121390774491</v>
      </c>
      <c r="N1833" s="65"/>
    </row>
    <row r="1834" spans="1:14" x14ac:dyDescent="0.25">
      <c r="A1834" s="2">
        <v>1828</v>
      </c>
      <c r="B1834" s="11">
        <f t="shared" ca="1" si="141"/>
        <v>1</v>
      </c>
      <c r="C1834" s="26">
        <f t="shared" ca="1" si="145"/>
        <v>5.2278455924046674E-2</v>
      </c>
      <c r="J1834">
        <f t="shared" ca="1" si="142"/>
        <v>1</v>
      </c>
      <c r="K1834">
        <f t="shared" ca="1" si="143"/>
        <v>0</v>
      </c>
      <c r="L1834" s="65">
        <v>1828</v>
      </c>
      <c r="M1834" s="71">
        <f t="shared" ca="1" si="144"/>
        <v>7.4579465175971388E-2</v>
      </c>
      <c r="N1834" s="65"/>
    </row>
    <row r="1835" spans="1:14" x14ac:dyDescent="0.25">
      <c r="A1835" s="2">
        <v>1829</v>
      </c>
      <c r="B1835" s="11">
        <f t="shared" ca="1" si="141"/>
        <v>1</v>
      </c>
      <c r="C1835" s="26">
        <f t="shared" ca="1" si="145"/>
        <v>0.255738327987166</v>
      </c>
      <c r="J1835">
        <f t="shared" ca="1" si="142"/>
        <v>1</v>
      </c>
      <c r="K1835">
        <f t="shared" ca="1" si="143"/>
        <v>0</v>
      </c>
      <c r="L1835" s="65">
        <v>1829</v>
      </c>
      <c r="M1835" s="71">
        <f t="shared" ca="1" si="144"/>
        <v>3.7242902086108134</v>
      </c>
      <c r="N1835" s="65"/>
    </row>
    <row r="1836" spans="1:14" x14ac:dyDescent="0.25">
      <c r="A1836" s="2">
        <v>1830</v>
      </c>
      <c r="B1836" s="11">
        <f t="shared" ca="1" si="141"/>
        <v>1</v>
      </c>
      <c r="C1836" s="26">
        <f t="shared" ca="1" si="145"/>
        <v>0.1619570145638537</v>
      </c>
      <c r="J1836">
        <f t="shared" ca="1" si="142"/>
        <v>1</v>
      </c>
      <c r="K1836">
        <f t="shared" ca="1" si="143"/>
        <v>0</v>
      </c>
      <c r="L1836" s="65">
        <v>1830</v>
      </c>
      <c r="M1836" s="71">
        <f t="shared" ca="1" si="144"/>
        <v>1.3494619299587518</v>
      </c>
      <c r="N1836" s="65"/>
    </row>
    <row r="1837" spans="1:14" x14ac:dyDescent="0.25">
      <c r="A1837" s="2">
        <v>1831</v>
      </c>
      <c r="B1837" s="11">
        <f t="shared" ca="1" si="141"/>
        <v>1</v>
      </c>
      <c r="C1837" s="26">
        <f t="shared" ca="1" si="145"/>
        <v>0.70891244982776758</v>
      </c>
      <c r="J1837">
        <f t="shared" ca="1" si="142"/>
        <v>1</v>
      </c>
      <c r="K1837">
        <f t="shared" ca="1" si="143"/>
        <v>0</v>
      </c>
      <c r="L1837" s="65">
        <v>1831</v>
      </c>
      <c r="M1837" s="71">
        <f t="shared" ca="1" si="144"/>
        <v>4.6500635337148895</v>
      </c>
      <c r="N1837" s="65"/>
    </row>
    <row r="1838" spans="1:14" x14ac:dyDescent="0.25">
      <c r="A1838" s="2">
        <v>1832</v>
      </c>
      <c r="B1838" s="11">
        <f t="shared" ca="1" si="141"/>
        <v>1</v>
      </c>
      <c r="C1838" s="26">
        <f t="shared" ca="1" si="145"/>
        <v>0.2416323157904513</v>
      </c>
      <c r="J1838">
        <f t="shared" ca="1" si="142"/>
        <v>1</v>
      </c>
      <c r="K1838">
        <f t="shared" ca="1" si="143"/>
        <v>0</v>
      </c>
      <c r="L1838" s="65">
        <v>1832</v>
      </c>
      <c r="M1838" s="71">
        <f t="shared" ca="1" si="144"/>
        <v>7.5619079098346527</v>
      </c>
      <c r="N1838" s="65"/>
    </row>
    <row r="1839" spans="1:14" x14ac:dyDescent="0.25">
      <c r="A1839" s="2">
        <v>1833</v>
      </c>
      <c r="B1839" s="11">
        <f t="shared" ref="B1839:B1902" ca="1" si="146">IF(B1838&gt;0,IF(C1839&lt;pww,1,0),IF(C1839&lt;pdw,1,0))</f>
        <v>1</v>
      </c>
      <c r="C1839" s="26">
        <f t="shared" ca="1" si="145"/>
        <v>0.48121177681841598</v>
      </c>
      <c r="J1839">
        <f t="shared" ref="J1839:J1902" ca="1" si="147">IF(AND(B1839,B1840),1,0)</f>
        <v>1</v>
      </c>
      <c r="K1839">
        <f t="shared" ref="K1839:K1902" ca="1" si="148">IF(AND(NOT(B1839),NOT(B1840)),1,0)</f>
        <v>0</v>
      </c>
      <c r="L1839" s="65">
        <v>1833</v>
      </c>
      <c r="M1839" s="71">
        <f t="shared" ca="1" si="144"/>
        <v>0.14866037231784632</v>
      </c>
      <c r="N1839" s="65"/>
    </row>
    <row r="1840" spans="1:14" x14ac:dyDescent="0.25">
      <c r="A1840" s="2">
        <v>1834</v>
      </c>
      <c r="B1840" s="11">
        <f t="shared" ca="1" si="146"/>
        <v>1</v>
      </c>
      <c r="C1840" s="26">
        <f t="shared" ca="1" si="145"/>
        <v>0.15205291598302817</v>
      </c>
      <c r="J1840">
        <f t="shared" ca="1" si="147"/>
        <v>1</v>
      </c>
      <c r="K1840">
        <f t="shared" ca="1" si="148"/>
        <v>0</v>
      </c>
      <c r="L1840" s="65">
        <v>1834</v>
      </c>
      <c r="M1840" s="71">
        <f t="shared" ca="1" si="144"/>
        <v>3.5607251420855066</v>
      </c>
      <c r="N1840" s="65"/>
    </row>
    <row r="1841" spans="1:14" x14ac:dyDescent="0.25">
      <c r="A1841" s="2">
        <v>1835</v>
      </c>
      <c r="B1841" s="11">
        <f t="shared" ca="1" si="146"/>
        <v>1</v>
      </c>
      <c r="C1841" s="26">
        <f t="shared" ca="1" si="145"/>
        <v>9.301066893218346E-2</v>
      </c>
      <c r="J1841">
        <f t="shared" ca="1" si="147"/>
        <v>1</v>
      </c>
      <c r="K1841">
        <f t="shared" ca="1" si="148"/>
        <v>0</v>
      </c>
      <c r="L1841" s="65">
        <v>1835</v>
      </c>
      <c r="M1841" s="71">
        <f t="shared" ca="1" si="144"/>
        <v>1.3240343750442234</v>
      </c>
      <c r="N1841" s="65"/>
    </row>
    <row r="1842" spans="1:14" x14ac:dyDescent="0.25">
      <c r="A1842" s="2">
        <v>1836</v>
      </c>
      <c r="B1842" s="11">
        <f t="shared" ca="1" si="146"/>
        <v>1</v>
      </c>
      <c r="C1842" s="26">
        <f t="shared" ca="1" si="145"/>
        <v>0.36587800994019426</v>
      </c>
      <c r="J1842">
        <f t="shared" ca="1" si="147"/>
        <v>1</v>
      </c>
      <c r="K1842">
        <f t="shared" ca="1" si="148"/>
        <v>0</v>
      </c>
      <c r="L1842" s="65">
        <v>1836</v>
      </c>
      <c r="M1842" s="71">
        <f t="shared" ca="1" si="144"/>
        <v>0.29550895719027465</v>
      </c>
      <c r="N1842" s="65"/>
    </row>
    <row r="1843" spans="1:14" x14ac:dyDescent="0.25">
      <c r="A1843" s="2">
        <v>1837</v>
      </c>
      <c r="B1843" s="11">
        <f t="shared" ca="1" si="146"/>
        <v>1</v>
      </c>
      <c r="C1843" s="26">
        <f t="shared" ca="1" si="145"/>
        <v>0.72414203982640135</v>
      </c>
      <c r="J1843">
        <f t="shared" ca="1" si="147"/>
        <v>1</v>
      </c>
      <c r="K1843">
        <f t="shared" ca="1" si="148"/>
        <v>0</v>
      </c>
      <c r="L1843" s="65">
        <v>1837</v>
      </c>
      <c r="M1843" s="71">
        <f t="shared" ca="1" si="144"/>
        <v>1.4762227288624863</v>
      </c>
      <c r="N1843" s="65"/>
    </row>
    <row r="1844" spans="1:14" x14ac:dyDescent="0.25">
      <c r="A1844" s="2">
        <v>1838</v>
      </c>
      <c r="B1844" s="11">
        <f t="shared" ca="1" si="146"/>
        <v>1</v>
      </c>
      <c r="C1844" s="26">
        <f t="shared" ca="1" si="145"/>
        <v>5.420115730068098E-2</v>
      </c>
      <c r="J1844">
        <f t="shared" ca="1" si="147"/>
        <v>1</v>
      </c>
      <c r="K1844">
        <f t="shared" ca="1" si="148"/>
        <v>0</v>
      </c>
      <c r="L1844" s="65">
        <v>1838</v>
      </c>
      <c r="M1844" s="71">
        <f t="shared" ca="1" si="144"/>
        <v>0.44243722517921319</v>
      </c>
      <c r="N1844" s="65"/>
    </row>
    <row r="1845" spans="1:14" x14ac:dyDescent="0.25">
      <c r="A1845" s="2">
        <v>1839</v>
      </c>
      <c r="B1845" s="11">
        <f t="shared" ca="1" si="146"/>
        <v>1</v>
      </c>
      <c r="C1845" s="26">
        <f t="shared" ca="1" si="145"/>
        <v>3.522587352789297E-2</v>
      </c>
      <c r="J1845">
        <f t="shared" ca="1" si="147"/>
        <v>1</v>
      </c>
      <c r="K1845">
        <f t="shared" ca="1" si="148"/>
        <v>0</v>
      </c>
      <c r="L1845" s="65">
        <v>1839</v>
      </c>
      <c r="M1845" s="71">
        <f t="shared" ca="1" si="144"/>
        <v>0.11232726993466563</v>
      </c>
      <c r="N1845" s="65"/>
    </row>
    <row r="1846" spans="1:14" x14ac:dyDescent="0.25">
      <c r="A1846" s="2">
        <v>1840</v>
      </c>
      <c r="B1846" s="11">
        <f t="shared" ca="1" si="146"/>
        <v>1</v>
      </c>
      <c r="C1846" s="26">
        <f t="shared" ca="1" si="145"/>
        <v>0.77946389508772673</v>
      </c>
      <c r="J1846">
        <f t="shared" ca="1" si="147"/>
        <v>1</v>
      </c>
      <c r="K1846">
        <f t="shared" ca="1" si="148"/>
        <v>0</v>
      </c>
      <c r="L1846" s="65">
        <v>1840</v>
      </c>
      <c r="M1846" s="71">
        <f t="shared" ca="1" si="144"/>
        <v>1.8186286960039466</v>
      </c>
      <c r="N1846" s="65"/>
    </row>
    <row r="1847" spans="1:14" x14ac:dyDescent="0.25">
      <c r="A1847" s="2">
        <v>1841</v>
      </c>
      <c r="B1847" s="11">
        <f t="shared" ca="1" si="146"/>
        <v>1</v>
      </c>
      <c r="C1847" s="26">
        <f t="shared" ca="1" si="145"/>
        <v>0.65074682537421535</v>
      </c>
      <c r="J1847">
        <f t="shared" ca="1" si="147"/>
        <v>1</v>
      </c>
      <c r="K1847">
        <f t="shared" ca="1" si="148"/>
        <v>0</v>
      </c>
      <c r="L1847" s="65">
        <v>1841</v>
      </c>
      <c r="M1847" s="71">
        <f t="shared" ca="1" si="144"/>
        <v>21.184321983340247</v>
      </c>
      <c r="N1847" s="65"/>
    </row>
    <row r="1848" spans="1:14" x14ac:dyDescent="0.25">
      <c r="A1848" s="2">
        <v>1842</v>
      </c>
      <c r="B1848" s="11">
        <f t="shared" ca="1" si="146"/>
        <v>1</v>
      </c>
      <c r="C1848" s="26">
        <f t="shared" ca="1" si="145"/>
        <v>6.9422512136605774E-2</v>
      </c>
      <c r="J1848">
        <f t="shared" ca="1" si="147"/>
        <v>1</v>
      </c>
      <c r="K1848">
        <f t="shared" ca="1" si="148"/>
        <v>0</v>
      </c>
      <c r="L1848" s="65">
        <v>1842</v>
      </c>
      <c r="M1848" s="71">
        <f t="shared" ca="1" si="144"/>
        <v>4.0613543461780512</v>
      </c>
      <c r="N1848" s="65"/>
    </row>
    <row r="1849" spans="1:14" x14ac:dyDescent="0.25">
      <c r="A1849" s="2">
        <v>1843</v>
      </c>
      <c r="B1849" s="11">
        <f t="shared" ca="1" si="146"/>
        <v>1</v>
      </c>
      <c r="C1849" s="26">
        <f t="shared" ca="1" si="145"/>
        <v>0.48543951376416494</v>
      </c>
      <c r="J1849">
        <f t="shared" ca="1" si="147"/>
        <v>0</v>
      </c>
      <c r="K1849">
        <f t="shared" ca="1" si="148"/>
        <v>0</v>
      </c>
      <c r="L1849" s="65">
        <v>1843</v>
      </c>
      <c r="M1849" s="71">
        <f t="shared" ca="1" si="144"/>
        <v>1.7348732395928395</v>
      </c>
      <c r="N1849" s="65"/>
    </row>
    <row r="1850" spans="1:14" x14ac:dyDescent="0.25">
      <c r="A1850" s="2">
        <v>1844</v>
      </c>
      <c r="B1850" s="11">
        <f t="shared" ca="1" si="146"/>
        <v>0</v>
      </c>
      <c r="C1850" s="26">
        <f t="shared" ca="1" si="145"/>
        <v>0.88268901759122198</v>
      </c>
      <c r="J1850">
        <f t="shared" ca="1" si="147"/>
        <v>0</v>
      </c>
      <c r="K1850">
        <f t="shared" ca="1" si="148"/>
        <v>0</v>
      </c>
      <c r="L1850" s="65">
        <v>1844</v>
      </c>
      <c r="M1850" s="71">
        <f t="shared" ca="1" si="144"/>
        <v>0</v>
      </c>
      <c r="N1850" s="65"/>
    </row>
    <row r="1851" spans="1:14" x14ac:dyDescent="0.25">
      <c r="A1851" s="2">
        <v>1845</v>
      </c>
      <c r="B1851" s="11">
        <f t="shared" ca="1" si="146"/>
        <v>1</v>
      </c>
      <c r="C1851" s="26">
        <f t="shared" ca="1" si="145"/>
        <v>0.56895753515061498</v>
      </c>
      <c r="J1851">
        <f t="shared" ca="1" si="147"/>
        <v>0</v>
      </c>
      <c r="K1851">
        <f t="shared" ca="1" si="148"/>
        <v>0</v>
      </c>
      <c r="L1851" s="65">
        <v>1845</v>
      </c>
      <c r="M1851" s="71">
        <f t="shared" ca="1" si="144"/>
        <v>4.0460200722555015</v>
      </c>
      <c r="N1851" s="65"/>
    </row>
    <row r="1852" spans="1:14" x14ac:dyDescent="0.25">
      <c r="A1852" s="2">
        <v>1846</v>
      </c>
      <c r="B1852" s="11">
        <f t="shared" ca="1" si="146"/>
        <v>0</v>
      </c>
      <c r="C1852" s="26">
        <f t="shared" ca="1" si="145"/>
        <v>0.85626331934430477</v>
      </c>
      <c r="J1852">
        <f t="shared" ca="1" si="147"/>
        <v>0</v>
      </c>
      <c r="K1852">
        <f t="shared" ca="1" si="148"/>
        <v>0</v>
      </c>
      <c r="L1852" s="65">
        <v>1846</v>
      </c>
      <c r="M1852" s="71">
        <f t="shared" ca="1" si="144"/>
        <v>0</v>
      </c>
      <c r="N1852" s="65"/>
    </row>
    <row r="1853" spans="1:14" x14ac:dyDescent="0.25">
      <c r="A1853" s="2">
        <v>1847</v>
      </c>
      <c r="B1853" s="11">
        <f t="shared" ca="1" si="146"/>
        <v>1</v>
      </c>
      <c r="C1853" s="26">
        <f t="shared" ca="1" si="145"/>
        <v>0.10300678297303245</v>
      </c>
      <c r="J1853">
        <f t="shared" ca="1" si="147"/>
        <v>0</v>
      </c>
      <c r="K1853">
        <f t="shared" ca="1" si="148"/>
        <v>0</v>
      </c>
      <c r="L1853" s="65">
        <v>1847</v>
      </c>
      <c r="M1853" s="71">
        <f t="shared" ca="1" si="144"/>
        <v>5.3850884723385768</v>
      </c>
      <c r="N1853" s="65"/>
    </row>
    <row r="1854" spans="1:14" x14ac:dyDescent="0.25">
      <c r="A1854" s="2">
        <v>1848</v>
      </c>
      <c r="B1854" s="11">
        <f t="shared" ca="1" si="146"/>
        <v>0</v>
      </c>
      <c r="C1854" s="26">
        <f t="shared" ca="1" si="145"/>
        <v>0.84531071600927032</v>
      </c>
      <c r="J1854">
        <f t="shared" ca="1" si="147"/>
        <v>0</v>
      </c>
      <c r="K1854">
        <f t="shared" ca="1" si="148"/>
        <v>1</v>
      </c>
      <c r="L1854" s="65">
        <v>1848</v>
      </c>
      <c r="M1854" s="71">
        <f t="shared" ca="1" si="144"/>
        <v>0</v>
      </c>
      <c r="N1854" s="65"/>
    </row>
    <row r="1855" spans="1:14" x14ac:dyDescent="0.25">
      <c r="A1855" s="2">
        <v>1849</v>
      </c>
      <c r="B1855" s="11">
        <f t="shared" ca="1" si="146"/>
        <v>0</v>
      </c>
      <c r="C1855" s="26">
        <f t="shared" ca="1" si="145"/>
        <v>0.8683740624654076</v>
      </c>
      <c r="J1855">
        <f t="shared" ca="1" si="147"/>
        <v>0</v>
      </c>
      <c r="K1855">
        <f t="shared" ca="1" si="148"/>
        <v>1</v>
      </c>
      <c r="L1855" s="65">
        <v>1849</v>
      </c>
      <c r="M1855" s="71">
        <f t="shared" ca="1" si="144"/>
        <v>0</v>
      </c>
      <c r="N1855" s="65"/>
    </row>
    <row r="1856" spans="1:14" x14ac:dyDescent="0.25">
      <c r="A1856" s="2">
        <v>1850</v>
      </c>
      <c r="B1856" s="11">
        <f t="shared" ca="1" si="146"/>
        <v>0</v>
      </c>
      <c r="C1856" s="26">
        <f t="shared" ca="1" si="145"/>
        <v>0.95695571427991077</v>
      </c>
      <c r="J1856">
        <f t="shared" ca="1" si="147"/>
        <v>0</v>
      </c>
      <c r="K1856">
        <f t="shared" ca="1" si="148"/>
        <v>0</v>
      </c>
      <c r="L1856" s="65">
        <v>1850</v>
      </c>
      <c r="M1856" s="71">
        <f t="shared" ca="1" si="144"/>
        <v>0</v>
      </c>
      <c r="N1856" s="65"/>
    </row>
    <row r="1857" spans="1:14" x14ac:dyDescent="0.25">
      <c r="A1857" s="2">
        <v>1851</v>
      </c>
      <c r="B1857" s="11">
        <f t="shared" ca="1" si="146"/>
        <v>1</v>
      </c>
      <c r="C1857" s="26">
        <f t="shared" ca="1" si="145"/>
        <v>0.1990050491360652</v>
      </c>
      <c r="J1857">
        <f t="shared" ca="1" si="147"/>
        <v>1</v>
      </c>
      <c r="K1857">
        <f t="shared" ca="1" si="148"/>
        <v>0</v>
      </c>
      <c r="L1857" s="65">
        <v>1851</v>
      </c>
      <c r="M1857" s="71">
        <f t="shared" ca="1" si="144"/>
        <v>2.0988901985254254</v>
      </c>
      <c r="N1857" s="65"/>
    </row>
    <row r="1858" spans="1:14" x14ac:dyDescent="0.25">
      <c r="A1858" s="2">
        <v>1852</v>
      </c>
      <c r="B1858" s="11">
        <f t="shared" ca="1" si="146"/>
        <v>1</v>
      </c>
      <c r="C1858" s="26">
        <f t="shared" ca="1" si="145"/>
        <v>0.16954295004065545</v>
      </c>
      <c r="J1858">
        <f t="shared" ca="1" si="147"/>
        <v>1</v>
      </c>
      <c r="K1858">
        <f t="shared" ca="1" si="148"/>
        <v>0</v>
      </c>
      <c r="L1858" s="65">
        <v>1852</v>
      </c>
      <c r="M1858" s="71">
        <f t="shared" ca="1" si="144"/>
        <v>4.0066365056762603</v>
      </c>
      <c r="N1858" s="65"/>
    </row>
    <row r="1859" spans="1:14" x14ac:dyDescent="0.25">
      <c r="A1859" s="2">
        <v>1853</v>
      </c>
      <c r="B1859" s="11">
        <f t="shared" ca="1" si="146"/>
        <v>1</v>
      </c>
      <c r="C1859" s="26">
        <f t="shared" ca="1" si="145"/>
        <v>0.37230021970265204</v>
      </c>
      <c r="J1859">
        <f t="shared" ca="1" si="147"/>
        <v>1</v>
      </c>
      <c r="K1859">
        <f t="shared" ca="1" si="148"/>
        <v>0</v>
      </c>
      <c r="L1859" s="65">
        <v>1853</v>
      </c>
      <c r="M1859" s="71">
        <f t="shared" ca="1" si="144"/>
        <v>3.8343673474380644</v>
      </c>
      <c r="N1859" s="65"/>
    </row>
    <row r="1860" spans="1:14" x14ac:dyDescent="0.25">
      <c r="A1860" s="2">
        <v>1854</v>
      </c>
      <c r="B1860" s="11">
        <f t="shared" ca="1" si="146"/>
        <v>1</v>
      </c>
      <c r="C1860" s="26">
        <f t="shared" ca="1" si="145"/>
        <v>0.599981793923969</v>
      </c>
      <c r="J1860">
        <f t="shared" ca="1" si="147"/>
        <v>1</v>
      </c>
      <c r="K1860">
        <f t="shared" ca="1" si="148"/>
        <v>0</v>
      </c>
      <c r="L1860" s="65">
        <v>1854</v>
      </c>
      <c r="M1860" s="71">
        <f t="shared" ca="1" si="144"/>
        <v>0.25895264409185598</v>
      </c>
      <c r="N1860" s="65"/>
    </row>
    <row r="1861" spans="1:14" x14ac:dyDescent="0.25">
      <c r="A1861" s="2">
        <v>1855</v>
      </c>
      <c r="B1861" s="11">
        <f t="shared" ca="1" si="146"/>
        <v>1</v>
      </c>
      <c r="C1861" s="26">
        <f t="shared" ca="1" si="145"/>
        <v>0.29363245009663064</v>
      </c>
      <c r="J1861">
        <f t="shared" ca="1" si="147"/>
        <v>0</v>
      </c>
      <c r="K1861">
        <f t="shared" ca="1" si="148"/>
        <v>0</v>
      </c>
      <c r="L1861" s="65">
        <v>1855</v>
      </c>
      <c r="M1861" s="71">
        <f t="shared" ca="1" si="144"/>
        <v>1.6888643670179593</v>
      </c>
      <c r="N1861" s="65"/>
    </row>
    <row r="1862" spans="1:14" x14ac:dyDescent="0.25">
      <c r="A1862" s="2">
        <v>1856</v>
      </c>
      <c r="B1862" s="11">
        <f t="shared" ca="1" si="146"/>
        <v>0</v>
      </c>
      <c r="C1862" s="26">
        <f t="shared" ca="1" si="145"/>
        <v>0.89011718771675996</v>
      </c>
      <c r="J1862">
        <f t="shared" ca="1" si="147"/>
        <v>0</v>
      </c>
      <c r="K1862">
        <f t="shared" ca="1" si="148"/>
        <v>0</v>
      </c>
      <c r="L1862" s="65">
        <v>1856</v>
      </c>
      <c r="M1862" s="71">
        <f t="shared" ca="1" si="144"/>
        <v>0</v>
      </c>
      <c r="N1862" s="65"/>
    </row>
    <row r="1863" spans="1:14" x14ac:dyDescent="0.25">
      <c r="A1863" s="2">
        <v>1857</v>
      </c>
      <c r="B1863" s="11">
        <f t="shared" ca="1" si="146"/>
        <v>1</v>
      </c>
      <c r="C1863" s="26">
        <f t="shared" ca="1" si="145"/>
        <v>0.48381424065419709</v>
      </c>
      <c r="J1863">
        <f t="shared" ca="1" si="147"/>
        <v>0</v>
      </c>
      <c r="K1863">
        <f t="shared" ca="1" si="148"/>
        <v>0</v>
      </c>
      <c r="L1863" s="65">
        <v>1857</v>
      </c>
      <c r="M1863" s="71">
        <f t="shared" ref="M1863:M1926" ca="1" si="149">IF(B1863&gt;0,-LN(1-(RAND()))/lambda,0)</f>
        <v>4.3608819506731935</v>
      </c>
      <c r="N1863" s="65"/>
    </row>
    <row r="1864" spans="1:14" x14ac:dyDescent="0.25">
      <c r="A1864" s="2">
        <v>1858</v>
      </c>
      <c r="B1864" s="11">
        <f t="shared" ca="1" si="146"/>
        <v>0</v>
      </c>
      <c r="C1864" s="26">
        <f t="shared" ref="C1864:C1927" ca="1" si="150">RAND()</f>
        <v>0.93557066504204422</v>
      </c>
      <c r="J1864">
        <f t="shared" ca="1" si="147"/>
        <v>0</v>
      </c>
      <c r="K1864">
        <f t="shared" ca="1" si="148"/>
        <v>1</v>
      </c>
      <c r="L1864" s="65">
        <v>1858</v>
      </c>
      <c r="M1864" s="71">
        <f t="shared" ca="1" si="149"/>
        <v>0</v>
      </c>
      <c r="N1864" s="65"/>
    </row>
    <row r="1865" spans="1:14" x14ac:dyDescent="0.25">
      <c r="A1865" s="2">
        <v>1859</v>
      </c>
      <c r="B1865" s="11">
        <f t="shared" ca="1" si="146"/>
        <v>0</v>
      </c>
      <c r="C1865" s="26">
        <f t="shared" ca="1" si="150"/>
        <v>0.91288253692024701</v>
      </c>
      <c r="J1865">
        <f t="shared" ca="1" si="147"/>
        <v>0</v>
      </c>
      <c r="K1865">
        <f t="shared" ca="1" si="148"/>
        <v>1</v>
      </c>
      <c r="L1865" s="65">
        <v>1859</v>
      </c>
      <c r="M1865" s="71">
        <f t="shared" ca="1" si="149"/>
        <v>0</v>
      </c>
      <c r="N1865" s="65"/>
    </row>
    <row r="1866" spans="1:14" x14ac:dyDescent="0.25">
      <c r="A1866" s="2">
        <v>1860</v>
      </c>
      <c r="B1866" s="11">
        <f t="shared" ca="1" si="146"/>
        <v>0</v>
      </c>
      <c r="C1866" s="26">
        <f t="shared" ca="1" si="150"/>
        <v>0.76785677278793474</v>
      </c>
      <c r="J1866">
        <f t="shared" ca="1" si="147"/>
        <v>0</v>
      </c>
      <c r="K1866">
        <f t="shared" ca="1" si="148"/>
        <v>0</v>
      </c>
      <c r="L1866" s="65">
        <v>1860</v>
      </c>
      <c r="M1866" s="71">
        <f t="shared" ca="1" si="149"/>
        <v>0</v>
      </c>
      <c r="N1866" s="65"/>
    </row>
    <row r="1867" spans="1:14" x14ac:dyDescent="0.25">
      <c r="A1867" s="2">
        <v>1861</v>
      </c>
      <c r="B1867" s="11">
        <f t="shared" ca="1" si="146"/>
        <v>1</v>
      </c>
      <c r="C1867" s="26">
        <f t="shared" ca="1" si="150"/>
        <v>0.18186987112623143</v>
      </c>
      <c r="J1867">
        <f t="shared" ca="1" si="147"/>
        <v>1</v>
      </c>
      <c r="K1867">
        <f t="shared" ca="1" si="148"/>
        <v>0</v>
      </c>
      <c r="L1867" s="65">
        <v>1861</v>
      </c>
      <c r="M1867" s="71">
        <f t="shared" ca="1" si="149"/>
        <v>3.6265662628961728</v>
      </c>
      <c r="N1867" s="65"/>
    </row>
    <row r="1868" spans="1:14" x14ac:dyDescent="0.25">
      <c r="A1868" s="2">
        <v>1862</v>
      </c>
      <c r="B1868" s="11">
        <f t="shared" ca="1" si="146"/>
        <v>1</v>
      </c>
      <c r="C1868" s="26">
        <f t="shared" ca="1" si="150"/>
        <v>4.3172183408325959E-2</v>
      </c>
      <c r="J1868">
        <f t="shared" ca="1" si="147"/>
        <v>1</v>
      </c>
      <c r="K1868">
        <f t="shared" ca="1" si="148"/>
        <v>0</v>
      </c>
      <c r="L1868" s="65">
        <v>1862</v>
      </c>
      <c r="M1868" s="71">
        <f t="shared" ca="1" si="149"/>
        <v>2.0819430537401407</v>
      </c>
      <c r="N1868" s="65"/>
    </row>
    <row r="1869" spans="1:14" x14ac:dyDescent="0.25">
      <c r="A1869" s="2">
        <v>1863</v>
      </c>
      <c r="B1869" s="11">
        <f t="shared" ca="1" si="146"/>
        <v>1</v>
      </c>
      <c r="C1869" s="26">
        <f t="shared" ca="1" si="150"/>
        <v>0.194677876479182</v>
      </c>
      <c r="J1869">
        <f t="shared" ca="1" si="147"/>
        <v>0</v>
      </c>
      <c r="K1869">
        <f t="shared" ca="1" si="148"/>
        <v>0</v>
      </c>
      <c r="L1869" s="65">
        <v>1863</v>
      </c>
      <c r="M1869" s="71">
        <f t="shared" ca="1" si="149"/>
        <v>0.67766292309783771</v>
      </c>
      <c r="N1869" s="65"/>
    </row>
    <row r="1870" spans="1:14" x14ac:dyDescent="0.25">
      <c r="A1870" s="2">
        <v>1864</v>
      </c>
      <c r="B1870" s="11">
        <f t="shared" ca="1" si="146"/>
        <v>0</v>
      </c>
      <c r="C1870" s="26">
        <f t="shared" ca="1" si="150"/>
        <v>0.91644979722334807</v>
      </c>
      <c r="J1870">
        <f t="shared" ca="1" si="147"/>
        <v>0</v>
      </c>
      <c r="K1870">
        <f t="shared" ca="1" si="148"/>
        <v>0</v>
      </c>
      <c r="L1870" s="65">
        <v>1864</v>
      </c>
      <c r="M1870" s="71">
        <f t="shared" ca="1" si="149"/>
        <v>0</v>
      </c>
      <c r="N1870" s="65"/>
    </row>
    <row r="1871" spans="1:14" x14ac:dyDescent="0.25">
      <c r="A1871" s="2">
        <v>1865</v>
      </c>
      <c r="B1871" s="11">
        <f t="shared" ca="1" si="146"/>
        <v>1</v>
      </c>
      <c r="C1871" s="26">
        <f t="shared" ca="1" si="150"/>
        <v>0.41385781031088664</v>
      </c>
      <c r="J1871">
        <f t="shared" ca="1" si="147"/>
        <v>1</v>
      </c>
      <c r="K1871">
        <f t="shared" ca="1" si="148"/>
        <v>0</v>
      </c>
      <c r="L1871" s="65">
        <v>1865</v>
      </c>
      <c r="M1871" s="71">
        <f t="shared" ca="1" si="149"/>
        <v>5.4553175978801365</v>
      </c>
      <c r="N1871" s="65"/>
    </row>
    <row r="1872" spans="1:14" x14ac:dyDescent="0.25">
      <c r="A1872" s="2">
        <v>1866</v>
      </c>
      <c r="B1872" s="11">
        <f t="shared" ca="1" si="146"/>
        <v>1</v>
      </c>
      <c r="C1872" s="26">
        <f t="shared" ca="1" si="150"/>
        <v>0.28859914390054053</v>
      </c>
      <c r="J1872">
        <f t="shared" ca="1" si="147"/>
        <v>1</v>
      </c>
      <c r="K1872">
        <f t="shared" ca="1" si="148"/>
        <v>0</v>
      </c>
      <c r="L1872" s="65">
        <v>1866</v>
      </c>
      <c r="M1872" s="71">
        <f t="shared" ca="1" si="149"/>
        <v>1.4171527433940574</v>
      </c>
      <c r="N1872" s="65"/>
    </row>
    <row r="1873" spans="1:14" x14ac:dyDescent="0.25">
      <c r="A1873" s="2">
        <v>1867</v>
      </c>
      <c r="B1873" s="11">
        <f t="shared" ca="1" si="146"/>
        <v>1</v>
      </c>
      <c r="C1873" s="26">
        <f t="shared" ca="1" si="150"/>
        <v>0.63979171511574984</v>
      </c>
      <c r="J1873">
        <f t="shared" ca="1" si="147"/>
        <v>1</v>
      </c>
      <c r="K1873">
        <f t="shared" ca="1" si="148"/>
        <v>0</v>
      </c>
      <c r="L1873" s="65">
        <v>1867</v>
      </c>
      <c r="M1873" s="71">
        <f t="shared" ca="1" si="149"/>
        <v>1.7653652405490075</v>
      </c>
      <c r="N1873" s="65"/>
    </row>
    <row r="1874" spans="1:14" x14ac:dyDescent="0.25">
      <c r="A1874" s="2">
        <v>1868</v>
      </c>
      <c r="B1874" s="11">
        <f t="shared" ca="1" si="146"/>
        <v>1</v>
      </c>
      <c r="C1874" s="26">
        <f t="shared" ca="1" si="150"/>
        <v>0.39214342241817013</v>
      </c>
      <c r="J1874">
        <f t="shared" ca="1" si="147"/>
        <v>1</v>
      </c>
      <c r="K1874">
        <f t="shared" ca="1" si="148"/>
        <v>0</v>
      </c>
      <c r="L1874" s="65">
        <v>1868</v>
      </c>
      <c r="M1874" s="71">
        <f t="shared" ca="1" si="149"/>
        <v>3.7412063338132886</v>
      </c>
      <c r="N1874" s="65"/>
    </row>
    <row r="1875" spans="1:14" x14ac:dyDescent="0.25">
      <c r="A1875" s="2">
        <v>1869</v>
      </c>
      <c r="B1875" s="11">
        <f t="shared" ca="1" si="146"/>
        <v>1</v>
      </c>
      <c r="C1875" s="26">
        <f t="shared" ca="1" si="150"/>
        <v>7.0321246541633964E-2</v>
      </c>
      <c r="J1875">
        <f t="shared" ca="1" si="147"/>
        <v>1</v>
      </c>
      <c r="K1875">
        <f t="shared" ca="1" si="148"/>
        <v>0</v>
      </c>
      <c r="L1875" s="65">
        <v>1869</v>
      </c>
      <c r="M1875" s="71">
        <f t="shared" ca="1" si="149"/>
        <v>7.6111422254870851</v>
      </c>
      <c r="N1875" s="65"/>
    </row>
    <row r="1876" spans="1:14" x14ac:dyDescent="0.25">
      <c r="A1876" s="2">
        <v>1870</v>
      </c>
      <c r="B1876" s="11">
        <f t="shared" ca="1" si="146"/>
        <v>1</v>
      </c>
      <c r="C1876" s="26">
        <f t="shared" ca="1" si="150"/>
        <v>9.4487500033144434E-2</v>
      </c>
      <c r="J1876">
        <f t="shared" ca="1" si="147"/>
        <v>1</v>
      </c>
      <c r="K1876">
        <f t="shared" ca="1" si="148"/>
        <v>0</v>
      </c>
      <c r="L1876" s="65">
        <v>1870</v>
      </c>
      <c r="M1876" s="71">
        <f t="shared" ca="1" si="149"/>
        <v>1.0844756655569787</v>
      </c>
      <c r="N1876" s="65"/>
    </row>
    <row r="1877" spans="1:14" x14ac:dyDescent="0.25">
      <c r="A1877" s="2">
        <v>1871</v>
      </c>
      <c r="B1877" s="11">
        <f t="shared" ca="1" si="146"/>
        <v>1</v>
      </c>
      <c r="C1877" s="26">
        <f t="shared" ca="1" si="150"/>
        <v>0.16148595374520458</v>
      </c>
      <c r="J1877">
        <f t="shared" ca="1" si="147"/>
        <v>1</v>
      </c>
      <c r="K1877">
        <f t="shared" ca="1" si="148"/>
        <v>0</v>
      </c>
      <c r="L1877" s="65">
        <v>1871</v>
      </c>
      <c r="M1877" s="71">
        <f t="shared" ca="1" si="149"/>
        <v>12.965847391273007</v>
      </c>
      <c r="N1877" s="65"/>
    </row>
    <row r="1878" spans="1:14" x14ac:dyDescent="0.25">
      <c r="A1878" s="2">
        <v>1872</v>
      </c>
      <c r="B1878" s="11">
        <f t="shared" ca="1" si="146"/>
        <v>1</v>
      </c>
      <c r="C1878" s="26">
        <f t="shared" ca="1" si="150"/>
        <v>0.38985601428680572</v>
      </c>
      <c r="J1878">
        <f t="shared" ca="1" si="147"/>
        <v>1</v>
      </c>
      <c r="K1878">
        <f t="shared" ca="1" si="148"/>
        <v>0</v>
      </c>
      <c r="L1878" s="65">
        <v>1872</v>
      </c>
      <c r="M1878" s="71">
        <f t="shared" ca="1" si="149"/>
        <v>7.1580636302212328</v>
      </c>
      <c r="N1878" s="65"/>
    </row>
    <row r="1879" spans="1:14" x14ac:dyDescent="0.25">
      <c r="A1879" s="2">
        <v>1873</v>
      </c>
      <c r="B1879" s="11">
        <f t="shared" ca="1" si="146"/>
        <v>1</v>
      </c>
      <c r="C1879" s="26">
        <f t="shared" ca="1" si="150"/>
        <v>5.1355737028307979E-2</v>
      </c>
      <c r="J1879">
        <f t="shared" ca="1" si="147"/>
        <v>1</v>
      </c>
      <c r="K1879">
        <f t="shared" ca="1" si="148"/>
        <v>0</v>
      </c>
      <c r="L1879" s="65">
        <v>1873</v>
      </c>
      <c r="M1879" s="71">
        <f t="shared" ca="1" si="149"/>
        <v>7.9523523536711211</v>
      </c>
      <c r="N1879" s="65"/>
    </row>
    <row r="1880" spans="1:14" x14ac:dyDescent="0.25">
      <c r="A1880" s="2">
        <v>1874</v>
      </c>
      <c r="B1880" s="11">
        <f t="shared" ca="1" si="146"/>
        <v>1</v>
      </c>
      <c r="C1880" s="26">
        <f t="shared" ca="1" si="150"/>
        <v>0.18158833837859167</v>
      </c>
      <c r="J1880">
        <f t="shared" ca="1" si="147"/>
        <v>1</v>
      </c>
      <c r="K1880">
        <f t="shared" ca="1" si="148"/>
        <v>0</v>
      </c>
      <c r="L1880" s="65">
        <v>1874</v>
      </c>
      <c r="M1880" s="71">
        <f t="shared" ca="1" si="149"/>
        <v>1.720457449798777</v>
      </c>
      <c r="N1880" s="65"/>
    </row>
    <row r="1881" spans="1:14" x14ac:dyDescent="0.25">
      <c r="A1881" s="2">
        <v>1875</v>
      </c>
      <c r="B1881" s="11">
        <f t="shared" ca="1" si="146"/>
        <v>1</v>
      </c>
      <c r="C1881" s="26">
        <f t="shared" ca="1" si="150"/>
        <v>0.72810129103072851</v>
      </c>
      <c r="J1881">
        <f t="shared" ca="1" si="147"/>
        <v>1</v>
      </c>
      <c r="K1881">
        <f t="shared" ca="1" si="148"/>
        <v>0</v>
      </c>
      <c r="L1881" s="65">
        <v>1875</v>
      </c>
      <c r="M1881" s="71">
        <f t="shared" ca="1" si="149"/>
        <v>1.8905120348230282</v>
      </c>
      <c r="N1881" s="65"/>
    </row>
    <row r="1882" spans="1:14" x14ac:dyDescent="0.25">
      <c r="A1882" s="2">
        <v>1876</v>
      </c>
      <c r="B1882" s="11">
        <f t="shared" ca="1" si="146"/>
        <v>1</v>
      </c>
      <c r="C1882" s="26">
        <f t="shared" ca="1" si="150"/>
        <v>7.8821599136962739E-2</v>
      </c>
      <c r="J1882">
        <f t="shared" ca="1" si="147"/>
        <v>1</v>
      </c>
      <c r="K1882">
        <f t="shared" ca="1" si="148"/>
        <v>0</v>
      </c>
      <c r="L1882" s="65">
        <v>1876</v>
      </c>
      <c r="M1882" s="71">
        <f t="shared" ca="1" si="149"/>
        <v>11.567881337030943</v>
      </c>
      <c r="N1882" s="65"/>
    </row>
    <row r="1883" spans="1:14" x14ac:dyDescent="0.25">
      <c r="A1883" s="2">
        <v>1877</v>
      </c>
      <c r="B1883" s="11">
        <f t="shared" ca="1" si="146"/>
        <v>1</v>
      </c>
      <c r="C1883" s="26">
        <f t="shared" ca="1" si="150"/>
        <v>7.9598251957495703E-2</v>
      </c>
      <c r="J1883">
        <f t="shared" ca="1" si="147"/>
        <v>1</v>
      </c>
      <c r="K1883">
        <f t="shared" ca="1" si="148"/>
        <v>0</v>
      </c>
      <c r="L1883" s="65">
        <v>1877</v>
      </c>
      <c r="M1883" s="71">
        <f t="shared" ca="1" si="149"/>
        <v>8.616865106394453</v>
      </c>
      <c r="N1883" s="65"/>
    </row>
    <row r="1884" spans="1:14" x14ac:dyDescent="0.25">
      <c r="A1884" s="2">
        <v>1878</v>
      </c>
      <c r="B1884" s="11">
        <f t="shared" ca="1" si="146"/>
        <v>1</v>
      </c>
      <c r="C1884" s="26">
        <f t="shared" ca="1" si="150"/>
        <v>5.4569400707096705E-2</v>
      </c>
      <c r="J1884">
        <f t="shared" ca="1" si="147"/>
        <v>1</v>
      </c>
      <c r="K1884">
        <f t="shared" ca="1" si="148"/>
        <v>0</v>
      </c>
      <c r="L1884" s="65">
        <v>1878</v>
      </c>
      <c r="M1884" s="71">
        <f t="shared" ca="1" si="149"/>
        <v>6.4446831611838964E-2</v>
      </c>
      <c r="N1884" s="65"/>
    </row>
    <row r="1885" spans="1:14" x14ac:dyDescent="0.25">
      <c r="A1885" s="2">
        <v>1879</v>
      </c>
      <c r="B1885" s="11">
        <f t="shared" ca="1" si="146"/>
        <v>1</v>
      </c>
      <c r="C1885" s="26">
        <f t="shared" ca="1" si="150"/>
        <v>0.5218261705121916</v>
      </c>
      <c r="J1885">
        <f t="shared" ca="1" si="147"/>
        <v>1</v>
      </c>
      <c r="K1885">
        <f t="shared" ca="1" si="148"/>
        <v>0</v>
      </c>
      <c r="L1885" s="65">
        <v>1879</v>
      </c>
      <c r="M1885" s="71">
        <f t="shared" ca="1" si="149"/>
        <v>3.1991301747225926</v>
      </c>
      <c r="N1885" s="65"/>
    </row>
    <row r="1886" spans="1:14" x14ac:dyDescent="0.25">
      <c r="A1886" s="2">
        <v>1880</v>
      </c>
      <c r="B1886" s="11">
        <f t="shared" ca="1" si="146"/>
        <v>1</v>
      </c>
      <c r="C1886" s="26">
        <f t="shared" ca="1" si="150"/>
        <v>4.8490287469877602E-2</v>
      </c>
      <c r="J1886">
        <f t="shared" ca="1" si="147"/>
        <v>1</v>
      </c>
      <c r="K1886">
        <f t="shared" ca="1" si="148"/>
        <v>0</v>
      </c>
      <c r="L1886" s="65">
        <v>1880</v>
      </c>
      <c r="M1886" s="71">
        <f t="shared" ca="1" si="149"/>
        <v>15.883102965377631</v>
      </c>
      <c r="N1886" s="65"/>
    </row>
    <row r="1887" spans="1:14" x14ac:dyDescent="0.25">
      <c r="A1887" s="2">
        <v>1881</v>
      </c>
      <c r="B1887" s="11">
        <f t="shared" ca="1" si="146"/>
        <v>1</v>
      </c>
      <c r="C1887" s="26">
        <f t="shared" ca="1" si="150"/>
        <v>0.2743415548137097</v>
      </c>
      <c r="J1887">
        <f t="shared" ca="1" si="147"/>
        <v>1</v>
      </c>
      <c r="K1887">
        <f t="shared" ca="1" si="148"/>
        <v>0</v>
      </c>
      <c r="L1887" s="65">
        <v>1881</v>
      </c>
      <c r="M1887" s="71">
        <f t="shared" ca="1" si="149"/>
        <v>6.8180859357933721E-2</v>
      </c>
      <c r="N1887" s="65"/>
    </row>
    <row r="1888" spans="1:14" x14ac:dyDescent="0.25">
      <c r="A1888" s="2">
        <v>1882</v>
      </c>
      <c r="B1888" s="11">
        <f t="shared" ca="1" si="146"/>
        <v>1</v>
      </c>
      <c r="C1888" s="26">
        <f t="shared" ca="1" si="150"/>
        <v>0.32432406225498878</v>
      </c>
      <c r="J1888">
        <f t="shared" ca="1" si="147"/>
        <v>1</v>
      </c>
      <c r="K1888">
        <f t="shared" ca="1" si="148"/>
        <v>0</v>
      </c>
      <c r="L1888" s="65">
        <v>1882</v>
      </c>
      <c r="M1888" s="71">
        <f t="shared" ca="1" si="149"/>
        <v>4.8139565595766829</v>
      </c>
      <c r="N1888" s="65"/>
    </row>
    <row r="1889" spans="1:14" x14ac:dyDescent="0.25">
      <c r="A1889" s="2">
        <v>1883</v>
      </c>
      <c r="B1889" s="11">
        <f t="shared" ca="1" si="146"/>
        <v>1</v>
      </c>
      <c r="C1889" s="26">
        <f t="shared" ca="1" si="150"/>
        <v>0.24203060237120766</v>
      </c>
      <c r="J1889">
        <f t="shared" ca="1" si="147"/>
        <v>1</v>
      </c>
      <c r="K1889">
        <f t="shared" ca="1" si="148"/>
        <v>0</v>
      </c>
      <c r="L1889" s="65">
        <v>1883</v>
      </c>
      <c r="M1889" s="71">
        <f t="shared" ca="1" si="149"/>
        <v>2.9919740621965225</v>
      </c>
      <c r="N1889" s="65"/>
    </row>
    <row r="1890" spans="1:14" x14ac:dyDescent="0.25">
      <c r="A1890" s="2">
        <v>1884</v>
      </c>
      <c r="B1890" s="11">
        <f t="shared" ca="1" si="146"/>
        <v>1</v>
      </c>
      <c r="C1890" s="26">
        <f t="shared" ca="1" si="150"/>
        <v>2.5024910518040344E-2</v>
      </c>
      <c r="J1890">
        <f t="shared" ca="1" si="147"/>
        <v>1</v>
      </c>
      <c r="K1890">
        <f t="shared" ca="1" si="148"/>
        <v>0</v>
      </c>
      <c r="L1890" s="65">
        <v>1884</v>
      </c>
      <c r="M1890" s="71">
        <f t="shared" ca="1" si="149"/>
        <v>2.2131892308471479</v>
      </c>
      <c r="N1890" s="65"/>
    </row>
    <row r="1891" spans="1:14" x14ac:dyDescent="0.25">
      <c r="A1891" s="2">
        <v>1885</v>
      </c>
      <c r="B1891" s="11">
        <f t="shared" ca="1" si="146"/>
        <v>1</v>
      </c>
      <c r="C1891" s="26">
        <f t="shared" ca="1" si="150"/>
        <v>0.52143798767048133</v>
      </c>
      <c r="J1891">
        <f t="shared" ca="1" si="147"/>
        <v>1</v>
      </c>
      <c r="K1891">
        <f t="shared" ca="1" si="148"/>
        <v>0</v>
      </c>
      <c r="L1891" s="65">
        <v>1885</v>
      </c>
      <c r="M1891" s="71">
        <f t="shared" ca="1" si="149"/>
        <v>5.6980302319109173</v>
      </c>
      <c r="N1891" s="65"/>
    </row>
    <row r="1892" spans="1:14" x14ac:dyDescent="0.25">
      <c r="A1892" s="2">
        <v>1886</v>
      </c>
      <c r="B1892" s="11">
        <f t="shared" ca="1" si="146"/>
        <v>1</v>
      </c>
      <c r="C1892" s="26">
        <f t="shared" ca="1" si="150"/>
        <v>0.17326137745997061</v>
      </c>
      <c r="J1892">
        <f t="shared" ca="1" si="147"/>
        <v>1</v>
      </c>
      <c r="K1892">
        <f t="shared" ca="1" si="148"/>
        <v>0</v>
      </c>
      <c r="L1892" s="65">
        <v>1886</v>
      </c>
      <c r="M1892" s="71">
        <f t="shared" ca="1" si="149"/>
        <v>1.2940729262509481</v>
      </c>
      <c r="N1892" s="65"/>
    </row>
    <row r="1893" spans="1:14" x14ac:dyDescent="0.25">
      <c r="A1893" s="2">
        <v>1887</v>
      </c>
      <c r="B1893" s="11">
        <f t="shared" ca="1" si="146"/>
        <v>1</v>
      </c>
      <c r="C1893" s="26">
        <f t="shared" ca="1" si="150"/>
        <v>0.51038694462870349</v>
      </c>
      <c r="J1893">
        <f t="shared" ca="1" si="147"/>
        <v>1</v>
      </c>
      <c r="K1893">
        <f t="shared" ca="1" si="148"/>
        <v>0</v>
      </c>
      <c r="L1893" s="65">
        <v>1887</v>
      </c>
      <c r="M1893" s="71">
        <f t="shared" ca="1" si="149"/>
        <v>5.5337629159161077</v>
      </c>
      <c r="N1893" s="65"/>
    </row>
    <row r="1894" spans="1:14" x14ac:dyDescent="0.25">
      <c r="A1894" s="2">
        <v>1888</v>
      </c>
      <c r="B1894" s="11">
        <f t="shared" ca="1" si="146"/>
        <v>1</v>
      </c>
      <c r="C1894" s="26">
        <f t="shared" ca="1" si="150"/>
        <v>0.15916135969343514</v>
      </c>
      <c r="J1894">
        <f t="shared" ca="1" si="147"/>
        <v>1</v>
      </c>
      <c r="K1894">
        <f t="shared" ca="1" si="148"/>
        <v>0</v>
      </c>
      <c r="L1894" s="65">
        <v>1888</v>
      </c>
      <c r="M1894" s="71">
        <f t="shared" ca="1" si="149"/>
        <v>0.83317791856874024</v>
      </c>
      <c r="N1894" s="65"/>
    </row>
    <row r="1895" spans="1:14" x14ac:dyDescent="0.25">
      <c r="A1895" s="2">
        <v>1889</v>
      </c>
      <c r="B1895" s="11">
        <f t="shared" ca="1" si="146"/>
        <v>1</v>
      </c>
      <c r="C1895" s="26">
        <f t="shared" ca="1" si="150"/>
        <v>0.11894716329569721</v>
      </c>
      <c r="J1895">
        <f t="shared" ca="1" si="147"/>
        <v>1</v>
      </c>
      <c r="K1895">
        <f t="shared" ca="1" si="148"/>
        <v>0</v>
      </c>
      <c r="L1895" s="65">
        <v>1889</v>
      </c>
      <c r="M1895" s="71">
        <f t="shared" ca="1" si="149"/>
        <v>1.2756788155243077</v>
      </c>
      <c r="N1895" s="65"/>
    </row>
    <row r="1896" spans="1:14" x14ac:dyDescent="0.25">
      <c r="A1896" s="2">
        <v>1890</v>
      </c>
      <c r="B1896" s="11">
        <f t="shared" ca="1" si="146"/>
        <v>1</v>
      </c>
      <c r="C1896" s="26">
        <f t="shared" ca="1" si="150"/>
        <v>0.73418847759334349</v>
      </c>
      <c r="J1896">
        <f t="shared" ca="1" si="147"/>
        <v>1</v>
      </c>
      <c r="K1896">
        <f t="shared" ca="1" si="148"/>
        <v>0</v>
      </c>
      <c r="L1896" s="65">
        <v>1890</v>
      </c>
      <c r="M1896" s="71">
        <f t="shared" ca="1" si="149"/>
        <v>1.7283925578381025</v>
      </c>
      <c r="N1896" s="65"/>
    </row>
    <row r="1897" spans="1:14" x14ac:dyDescent="0.25">
      <c r="A1897" s="2">
        <v>1891</v>
      </c>
      <c r="B1897" s="11">
        <f t="shared" ca="1" si="146"/>
        <v>1</v>
      </c>
      <c r="C1897" s="26">
        <f t="shared" ca="1" si="150"/>
        <v>0.3303658491754804</v>
      </c>
      <c r="J1897">
        <f t="shared" ca="1" si="147"/>
        <v>1</v>
      </c>
      <c r="K1897">
        <f t="shared" ca="1" si="148"/>
        <v>0</v>
      </c>
      <c r="L1897" s="65">
        <v>1891</v>
      </c>
      <c r="M1897" s="71">
        <f t="shared" ca="1" si="149"/>
        <v>2.6081540778177503</v>
      </c>
      <c r="N1897" s="65"/>
    </row>
    <row r="1898" spans="1:14" x14ac:dyDescent="0.25">
      <c r="A1898" s="2">
        <v>1892</v>
      </c>
      <c r="B1898" s="11">
        <f t="shared" ca="1" si="146"/>
        <v>1</v>
      </c>
      <c r="C1898" s="26">
        <f t="shared" ca="1" si="150"/>
        <v>0.67195140450877655</v>
      </c>
      <c r="J1898">
        <f t="shared" ca="1" si="147"/>
        <v>0</v>
      </c>
      <c r="K1898">
        <f t="shared" ca="1" si="148"/>
        <v>0</v>
      </c>
      <c r="L1898" s="65">
        <v>1892</v>
      </c>
      <c r="M1898" s="71">
        <f t="shared" ca="1" si="149"/>
        <v>0.90909100608833138</v>
      </c>
      <c r="N1898" s="65"/>
    </row>
    <row r="1899" spans="1:14" x14ac:dyDescent="0.25">
      <c r="A1899" s="2">
        <v>1893</v>
      </c>
      <c r="B1899" s="11">
        <f t="shared" ca="1" si="146"/>
        <v>0</v>
      </c>
      <c r="C1899" s="26">
        <f t="shared" ca="1" si="150"/>
        <v>0.95178329563674402</v>
      </c>
      <c r="J1899">
        <f t="shared" ca="1" si="147"/>
        <v>0</v>
      </c>
      <c r="K1899">
        <f t="shared" ca="1" si="148"/>
        <v>0</v>
      </c>
      <c r="L1899" s="65">
        <v>1893</v>
      </c>
      <c r="M1899" s="71">
        <f t="shared" ca="1" si="149"/>
        <v>0</v>
      </c>
      <c r="N1899" s="65"/>
    </row>
    <row r="1900" spans="1:14" x14ac:dyDescent="0.25">
      <c r="A1900" s="2">
        <v>1894</v>
      </c>
      <c r="B1900" s="11">
        <f t="shared" ca="1" si="146"/>
        <v>1</v>
      </c>
      <c r="C1900" s="26">
        <f t="shared" ca="1" si="150"/>
        <v>7.3106736429851882E-2</v>
      </c>
      <c r="J1900">
        <f t="shared" ca="1" si="147"/>
        <v>1</v>
      </c>
      <c r="K1900">
        <f t="shared" ca="1" si="148"/>
        <v>0</v>
      </c>
      <c r="L1900" s="65">
        <v>1894</v>
      </c>
      <c r="M1900" s="71">
        <f t="shared" ca="1" si="149"/>
        <v>1.8025166687556553</v>
      </c>
      <c r="N1900" s="65"/>
    </row>
    <row r="1901" spans="1:14" x14ac:dyDescent="0.25">
      <c r="A1901" s="2">
        <v>1895</v>
      </c>
      <c r="B1901" s="11">
        <f t="shared" ca="1" si="146"/>
        <v>1</v>
      </c>
      <c r="C1901" s="26">
        <f t="shared" ca="1" si="150"/>
        <v>0.65046568229792701</v>
      </c>
      <c r="J1901">
        <f t="shared" ca="1" si="147"/>
        <v>1</v>
      </c>
      <c r="K1901">
        <f t="shared" ca="1" si="148"/>
        <v>0</v>
      </c>
      <c r="L1901" s="65">
        <v>1895</v>
      </c>
      <c r="M1901" s="71">
        <f t="shared" ca="1" si="149"/>
        <v>1.1087922930012071</v>
      </c>
      <c r="N1901" s="65"/>
    </row>
    <row r="1902" spans="1:14" x14ac:dyDescent="0.25">
      <c r="A1902" s="2">
        <v>1896</v>
      </c>
      <c r="B1902" s="11">
        <f t="shared" ca="1" si="146"/>
        <v>1</v>
      </c>
      <c r="C1902" s="26">
        <f t="shared" ca="1" si="150"/>
        <v>0.12802922529984062</v>
      </c>
      <c r="J1902">
        <f t="shared" ca="1" si="147"/>
        <v>1</v>
      </c>
      <c r="K1902">
        <f t="shared" ca="1" si="148"/>
        <v>0</v>
      </c>
      <c r="L1902" s="65">
        <v>1896</v>
      </c>
      <c r="M1902" s="71">
        <f t="shared" ca="1" si="149"/>
        <v>3.1365693514196216</v>
      </c>
      <c r="N1902" s="65"/>
    </row>
    <row r="1903" spans="1:14" x14ac:dyDescent="0.25">
      <c r="A1903" s="2">
        <v>1897</v>
      </c>
      <c r="B1903" s="11">
        <f t="shared" ref="B1903:B1966" ca="1" si="151">IF(B1902&gt;0,IF(C1903&lt;pww,1,0),IF(C1903&lt;pdw,1,0))</f>
        <v>1</v>
      </c>
      <c r="C1903" s="26">
        <f t="shared" ca="1" si="150"/>
        <v>0.19682157029792968</v>
      </c>
      <c r="J1903">
        <f t="shared" ref="J1903:J1966" ca="1" si="152">IF(AND(B1903,B1904),1,0)</f>
        <v>1</v>
      </c>
      <c r="K1903">
        <f t="shared" ref="K1903:K1966" ca="1" si="153">IF(AND(NOT(B1903),NOT(B1904)),1,0)</f>
        <v>0</v>
      </c>
      <c r="L1903" s="65">
        <v>1897</v>
      </c>
      <c r="M1903" s="71">
        <f t="shared" ca="1" si="149"/>
        <v>3.972378638958038</v>
      </c>
      <c r="N1903" s="65"/>
    </row>
    <row r="1904" spans="1:14" x14ac:dyDescent="0.25">
      <c r="A1904" s="2">
        <v>1898</v>
      </c>
      <c r="B1904" s="11">
        <f t="shared" ca="1" si="151"/>
        <v>1</v>
      </c>
      <c r="C1904" s="26">
        <f t="shared" ca="1" si="150"/>
        <v>1.0980154507912787E-2</v>
      </c>
      <c r="J1904">
        <f t="shared" ca="1" si="152"/>
        <v>0</v>
      </c>
      <c r="K1904">
        <f t="shared" ca="1" si="153"/>
        <v>0</v>
      </c>
      <c r="L1904" s="65">
        <v>1898</v>
      </c>
      <c r="M1904" s="71">
        <f t="shared" ca="1" si="149"/>
        <v>2.4857566022548582E-2</v>
      </c>
      <c r="N1904" s="65"/>
    </row>
    <row r="1905" spans="1:14" x14ac:dyDescent="0.25">
      <c r="A1905" s="2">
        <v>1899</v>
      </c>
      <c r="B1905" s="11">
        <f t="shared" ca="1" si="151"/>
        <v>0</v>
      </c>
      <c r="C1905" s="26">
        <f t="shared" ca="1" si="150"/>
        <v>0.90416951069675133</v>
      </c>
      <c r="J1905">
        <f t="shared" ca="1" si="152"/>
        <v>0</v>
      </c>
      <c r="K1905">
        <f t="shared" ca="1" si="153"/>
        <v>0</v>
      </c>
      <c r="L1905" s="65">
        <v>1899</v>
      </c>
      <c r="M1905" s="71">
        <f t="shared" ca="1" si="149"/>
        <v>0</v>
      </c>
      <c r="N1905" s="65"/>
    </row>
    <row r="1906" spans="1:14" x14ac:dyDescent="0.25">
      <c r="A1906" s="2">
        <v>1900</v>
      </c>
      <c r="B1906" s="11">
        <f t="shared" ca="1" si="151"/>
        <v>1</v>
      </c>
      <c r="C1906" s="26">
        <f t="shared" ca="1" si="150"/>
        <v>0.32171236100468503</v>
      </c>
      <c r="J1906">
        <f t="shared" ca="1" si="152"/>
        <v>1</v>
      </c>
      <c r="K1906">
        <f t="shared" ca="1" si="153"/>
        <v>0</v>
      </c>
      <c r="L1906" s="65">
        <v>1900</v>
      </c>
      <c r="M1906" s="71">
        <f t="shared" ca="1" si="149"/>
        <v>2.5457023506347118</v>
      </c>
      <c r="N1906" s="65"/>
    </row>
    <row r="1907" spans="1:14" x14ac:dyDescent="0.25">
      <c r="A1907" s="2">
        <v>1901</v>
      </c>
      <c r="B1907" s="11">
        <f t="shared" ca="1" si="151"/>
        <v>1</v>
      </c>
      <c r="C1907" s="26">
        <f t="shared" ca="1" si="150"/>
        <v>0.19857963473947049</v>
      </c>
      <c r="J1907">
        <f t="shared" ca="1" si="152"/>
        <v>0</v>
      </c>
      <c r="K1907">
        <f t="shared" ca="1" si="153"/>
        <v>0</v>
      </c>
      <c r="L1907" s="65">
        <v>1901</v>
      </c>
      <c r="M1907" s="71">
        <f t="shared" ca="1" si="149"/>
        <v>3.507037861901348</v>
      </c>
      <c r="N1907" s="65"/>
    </row>
    <row r="1908" spans="1:14" x14ac:dyDescent="0.25">
      <c r="A1908" s="2">
        <v>1902</v>
      </c>
      <c r="B1908" s="11">
        <f t="shared" ca="1" si="151"/>
        <v>0</v>
      </c>
      <c r="C1908" s="26">
        <f t="shared" ca="1" si="150"/>
        <v>0.94031757336970523</v>
      </c>
      <c r="J1908">
        <f t="shared" ca="1" si="152"/>
        <v>0</v>
      </c>
      <c r="K1908">
        <f t="shared" ca="1" si="153"/>
        <v>0</v>
      </c>
      <c r="L1908" s="65">
        <v>1902</v>
      </c>
      <c r="M1908" s="71">
        <f t="shared" ca="1" si="149"/>
        <v>0</v>
      </c>
      <c r="N1908" s="65"/>
    </row>
    <row r="1909" spans="1:14" x14ac:dyDescent="0.25">
      <c r="A1909" s="2">
        <v>1903</v>
      </c>
      <c r="B1909" s="11">
        <f t="shared" ca="1" si="151"/>
        <v>1</v>
      </c>
      <c r="C1909" s="26">
        <f t="shared" ca="1" si="150"/>
        <v>4.328320096162197E-2</v>
      </c>
      <c r="J1909">
        <f t="shared" ca="1" si="152"/>
        <v>1</v>
      </c>
      <c r="K1909">
        <f t="shared" ca="1" si="153"/>
        <v>0</v>
      </c>
      <c r="L1909" s="65">
        <v>1903</v>
      </c>
      <c r="M1909" s="71">
        <f t="shared" ca="1" si="149"/>
        <v>6.1596948974734405</v>
      </c>
      <c r="N1909" s="65"/>
    </row>
    <row r="1910" spans="1:14" x14ac:dyDescent="0.25">
      <c r="A1910" s="2">
        <v>1904</v>
      </c>
      <c r="B1910" s="11">
        <f t="shared" ca="1" si="151"/>
        <v>1</v>
      </c>
      <c r="C1910" s="26">
        <f t="shared" ca="1" si="150"/>
        <v>0.15869101745556535</v>
      </c>
      <c r="J1910">
        <f t="shared" ca="1" si="152"/>
        <v>1</v>
      </c>
      <c r="K1910">
        <f t="shared" ca="1" si="153"/>
        <v>0</v>
      </c>
      <c r="L1910" s="65">
        <v>1904</v>
      </c>
      <c r="M1910" s="71">
        <f t="shared" ca="1" si="149"/>
        <v>6.4290924690570259</v>
      </c>
      <c r="N1910" s="65"/>
    </row>
    <row r="1911" spans="1:14" x14ac:dyDescent="0.25">
      <c r="A1911" s="2">
        <v>1905</v>
      </c>
      <c r="B1911" s="11">
        <f t="shared" ca="1" si="151"/>
        <v>1</v>
      </c>
      <c r="C1911" s="26">
        <f t="shared" ca="1" si="150"/>
        <v>0.63842475400345167</v>
      </c>
      <c r="J1911">
        <f t="shared" ca="1" si="152"/>
        <v>1</v>
      </c>
      <c r="K1911">
        <f t="shared" ca="1" si="153"/>
        <v>0</v>
      </c>
      <c r="L1911" s="65">
        <v>1905</v>
      </c>
      <c r="M1911" s="71">
        <f t="shared" ca="1" si="149"/>
        <v>0.71277648562912355</v>
      </c>
      <c r="N1911" s="65"/>
    </row>
    <row r="1912" spans="1:14" x14ac:dyDescent="0.25">
      <c r="A1912" s="2">
        <v>1906</v>
      </c>
      <c r="B1912" s="11">
        <f t="shared" ca="1" si="151"/>
        <v>1</v>
      </c>
      <c r="C1912" s="26">
        <f t="shared" ca="1" si="150"/>
        <v>0.65052431594074611</v>
      </c>
      <c r="J1912">
        <f t="shared" ca="1" si="152"/>
        <v>1</v>
      </c>
      <c r="K1912">
        <f t="shared" ca="1" si="153"/>
        <v>0</v>
      </c>
      <c r="L1912" s="65">
        <v>1906</v>
      </c>
      <c r="M1912" s="71">
        <f t="shared" ca="1" si="149"/>
        <v>0.91236898215480566</v>
      </c>
      <c r="N1912" s="65"/>
    </row>
    <row r="1913" spans="1:14" x14ac:dyDescent="0.25">
      <c r="A1913" s="2">
        <v>1907</v>
      </c>
      <c r="B1913" s="11">
        <f t="shared" ca="1" si="151"/>
        <v>1</v>
      </c>
      <c r="C1913" s="26">
        <f t="shared" ca="1" si="150"/>
        <v>0.26010684600133382</v>
      </c>
      <c r="J1913">
        <f t="shared" ca="1" si="152"/>
        <v>1</v>
      </c>
      <c r="K1913">
        <f t="shared" ca="1" si="153"/>
        <v>0</v>
      </c>
      <c r="L1913" s="65">
        <v>1907</v>
      </c>
      <c r="M1913" s="71">
        <f t="shared" ca="1" si="149"/>
        <v>1.9924607917587349</v>
      </c>
      <c r="N1913" s="65"/>
    </row>
    <row r="1914" spans="1:14" x14ac:dyDescent="0.25">
      <c r="A1914" s="2">
        <v>1908</v>
      </c>
      <c r="B1914" s="11">
        <f t="shared" ca="1" si="151"/>
        <v>1</v>
      </c>
      <c r="C1914" s="26">
        <f t="shared" ca="1" si="150"/>
        <v>1.0093805968789948E-2</v>
      </c>
      <c r="J1914">
        <f t="shared" ca="1" si="152"/>
        <v>1</v>
      </c>
      <c r="K1914">
        <f t="shared" ca="1" si="153"/>
        <v>0</v>
      </c>
      <c r="L1914" s="65">
        <v>1908</v>
      </c>
      <c r="M1914" s="71">
        <f t="shared" ca="1" si="149"/>
        <v>11.512950703442364</v>
      </c>
      <c r="N1914" s="65"/>
    </row>
    <row r="1915" spans="1:14" x14ac:dyDescent="0.25">
      <c r="A1915" s="2">
        <v>1909</v>
      </c>
      <c r="B1915" s="11">
        <f t="shared" ca="1" si="151"/>
        <v>1</v>
      </c>
      <c r="C1915" s="26">
        <f t="shared" ca="1" si="150"/>
        <v>0.60690063876159317</v>
      </c>
      <c r="J1915">
        <f t="shared" ca="1" si="152"/>
        <v>1</v>
      </c>
      <c r="K1915">
        <f t="shared" ca="1" si="153"/>
        <v>0</v>
      </c>
      <c r="L1915" s="65">
        <v>1909</v>
      </c>
      <c r="M1915" s="71">
        <f t="shared" ca="1" si="149"/>
        <v>2.1947782564480169</v>
      </c>
      <c r="N1915" s="65"/>
    </row>
    <row r="1916" spans="1:14" x14ac:dyDescent="0.25">
      <c r="A1916" s="2">
        <v>1910</v>
      </c>
      <c r="B1916" s="11">
        <f t="shared" ca="1" si="151"/>
        <v>1</v>
      </c>
      <c r="C1916" s="26">
        <f t="shared" ca="1" si="150"/>
        <v>0.28233518011543446</v>
      </c>
      <c r="J1916">
        <f t="shared" ca="1" si="152"/>
        <v>1</v>
      </c>
      <c r="K1916">
        <f t="shared" ca="1" si="153"/>
        <v>0</v>
      </c>
      <c r="L1916" s="65">
        <v>1910</v>
      </c>
      <c r="M1916" s="71">
        <f t="shared" ca="1" si="149"/>
        <v>0.89926554911283652</v>
      </c>
      <c r="N1916" s="65"/>
    </row>
    <row r="1917" spans="1:14" x14ac:dyDescent="0.25">
      <c r="A1917" s="2">
        <v>1911</v>
      </c>
      <c r="B1917" s="11">
        <f t="shared" ca="1" si="151"/>
        <v>1</v>
      </c>
      <c r="C1917" s="26">
        <f t="shared" ca="1" si="150"/>
        <v>0.22997680251941921</v>
      </c>
      <c r="J1917">
        <f t="shared" ca="1" si="152"/>
        <v>1</v>
      </c>
      <c r="K1917">
        <f t="shared" ca="1" si="153"/>
        <v>0</v>
      </c>
      <c r="L1917" s="65">
        <v>1911</v>
      </c>
      <c r="M1917" s="71">
        <f t="shared" ca="1" si="149"/>
        <v>4.4937358394751765</v>
      </c>
      <c r="N1917" s="65"/>
    </row>
    <row r="1918" spans="1:14" x14ac:dyDescent="0.25">
      <c r="A1918" s="2">
        <v>1912</v>
      </c>
      <c r="B1918" s="11">
        <f t="shared" ca="1" si="151"/>
        <v>1</v>
      </c>
      <c r="C1918" s="26">
        <f t="shared" ca="1" si="150"/>
        <v>0.27516541416215501</v>
      </c>
      <c r="J1918">
        <f t="shared" ca="1" si="152"/>
        <v>1</v>
      </c>
      <c r="K1918">
        <f t="shared" ca="1" si="153"/>
        <v>0</v>
      </c>
      <c r="L1918" s="65">
        <v>1912</v>
      </c>
      <c r="M1918" s="71">
        <f t="shared" ca="1" si="149"/>
        <v>3.4459805210508918</v>
      </c>
      <c r="N1918" s="65"/>
    </row>
    <row r="1919" spans="1:14" x14ac:dyDescent="0.25">
      <c r="A1919" s="2">
        <v>1913</v>
      </c>
      <c r="B1919" s="11">
        <f t="shared" ca="1" si="151"/>
        <v>1</v>
      </c>
      <c r="C1919" s="26">
        <f t="shared" ca="1" si="150"/>
        <v>0.75258745748256139</v>
      </c>
      <c r="J1919">
        <f t="shared" ca="1" si="152"/>
        <v>1</v>
      </c>
      <c r="K1919">
        <f t="shared" ca="1" si="153"/>
        <v>0</v>
      </c>
      <c r="L1919" s="65">
        <v>1913</v>
      </c>
      <c r="M1919" s="71">
        <f t="shared" ca="1" si="149"/>
        <v>2.2608405451098377</v>
      </c>
      <c r="N1919" s="65"/>
    </row>
    <row r="1920" spans="1:14" x14ac:dyDescent="0.25">
      <c r="A1920" s="2">
        <v>1914</v>
      </c>
      <c r="B1920" s="11">
        <f t="shared" ca="1" si="151"/>
        <v>1</v>
      </c>
      <c r="C1920" s="26">
        <f t="shared" ca="1" si="150"/>
        <v>0.27835105417779626</v>
      </c>
      <c r="J1920">
        <f t="shared" ca="1" si="152"/>
        <v>1</v>
      </c>
      <c r="K1920">
        <f t="shared" ca="1" si="153"/>
        <v>0</v>
      </c>
      <c r="L1920" s="65">
        <v>1914</v>
      </c>
      <c r="M1920" s="71">
        <f t="shared" ca="1" si="149"/>
        <v>3.7367416912305957</v>
      </c>
      <c r="N1920" s="65"/>
    </row>
    <row r="1921" spans="1:14" x14ac:dyDescent="0.25">
      <c r="A1921" s="2">
        <v>1915</v>
      </c>
      <c r="B1921" s="11">
        <f t="shared" ca="1" si="151"/>
        <v>1</v>
      </c>
      <c r="C1921" s="26">
        <f t="shared" ca="1" si="150"/>
        <v>0.14333953264951271</v>
      </c>
      <c r="J1921">
        <f t="shared" ca="1" si="152"/>
        <v>1</v>
      </c>
      <c r="K1921">
        <f t="shared" ca="1" si="153"/>
        <v>0</v>
      </c>
      <c r="L1921" s="65">
        <v>1915</v>
      </c>
      <c r="M1921" s="71">
        <f t="shared" ca="1" si="149"/>
        <v>4.0118298759434907</v>
      </c>
      <c r="N1921" s="65"/>
    </row>
    <row r="1922" spans="1:14" x14ac:dyDescent="0.25">
      <c r="A1922" s="2">
        <v>1916</v>
      </c>
      <c r="B1922" s="11">
        <f t="shared" ca="1" si="151"/>
        <v>1</v>
      </c>
      <c r="C1922" s="26">
        <f t="shared" ca="1" si="150"/>
        <v>0.58911497818234393</v>
      </c>
      <c r="J1922">
        <f t="shared" ca="1" si="152"/>
        <v>1</v>
      </c>
      <c r="K1922">
        <f t="shared" ca="1" si="153"/>
        <v>0</v>
      </c>
      <c r="L1922" s="65">
        <v>1916</v>
      </c>
      <c r="M1922" s="71">
        <f t="shared" ca="1" si="149"/>
        <v>3.3439700975376105</v>
      </c>
      <c r="N1922" s="65"/>
    </row>
    <row r="1923" spans="1:14" x14ac:dyDescent="0.25">
      <c r="A1923" s="2">
        <v>1917</v>
      </c>
      <c r="B1923" s="11">
        <f t="shared" ca="1" si="151"/>
        <v>1</v>
      </c>
      <c r="C1923" s="26">
        <f t="shared" ca="1" si="150"/>
        <v>0.5818476320536512</v>
      </c>
      <c r="J1923">
        <f t="shared" ca="1" si="152"/>
        <v>1</v>
      </c>
      <c r="K1923">
        <f t="shared" ca="1" si="153"/>
        <v>0</v>
      </c>
      <c r="L1923" s="65">
        <v>1917</v>
      </c>
      <c r="M1923" s="71">
        <f t="shared" ca="1" si="149"/>
        <v>1.4663396245201115</v>
      </c>
      <c r="N1923" s="65"/>
    </row>
    <row r="1924" spans="1:14" x14ac:dyDescent="0.25">
      <c r="A1924" s="2">
        <v>1918</v>
      </c>
      <c r="B1924" s="11">
        <f t="shared" ca="1" si="151"/>
        <v>1</v>
      </c>
      <c r="C1924" s="26">
        <f t="shared" ca="1" si="150"/>
        <v>0.51561956783713003</v>
      </c>
      <c r="J1924">
        <f t="shared" ca="1" si="152"/>
        <v>1</v>
      </c>
      <c r="K1924">
        <f t="shared" ca="1" si="153"/>
        <v>0</v>
      </c>
      <c r="L1924" s="65">
        <v>1918</v>
      </c>
      <c r="M1924" s="71">
        <f t="shared" ca="1" si="149"/>
        <v>2.0612701772567856</v>
      </c>
      <c r="N1924" s="65"/>
    </row>
    <row r="1925" spans="1:14" x14ac:dyDescent="0.25">
      <c r="A1925" s="2">
        <v>1919</v>
      </c>
      <c r="B1925" s="11">
        <f t="shared" ca="1" si="151"/>
        <v>1</v>
      </c>
      <c r="C1925" s="26">
        <f t="shared" ca="1" si="150"/>
        <v>0.46754344888710919</v>
      </c>
      <c r="J1925">
        <f t="shared" ca="1" si="152"/>
        <v>1</v>
      </c>
      <c r="K1925">
        <f t="shared" ca="1" si="153"/>
        <v>0</v>
      </c>
      <c r="L1925" s="65">
        <v>1919</v>
      </c>
      <c r="M1925" s="71">
        <f t="shared" ca="1" si="149"/>
        <v>2.5601526463330293</v>
      </c>
      <c r="N1925" s="65"/>
    </row>
    <row r="1926" spans="1:14" x14ac:dyDescent="0.25">
      <c r="A1926" s="2">
        <v>1920</v>
      </c>
      <c r="B1926" s="11">
        <f t="shared" ca="1" si="151"/>
        <v>1</v>
      </c>
      <c r="C1926" s="26">
        <f t="shared" ca="1" si="150"/>
        <v>0.67577107736565079</v>
      </c>
      <c r="J1926">
        <f t="shared" ca="1" si="152"/>
        <v>1</v>
      </c>
      <c r="K1926">
        <f t="shared" ca="1" si="153"/>
        <v>0</v>
      </c>
      <c r="L1926" s="65">
        <v>1920</v>
      </c>
      <c r="M1926" s="71">
        <f t="shared" ca="1" si="149"/>
        <v>1.6493106537139257</v>
      </c>
      <c r="N1926" s="65"/>
    </row>
    <row r="1927" spans="1:14" x14ac:dyDescent="0.25">
      <c r="A1927" s="2">
        <v>1921</v>
      </c>
      <c r="B1927" s="11">
        <f t="shared" ca="1" si="151"/>
        <v>1</v>
      </c>
      <c r="C1927" s="26">
        <f t="shared" ca="1" si="150"/>
        <v>0.35946244956591722</v>
      </c>
      <c r="J1927">
        <f t="shared" ca="1" si="152"/>
        <v>1</v>
      </c>
      <c r="K1927">
        <f t="shared" ca="1" si="153"/>
        <v>0</v>
      </c>
      <c r="L1927" s="65">
        <v>1921</v>
      </c>
      <c r="M1927" s="71">
        <f t="shared" ref="M1927:M1990" ca="1" si="154">IF(B1927&gt;0,-LN(1-(RAND()))/lambda,0)</f>
        <v>3.7263284781707262</v>
      </c>
      <c r="N1927" s="65"/>
    </row>
    <row r="1928" spans="1:14" x14ac:dyDescent="0.25">
      <c r="A1928" s="2">
        <v>1922</v>
      </c>
      <c r="B1928" s="11">
        <f t="shared" ca="1" si="151"/>
        <v>1</v>
      </c>
      <c r="C1928" s="26">
        <f t="shared" ref="C1928:C1991" ca="1" si="155">RAND()</f>
        <v>0.62138167608759809</v>
      </c>
      <c r="J1928">
        <f t="shared" ca="1" si="152"/>
        <v>1</v>
      </c>
      <c r="K1928">
        <f t="shared" ca="1" si="153"/>
        <v>0</v>
      </c>
      <c r="L1928" s="65">
        <v>1922</v>
      </c>
      <c r="M1928" s="71">
        <f t="shared" ca="1" si="154"/>
        <v>5.0559571774729859</v>
      </c>
      <c r="N1928" s="65"/>
    </row>
    <row r="1929" spans="1:14" x14ac:dyDescent="0.25">
      <c r="A1929" s="2">
        <v>1923</v>
      </c>
      <c r="B1929" s="11">
        <f t="shared" ca="1" si="151"/>
        <v>1</v>
      </c>
      <c r="C1929" s="26">
        <f t="shared" ca="1" si="155"/>
        <v>0.74331998520756037</v>
      </c>
      <c r="J1929">
        <f t="shared" ca="1" si="152"/>
        <v>1</v>
      </c>
      <c r="K1929">
        <f t="shared" ca="1" si="153"/>
        <v>0</v>
      </c>
      <c r="L1929" s="65">
        <v>1923</v>
      </c>
      <c r="M1929" s="71">
        <f t="shared" ca="1" si="154"/>
        <v>2.8228469273058896</v>
      </c>
      <c r="N1929" s="65"/>
    </row>
    <row r="1930" spans="1:14" x14ac:dyDescent="0.25">
      <c r="A1930" s="2">
        <v>1924</v>
      </c>
      <c r="B1930" s="11">
        <f t="shared" ca="1" si="151"/>
        <v>1</v>
      </c>
      <c r="C1930" s="26">
        <f t="shared" ca="1" si="155"/>
        <v>3.1342366496226681E-2</v>
      </c>
      <c r="J1930">
        <f t="shared" ca="1" si="152"/>
        <v>1</v>
      </c>
      <c r="K1930">
        <f t="shared" ca="1" si="153"/>
        <v>0</v>
      </c>
      <c r="L1930" s="65">
        <v>1924</v>
      </c>
      <c r="M1930" s="71">
        <f t="shared" ca="1" si="154"/>
        <v>3.5241966603123984</v>
      </c>
      <c r="N1930" s="65"/>
    </row>
    <row r="1931" spans="1:14" x14ac:dyDescent="0.25">
      <c r="A1931" s="2">
        <v>1925</v>
      </c>
      <c r="B1931" s="11">
        <f t="shared" ca="1" si="151"/>
        <v>1</v>
      </c>
      <c r="C1931" s="26">
        <f t="shared" ca="1" si="155"/>
        <v>0.55376401493725813</v>
      </c>
      <c r="J1931">
        <f t="shared" ca="1" si="152"/>
        <v>0</v>
      </c>
      <c r="K1931">
        <f t="shared" ca="1" si="153"/>
        <v>0</v>
      </c>
      <c r="L1931" s="65">
        <v>1925</v>
      </c>
      <c r="M1931" s="71">
        <f t="shared" ca="1" si="154"/>
        <v>2.3437586566983288</v>
      </c>
      <c r="N1931" s="65"/>
    </row>
    <row r="1932" spans="1:14" x14ac:dyDescent="0.25">
      <c r="A1932" s="2">
        <v>1926</v>
      </c>
      <c r="B1932" s="11">
        <f t="shared" ca="1" si="151"/>
        <v>0</v>
      </c>
      <c r="C1932" s="26">
        <f t="shared" ca="1" si="155"/>
        <v>0.84244467866094708</v>
      </c>
      <c r="J1932">
        <f t="shared" ca="1" si="152"/>
        <v>0</v>
      </c>
      <c r="K1932">
        <f t="shared" ca="1" si="153"/>
        <v>0</v>
      </c>
      <c r="L1932" s="65">
        <v>1926</v>
      </c>
      <c r="M1932" s="71">
        <f t="shared" ca="1" si="154"/>
        <v>0</v>
      </c>
      <c r="N1932" s="65"/>
    </row>
    <row r="1933" spans="1:14" x14ac:dyDescent="0.25">
      <c r="A1933" s="2">
        <v>1927</v>
      </c>
      <c r="B1933" s="11">
        <f t="shared" ca="1" si="151"/>
        <v>1</v>
      </c>
      <c r="C1933" s="26">
        <f t="shared" ca="1" si="155"/>
        <v>0.12564734009296508</v>
      </c>
      <c r="J1933">
        <f t="shared" ca="1" si="152"/>
        <v>1</v>
      </c>
      <c r="K1933">
        <f t="shared" ca="1" si="153"/>
        <v>0</v>
      </c>
      <c r="L1933" s="65">
        <v>1927</v>
      </c>
      <c r="M1933" s="71">
        <f t="shared" ca="1" si="154"/>
        <v>2.3871034818572716</v>
      </c>
      <c r="N1933" s="65"/>
    </row>
    <row r="1934" spans="1:14" x14ac:dyDescent="0.25">
      <c r="A1934" s="2">
        <v>1928</v>
      </c>
      <c r="B1934" s="11">
        <f t="shared" ca="1" si="151"/>
        <v>1</v>
      </c>
      <c r="C1934" s="26">
        <f t="shared" ca="1" si="155"/>
        <v>0.1469147288803736</v>
      </c>
      <c r="J1934">
        <f t="shared" ca="1" si="152"/>
        <v>1</v>
      </c>
      <c r="K1934">
        <f t="shared" ca="1" si="153"/>
        <v>0</v>
      </c>
      <c r="L1934" s="65">
        <v>1928</v>
      </c>
      <c r="M1934" s="71">
        <f t="shared" ca="1" si="154"/>
        <v>0.36276496974387745</v>
      </c>
      <c r="N1934" s="65"/>
    </row>
    <row r="1935" spans="1:14" x14ac:dyDescent="0.25">
      <c r="A1935" s="2">
        <v>1929</v>
      </c>
      <c r="B1935" s="11">
        <f t="shared" ca="1" si="151"/>
        <v>1</v>
      </c>
      <c r="C1935" s="26">
        <f t="shared" ca="1" si="155"/>
        <v>0.55872565610686376</v>
      </c>
      <c r="J1935">
        <f t="shared" ca="1" si="152"/>
        <v>1</v>
      </c>
      <c r="K1935">
        <f t="shared" ca="1" si="153"/>
        <v>0</v>
      </c>
      <c r="L1935" s="65">
        <v>1929</v>
      </c>
      <c r="M1935" s="71">
        <f t="shared" ca="1" si="154"/>
        <v>8.6237861342515902</v>
      </c>
      <c r="N1935" s="65"/>
    </row>
    <row r="1936" spans="1:14" x14ac:dyDescent="0.25">
      <c r="A1936" s="2">
        <v>1930</v>
      </c>
      <c r="B1936" s="11">
        <f t="shared" ca="1" si="151"/>
        <v>1</v>
      </c>
      <c r="C1936" s="26">
        <f t="shared" ca="1" si="155"/>
        <v>4.484390938414462E-2</v>
      </c>
      <c r="J1936">
        <f t="shared" ca="1" si="152"/>
        <v>1</v>
      </c>
      <c r="K1936">
        <f t="shared" ca="1" si="153"/>
        <v>0</v>
      </c>
      <c r="L1936" s="65">
        <v>1930</v>
      </c>
      <c r="M1936" s="71">
        <f t="shared" ca="1" si="154"/>
        <v>3.7130458435794758</v>
      </c>
      <c r="N1936" s="65"/>
    </row>
    <row r="1937" spans="1:14" x14ac:dyDescent="0.25">
      <c r="A1937" s="2">
        <v>1931</v>
      </c>
      <c r="B1937" s="11">
        <f t="shared" ca="1" si="151"/>
        <v>1</v>
      </c>
      <c r="C1937" s="26">
        <f t="shared" ca="1" si="155"/>
        <v>0.59682470443323621</v>
      </c>
      <c r="J1937">
        <f t="shared" ca="1" si="152"/>
        <v>1</v>
      </c>
      <c r="K1937">
        <f t="shared" ca="1" si="153"/>
        <v>0</v>
      </c>
      <c r="L1937" s="65">
        <v>1931</v>
      </c>
      <c r="M1937" s="71">
        <f t="shared" ca="1" si="154"/>
        <v>6.3018815031366957</v>
      </c>
      <c r="N1937" s="65"/>
    </row>
    <row r="1938" spans="1:14" x14ac:dyDescent="0.25">
      <c r="A1938" s="2">
        <v>1932</v>
      </c>
      <c r="B1938" s="11">
        <f t="shared" ca="1" si="151"/>
        <v>1</v>
      </c>
      <c r="C1938" s="26">
        <f t="shared" ca="1" si="155"/>
        <v>0.11564981455683687</v>
      </c>
      <c r="J1938">
        <f t="shared" ca="1" si="152"/>
        <v>1</v>
      </c>
      <c r="K1938">
        <f t="shared" ca="1" si="153"/>
        <v>0</v>
      </c>
      <c r="L1938" s="65">
        <v>1932</v>
      </c>
      <c r="M1938" s="71">
        <f t="shared" ca="1" si="154"/>
        <v>1.8636654028311701</v>
      </c>
      <c r="N1938" s="65"/>
    </row>
    <row r="1939" spans="1:14" x14ac:dyDescent="0.25">
      <c r="A1939" s="2">
        <v>1933</v>
      </c>
      <c r="B1939" s="11">
        <f t="shared" ca="1" si="151"/>
        <v>1</v>
      </c>
      <c r="C1939" s="26">
        <f t="shared" ca="1" si="155"/>
        <v>0.73541289730875181</v>
      </c>
      <c r="J1939">
        <f t="shared" ca="1" si="152"/>
        <v>1</v>
      </c>
      <c r="K1939">
        <f t="shared" ca="1" si="153"/>
        <v>0</v>
      </c>
      <c r="L1939" s="65">
        <v>1933</v>
      </c>
      <c r="M1939" s="71">
        <f t="shared" ca="1" si="154"/>
        <v>3.8016160020402103</v>
      </c>
      <c r="N1939" s="65"/>
    </row>
    <row r="1940" spans="1:14" x14ac:dyDescent="0.25">
      <c r="A1940" s="2">
        <v>1934</v>
      </c>
      <c r="B1940" s="11">
        <f t="shared" ca="1" si="151"/>
        <v>1</v>
      </c>
      <c r="C1940" s="26">
        <f t="shared" ca="1" si="155"/>
        <v>0.24838016145885022</v>
      </c>
      <c r="J1940">
        <f t="shared" ca="1" si="152"/>
        <v>1</v>
      </c>
      <c r="K1940">
        <f t="shared" ca="1" si="153"/>
        <v>0</v>
      </c>
      <c r="L1940" s="65">
        <v>1934</v>
      </c>
      <c r="M1940" s="71">
        <f t="shared" ca="1" si="154"/>
        <v>1.7535026333056614</v>
      </c>
      <c r="N1940" s="65"/>
    </row>
    <row r="1941" spans="1:14" x14ac:dyDescent="0.25">
      <c r="A1941" s="2">
        <v>1935</v>
      </c>
      <c r="B1941" s="11">
        <f t="shared" ca="1" si="151"/>
        <v>1</v>
      </c>
      <c r="C1941" s="26">
        <f t="shared" ca="1" si="155"/>
        <v>0.60136232713989857</v>
      </c>
      <c r="J1941">
        <f t="shared" ca="1" si="152"/>
        <v>1</v>
      </c>
      <c r="K1941">
        <f t="shared" ca="1" si="153"/>
        <v>0</v>
      </c>
      <c r="L1941" s="65">
        <v>1935</v>
      </c>
      <c r="M1941" s="71">
        <f t="shared" ca="1" si="154"/>
        <v>1.1176200826825882</v>
      </c>
      <c r="N1941" s="65"/>
    </row>
    <row r="1942" spans="1:14" x14ac:dyDescent="0.25">
      <c r="A1942" s="2">
        <v>1936</v>
      </c>
      <c r="B1942" s="11">
        <f t="shared" ca="1" si="151"/>
        <v>1</v>
      </c>
      <c r="C1942" s="26">
        <f t="shared" ca="1" si="155"/>
        <v>0.72451677428027816</v>
      </c>
      <c r="J1942">
        <f t="shared" ca="1" si="152"/>
        <v>1</v>
      </c>
      <c r="K1942">
        <f t="shared" ca="1" si="153"/>
        <v>0</v>
      </c>
      <c r="L1942" s="65">
        <v>1936</v>
      </c>
      <c r="M1942" s="71">
        <f t="shared" ca="1" si="154"/>
        <v>0.59190555210557971</v>
      </c>
      <c r="N1942" s="65"/>
    </row>
    <row r="1943" spans="1:14" x14ac:dyDescent="0.25">
      <c r="A1943" s="2">
        <v>1937</v>
      </c>
      <c r="B1943" s="11">
        <f t="shared" ca="1" si="151"/>
        <v>1</v>
      </c>
      <c r="C1943" s="26">
        <f t="shared" ca="1" si="155"/>
        <v>0.16633382993255719</v>
      </c>
      <c r="J1943">
        <f t="shared" ca="1" si="152"/>
        <v>1</v>
      </c>
      <c r="K1943">
        <f t="shared" ca="1" si="153"/>
        <v>0</v>
      </c>
      <c r="L1943" s="65">
        <v>1937</v>
      </c>
      <c r="M1943" s="71">
        <f t="shared" ca="1" si="154"/>
        <v>2.9860924528997237</v>
      </c>
      <c r="N1943" s="65"/>
    </row>
    <row r="1944" spans="1:14" x14ac:dyDescent="0.25">
      <c r="A1944" s="2">
        <v>1938</v>
      </c>
      <c r="B1944" s="11">
        <f t="shared" ca="1" si="151"/>
        <v>1</v>
      </c>
      <c r="C1944" s="26">
        <f t="shared" ca="1" si="155"/>
        <v>0.1667702314677425</v>
      </c>
      <c r="J1944">
        <f t="shared" ca="1" si="152"/>
        <v>0</v>
      </c>
      <c r="K1944">
        <f t="shared" ca="1" si="153"/>
        <v>0</v>
      </c>
      <c r="L1944" s="65">
        <v>1938</v>
      </c>
      <c r="M1944" s="71">
        <f t="shared" ca="1" si="154"/>
        <v>0.81331707633613004</v>
      </c>
      <c r="N1944" s="65"/>
    </row>
    <row r="1945" spans="1:14" x14ac:dyDescent="0.25">
      <c r="A1945" s="2">
        <v>1939</v>
      </c>
      <c r="B1945" s="11">
        <f t="shared" ca="1" si="151"/>
        <v>0</v>
      </c>
      <c r="C1945" s="26">
        <f t="shared" ca="1" si="155"/>
        <v>0.81411394482190502</v>
      </c>
      <c r="J1945">
        <f t="shared" ca="1" si="152"/>
        <v>0</v>
      </c>
      <c r="K1945">
        <f t="shared" ca="1" si="153"/>
        <v>0</v>
      </c>
      <c r="L1945" s="65">
        <v>1939</v>
      </c>
      <c r="M1945" s="71">
        <f t="shared" ca="1" si="154"/>
        <v>0</v>
      </c>
      <c r="N1945" s="65"/>
    </row>
    <row r="1946" spans="1:14" x14ac:dyDescent="0.25">
      <c r="A1946" s="2">
        <v>1940</v>
      </c>
      <c r="B1946" s="11">
        <f t="shared" ca="1" si="151"/>
        <v>1</v>
      </c>
      <c r="C1946" s="26">
        <f t="shared" ca="1" si="155"/>
        <v>0.37010181888343996</v>
      </c>
      <c r="J1946">
        <f t="shared" ca="1" si="152"/>
        <v>1</v>
      </c>
      <c r="K1946">
        <f t="shared" ca="1" si="153"/>
        <v>0</v>
      </c>
      <c r="L1946" s="65">
        <v>1940</v>
      </c>
      <c r="M1946" s="71">
        <f t="shared" ca="1" si="154"/>
        <v>2.1720873052663503</v>
      </c>
      <c r="N1946" s="65"/>
    </row>
    <row r="1947" spans="1:14" x14ac:dyDescent="0.25">
      <c r="A1947" s="2">
        <v>1941</v>
      </c>
      <c r="B1947" s="11">
        <f t="shared" ca="1" si="151"/>
        <v>1</v>
      </c>
      <c r="C1947" s="26">
        <f t="shared" ca="1" si="155"/>
        <v>0.20710701954097843</v>
      </c>
      <c r="J1947">
        <f t="shared" ca="1" si="152"/>
        <v>1</v>
      </c>
      <c r="K1947">
        <f t="shared" ca="1" si="153"/>
        <v>0</v>
      </c>
      <c r="L1947" s="65">
        <v>1941</v>
      </c>
      <c r="M1947" s="71">
        <f t="shared" ca="1" si="154"/>
        <v>1.1157556866993852</v>
      </c>
      <c r="N1947" s="65"/>
    </row>
    <row r="1948" spans="1:14" x14ac:dyDescent="0.25">
      <c r="A1948" s="2">
        <v>1942</v>
      </c>
      <c r="B1948" s="11">
        <f t="shared" ca="1" si="151"/>
        <v>1</v>
      </c>
      <c r="C1948" s="26">
        <f t="shared" ca="1" si="155"/>
        <v>9.2556460360566195E-2</v>
      </c>
      <c r="J1948">
        <f t="shared" ca="1" si="152"/>
        <v>1</v>
      </c>
      <c r="K1948">
        <f t="shared" ca="1" si="153"/>
        <v>0</v>
      </c>
      <c r="L1948" s="65">
        <v>1942</v>
      </c>
      <c r="M1948" s="71">
        <f t="shared" ca="1" si="154"/>
        <v>5.3788037867233163</v>
      </c>
      <c r="N1948" s="65"/>
    </row>
    <row r="1949" spans="1:14" x14ac:dyDescent="0.25">
      <c r="A1949" s="2">
        <v>1943</v>
      </c>
      <c r="B1949" s="11">
        <f t="shared" ca="1" si="151"/>
        <v>1</v>
      </c>
      <c r="C1949" s="26">
        <f t="shared" ca="1" si="155"/>
        <v>0.5425596955869193</v>
      </c>
      <c r="J1949">
        <f t="shared" ca="1" si="152"/>
        <v>0</v>
      </c>
      <c r="K1949">
        <f t="shared" ca="1" si="153"/>
        <v>0</v>
      </c>
      <c r="L1949" s="65">
        <v>1943</v>
      </c>
      <c r="M1949" s="71">
        <f t="shared" ca="1" si="154"/>
        <v>3.3089191414723649</v>
      </c>
      <c r="N1949" s="65"/>
    </row>
    <row r="1950" spans="1:14" x14ac:dyDescent="0.25">
      <c r="A1950" s="2">
        <v>1944</v>
      </c>
      <c r="B1950" s="11">
        <f t="shared" ca="1" si="151"/>
        <v>0</v>
      </c>
      <c r="C1950" s="26">
        <f t="shared" ca="1" si="155"/>
        <v>0.92528047861713902</v>
      </c>
      <c r="J1950">
        <f t="shared" ca="1" si="152"/>
        <v>0</v>
      </c>
      <c r="K1950">
        <f t="shared" ca="1" si="153"/>
        <v>0</v>
      </c>
      <c r="L1950" s="65">
        <v>1944</v>
      </c>
      <c r="M1950" s="71">
        <f t="shared" ca="1" si="154"/>
        <v>0</v>
      </c>
      <c r="N1950" s="65"/>
    </row>
    <row r="1951" spans="1:14" x14ac:dyDescent="0.25">
      <c r="A1951" s="2">
        <v>1945</v>
      </c>
      <c r="B1951" s="11">
        <f t="shared" ca="1" si="151"/>
        <v>1</v>
      </c>
      <c r="C1951" s="26">
        <f t="shared" ca="1" si="155"/>
        <v>0.4192670128099748</v>
      </c>
      <c r="J1951">
        <f t="shared" ca="1" si="152"/>
        <v>1</v>
      </c>
      <c r="K1951">
        <f t="shared" ca="1" si="153"/>
        <v>0</v>
      </c>
      <c r="L1951" s="65">
        <v>1945</v>
      </c>
      <c r="M1951" s="71">
        <f t="shared" ca="1" si="154"/>
        <v>3.6592190126808064</v>
      </c>
      <c r="N1951" s="65"/>
    </row>
    <row r="1952" spans="1:14" x14ac:dyDescent="0.25">
      <c r="A1952" s="2">
        <v>1946</v>
      </c>
      <c r="B1952" s="11">
        <f t="shared" ca="1" si="151"/>
        <v>1</v>
      </c>
      <c r="C1952" s="26">
        <f t="shared" ca="1" si="155"/>
        <v>0.26332318961763734</v>
      </c>
      <c r="J1952">
        <f t="shared" ca="1" si="152"/>
        <v>1</v>
      </c>
      <c r="K1952">
        <f t="shared" ca="1" si="153"/>
        <v>0</v>
      </c>
      <c r="L1952" s="65">
        <v>1946</v>
      </c>
      <c r="M1952" s="71">
        <f t="shared" ca="1" si="154"/>
        <v>2.8519932044700287</v>
      </c>
      <c r="N1952" s="65"/>
    </row>
    <row r="1953" spans="1:14" x14ac:dyDescent="0.25">
      <c r="A1953" s="2">
        <v>1947</v>
      </c>
      <c r="B1953" s="11">
        <f t="shared" ca="1" si="151"/>
        <v>1</v>
      </c>
      <c r="C1953" s="26">
        <f t="shared" ca="1" si="155"/>
        <v>5.9255800513466572E-2</v>
      </c>
      <c r="J1953">
        <f t="shared" ca="1" si="152"/>
        <v>1</v>
      </c>
      <c r="K1953">
        <f t="shared" ca="1" si="153"/>
        <v>0</v>
      </c>
      <c r="L1953" s="65">
        <v>1947</v>
      </c>
      <c r="M1953" s="71">
        <f t="shared" ca="1" si="154"/>
        <v>7.5340123958571897E-2</v>
      </c>
      <c r="N1953" s="65"/>
    </row>
    <row r="1954" spans="1:14" x14ac:dyDescent="0.25">
      <c r="A1954" s="2">
        <v>1948</v>
      </c>
      <c r="B1954" s="11">
        <f t="shared" ca="1" si="151"/>
        <v>1</v>
      </c>
      <c r="C1954" s="26">
        <f t="shared" ca="1" si="155"/>
        <v>0.47801054341001403</v>
      </c>
      <c r="J1954">
        <f t="shared" ca="1" si="152"/>
        <v>1</v>
      </c>
      <c r="K1954">
        <f t="shared" ca="1" si="153"/>
        <v>0</v>
      </c>
      <c r="L1954" s="65">
        <v>1948</v>
      </c>
      <c r="M1954" s="71">
        <f t="shared" ca="1" si="154"/>
        <v>2.6861052186816403</v>
      </c>
      <c r="N1954" s="65"/>
    </row>
    <row r="1955" spans="1:14" x14ac:dyDescent="0.25">
      <c r="A1955" s="2">
        <v>1949</v>
      </c>
      <c r="B1955" s="11">
        <f t="shared" ca="1" si="151"/>
        <v>1</v>
      </c>
      <c r="C1955" s="26">
        <f t="shared" ca="1" si="155"/>
        <v>5.7387401343304667E-2</v>
      </c>
      <c r="J1955">
        <f t="shared" ca="1" si="152"/>
        <v>1</v>
      </c>
      <c r="K1955">
        <f t="shared" ca="1" si="153"/>
        <v>0</v>
      </c>
      <c r="L1955" s="65">
        <v>1949</v>
      </c>
      <c r="M1955" s="71">
        <f t="shared" ca="1" si="154"/>
        <v>6.0831624682373535</v>
      </c>
      <c r="N1955" s="65"/>
    </row>
    <row r="1956" spans="1:14" x14ac:dyDescent="0.25">
      <c r="A1956" s="2">
        <v>1950</v>
      </c>
      <c r="B1956" s="11">
        <f t="shared" ca="1" si="151"/>
        <v>1</v>
      </c>
      <c r="C1956" s="26">
        <f t="shared" ca="1" si="155"/>
        <v>0.42900974696457472</v>
      </c>
      <c r="J1956">
        <f t="shared" ca="1" si="152"/>
        <v>1</v>
      </c>
      <c r="K1956">
        <f t="shared" ca="1" si="153"/>
        <v>0</v>
      </c>
      <c r="L1956" s="65">
        <v>1950</v>
      </c>
      <c r="M1956" s="71">
        <f t="shared" ca="1" si="154"/>
        <v>0.65562294036518953</v>
      </c>
      <c r="N1956" s="65"/>
    </row>
    <row r="1957" spans="1:14" x14ac:dyDescent="0.25">
      <c r="A1957" s="2">
        <v>1951</v>
      </c>
      <c r="B1957" s="11">
        <f t="shared" ca="1" si="151"/>
        <v>1</v>
      </c>
      <c r="C1957" s="26">
        <f t="shared" ca="1" si="155"/>
        <v>0.73422114239136937</v>
      </c>
      <c r="J1957">
        <f t="shared" ca="1" si="152"/>
        <v>1</v>
      </c>
      <c r="K1957">
        <f t="shared" ca="1" si="153"/>
        <v>0</v>
      </c>
      <c r="L1957" s="65">
        <v>1951</v>
      </c>
      <c r="M1957" s="71">
        <f t="shared" ca="1" si="154"/>
        <v>4.2892759160672904</v>
      </c>
      <c r="N1957" s="65"/>
    </row>
    <row r="1958" spans="1:14" x14ac:dyDescent="0.25">
      <c r="A1958" s="2">
        <v>1952</v>
      </c>
      <c r="B1958" s="11">
        <f t="shared" ca="1" si="151"/>
        <v>1</v>
      </c>
      <c r="C1958" s="26">
        <f t="shared" ca="1" si="155"/>
        <v>0.77104822260492201</v>
      </c>
      <c r="J1958">
        <f t="shared" ca="1" si="152"/>
        <v>1</v>
      </c>
      <c r="K1958">
        <f t="shared" ca="1" si="153"/>
        <v>0</v>
      </c>
      <c r="L1958" s="65">
        <v>1952</v>
      </c>
      <c r="M1958" s="71">
        <f t="shared" ca="1" si="154"/>
        <v>0.485946111463744</v>
      </c>
      <c r="N1958" s="65"/>
    </row>
    <row r="1959" spans="1:14" x14ac:dyDescent="0.25">
      <c r="A1959" s="2">
        <v>1953</v>
      </c>
      <c r="B1959" s="11">
        <f t="shared" ca="1" si="151"/>
        <v>1</v>
      </c>
      <c r="C1959" s="26">
        <f t="shared" ca="1" si="155"/>
        <v>0.54229596333241181</v>
      </c>
      <c r="J1959">
        <f t="shared" ca="1" si="152"/>
        <v>1</v>
      </c>
      <c r="K1959">
        <f t="shared" ca="1" si="153"/>
        <v>0</v>
      </c>
      <c r="L1959" s="65">
        <v>1953</v>
      </c>
      <c r="M1959" s="71">
        <f t="shared" ca="1" si="154"/>
        <v>1.9648313580239454</v>
      </c>
      <c r="N1959" s="65"/>
    </row>
    <row r="1960" spans="1:14" x14ac:dyDescent="0.25">
      <c r="A1960" s="2">
        <v>1954</v>
      </c>
      <c r="B1960" s="11">
        <f t="shared" ca="1" si="151"/>
        <v>1</v>
      </c>
      <c r="C1960" s="26">
        <f t="shared" ca="1" si="155"/>
        <v>0.53435797463545642</v>
      </c>
      <c r="J1960">
        <f t="shared" ca="1" si="152"/>
        <v>1</v>
      </c>
      <c r="K1960">
        <f t="shared" ca="1" si="153"/>
        <v>0</v>
      </c>
      <c r="L1960" s="65">
        <v>1954</v>
      </c>
      <c r="M1960" s="71">
        <f t="shared" ca="1" si="154"/>
        <v>2.3825016525966318</v>
      </c>
      <c r="N1960" s="65"/>
    </row>
    <row r="1961" spans="1:14" x14ac:dyDescent="0.25">
      <c r="A1961" s="2">
        <v>1955</v>
      </c>
      <c r="B1961" s="11">
        <f t="shared" ca="1" si="151"/>
        <v>1</v>
      </c>
      <c r="C1961" s="26">
        <f t="shared" ca="1" si="155"/>
        <v>0.10056724195616373</v>
      </c>
      <c r="J1961">
        <f t="shared" ca="1" si="152"/>
        <v>1</v>
      </c>
      <c r="K1961">
        <f t="shared" ca="1" si="153"/>
        <v>0</v>
      </c>
      <c r="L1961" s="65">
        <v>1955</v>
      </c>
      <c r="M1961" s="71">
        <f t="shared" ca="1" si="154"/>
        <v>0.55748982261704561</v>
      </c>
      <c r="N1961" s="65"/>
    </row>
    <row r="1962" spans="1:14" x14ac:dyDescent="0.25">
      <c r="A1962" s="2">
        <v>1956</v>
      </c>
      <c r="B1962" s="11">
        <f t="shared" ca="1" si="151"/>
        <v>1</v>
      </c>
      <c r="C1962" s="26">
        <f t="shared" ca="1" si="155"/>
        <v>0.67129834388698051</v>
      </c>
      <c r="J1962">
        <f t="shared" ca="1" si="152"/>
        <v>1</v>
      </c>
      <c r="K1962">
        <f t="shared" ca="1" si="153"/>
        <v>0</v>
      </c>
      <c r="L1962" s="65">
        <v>1956</v>
      </c>
      <c r="M1962" s="71">
        <f t="shared" ca="1" si="154"/>
        <v>2.7488126589921285</v>
      </c>
      <c r="N1962" s="65"/>
    </row>
    <row r="1963" spans="1:14" x14ac:dyDescent="0.25">
      <c r="A1963" s="2">
        <v>1957</v>
      </c>
      <c r="B1963" s="11">
        <f t="shared" ca="1" si="151"/>
        <v>1</v>
      </c>
      <c r="C1963" s="26">
        <f t="shared" ca="1" si="155"/>
        <v>0.44924791039276502</v>
      </c>
      <c r="J1963">
        <f t="shared" ca="1" si="152"/>
        <v>1</v>
      </c>
      <c r="K1963">
        <f t="shared" ca="1" si="153"/>
        <v>0</v>
      </c>
      <c r="L1963" s="65">
        <v>1957</v>
      </c>
      <c r="M1963" s="71">
        <f t="shared" ca="1" si="154"/>
        <v>0.69540990702984007</v>
      </c>
      <c r="N1963" s="65"/>
    </row>
    <row r="1964" spans="1:14" x14ac:dyDescent="0.25">
      <c r="A1964" s="2">
        <v>1958</v>
      </c>
      <c r="B1964" s="11">
        <f t="shared" ca="1" si="151"/>
        <v>1</v>
      </c>
      <c r="C1964" s="26">
        <f t="shared" ca="1" si="155"/>
        <v>0.42261500518309592</v>
      </c>
      <c r="J1964">
        <f t="shared" ca="1" si="152"/>
        <v>1</v>
      </c>
      <c r="K1964">
        <f t="shared" ca="1" si="153"/>
        <v>0</v>
      </c>
      <c r="L1964" s="65">
        <v>1958</v>
      </c>
      <c r="M1964" s="71">
        <f t="shared" ca="1" si="154"/>
        <v>0.13603216568753598</v>
      </c>
      <c r="N1964" s="65"/>
    </row>
    <row r="1965" spans="1:14" x14ac:dyDescent="0.25">
      <c r="A1965" s="2">
        <v>1959</v>
      </c>
      <c r="B1965" s="11">
        <f t="shared" ca="1" si="151"/>
        <v>1</v>
      </c>
      <c r="C1965" s="26">
        <f t="shared" ca="1" si="155"/>
        <v>0.49360671382719001</v>
      </c>
      <c r="J1965">
        <f t="shared" ca="1" si="152"/>
        <v>1</v>
      </c>
      <c r="K1965">
        <f t="shared" ca="1" si="153"/>
        <v>0</v>
      </c>
      <c r="L1965" s="65">
        <v>1959</v>
      </c>
      <c r="M1965" s="71">
        <f t="shared" ca="1" si="154"/>
        <v>8.996641567770622</v>
      </c>
      <c r="N1965" s="65"/>
    </row>
    <row r="1966" spans="1:14" x14ac:dyDescent="0.25">
      <c r="A1966" s="2">
        <v>1960</v>
      </c>
      <c r="B1966" s="11">
        <f t="shared" ca="1" si="151"/>
        <v>1</v>
      </c>
      <c r="C1966" s="26">
        <f t="shared" ca="1" si="155"/>
        <v>0.40694820508075191</v>
      </c>
      <c r="J1966">
        <f t="shared" ca="1" si="152"/>
        <v>1</v>
      </c>
      <c r="K1966">
        <f t="shared" ca="1" si="153"/>
        <v>0</v>
      </c>
      <c r="L1966" s="65">
        <v>1960</v>
      </c>
      <c r="M1966" s="71">
        <f t="shared" ca="1" si="154"/>
        <v>3.1505363969918054</v>
      </c>
      <c r="N1966" s="65"/>
    </row>
    <row r="1967" spans="1:14" x14ac:dyDescent="0.25">
      <c r="A1967" s="2">
        <v>1961</v>
      </c>
      <c r="B1967" s="11">
        <f t="shared" ref="B1967:B2030" ca="1" si="156">IF(B1966&gt;0,IF(C1967&lt;pww,1,0),IF(C1967&lt;pdw,1,0))</f>
        <v>1</v>
      </c>
      <c r="C1967" s="26">
        <f t="shared" ca="1" si="155"/>
        <v>0.40648531691504786</v>
      </c>
      <c r="J1967">
        <f t="shared" ref="J1967:J2030" ca="1" si="157">IF(AND(B1967,B1968),1,0)</f>
        <v>0</v>
      </c>
      <c r="K1967">
        <f t="shared" ref="K1967:K2030" ca="1" si="158">IF(AND(NOT(B1967),NOT(B1968)),1,0)</f>
        <v>0</v>
      </c>
      <c r="L1967" s="65">
        <v>1961</v>
      </c>
      <c r="M1967" s="71">
        <f t="shared" ca="1" si="154"/>
        <v>0.18185644320001584</v>
      </c>
      <c r="N1967" s="65"/>
    </row>
    <row r="1968" spans="1:14" x14ac:dyDescent="0.25">
      <c r="A1968" s="2">
        <v>1962</v>
      </c>
      <c r="B1968" s="11">
        <f t="shared" ca="1" si="156"/>
        <v>0</v>
      </c>
      <c r="C1968" s="26">
        <f t="shared" ca="1" si="155"/>
        <v>0.85385115561502423</v>
      </c>
      <c r="J1968">
        <f t="shared" ca="1" si="157"/>
        <v>0</v>
      </c>
      <c r="K1968">
        <f t="shared" ca="1" si="158"/>
        <v>0</v>
      </c>
      <c r="L1968" s="65">
        <v>1962</v>
      </c>
      <c r="M1968" s="71">
        <f t="shared" ca="1" si="154"/>
        <v>0</v>
      </c>
      <c r="N1968" s="65"/>
    </row>
    <row r="1969" spans="1:14" x14ac:dyDescent="0.25">
      <c r="A1969" s="2">
        <v>1963</v>
      </c>
      <c r="B1969" s="11">
        <f t="shared" ca="1" si="156"/>
        <v>1</v>
      </c>
      <c r="C1969" s="26">
        <f t="shared" ca="1" si="155"/>
        <v>0.36720838846585957</v>
      </c>
      <c r="J1969">
        <f t="shared" ca="1" si="157"/>
        <v>1</v>
      </c>
      <c r="K1969">
        <f t="shared" ca="1" si="158"/>
        <v>0</v>
      </c>
      <c r="L1969" s="65">
        <v>1963</v>
      </c>
      <c r="M1969" s="71">
        <f t="shared" ca="1" si="154"/>
        <v>0.90968179170162156</v>
      </c>
      <c r="N1969" s="65"/>
    </row>
    <row r="1970" spans="1:14" x14ac:dyDescent="0.25">
      <c r="A1970" s="2">
        <v>1964</v>
      </c>
      <c r="B1970" s="11">
        <f t="shared" ca="1" si="156"/>
        <v>1</v>
      </c>
      <c r="C1970" s="26">
        <f t="shared" ca="1" si="155"/>
        <v>0.55534787566322752</v>
      </c>
      <c r="J1970">
        <f t="shared" ca="1" si="157"/>
        <v>1</v>
      </c>
      <c r="K1970">
        <f t="shared" ca="1" si="158"/>
        <v>0</v>
      </c>
      <c r="L1970" s="65">
        <v>1964</v>
      </c>
      <c r="M1970" s="71">
        <f t="shared" ca="1" si="154"/>
        <v>2.041399620971514</v>
      </c>
      <c r="N1970" s="65"/>
    </row>
    <row r="1971" spans="1:14" x14ac:dyDescent="0.25">
      <c r="A1971" s="2">
        <v>1965</v>
      </c>
      <c r="B1971" s="11">
        <f t="shared" ca="1" si="156"/>
        <v>1</v>
      </c>
      <c r="C1971" s="26">
        <f t="shared" ca="1" si="155"/>
        <v>0.24025251860116847</v>
      </c>
      <c r="J1971">
        <f t="shared" ca="1" si="157"/>
        <v>1</v>
      </c>
      <c r="K1971">
        <f t="shared" ca="1" si="158"/>
        <v>0</v>
      </c>
      <c r="L1971" s="65">
        <v>1965</v>
      </c>
      <c r="M1971" s="71">
        <f t="shared" ca="1" si="154"/>
        <v>1.7348120462573984</v>
      </c>
      <c r="N1971" s="65"/>
    </row>
    <row r="1972" spans="1:14" x14ac:dyDescent="0.25">
      <c r="A1972" s="2">
        <v>1966</v>
      </c>
      <c r="B1972" s="11">
        <f t="shared" ca="1" si="156"/>
        <v>1</v>
      </c>
      <c r="C1972" s="26">
        <f t="shared" ca="1" si="155"/>
        <v>0.7157573912684102</v>
      </c>
      <c r="J1972">
        <f t="shared" ca="1" si="157"/>
        <v>0</v>
      </c>
      <c r="K1972">
        <f t="shared" ca="1" si="158"/>
        <v>0</v>
      </c>
      <c r="L1972" s="65">
        <v>1966</v>
      </c>
      <c r="M1972" s="71">
        <f t="shared" ca="1" si="154"/>
        <v>9.4620916639573593</v>
      </c>
      <c r="N1972" s="65"/>
    </row>
    <row r="1973" spans="1:14" x14ac:dyDescent="0.25">
      <c r="A1973" s="2">
        <v>1967</v>
      </c>
      <c r="B1973" s="11">
        <f t="shared" ca="1" si="156"/>
        <v>0</v>
      </c>
      <c r="C1973" s="26">
        <f t="shared" ca="1" si="155"/>
        <v>0.8242265916548368</v>
      </c>
      <c r="J1973">
        <f t="shared" ca="1" si="157"/>
        <v>0</v>
      </c>
      <c r="K1973">
        <f t="shared" ca="1" si="158"/>
        <v>0</v>
      </c>
      <c r="L1973" s="65">
        <v>1967</v>
      </c>
      <c r="M1973" s="71">
        <f t="shared" ca="1" si="154"/>
        <v>0</v>
      </c>
      <c r="N1973" s="65"/>
    </row>
    <row r="1974" spans="1:14" x14ac:dyDescent="0.25">
      <c r="A1974" s="2">
        <v>1968</v>
      </c>
      <c r="B1974" s="11">
        <f t="shared" ca="1" si="156"/>
        <v>1</v>
      </c>
      <c r="C1974" s="26">
        <f t="shared" ca="1" si="155"/>
        <v>0.4508527275758214</v>
      </c>
      <c r="J1974">
        <f t="shared" ca="1" si="157"/>
        <v>1</v>
      </c>
      <c r="K1974">
        <f t="shared" ca="1" si="158"/>
        <v>0</v>
      </c>
      <c r="L1974" s="65">
        <v>1968</v>
      </c>
      <c r="M1974" s="71">
        <f t="shared" ca="1" si="154"/>
        <v>0.9029844105518896</v>
      </c>
      <c r="N1974" s="65"/>
    </row>
    <row r="1975" spans="1:14" x14ac:dyDescent="0.25">
      <c r="A1975" s="2">
        <v>1969</v>
      </c>
      <c r="B1975" s="11">
        <f t="shared" ca="1" si="156"/>
        <v>1</v>
      </c>
      <c r="C1975" s="26">
        <f t="shared" ca="1" si="155"/>
        <v>9.2052650049812001E-3</v>
      </c>
      <c r="J1975">
        <f t="shared" ca="1" si="157"/>
        <v>1</v>
      </c>
      <c r="K1975">
        <f t="shared" ca="1" si="158"/>
        <v>0</v>
      </c>
      <c r="L1975" s="65">
        <v>1969</v>
      </c>
      <c r="M1975" s="71">
        <f t="shared" ca="1" si="154"/>
        <v>1.9375497033554929</v>
      </c>
      <c r="N1975" s="65"/>
    </row>
    <row r="1976" spans="1:14" x14ac:dyDescent="0.25">
      <c r="A1976" s="2">
        <v>1970</v>
      </c>
      <c r="B1976" s="11">
        <f t="shared" ca="1" si="156"/>
        <v>1</v>
      </c>
      <c r="C1976" s="26">
        <f t="shared" ca="1" si="155"/>
        <v>0.45652518074603488</v>
      </c>
      <c r="J1976">
        <f t="shared" ca="1" si="157"/>
        <v>1</v>
      </c>
      <c r="K1976">
        <f t="shared" ca="1" si="158"/>
        <v>0</v>
      </c>
      <c r="L1976" s="65">
        <v>1970</v>
      </c>
      <c r="M1976" s="71">
        <f t="shared" ca="1" si="154"/>
        <v>2.9411969880729121</v>
      </c>
      <c r="N1976" s="65"/>
    </row>
    <row r="1977" spans="1:14" x14ac:dyDescent="0.25">
      <c r="A1977" s="2">
        <v>1971</v>
      </c>
      <c r="B1977" s="11">
        <f t="shared" ca="1" si="156"/>
        <v>1</v>
      </c>
      <c r="C1977" s="26">
        <f t="shared" ca="1" si="155"/>
        <v>0.4207894981330812</v>
      </c>
      <c r="J1977">
        <f t="shared" ca="1" si="157"/>
        <v>1</v>
      </c>
      <c r="K1977">
        <f t="shared" ca="1" si="158"/>
        <v>0</v>
      </c>
      <c r="L1977" s="65">
        <v>1971</v>
      </c>
      <c r="M1977" s="71">
        <f t="shared" ca="1" si="154"/>
        <v>1.1911497968696627</v>
      </c>
      <c r="N1977" s="65"/>
    </row>
    <row r="1978" spans="1:14" x14ac:dyDescent="0.25">
      <c r="A1978" s="2">
        <v>1972</v>
      </c>
      <c r="B1978" s="11">
        <f t="shared" ca="1" si="156"/>
        <v>1</v>
      </c>
      <c r="C1978" s="26">
        <f t="shared" ca="1" si="155"/>
        <v>0.4656445100084976</v>
      </c>
      <c r="J1978">
        <f t="shared" ca="1" si="157"/>
        <v>1</v>
      </c>
      <c r="K1978">
        <f t="shared" ca="1" si="158"/>
        <v>0</v>
      </c>
      <c r="L1978" s="65">
        <v>1972</v>
      </c>
      <c r="M1978" s="71">
        <f t="shared" ca="1" si="154"/>
        <v>6.658419686334959</v>
      </c>
      <c r="N1978" s="65"/>
    </row>
    <row r="1979" spans="1:14" x14ac:dyDescent="0.25">
      <c r="A1979" s="2">
        <v>1973</v>
      </c>
      <c r="B1979" s="11">
        <f t="shared" ca="1" si="156"/>
        <v>1</v>
      </c>
      <c r="C1979" s="26">
        <f t="shared" ca="1" si="155"/>
        <v>0.62197440005734106</v>
      </c>
      <c r="J1979">
        <f t="shared" ca="1" si="157"/>
        <v>1</v>
      </c>
      <c r="K1979">
        <f t="shared" ca="1" si="158"/>
        <v>0</v>
      </c>
      <c r="L1979" s="65">
        <v>1973</v>
      </c>
      <c r="M1979" s="71">
        <f t="shared" ca="1" si="154"/>
        <v>0.59610388781286094</v>
      </c>
      <c r="N1979" s="65"/>
    </row>
    <row r="1980" spans="1:14" x14ac:dyDescent="0.25">
      <c r="A1980" s="2">
        <v>1974</v>
      </c>
      <c r="B1980" s="11">
        <f t="shared" ca="1" si="156"/>
        <v>1</v>
      </c>
      <c r="C1980" s="26">
        <f t="shared" ca="1" si="155"/>
        <v>0.59234280528607119</v>
      </c>
      <c r="J1980">
        <f t="shared" ca="1" si="157"/>
        <v>1</v>
      </c>
      <c r="K1980">
        <f t="shared" ca="1" si="158"/>
        <v>0</v>
      </c>
      <c r="L1980" s="65">
        <v>1974</v>
      </c>
      <c r="M1980" s="71">
        <f t="shared" ca="1" si="154"/>
        <v>1.5252986043749657</v>
      </c>
      <c r="N1980" s="65"/>
    </row>
    <row r="1981" spans="1:14" x14ac:dyDescent="0.25">
      <c r="A1981" s="2">
        <v>1975</v>
      </c>
      <c r="B1981" s="11">
        <f t="shared" ca="1" si="156"/>
        <v>1</v>
      </c>
      <c r="C1981" s="26">
        <f t="shared" ca="1" si="155"/>
        <v>0.25122615270407211</v>
      </c>
      <c r="J1981">
        <f t="shared" ca="1" si="157"/>
        <v>1</v>
      </c>
      <c r="K1981">
        <f t="shared" ca="1" si="158"/>
        <v>0</v>
      </c>
      <c r="L1981" s="65">
        <v>1975</v>
      </c>
      <c r="M1981" s="71">
        <f t="shared" ca="1" si="154"/>
        <v>3.1105324754509915</v>
      </c>
      <c r="N1981" s="65"/>
    </row>
    <row r="1982" spans="1:14" x14ac:dyDescent="0.25">
      <c r="A1982" s="2">
        <v>1976</v>
      </c>
      <c r="B1982" s="11">
        <f t="shared" ca="1" si="156"/>
        <v>1</v>
      </c>
      <c r="C1982" s="26">
        <f t="shared" ca="1" si="155"/>
        <v>0.22709461192866631</v>
      </c>
      <c r="J1982">
        <f t="shared" ca="1" si="157"/>
        <v>1</v>
      </c>
      <c r="K1982">
        <f t="shared" ca="1" si="158"/>
        <v>0</v>
      </c>
      <c r="L1982" s="65">
        <v>1976</v>
      </c>
      <c r="M1982" s="71">
        <f t="shared" ca="1" si="154"/>
        <v>5.4872951027897443</v>
      </c>
      <c r="N1982" s="65"/>
    </row>
    <row r="1983" spans="1:14" x14ac:dyDescent="0.25">
      <c r="A1983" s="2">
        <v>1977</v>
      </c>
      <c r="B1983" s="11">
        <f t="shared" ca="1" si="156"/>
        <v>1</v>
      </c>
      <c r="C1983" s="26">
        <f t="shared" ca="1" si="155"/>
        <v>0.25977424550953188</v>
      </c>
      <c r="J1983">
        <f t="shared" ca="1" si="157"/>
        <v>1</v>
      </c>
      <c r="K1983">
        <f t="shared" ca="1" si="158"/>
        <v>0</v>
      </c>
      <c r="L1983" s="65">
        <v>1977</v>
      </c>
      <c r="M1983" s="71">
        <f t="shared" ca="1" si="154"/>
        <v>1.9407021872865762</v>
      </c>
      <c r="N1983" s="65"/>
    </row>
    <row r="1984" spans="1:14" x14ac:dyDescent="0.25">
      <c r="A1984" s="2">
        <v>1978</v>
      </c>
      <c r="B1984" s="11">
        <f t="shared" ca="1" si="156"/>
        <v>1</v>
      </c>
      <c r="C1984" s="26">
        <f t="shared" ca="1" si="155"/>
        <v>0.49446785806824711</v>
      </c>
      <c r="J1984">
        <f t="shared" ca="1" si="157"/>
        <v>1</v>
      </c>
      <c r="K1984">
        <f t="shared" ca="1" si="158"/>
        <v>0</v>
      </c>
      <c r="L1984" s="65">
        <v>1978</v>
      </c>
      <c r="M1984" s="71">
        <f t="shared" ca="1" si="154"/>
        <v>2.4620749491181226</v>
      </c>
      <c r="N1984" s="65"/>
    </row>
    <row r="1985" spans="1:14" x14ac:dyDescent="0.25">
      <c r="A1985" s="2">
        <v>1979</v>
      </c>
      <c r="B1985" s="11">
        <f t="shared" ca="1" si="156"/>
        <v>1</v>
      </c>
      <c r="C1985" s="26">
        <f t="shared" ca="1" si="155"/>
        <v>0.72417364280257412</v>
      </c>
      <c r="J1985">
        <f t="shared" ca="1" si="157"/>
        <v>1</v>
      </c>
      <c r="K1985">
        <f t="shared" ca="1" si="158"/>
        <v>0</v>
      </c>
      <c r="L1985" s="65">
        <v>1979</v>
      </c>
      <c r="M1985" s="71">
        <f t="shared" ca="1" si="154"/>
        <v>0.27061021183566303</v>
      </c>
      <c r="N1985" s="65"/>
    </row>
    <row r="1986" spans="1:14" x14ac:dyDescent="0.25">
      <c r="A1986" s="2">
        <v>1980</v>
      </c>
      <c r="B1986" s="11">
        <f t="shared" ca="1" si="156"/>
        <v>1</v>
      </c>
      <c r="C1986" s="26">
        <f t="shared" ca="1" si="155"/>
        <v>0.29845903638333382</v>
      </c>
      <c r="J1986">
        <f t="shared" ca="1" si="157"/>
        <v>1</v>
      </c>
      <c r="K1986">
        <f t="shared" ca="1" si="158"/>
        <v>0</v>
      </c>
      <c r="L1986" s="65">
        <v>1980</v>
      </c>
      <c r="M1986" s="71">
        <f t="shared" ca="1" si="154"/>
        <v>1.5853044445216922</v>
      </c>
      <c r="N1986" s="65"/>
    </row>
    <row r="1987" spans="1:14" x14ac:dyDescent="0.25">
      <c r="A1987" s="2">
        <v>1981</v>
      </c>
      <c r="B1987" s="11">
        <f t="shared" ca="1" si="156"/>
        <v>1</v>
      </c>
      <c r="C1987" s="26">
        <f t="shared" ca="1" si="155"/>
        <v>0.59551074621658595</v>
      </c>
      <c r="J1987">
        <f t="shared" ca="1" si="157"/>
        <v>1</v>
      </c>
      <c r="K1987">
        <f t="shared" ca="1" si="158"/>
        <v>0</v>
      </c>
      <c r="L1987" s="65">
        <v>1981</v>
      </c>
      <c r="M1987" s="71">
        <f t="shared" ca="1" si="154"/>
        <v>1.6559590960611694</v>
      </c>
      <c r="N1987" s="65"/>
    </row>
    <row r="1988" spans="1:14" x14ac:dyDescent="0.25">
      <c r="A1988" s="2">
        <v>1982</v>
      </c>
      <c r="B1988" s="11">
        <f t="shared" ca="1" si="156"/>
        <v>1</v>
      </c>
      <c r="C1988" s="26">
        <f t="shared" ca="1" si="155"/>
        <v>0.74300276638827045</v>
      </c>
      <c r="J1988">
        <f t="shared" ca="1" si="157"/>
        <v>1</v>
      </c>
      <c r="K1988">
        <f t="shared" ca="1" si="158"/>
        <v>0</v>
      </c>
      <c r="L1988" s="65">
        <v>1982</v>
      </c>
      <c r="M1988" s="71">
        <f t="shared" ca="1" si="154"/>
        <v>5.0316025744497876</v>
      </c>
      <c r="N1988" s="65"/>
    </row>
    <row r="1989" spans="1:14" x14ac:dyDescent="0.25">
      <c r="A1989" s="2">
        <v>1983</v>
      </c>
      <c r="B1989" s="11">
        <f t="shared" ca="1" si="156"/>
        <v>1</v>
      </c>
      <c r="C1989" s="26">
        <f t="shared" ca="1" si="155"/>
        <v>0.43744084450178145</v>
      </c>
      <c r="J1989">
        <f t="shared" ca="1" si="157"/>
        <v>0</v>
      </c>
      <c r="K1989">
        <f t="shared" ca="1" si="158"/>
        <v>0</v>
      </c>
      <c r="L1989" s="65">
        <v>1983</v>
      </c>
      <c r="M1989" s="71">
        <f t="shared" ca="1" si="154"/>
        <v>6.6691770986910157</v>
      </c>
      <c r="N1989" s="65"/>
    </row>
    <row r="1990" spans="1:14" x14ac:dyDescent="0.25">
      <c r="A1990" s="2">
        <v>1984</v>
      </c>
      <c r="B1990" s="11">
        <f t="shared" ca="1" si="156"/>
        <v>0</v>
      </c>
      <c r="C1990" s="26">
        <f t="shared" ca="1" si="155"/>
        <v>0.89563840554516094</v>
      </c>
      <c r="J1990">
        <f t="shared" ca="1" si="157"/>
        <v>0</v>
      </c>
      <c r="K1990">
        <f t="shared" ca="1" si="158"/>
        <v>1</v>
      </c>
      <c r="L1990" s="65">
        <v>1984</v>
      </c>
      <c r="M1990" s="71">
        <f t="shared" ca="1" si="154"/>
        <v>0</v>
      </c>
      <c r="N1990" s="65"/>
    </row>
    <row r="1991" spans="1:14" x14ac:dyDescent="0.25">
      <c r="A1991" s="2">
        <v>1985</v>
      </c>
      <c r="B1991" s="11">
        <f t="shared" ca="1" si="156"/>
        <v>0</v>
      </c>
      <c r="C1991" s="26">
        <f t="shared" ca="1" si="155"/>
        <v>0.94926706172459274</v>
      </c>
      <c r="J1991">
        <f t="shared" ca="1" si="157"/>
        <v>0</v>
      </c>
      <c r="K1991">
        <f t="shared" ca="1" si="158"/>
        <v>0</v>
      </c>
      <c r="L1991" s="65">
        <v>1985</v>
      </c>
      <c r="M1991" s="71">
        <f t="shared" ref="M1991:M2054" ca="1" si="159">IF(B1991&gt;0,-LN(1-(RAND()))/lambda,0)</f>
        <v>0</v>
      </c>
      <c r="N1991" s="65"/>
    </row>
    <row r="1992" spans="1:14" x14ac:dyDescent="0.25">
      <c r="A1992" s="2">
        <v>1986</v>
      </c>
      <c r="B1992" s="11">
        <f t="shared" ca="1" si="156"/>
        <v>1</v>
      </c>
      <c r="C1992" s="26">
        <f t="shared" ref="C1992:C2055" ca="1" si="160">RAND()</f>
        <v>0.35918072122907385</v>
      </c>
      <c r="J1992">
        <f t="shared" ca="1" si="157"/>
        <v>1</v>
      </c>
      <c r="K1992">
        <f t="shared" ca="1" si="158"/>
        <v>0</v>
      </c>
      <c r="L1992" s="65">
        <v>1986</v>
      </c>
      <c r="M1992" s="71">
        <f t="shared" ca="1" si="159"/>
        <v>4.9599176229655848</v>
      </c>
      <c r="N1992" s="65"/>
    </row>
    <row r="1993" spans="1:14" x14ac:dyDescent="0.25">
      <c r="A1993" s="2">
        <v>1987</v>
      </c>
      <c r="B1993" s="11">
        <f t="shared" ca="1" si="156"/>
        <v>1</v>
      </c>
      <c r="C1993" s="26">
        <f t="shared" ca="1" si="160"/>
        <v>0.17433491516044131</v>
      </c>
      <c r="J1993">
        <f t="shared" ca="1" si="157"/>
        <v>0</v>
      </c>
      <c r="K1993">
        <f t="shared" ca="1" si="158"/>
        <v>0</v>
      </c>
      <c r="L1993" s="65">
        <v>1987</v>
      </c>
      <c r="M1993" s="71">
        <f t="shared" ca="1" si="159"/>
        <v>2.2417011764542107</v>
      </c>
      <c r="N1993" s="65"/>
    </row>
    <row r="1994" spans="1:14" x14ac:dyDescent="0.25">
      <c r="A1994" s="2">
        <v>1988</v>
      </c>
      <c r="B1994" s="11">
        <f t="shared" ca="1" si="156"/>
        <v>0</v>
      </c>
      <c r="C1994" s="26">
        <f t="shared" ca="1" si="160"/>
        <v>0.87045204892746986</v>
      </c>
      <c r="J1994">
        <f t="shared" ca="1" si="157"/>
        <v>0</v>
      </c>
      <c r="K1994">
        <f t="shared" ca="1" si="158"/>
        <v>0</v>
      </c>
      <c r="L1994" s="65">
        <v>1988</v>
      </c>
      <c r="M1994" s="71">
        <f t="shared" ca="1" si="159"/>
        <v>0</v>
      </c>
      <c r="N1994" s="65"/>
    </row>
    <row r="1995" spans="1:14" x14ac:dyDescent="0.25">
      <c r="A1995" s="2">
        <v>1989</v>
      </c>
      <c r="B1995" s="11">
        <f t="shared" ca="1" si="156"/>
        <v>1</v>
      </c>
      <c r="C1995" s="26">
        <f t="shared" ca="1" si="160"/>
        <v>4.9728560527020349E-3</v>
      </c>
      <c r="J1995">
        <f t="shared" ca="1" si="157"/>
        <v>1</v>
      </c>
      <c r="K1995">
        <f t="shared" ca="1" si="158"/>
        <v>0</v>
      </c>
      <c r="L1995" s="65">
        <v>1989</v>
      </c>
      <c r="M1995" s="71">
        <f t="shared" ca="1" si="159"/>
        <v>12.474180167089212</v>
      </c>
      <c r="N1995" s="65"/>
    </row>
    <row r="1996" spans="1:14" x14ac:dyDescent="0.25">
      <c r="A1996" s="2">
        <v>1990</v>
      </c>
      <c r="B1996" s="11">
        <f t="shared" ca="1" si="156"/>
        <v>1</v>
      </c>
      <c r="C1996" s="26">
        <f t="shared" ca="1" si="160"/>
        <v>0.71155621399830993</v>
      </c>
      <c r="J1996">
        <f t="shared" ca="1" si="157"/>
        <v>1</v>
      </c>
      <c r="K1996">
        <f t="shared" ca="1" si="158"/>
        <v>0</v>
      </c>
      <c r="L1996" s="65">
        <v>1990</v>
      </c>
      <c r="M1996" s="71">
        <f t="shared" ca="1" si="159"/>
        <v>0.85191359050940318</v>
      </c>
      <c r="N1996" s="65"/>
    </row>
    <row r="1997" spans="1:14" x14ac:dyDescent="0.25">
      <c r="A1997" s="2">
        <v>1991</v>
      </c>
      <c r="B1997" s="11">
        <f t="shared" ca="1" si="156"/>
        <v>1</v>
      </c>
      <c r="C1997" s="26">
        <f t="shared" ca="1" si="160"/>
        <v>0.17895966271806429</v>
      </c>
      <c r="J1997">
        <f t="shared" ca="1" si="157"/>
        <v>1</v>
      </c>
      <c r="K1997">
        <f t="shared" ca="1" si="158"/>
        <v>0</v>
      </c>
      <c r="L1997" s="65">
        <v>1991</v>
      </c>
      <c r="M1997" s="71">
        <f t="shared" ca="1" si="159"/>
        <v>5.9660131611543168</v>
      </c>
      <c r="N1997" s="65"/>
    </row>
    <row r="1998" spans="1:14" x14ac:dyDescent="0.25">
      <c r="A1998" s="2">
        <v>1992</v>
      </c>
      <c r="B1998" s="11">
        <f t="shared" ca="1" si="156"/>
        <v>1</v>
      </c>
      <c r="C1998" s="26">
        <f t="shared" ca="1" si="160"/>
        <v>0.63242307631254291</v>
      </c>
      <c r="J1998">
        <f t="shared" ca="1" si="157"/>
        <v>1</v>
      </c>
      <c r="K1998">
        <f t="shared" ca="1" si="158"/>
        <v>0</v>
      </c>
      <c r="L1998" s="65">
        <v>1992</v>
      </c>
      <c r="M1998" s="71">
        <f t="shared" ca="1" si="159"/>
        <v>0.71313624311614865</v>
      </c>
      <c r="N1998" s="65"/>
    </row>
    <row r="1999" spans="1:14" x14ac:dyDescent="0.25">
      <c r="A1999" s="2">
        <v>1993</v>
      </c>
      <c r="B1999" s="11">
        <f t="shared" ca="1" si="156"/>
        <v>1</v>
      </c>
      <c r="C1999" s="26">
        <f t="shared" ca="1" si="160"/>
        <v>0.24914463113355911</v>
      </c>
      <c r="J1999">
        <f t="shared" ca="1" si="157"/>
        <v>1</v>
      </c>
      <c r="K1999">
        <f t="shared" ca="1" si="158"/>
        <v>0</v>
      </c>
      <c r="L1999" s="65">
        <v>1993</v>
      </c>
      <c r="M1999" s="71">
        <f t="shared" ca="1" si="159"/>
        <v>1.4681857590659231</v>
      </c>
      <c r="N1999" s="65"/>
    </row>
    <row r="2000" spans="1:14" x14ac:dyDescent="0.25">
      <c r="A2000" s="2">
        <v>1994</v>
      </c>
      <c r="B2000" s="11">
        <f t="shared" ca="1" si="156"/>
        <v>1</v>
      </c>
      <c r="C2000" s="26">
        <f t="shared" ca="1" si="160"/>
        <v>0.71972904432600726</v>
      </c>
      <c r="J2000">
        <f t="shared" ca="1" si="157"/>
        <v>1</v>
      </c>
      <c r="K2000">
        <f t="shared" ca="1" si="158"/>
        <v>0</v>
      </c>
      <c r="L2000" s="65">
        <v>1994</v>
      </c>
      <c r="M2000" s="71">
        <f t="shared" ca="1" si="159"/>
        <v>0.12924767292674141</v>
      </c>
      <c r="N2000" s="65"/>
    </row>
    <row r="2001" spans="1:14" x14ac:dyDescent="0.25">
      <c r="A2001" s="2">
        <v>1995</v>
      </c>
      <c r="B2001" s="11">
        <f t="shared" ca="1" si="156"/>
        <v>1</v>
      </c>
      <c r="C2001" s="26">
        <f t="shared" ca="1" si="160"/>
        <v>0.59501014680772213</v>
      </c>
      <c r="J2001">
        <f t="shared" ca="1" si="157"/>
        <v>1</v>
      </c>
      <c r="K2001">
        <f t="shared" ca="1" si="158"/>
        <v>0</v>
      </c>
      <c r="L2001" s="65">
        <v>1995</v>
      </c>
      <c r="M2001" s="71">
        <f t="shared" ca="1" si="159"/>
        <v>3.2022103806669775</v>
      </c>
      <c r="N2001" s="65"/>
    </row>
    <row r="2002" spans="1:14" x14ac:dyDescent="0.25">
      <c r="A2002" s="2">
        <v>1996</v>
      </c>
      <c r="B2002" s="11">
        <f t="shared" ca="1" si="156"/>
        <v>1</v>
      </c>
      <c r="C2002" s="26">
        <f t="shared" ca="1" si="160"/>
        <v>3.7124450456252789E-2</v>
      </c>
      <c r="J2002">
        <f t="shared" ca="1" si="157"/>
        <v>1</v>
      </c>
      <c r="K2002">
        <f t="shared" ca="1" si="158"/>
        <v>0</v>
      </c>
      <c r="L2002" s="65">
        <v>1996</v>
      </c>
      <c r="M2002" s="71">
        <f t="shared" ca="1" si="159"/>
        <v>6.5601992938716815</v>
      </c>
      <c r="N2002" s="65"/>
    </row>
    <row r="2003" spans="1:14" x14ac:dyDescent="0.25">
      <c r="A2003" s="2">
        <v>1997</v>
      </c>
      <c r="B2003" s="11">
        <f t="shared" ca="1" si="156"/>
        <v>1</v>
      </c>
      <c r="C2003" s="26">
        <f t="shared" ca="1" si="160"/>
        <v>6.8183693509650811E-2</v>
      </c>
      <c r="J2003">
        <f t="shared" ca="1" si="157"/>
        <v>0</v>
      </c>
      <c r="K2003">
        <f t="shared" ca="1" si="158"/>
        <v>0</v>
      </c>
      <c r="L2003" s="65">
        <v>1997</v>
      </c>
      <c r="M2003" s="71">
        <f t="shared" ca="1" si="159"/>
        <v>1.9109673342455995</v>
      </c>
      <c r="N2003" s="65"/>
    </row>
    <row r="2004" spans="1:14" x14ac:dyDescent="0.25">
      <c r="A2004" s="2">
        <v>1998</v>
      </c>
      <c r="B2004" s="11">
        <f t="shared" ca="1" si="156"/>
        <v>0</v>
      </c>
      <c r="C2004" s="26">
        <f t="shared" ca="1" si="160"/>
        <v>0.91969651198290914</v>
      </c>
      <c r="J2004">
        <f t="shared" ca="1" si="157"/>
        <v>0</v>
      </c>
      <c r="K2004">
        <f t="shared" ca="1" si="158"/>
        <v>0</v>
      </c>
      <c r="L2004" s="65">
        <v>1998</v>
      </c>
      <c r="M2004" s="71">
        <f t="shared" ca="1" si="159"/>
        <v>0</v>
      </c>
      <c r="N2004" s="65"/>
    </row>
    <row r="2005" spans="1:14" x14ac:dyDescent="0.25">
      <c r="A2005" s="2">
        <v>1999</v>
      </c>
      <c r="B2005" s="11">
        <f t="shared" ca="1" si="156"/>
        <v>1</v>
      </c>
      <c r="C2005" s="26">
        <f t="shared" ca="1" si="160"/>
        <v>0.68513953462084665</v>
      </c>
      <c r="J2005">
        <f t="shared" ca="1" si="157"/>
        <v>1</v>
      </c>
      <c r="K2005">
        <f t="shared" ca="1" si="158"/>
        <v>0</v>
      </c>
      <c r="L2005" s="65">
        <v>1999</v>
      </c>
      <c r="M2005" s="71">
        <f t="shared" ca="1" si="159"/>
        <v>3.5539634409763381</v>
      </c>
      <c r="N2005" s="65"/>
    </row>
    <row r="2006" spans="1:14" x14ac:dyDescent="0.25">
      <c r="A2006" s="2">
        <v>2000</v>
      </c>
      <c r="B2006" s="11">
        <f t="shared" ca="1" si="156"/>
        <v>1</v>
      </c>
      <c r="C2006" s="26">
        <f t="shared" ca="1" si="160"/>
        <v>0.62431670256810157</v>
      </c>
      <c r="J2006">
        <f t="shared" ca="1" si="157"/>
        <v>1</v>
      </c>
      <c r="K2006">
        <f t="shared" ca="1" si="158"/>
        <v>0</v>
      </c>
      <c r="L2006" s="65">
        <v>2000</v>
      </c>
      <c r="M2006" s="71">
        <f t="shared" ca="1" si="159"/>
        <v>4.1739419498387749</v>
      </c>
      <c r="N2006" s="65"/>
    </row>
    <row r="2007" spans="1:14" x14ac:dyDescent="0.25">
      <c r="A2007" s="2">
        <v>2001</v>
      </c>
      <c r="B2007" s="11">
        <f t="shared" ca="1" si="156"/>
        <v>1</v>
      </c>
      <c r="C2007" s="26">
        <f t="shared" ca="1" si="160"/>
        <v>0.42179116120862958</v>
      </c>
      <c r="J2007">
        <f t="shared" ca="1" si="157"/>
        <v>1</v>
      </c>
      <c r="K2007">
        <f t="shared" ca="1" si="158"/>
        <v>0</v>
      </c>
      <c r="L2007" s="65">
        <v>2001</v>
      </c>
      <c r="M2007" s="71">
        <f t="shared" ca="1" si="159"/>
        <v>1.3034114019549436</v>
      </c>
      <c r="N2007" s="65"/>
    </row>
    <row r="2008" spans="1:14" x14ac:dyDescent="0.25">
      <c r="A2008" s="2">
        <v>2002</v>
      </c>
      <c r="B2008" s="11">
        <f t="shared" ca="1" si="156"/>
        <v>1</v>
      </c>
      <c r="C2008" s="26">
        <f t="shared" ca="1" si="160"/>
        <v>0.58018839973603509</v>
      </c>
      <c r="J2008">
        <f t="shared" ca="1" si="157"/>
        <v>0</v>
      </c>
      <c r="K2008">
        <f t="shared" ca="1" si="158"/>
        <v>0</v>
      </c>
      <c r="L2008" s="65">
        <v>2002</v>
      </c>
      <c r="M2008" s="71">
        <f t="shared" ca="1" si="159"/>
        <v>6.1614179741585398</v>
      </c>
      <c r="N2008" s="65"/>
    </row>
    <row r="2009" spans="1:14" x14ac:dyDescent="0.25">
      <c r="A2009" s="2">
        <v>2003</v>
      </c>
      <c r="B2009" s="11">
        <f t="shared" ca="1" si="156"/>
        <v>0</v>
      </c>
      <c r="C2009" s="26">
        <f t="shared" ca="1" si="160"/>
        <v>0.86314498648692084</v>
      </c>
      <c r="J2009">
        <f t="shared" ca="1" si="157"/>
        <v>0</v>
      </c>
      <c r="K2009">
        <f t="shared" ca="1" si="158"/>
        <v>0</v>
      </c>
      <c r="L2009" s="65">
        <v>2003</v>
      </c>
      <c r="M2009" s="71">
        <f t="shared" ca="1" si="159"/>
        <v>0</v>
      </c>
      <c r="N2009" s="65"/>
    </row>
    <row r="2010" spans="1:14" x14ac:dyDescent="0.25">
      <c r="A2010" s="2">
        <v>2004</v>
      </c>
      <c r="B2010" s="11">
        <f t="shared" ca="1" si="156"/>
        <v>1</v>
      </c>
      <c r="C2010" s="26">
        <f t="shared" ca="1" si="160"/>
        <v>0.31376445194123515</v>
      </c>
      <c r="J2010">
        <f t="shared" ca="1" si="157"/>
        <v>1</v>
      </c>
      <c r="K2010">
        <f t="shared" ca="1" si="158"/>
        <v>0</v>
      </c>
      <c r="L2010" s="65">
        <v>2004</v>
      </c>
      <c r="M2010" s="71">
        <f t="shared" ca="1" si="159"/>
        <v>4.2926615481321724</v>
      </c>
      <c r="N2010" s="65"/>
    </row>
    <row r="2011" spans="1:14" x14ac:dyDescent="0.25">
      <c r="A2011" s="2">
        <v>2005</v>
      </c>
      <c r="B2011" s="11">
        <f t="shared" ca="1" si="156"/>
        <v>1</v>
      </c>
      <c r="C2011" s="26">
        <f t="shared" ca="1" si="160"/>
        <v>0.42236728398399748</v>
      </c>
      <c r="J2011">
        <f t="shared" ca="1" si="157"/>
        <v>1</v>
      </c>
      <c r="K2011">
        <f t="shared" ca="1" si="158"/>
        <v>0</v>
      </c>
      <c r="L2011" s="65">
        <v>2005</v>
      </c>
      <c r="M2011" s="71">
        <f t="shared" ca="1" si="159"/>
        <v>4.0454707008695614</v>
      </c>
      <c r="N2011" s="65"/>
    </row>
    <row r="2012" spans="1:14" x14ac:dyDescent="0.25">
      <c r="A2012" s="2">
        <v>2006</v>
      </c>
      <c r="B2012" s="11">
        <f t="shared" ca="1" si="156"/>
        <v>1</v>
      </c>
      <c r="C2012" s="26">
        <f t="shared" ca="1" si="160"/>
        <v>0.78270767826640719</v>
      </c>
      <c r="J2012">
        <f t="shared" ca="1" si="157"/>
        <v>1</v>
      </c>
      <c r="K2012">
        <f t="shared" ca="1" si="158"/>
        <v>0</v>
      </c>
      <c r="L2012" s="65">
        <v>2006</v>
      </c>
      <c r="M2012" s="71">
        <f t="shared" ca="1" si="159"/>
        <v>3.3367476581622988</v>
      </c>
      <c r="N2012" s="65"/>
    </row>
    <row r="2013" spans="1:14" x14ac:dyDescent="0.25">
      <c r="A2013" s="2">
        <v>2007</v>
      </c>
      <c r="B2013" s="11">
        <f t="shared" ca="1" si="156"/>
        <v>1</v>
      </c>
      <c r="C2013" s="26">
        <f t="shared" ca="1" si="160"/>
        <v>0.35396431163726871</v>
      </c>
      <c r="J2013">
        <f t="shared" ca="1" si="157"/>
        <v>0</v>
      </c>
      <c r="K2013">
        <f t="shared" ca="1" si="158"/>
        <v>0</v>
      </c>
      <c r="L2013" s="65">
        <v>2007</v>
      </c>
      <c r="M2013" s="71">
        <f t="shared" ca="1" si="159"/>
        <v>1.7512624056633399</v>
      </c>
      <c r="N2013" s="65"/>
    </row>
    <row r="2014" spans="1:14" x14ac:dyDescent="0.25">
      <c r="A2014" s="2">
        <v>2008</v>
      </c>
      <c r="B2014" s="11">
        <f t="shared" ca="1" si="156"/>
        <v>0</v>
      </c>
      <c r="C2014" s="26">
        <f t="shared" ca="1" si="160"/>
        <v>0.97128440877508826</v>
      </c>
      <c r="J2014">
        <f t="shared" ca="1" si="157"/>
        <v>0</v>
      </c>
      <c r="K2014">
        <f t="shared" ca="1" si="158"/>
        <v>1</v>
      </c>
      <c r="L2014" s="65">
        <v>2008</v>
      </c>
      <c r="M2014" s="71">
        <f t="shared" ca="1" si="159"/>
        <v>0</v>
      </c>
      <c r="N2014" s="65"/>
    </row>
    <row r="2015" spans="1:14" x14ac:dyDescent="0.25">
      <c r="A2015" s="2">
        <v>2009</v>
      </c>
      <c r="B2015" s="11">
        <f t="shared" ca="1" si="156"/>
        <v>0</v>
      </c>
      <c r="C2015" s="26">
        <f t="shared" ca="1" si="160"/>
        <v>0.87203964917372334</v>
      </c>
      <c r="J2015">
        <f t="shared" ca="1" si="157"/>
        <v>0</v>
      </c>
      <c r="K2015">
        <f t="shared" ca="1" si="158"/>
        <v>0</v>
      </c>
      <c r="L2015" s="65">
        <v>2009</v>
      </c>
      <c r="M2015" s="71">
        <f t="shared" ca="1" si="159"/>
        <v>0</v>
      </c>
      <c r="N2015" s="65"/>
    </row>
    <row r="2016" spans="1:14" x14ac:dyDescent="0.25">
      <c r="A2016" s="2">
        <v>2010</v>
      </c>
      <c r="B2016" s="11">
        <f t="shared" ca="1" si="156"/>
        <v>1</v>
      </c>
      <c r="C2016" s="26">
        <f t="shared" ca="1" si="160"/>
        <v>0.45957370537421327</v>
      </c>
      <c r="J2016">
        <f t="shared" ca="1" si="157"/>
        <v>1</v>
      </c>
      <c r="K2016">
        <f t="shared" ca="1" si="158"/>
        <v>0</v>
      </c>
      <c r="L2016" s="65">
        <v>2010</v>
      </c>
      <c r="M2016" s="71">
        <f t="shared" ca="1" si="159"/>
        <v>6.070743018303328</v>
      </c>
      <c r="N2016" s="65"/>
    </row>
    <row r="2017" spans="1:14" x14ac:dyDescent="0.25">
      <c r="A2017" s="2">
        <v>2011</v>
      </c>
      <c r="B2017" s="11">
        <f t="shared" ca="1" si="156"/>
        <v>1</v>
      </c>
      <c r="C2017" s="26">
        <f t="shared" ca="1" si="160"/>
        <v>0.75402702771642316</v>
      </c>
      <c r="J2017">
        <f t="shared" ca="1" si="157"/>
        <v>1</v>
      </c>
      <c r="K2017">
        <f t="shared" ca="1" si="158"/>
        <v>0</v>
      </c>
      <c r="L2017" s="65">
        <v>2011</v>
      </c>
      <c r="M2017" s="71">
        <f t="shared" ca="1" si="159"/>
        <v>4.4154872099231559</v>
      </c>
      <c r="N2017" s="65"/>
    </row>
    <row r="2018" spans="1:14" x14ac:dyDescent="0.25">
      <c r="A2018" s="2">
        <v>2012</v>
      </c>
      <c r="B2018" s="11">
        <f t="shared" ca="1" si="156"/>
        <v>1</v>
      </c>
      <c r="C2018" s="26">
        <f t="shared" ca="1" si="160"/>
        <v>4.5915307125802607E-2</v>
      </c>
      <c r="J2018">
        <f t="shared" ca="1" si="157"/>
        <v>1</v>
      </c>
      <c r="K2018">
        <f t="shared" ca="1" si="158"/>
        <v>0</v>
      </c>
      <c r="L2018" s="65">
        <v>2012</v>
      </c>
      <c r="M2018" s="71">
        <f t="shared" ca="1" si="159"/>
        <v>7.0672689572265268</v>
      </c>
      <c r="N2018" s="65"/>
    </row>
    <row r="2019" spans="1:14" x14ac:dyDescent="0.25">
      <c r="A2019" s="2">
        <v>2013</v>
      </c>
      <c r="B2019" s="11">
        <f t="shared" ca="1" si="156"/>
        <v>1</v>
      </c>
      <c r="C2019" s="26">
        <f t="shared" ca="1" si="160"/>
        <v>0.47111146286086192</v>
      </c>
      <c r="J2019">
        <f t="shared" ca="1" si="157"/>
        <v>1</v>
      </c>
      <c r="K2019">
        <f t="shared" ca="1" si="158"/>
        <v>0</v>
      </c>
      <c r="L2019" s="65">
        <v>2013</v>
      </c>
      <c r="M2019" s="71">
        <f t="shared" ca="1" si="159"/>
        <v>1.9527892488460183</v>
      </c>
      <c r="N2019" s="65"/>
    </row>
    <row r="2020" spans="1:14" x14ac:dyDescent="0.25">
      <c r="A2020" s="2">
        <v>2014</v>
      </c>
      <c r="B2020" s="11">
        <f t="shared" ca="1" si="156"/>
        <v>1</v>
      </c>
      <c r="C2020" s="26">
        <f t="shared" ca="1" si="160"/>
        <v>0.12356165857519019</v>
      </c>
      <c r="J2020">
        <f t="shared" ca="1" si="157"/>
        <v>1</v>
      </c>
      <c r="K2020">
        <f t="shared" ca="1" si="158"/>
        <v>0</v>
      </c>
      <c r="L2020" s="65">
        <v>2014</v>
      </c>
      <c r="M2020" s="71">
        <f t="shared" ca="1" si="159"/>
        <v>1.3158548948592581</v>
      </c>
      <c r="N2020" s="65"/>
    </row>
    <row r="2021" spans="1:14" x14ac:dyDescent="0.25">
      <c r="A2021" s="2">
        <v>2015</v>
      </c>
      <c r="B2021" s="11">
        <f t="shared" ca="1" si="156"/>
        <v>1</v>
      </c>
      <c r="C2021" s="26">
        <f t="shared" ca="1" si="160"/>
        <v>0.50206547629540521</v>
      </c>
      <c r="J2021">
        <f t="shared" ca="1" si="157"/>
        <v>1</v>
      </c>
      <c r="K2021">
        <f t="shared" ca="1" si="158"/>
        <v>0</v>
      </c>
      <c r="L2021" s="65">
        <v>2015</v>
      </c>
      <c r="M2021" s="71">
        <f t="shared" ca="1" si="159"/>
        <v>4.1908761772104217</v>
      </c>
      <c r="N2021" s="65"/>
    </row>
    <row r="2022" spans="1:14" x14ac:dyDescent="0.25">
      <c r="A2022" s="2">
        <v>2016</v>
      </c>
      <c r="B2022" s="11">
        <f t="shared" ca="1" si="156"/>
        <v>1</v>
      </c>
      <c r="C2022" s="26">
        <f t="shared" ca="1" si="160"/>
        <v>0.38092648049445399</v>
      </c>
      <c r="J2022">
        <f t="shared" ca="1" si="157"/>
        <v>1</v>
      </c>
      <c r="K2022">
        <f t="shared" ca="1" si="158"/>
        <v>0</v>
      </c>
      <c r="L2022" s="65">
        <v>2016</v>
      </c>
      <c r="M2022" s="71">
        <f t="shared" ca="1" si="159"/>
        <v>9.8249800264975899</v>
      </c>
      <c r="N2022" s="65"/>
    </row>
    <row r="2023" spans="1:14" x14ac:dyDescent="0.25">
      <c r="A2023" s="2">
        <v>2017</v>
      </c>
      <c r="B2023" s="11">
        <f t="shared" ca="1" si="156"/>
        <v>1</v>
      </c>
      <c r="C2023" s="26">
        <f t="shared" ca="1" si="160"/>
        <v>0.22293533323636305</v>
      </c>
      <c r="J2023">
        <f t="shared" ca="1" si="157"/>
        <v>0</v>
      </c>
      <c r="K2023">
        <f t="shared" ca="1" si="158"/>
        <v>0</v>
      </c>
      <c r="L2023" s="65">
        <v>2017</v>
      </c>
      <c r="M2023" s="71">
        <f t="shared" ca="1" si="159"/>
        <v>1.3786617033542838</v>
      </c>
      <c r="N2023" s="65"/>
    </row>
    <row r="2024" spans="1:14" x14ac:dyDescent="0.25">
      <c r="A2024" s="2">
        <v>2018</v>
      </c>
      <c r="B2024" s="11">
        <f t="shared" ca="1" si="156"/>
        <v>0</v>
      </c>
      <c r="C2024" s="26">
        <f t="shared" ca="1" si="160"/>
        <v>0.80251437200305065</v>
      </c>
      <c r="J2024">
        <f t="shared" ca="1" si="157"/>
        <v>0</v>
      </c>
      <c r="K2024">
        <f t="shared" ca="1" si="158"/>
        <v>0</v>
      </c>
      <c r="L2024" s="65">
        <v>2018</v>
      </c>
      <c r="M2024" s="71">
        <f t="shared" ca="1" si="159"/>
        <v>0</v>
      </c>
      <c r="N2024" s="65"/>
    </row>
    <row r="2025" spans="1:14" x14ac:dyDescent="0.25">
      <c r="A2025" s="2">
        <v>2019</v>
      </c>
      <c r="B2025" s="11">
        <f t="shared" ca="1" si="156"/>
        <v>1</v>
      </c>
      <c r="C2025" s="26">
        <f t="shared" ca="1" si="160"/>
        <v>7.6099307794419646E-2</v>
      </c>
      <c r="J2025">
        <f t="shared" ca="1" si="157"/>
        <v>1</v>
      </c>
      <c r="K2025">
        <f t="shared" ca="1" si="158"/>
        <v>0</v>
      </c>
      <c r="L2025" s="65">
        <v>2019</v>
      </c>
      <c r="M2025" s="71">
        <f t="shared" ca="1" si="159"/>
        <v>1.182369021910695</v>
      </c>
      <c r="N2025" s="65"/>
    </row>
    <row r="2026" spans="1:14" x14ac:dyDescent="0.25">
      <c r="A2026" s="2">
        <v>2020</v>
      </c>
      <c r="B2026" s="11">
        <f t="shared" ca="1" si="156"/>
        <v>1</v>
      </c>
      <c r="C2026" s="26">
        <f t="shared" ca="1" si="160"/>
        <v>0.34250723964298191</v>
      </c>
      <c r="J2026">
        <f t="shared" ca="1" si="157"/>
        <v>1</v>
      </c>
      <c r="K2026">
        <f t="shared" ca="1" si="158"/>
        <v>0</v>
      </c>
      <c r="L2026" s="65">
        <v>2020</v>
      </c>
      <c r="M2026" s="71">
        <f t="shared" ca="1" si="159"/>
        <v>0.12277317281982106</v>
      </c>
      <c r="N2026" s="65"/>
    </row>
    <row r="2027" spans="1:14" x14ac:dyDescent="0.25">
      <c r="A2027" s="2">
        <v>2021</v>
      </c>
      <c r="B2027" s="11">
        <f t="shared" ca="1" si="156"/>
        <v>1</v>
      </c>
      <c r="C2027" s="26">
        <f t="shared" ca="1" si="160"/>
        <v>0.43041989895605814</v>
      </c>
      <c r="J2027">
        <f t="shared" ca="1" si="157"/>
        <v>1</v>
      </c>
      <c r="K2027">
        <f t="shared" ca="1" si="158"/>
        <v>0</v>
      </c>
      <c r="L2027" s="65">
        <v>2021</v>
      </c>
      <c r="M2027" s="71">
        <f t="shared" ca="1" si="159"/>
        <v>5.5199540151882749</v>
      </c>
      <c r="N2027" s="65"/>
    </row>
    <row r="2028" spans="1:14" x14ac:dyDescent="0.25">
      <c r="A2028" s="2">
        <v>2022</v>
      </c>
      <c r="B2028" s="11">
        <f t="shared" ca="1" si="156"/>
        <v>1</v>
      </c>
      <c r="C2028" s="26">
        <f t="shared" ca="1" si="160"/>
        <v>0.78043330811330158</v>
      </c>
      <c r="J2028">
        <f t="shared" ca="1" si="157"/>
        <v>1</v>
      </c>
      <c r="K2028">
        <f t="shared" ca="1" si="158"/>
        <v>0</v>
      </c>
      <c r="L2028" s="65">
        <v>2022</v>
      </c>
      <c r="M2028" s="71">
        <f t="shared" ca="1" si="159"/>
        <v>2.9342603311652344</v>
      </c>
      <c r="N2028" s="65"/>
    </row>
    <row r="2029" spans="1:14" x14ac:dyDescent="0.25">
      <c r="A2029" s="2">
        <v>2023</v>
      </c>
      <c r="B2029" s="11">
        <f t="shared" ca="1" si="156"/>
        <v>1</v>
      </c>
      <c r="C2029" s="26">
        <f t="shared" ca="1" si="160"/>
        <v>0.7385647518509908</v>
      </c>
      <c r="J2029">
        <f t="shared" ca="1" si="157"/>
        <v>1</v>
      </c>
      <c r="K2029">
        <f t="shared" ca="1" si="158"/>
        <v>0</v>
      </c>
      <c r="L2029" s="65">
        <v>2023</v>
      </c>
      <c r="M2029" s="71">
        <f t="shared" ca="1" si="159"/>
        <v>2.3662508117650676</v>
      </c>
      <c r="N2029" s="65"/>
    </row>
    <row r="2030" spans="1:14" x14ac:dyDescent="0.25">
      <c r="A2030" s="2">
        <v>2024</v>
      </c>
      <c r="B2030" s="11">
        <f t="shared" ca="1" si="156"/>
        <v>1</v>
      </c>
      <c r="C2030" s="26">
        <f t="shared" ca="1" si="160"/>
        <v>0.33998369603897671</v>
      </c>
      <c r="J2030">
        <f t="shared" ca="1" si="157"/>
        <v>1</v>
      </c>
      <c r="K2030">
        <f t="shared" ca="1" si="158"/>
        <v>0</v>
      </c>
      <c r="L2030" s="65">
        <v>2024</v>
      </c>
      <c r="M2030" s="71">
        <f t="shared" ca="1" si="159"/>
        <v>4.5439141575731714</v>
      </c>
      <c r="N2030" s="65"/>
    </row>
    <row r="2031" spans="1:14" x14ac:dyDescent="0.25">
      <c r="A2031" s="2">
        <v>2025</v>
      </c>
      <c r="B2031" s="11">
        <f t="shared" ref="B2031:B2094" ca="1" si="161">IF(B2030&gt;0,IF(C2031&lt;pww,1,0),IF(C2031&lt;pdw,1,0))</f>
        <v>1</v>
      </c>
      <c r="C2031" s="26">
        <f t="shared" ca="1" si="160"/>
        <v>0.52313125184836051</v>
      </c>
      <c r="J2031">
        <f t="shared" ref="J2031:J2094" ca="1" si="162">IF(AND(B2031,B2032),1,0)</f>
        <v>0</v>
      </c>
      <c r="K2031">
        <f t="shared" ref="K2031:K2094" ca="1" si="163">IF(AND(NOT(B2031),NOT(B2032)),1,0)</f>
        <v>0</v>
      </c>
      <c r="L2031" s="65">
        <v>2025</v>
      </c>
      <c r="M2031" s="71">
        <f t="shared" ca="1" si="159"/>
        <v>1.0931628815129546</v>
      </c>
      <c r="N2031" s="65"/>
    </row>
    <row r="2032" spans="1:14" x14ac:dyDescent="0.25">
      <c r="A2032" s="2">
        <v>2026</v>
      </c>
      <c r="B2032" s="11">
        <f t="shared" ca="1" si="161"/>
        <v>0</v>
      </c>
      <c r="C2032" s="26">
        <f t="shared" ca="1" si="160"/>
        <v>0.80566921118725088</v>
      </c>
      <c r="J2032">
        <f t="shared" ca="1" si="162"/>
        <v>0</v>
      </c>
      <c r="K2032">
        <f t="shared" ca="1" si="163"/>
        <v>0</v>
      </c>
      <c r="L2032" s="65">
        <v>2026</v>
      </c>
      <c r="M2032" s="71">
        <f t="shared" ca="1" si="159"/>
        <v>0</v>
      </c>
      <c r="N2032" s="65"/>
    </row>
    <row r="2033" spans="1:14" x14ac:dyDescent="0.25">
      <c r="A2033" s="2">
        <v>2027</v>
      </c>
      <c r="B2033" s="11">
        <f t="shared" ca="1" si="161"/>
        <v>1</v>
      </c>
      <c r="C2033" s="26">
        <f t="shared" ca="1" si="160"/>
        <v>0.22933706506858464</v>
      </c>
      <c r="J2033">
        <f t="shared" ca="1" si="162"/>
        <v>1</v>
      </c>
      <c r="K2033">
        <f t="shared" ca="1" si="163"/>
        <v>0</v>
      </c>
      <c r="L2033" s="65">
        <v>2027</v>
      </c>
      <c r="M2033" s="71">
        <f t="shared" ca="1" si="159"/>
        <v>0.77536761183741632</v>
      </c>
      <c r="N2033" s="65"/>
    </row>
    <row r="2034" spans="1:14" x14ac:dyDescent="0.25">
      <c r="A2034" s="2">
        <v>2028</v>
      </c>
      <c r="B2034" s="11">
        <f t="shared" ca="1" si="161"/>
        <v>1</v>
      </c>
      <c r="C2034" s="26">
        <f t="shared" ca="1" si="160"/>
        <v>0.52828235043320582</v>
      </c>
      <c r="J2034">
        <f t="shared" ca="1" si="162"/>
        <v>1</v>
      </c>
      <c r="K2034">
        <f t="shared" ca="1" si="163"/>
        <v>0</v>
      </c>
      <c r="L2034" s="65">
        <v>2028</v>
      </c>
      <c r="M2034" s="71">
        <f t="shared" ca="1" si="159"/>
        <v>0.27791392491565098</v>
      </c>
      <c r="N2034" s="65"/>
    </row>
    <row r="2035" spans="1:14" x14ac:dyDescent="0.25">
      <c r="A2035" s="2">
        <v>2029</v>
      </c>
      <c r="B2035" s="11">
        <f t="shared" ca="1" si="161"/>
        <v>1</v>
      </c>
      <c r="C2035" s="26">
        <f t="shared" ca="1" si="160"/>
        <v>0.2671952240614921</v>
      </c>
      <c r="J2035">
        <f t="shared" ca="1" si="162"/>
        <v>1</v>
      </c>
      <c r="K2035">
        <f t="shared" ca="1" si="163"/>
        <v>0</v>
      </c>
      <c r="L2035" s="65">
        <v>2029</v>
      </c>
      <c r="M2035" s="71">
        <f t="shared" ca="1" si="159"/>
        <v>2.9220115732650558</v>
      </c>
      <c r="N2035" s="65"/>
    </row>
    <row r="2036" spans="1:14" x14ac:dyDescent="0.25">
      <c r="A2036" s="2">
        <v>2030</v>
      </c>
      <c r="B2036" s="11">
        <f t="shared" ca="1" si="161"/>
        <v>1</v>
      </c>
      <c r="C2036" s="26">
        <f t="shared" ca="1" si="160"/>
        <v>0.34064857129964254</v>
      </c>
      <c r="J2036">
        <f t="shared" ca="1" si="162"/>
        <v>1</v>
      </c>
      <c r="K2036">
        <f t="shared" ca="1" si="163"/>
        <v>0</v>
      </c>
      <c r="L2036" s="65">
        <v>2030</v>
      </c>
      <c r="M2036" s="71">
        <f t="shared" ca="1" si="159"/>
        <v>0.25709764659283635</v>
      </c>
      <c r="N2036" s="65"/>
    </row>
    <row r="2037" spans="1:14" x14ac:dyDescent="0.25">
      <c r="A2037" s="2">
        <v>2031</v>
      </c>
      <c r="B2037" s="11">
        <f t="shared" ca="1" si="161"/>
        <v>1</v>
      </c>
      <c r="C2037" s="26">
        <f t="shared" ca="1" si="160"/>
        <v>0.36156009973247116</v>
      </c>
      <c r="J2037">
        <f t="shared" ca="1" si="162"/>
        <v>1</v>
      </c>
      <c r="K2037">
        <f t="shared" ca="1" si="163"/>
        <v>0</v>
      </c>
      <c r="L2037" s="65">
        <v>2031</v>
      </c>
      <c r="M2037" s="71">
        <f t="shared" ca="1" si="159"/>
        <v>13.04720004875173</v>
      </c>
      <c r="N2037" s="65"/>
    </row>
    <row r="2038" spans="1:14" x14ac:dyDescent="0.25">
      <c r="A2038" s="2">
        <v>2032</v>
      </c>
      <c r="B2038" s="11">
        <f t="shared" ca="1" si="161"/>
        <v>1</v>
      </c>
      <c r="C2038" s="26">
        <f t="shared" ca="1" si="160"/>
        <v>0.76868223558414495</v>
      </c>
      <c r="J2038">
        <f t="shared" ca="1" si="162"/>
        <v>0</v>
      </c>
      <c r="K2038">
        <f t="shared" ca="1" si="163"/>
        <v>0</v>
      </c>
      <c r="L2038" s="65">
        <v>2032</v>
      </c>
      <c r="M2038" s="71">
        <f t="shared" ca="1" si="159"/>
        <v>0.24937767932777946</v>
      </c>
      <c r="N2038" s="65"/>
    </row>
    <row r="2039" spans="1:14" x14ac:dyDescent="0.25">
      <c r="A2039" s="2">
        <v>2033</v>
      </c>
      <c r="B2039" s="11">
        <f t="shared" ca="1" si="161"/>
        <v>0</v>
      </c>
      <c r="C2039" s="26">
        <f t="shared" ca="1" si="160"/>
        <v>0.93503907312026935</v>
      </c>
      <c r="J2039">
        <f t="shared" ca="1" si="162"/>
        <v>0</v>
      </c>
      <c r="K2039">
        <f t="shared" ca="1" si="163"/>
        <v>1</v>
      </c>
      <c r="L2039" s="65">
        <v>2033</v>
      </c>
      <c r="M2039" s="71">
        <f t="shared" ca="1" si="159"/>
        <v>0</v>
      </c>
      <c r="N2039" s="65"/>
    </row>
    <row r="2040" spans="1:14" x14ac:dyDescent="0.25">
      <c r="A2040" s="2">
        <v>2034</v>
      </c>
      <c r="B2040" s="11">
        <f t="shared" ca="1" si="161"/>
        <v>0</v>
      </c>
      <c r="C2040" s="26">
        <f t="shared" ca="1" si="160"/>
        <v>0.78137041525490603</v>
      </c>
      <c r="J2040">
        <f t="shared" ca="1" si="162"/>
        <v>0</v>
      </c>
      <c r="K2040">
        <f t="shared" ca="1" si="163"/>
        <v>1</v>
      </c>
      <c r="L2040" s="65">
        <v>2034</v>
      </c>
      <c r="M2040" s="71">
        <f t="shared" ca="1" si="159"/>
        <v>0</v>
      </c>
      <c r="N2040" s="65"/>
    </row>
    <row r="2041" spans="1:14" x14ac:dyDescent="0.25">
      <c r="A2041" s="2">
        <v>2035</v>
      </c>
      <c r="B2041" s="11">
        <f t="shared" ca="1" si="161"/>
        <v>0</v>
      </c>
      <c r="C2041" s="26">
        <f t="shared" ca="1" si="160"/>
        <v>0.75478783453751763</v>
      </c>
      <c r="J2041">
        <f t="shared" ca="1" si="162"/>
        <v>0</v>
      </c>
      <c r="K2041">
        <f t="shared" ca="1" si="163"/>
        <v>0</v>
      </c>
      <c r="L2041" s="65">
        <v>2035</v>
      </c>
      <c r="M2041" s="71">
        <f t="shared" ca="1" si="159"/>
        <v>0</v>
      </c>
      <c r="N2041" s="65"/>
    </row>
    <row r="2042" spans="1:14" x14ac:dyDescent="0.25">
      <c r="A2042" s="2">
        <v>2036</v>
      </c>
      <c r="B2042" s="11">
        <f t="shared" ca="1" si="161"/>
        <v>1</v>
      </c>
      <c r="C2042" s="26">
        <f t="shared" ca="1" si="160"/>
        <v>0.66546158514875109</v>
      </c>
      <c r="J2042">
        <f t="shared" ca="1" si="162"/>
        <v>0</v>
      </c>
      <c r="K2042">
        <f t="shared" ca="1" si="163"/>
        <v>0</v>
      </c>
      <c r="L2042" s="65">
        <v>2036</v>
      </c>
      <c r="M2042" s="71">
        <f t="shared" ca="1" si="159"/>
        <v>0.38266340740329807</v>
      </c>
      <c r="N2042" s="65"/>
    </row>
    <row r="2043" spans="1:14" x14ac:dyDescent="0.25">
      <c r="A2043" s="2">
        <v>2037</v>
      </c>
      <c r="B2043" s="11">
        <f t="shared" ca="1" si="161"/>
        <v>0</v>
      </c>
      <c r="C2043" s="26">
        <f t="shared" ca="1" si="160"/>
        <v>0.90160937204149105</v>
      </c>
      <c r="J2043">
        <f t="shared" ca="1" si="162"/>
        <v>0</v>
      </c>
      <c r="K2043">
        <f t="shared" ca="1" si="163"/>
        <v>1</v>
      </c>
      <c r="L2043" s="65">
        <v>2037</v>
      </c>
      <c r="M2043" s="71">
        <f t="shared" ca="1" si="159"/>
        <v>0</v>
      </c>
      <c r="N2043" s="65"/>
    </row>
    <row r="2044" spans="1:14" x14ac:dyDescent="0.25">
      <c r="A2044" s="2">
        <v>2038</v>
      </c>
      <c r="B2044" s="11">
        <f t="shared" ca="1" si="161"/>
        <v>0</v>
      </c>
      <c r="C2044" s="26">
        <f t="shared" ca="1" si="160"/>
        <v>0.83230103165064373</v>
      </c>
      <c r="J2044">
        <f t="shared" ca="1" si="162"/>
        <v>0</v>
      </c>
      <c r="K2044">
        <f t="shared" ca="1" si="163"/>
        <v>0</v>
      </c>
      <c r="L2044" s="65">
        <v>2038</v>
      </c>
      <c r="M2044" s="71">
        <f t="shared" ca="1" si="159"/>
        <v>0</v>
      </c>
      <c r="N2044" s="65"/>
    </row>
    <row r="2045" spans="1:14" x14ac:dyDescent="0.25">
      <c r="A2045" s="2">
        <v>2039</v>
      </c>
      <c r="B2045" s="11">
        <f t="shared" ca="1" si="161"/>
        <v>1</v>
      </c>
      <c r="C2045" s="26">
        <f t="shared" ca="1" si="160"/>
        <v>6.6705110123238653E-2</v>
      </c>
      <c r="J2045">
        <f t="shared" ca="1" si="162"/>
        <v>1</v>
      </c>
      <c r="K2045">
        <f t="shared" ca="1" si="163"/>
        <v>0</v>
      </c>
      <c r="L2045" s="65">
        <v>2039</v>
      </c>
      <c r="M2045" s="71">
        <f t="shared" ca="1" si="159"/>
        <v>0.79751390256229837</v>
      </c>
      <c r="N2045" s="65"/>
    </row>
    <row r="2046" spans="1:14" x14ac:dyDescent="0.25">
      <c r="A2046" s="2">
        <v>2040</v>
      </c>
      <c r="B2046" s="11">
        <f t="shared" ca="1" si="161"/>
        <v>1</v>
      </c>
      <c r="C2046" s="26">
        <f t="shared" ca="1" si="160"/>
        <v>0.63225580748677157</v>
      </c>
      <c r="J2046">
        <f t="shared" ca="1" si="162"/>
        <v>0</v>
      </c>
      <c r="K2046">
        <f t="shared" ca="1" si="163"/>
        <v>0</v>
      </c>
      <c r="L2046" s="65">
        <v>2040</v>
      </c>
      <c r="M2046" s="71">
        <f t="shared" ca="1" si="159"/>
        <v>7.1707719660106441</v>
      </c>
      <c r="N2046" s="65"/>
    </row>
    <row r="2047" spans="1:14" x14ac:dyDescent="0.25">
      <c r="A2047" s="2">
        <v>2041</v>
      </c>
      <c r="B2047" s="11">
        <f t="shared" ca="1" si="161"/>
        <v>0</v>
      </c>
      <c r="C2047" s="26">
        <f t="shared" ca="1" si="160"/>
        <v>0.82995833785236306</v>
      </c>
      <c r="J2047">
        <f t="shared" ca="1" si="162"/>
        <v>0</v>
      </c>
      <c r="K2047">
        <f t="shared" ca="1" si="163"/>
        <v>1</v>
      </c>
      <c r="L2047" s="65">
        <v>2041</v>
      </c>
      <c r="M2047" s="71">
        <f t="shared" ca="1" si="159"/>
        <v>0</v>
      </c>
      <c r="N2047" s="65"/>
    </row>
    <row r="2048" spans="1:14" x14ac:dyDescent="0.25">
      <c r="A2048" s="2">
        <v>2042</v>
      </c>
      <c r="B2048" s="11">
        <f t="shared" ca="1" si="161"/>
        <v>0</v>
      </c>
      <c r="C2048" s="26">
        <f t="shared" ca="1" si="160"/>
        <v>0.85088770025740734</v>
      </c>
      <c r="J2048">
        <f t="shared" ca="1" si="162"/>
        <v>0</v>
      </c>
      <c r="K2048">
        <f t="shared" ca="1" si="163"/>
        <v>1</v>
      </c>
      <c r="L2048" s="65">
        <v>2042</v>
      </c>
      <c r="M2048" s="71">
        <f t="shared" ca="1" si="159"/>
        <v>0</v>
      </c>
      <c r="N2048" s="65"/>
    </row>
    <row r="2049" spans="1:14" x14ac:dyDescent="0.25">
      <c r="A2049" s="2">
        <v>2043</v>
      </c>
      <c r="B2049" s="11">
        <f t="shared" ca="1" si="161"/>
        <v>0</v>
      </c>
      <c r="C2049" s="26">
        <f t="shared" ca="1" si="160"/>
        <v>0.95240352563199648</v>
      </c>
      <c r="J2049">
        <f t="shared" ca="1" si="162"/>
        <v>0</v>
      </c>
      <c r="K2049">
        <f t="shared" ca="1" si="163"/>
        <v>0</v>
      </c>
      <c r="L2049" s="65">
        <v>2043</v>
      </c>
      <c r="M2049" s="71">
        <f t="shared" ca="1" si="159"/>
        <v>0</v>
      </c>
      <c r="N2049" s="65"/>
    </row>
    <row r="2050" spans="1:14" x14ac:dyDescent="0.25">
      <c r="A2050" s="2">
        <v>2044</v>
      </c>
      <c r="B2050" s="11">
        <f t="shared" ca="1" si="161"/>
        <v>1</v>
      </c>
      <c r="C2050" s="26">
        <f t="shared" ca="1" si="160"/>
        <v>0.51421993366165486</v>
      </c>
      <c r="J2050">
        <f t="shared" ca="1" si="162"/>
        <v>1</v>
      </c>
      <c r="K2050">
        <f t="shared" ca="1" si="163"/>
        <v>0</v>
      </c>
      <c r="L2050" s="65">
        <v>2044</v>
      </c>
      <c r="M2050" s="71">
        <f t="shared" ca="1" si="159"/>
        <v>11.584242652978366</v>
      </c>
      <c r="N2050" s="65"/>
    </row>
    <row r="2051" spans="1:14" x14ac:dyDescent="0.25">
      <c r="A2051" s="2">
        <v>2045</v>
      </c>
      <c r="B2051" s="11">
        <f t="shared" ca="1" si="161"/>
        <v>1</v>
      </c>
      <c r="C2051" s="26">
        <f t="shared" ca="1" si="160"/>
        <v>0.69070309179137801</v>
      </c>
      <c r="J2051">
        <f t="shared" ca="1" si="162"/>
        <v>1</v>
      </c>
      <c r="K2051">
        <f t="shared" ca="1" si="163"/>
        <v>0</v>
      </c>
      <c r="L2051" s="65">
        <v>2045</v>
      </c>
      <c r="M2051" s="71">
        <f t="shared" ca="1" si="159"/>
        <v>9.2830665145795432</v>
      </c>
      <c r="N2051" s="65"/>
    </row>
    <row r="2052" spans="1:14" x14ac:dyDescent="0.25">
      <c r="A2052" s="2">
        <v>2046</v>
      </c>
      <c r="B2052" s="11">
        <f t="shared" ca="1" si="161"/>
        <v>1</v>
      </c>
      <c r="C2052" s="26">
        <f t="shared" ca="1" si="160"/>
        <v>0.2583921609651848</v>
      </c>
      <c r="J2052">
        <f t="shared" ca="1" si="162"/>
        <v>1</v>
      </c>
      <c r="K2052">
        <f t="shared" ca="1" si="163"/>
        <v>0</v>
      </c>
      <c r="L2052" s="65">
        <v>2046</v>
      </c>
      <c r="M2052" s="71">
        <f t="shared" ca="1" si="159"/>
        <v>1.7221565995792383</v>
      </c>
      <c r="N2052" s="65"/>
    </row>
    <row r="2053" spans="1:14" x14ac:dyDescent="0.25">
      <c r="A2053" s="2">
        <v>2047</v>
      </c>
      <c r="B2053" s="11">
        <f t="shared" ca="1" si="161"/>
        <v>1</v>
      </c>
      <c r="C2053" s="26">
        <f t="shared" ca="1" si="160"/>
        <v>0.52672005853612425</v>
      </c>
      <c r="J2053">
        <f t="shared" ca="1" si="162"/>
        <v>1</v>
      </c>
      <c r="K2053">
        <f t="shared" ca="1" si="163"/>
        <v>0</v>
      </c>
      <c r="L2053" s="65">
        <v>2047</v>
      </c>
      <c r="M2053" s="71">
        <f t="shared" ca="1" si="159"/>
        <v>2.8214635322017791</v>
      </c>
      <c r="N2053" s="65"/>
    </row>
    <row r="2054" spans="1:14" x14ac:dyDescent="0.25">
      <c r="A2054" s="2">
        <v>2048</v>
      </c>
      <c r="B2054" s="11">
        <f t="shared" ca="1" si="161"/>
        <v>1</v>
      </c>
      <c r="C2054" s="26">
        <f t="shared" ca="1" si="160"/>
        <v>0.47546899576754864</v>
      </c>
      <c r="J2054">
        <f t="shared" ca="1" si="162"/>
        <v>1</v>
      </c>
      <c r="K2054">
        <f t="shared" ca="1" si="163"/>
        <v>0</v>
      </c>
      <c r="L2054" s="65">
        <v>2048</v>
      </c>
      <c r="M2054" s="71">
        <f t="shared" ca="1" si="159"/>
        <v>1.3997837533476463</v>
      </c>
      <c r="N2054" s="65"/>
    </row>
    <row r="2055" spans="1:14" x14ac:dyDescent="0.25">
      <c r="A2055" s="2">
        <v>2049</v>
      </c>
      <c r="B2055" s="11">
        <f t="shared" ca="1" si="161"/>
        <v>1</v>
      </c>
      <c r="C2055" s="26">
        <f t="shared" ca="1" si="160"/>
        <v>0.74826429574751319</v>
      </c>
      <c r="J2055">
        <f t="shared" ca="1" si="162"/>
        <v>0</v>
      </c>
      <c r="K2055">
        <f t="shared" ca="1" si="163"/>
        <v>0</v>
      </c>
      <c r="L2055" s="65">
        <v>2049</v>
      </c>
      <c r="M2055" s="71">
        <f t="shared" ref="M2055:M2118" ca="1" si="164">IF(B2055&gt;0,-LN(1-(RAND()))/lambda,0)</f>
        <v>0.21465050450916745</v>
      </c>
      <c r="N2055" s="65"/>
    </row>
    <row r="2056" spans="1:14" x14ac:dyDescent="0.25">
      <c r="A2056" s="2">
        <v>2050</v>
      </c>
      <c r="B2056" s="11">
        <f t="shared" ca="1" si="161"/>
        <v>0</v>
      </c>
      <c r="C2056" s="26">
        <f t="shared" ref="C2056:C2119" ca="1" si="165">RAND()</f>
        <v>0.92062043803057381</v>
      </c>
      <c r="J2056">
        <f t="shared" ca="1" si="162"/>
        <v>0</v>
      </c>
      <c r="K2056">
        <f t="shared" ca="1" si="163"/>
        <v>0</v>
      </c>
      <c r="L2056" s="65">
        <v>2050</v>
      </c>
      <c r="M2056" s="71">
        <f t="shared" ca="1" si="164"/>
        <v>0</v>
      </c>
      <c r="N2056" s="65"/>
    </row>
    <row r="2057" spans="1:14" x14ac:dyDescent="0.25">
      <c r="A2057" s="2">
        <v>2051</v>
      </c>
      <c r="B2057" s="11">
        <f t="shared" ca="1" si="161"/>
        <v>1</v>
      </c>
      <c r="C2057" s="26">
        <f t="shared" ca="1" si="165"/>
        <v>8.1270690946710689E-2</v>
      </c>
      <c r="J2057">
        <f t="shared" ca="1" si="162"/>
        <v>1</v>
      </c>
      <c r="K2057">
        <f t="shared" ca="1" si="163"/>
        <v>0</v>
      </c>
      <c r="L2057" s="65">
        <v>2051</v>
      </c>
      <c r="M2057" s="71">
        <f t="shared" ca="1" si="164"/>
        <v>1.8015690639848045</v>
      </c>
      <c r="N2057" s="65"/>
    </row>
    <row r="2058" spans="1:14" x14ac:dyDescent="0.25">
      <c r="A2058" s="2">
        <v>2052</v>
      </c>
      <c r="B2058" s="11">
        <f t="shared" ca="1" si="161"/>
        <v>1</v>
      </c>
      <c r="C2058" s="26">
        <f t="shared" ca="1" si="165"/>
        <v>0.32598255178530089</v>
      </c>
      <c r="J2058">
        <f t="shared" ca="1" si="162"/>
        <v>1</v>
      </c>
      <c r="K2058">
        <f t="shared" ca="1" si="163"/>
        <v>0</v>
      </c>
      <c r="L2058" s="65">
        <v>2052</v>
      </c>
      <c r="M2058" s="71">
        <f t="shared" ca="1" si="164"/>
        <v>11.981490208354876</v>
      </c>
      <c r="N2058" s="65"/>
    </row>
    <row r="2059" spans="1:14" x14ac:dyDescent="0.25">
      <c r="A2059" s="2">
        <v>2053</v>
      </c>
      <c r="B2059" s="11">
        <f t="shared" ca="1" si="161"/>
        <v>1</v>
      </c>
      <c r="C2059" s="26">
        <f t="shared" ca="1" si="165"/>
        <v>0.44606597707164242</v>
      </c>
      <c r="J2059">
        <f t="shared" ca="1" si="162"/>
        <v>1</v>
      </c>
      <c r="K2059">
        <f t="shared" ca="1" si="163"/>
        <v>0</v>
      </c>
      <c r="L2059" s="65">
        <v>2053</v>
      </c>
      <c r="M2059" s="71">
        <f t="shared" ca="1" si="164"/>
        <v>1.7008014860577991</v>
      </c>
      <c r="N2059" s="65"/>
    </row>
    <row r="2060" spans="1:14" x14ac:dyDescent="0.25">
      <c r="A2060" s="2">
        <v>2054</v>
      </c>
      <c r="B2060" s="11">
        <f t="shared" ca="1" si="161"/>
        <v>1</v>
      </c>
      <c r="C2060" s="26">
        <f t="shared" ca="1" si="165"/>
        <v>5.8086119514967227E-2</v>
      </c>
      <c r="J2060">
        <f t="shared" ca="1" si="162"/>
        <v>1</v>
      </c>
      <c r="K2060">
        <f t="shared" ca="1" si="163"/>
        <v>0</v>
      </c>
      <c r="L2060" s="65">
        <v>2054</v>
      </c>
      <c r="M2060" s="71">
        <f t="shared" ca="1" si="164"/>
        <v>2.0908497109227016</v>
      </c>
      <c r="N2060" s="65"/>
    </row>
    <row r="2061" spans="1:14" x14ac:dyDescent="0.25">
      <c r="A2061" s="2">
        <v>2055</v>
      </c>
      <c r="B2061" s="11">
        <f t="shared" ca="1" si="161"/>
        <v>1</v>
      </c>
      <c r="C2061" s="26">
        <f t="shared" ca="1" si="165"/>
        <v>0.29528150010419252</v>
      </c>
      <c r="J2061">
        <f t="shared" ca="1" si="162"/>
        <v>1</v>
      </c>
      <c r="K2061">
        <f t="shared" ca="1" si="163"/>
        <v>0</v>
      </c>
      <c r="L2061" s="65">
        <v>2055</v>
      </c>
      <c r="M2061" s="71">
        <f t="shared" ca="1" si="164"/>
        <v>1.4191873506605865</v>
      </c>
      <c r="N2061" s="65"/>
    </row>
    <row r="2062" spans="1:14" x14ac:dyDescent="0.25">
      <c r="A2062" s="2">
        <v>2056</v>
      </c>
      <c r="B2062" s="11">
        <f t="shared" ca="1" si="161"/>
        <v>1</v>
      </c>
      <c r="C2062" s="26">
        <f t="shared" ca="1" si="165"/>
        <v>0.23527161319407819</v>
      </c>
      <c r="J2062">
        <f t="shared" ca="1" si="162"/>
        <v>1</v>
      </c>
      <c r="K2062">
        <f t="shared" ca="1" si="163"/>
        <v>0</v>
      </c>
      <c r="L2062" s="65">
        <v>2056</v>
      </c>
      <c r="M2062" s="71">
        <f t="shared" ca="1" si="164"/>
        <v>1.9271958951210417</v>
      </c>
      <c r="N2062" s="65"/>
    </row>
    <row r="2063" spans="1:14" x14ac:dyDescent="0.25">
      <c r="A2063" s="2">
        <v>2057</v>
      </c>
      <c r="B2063" s="11">
        <f t="shared" ca="1" si="161"/>
        <v>1</v>
      </c>
      <c r="C2063" s="26">
        <f t="shared" ca="1" si="165"/>
        <v>0.56402791520048579</v>
      </c>
      <c r="J2063">
        <f t="shared" ca="1" si="162"/>
        <v>0</v>
      </c>
      <c r="K2063">
        <f t="shared" ca="1" si="163"/>
        <v>0</v>
      </c>
      <c r="L2063" s="65">
        <v>2057</v>
      </c>
      <c r="M2063" s="71">
        <f t="shared" ca="1" si="164"/>
        <v>2.8561603485637006</v>
      </c>
      <c r="N2063" s="65"/>
    </row>
    <row r="2064" spans="1:14" x14ac:dyDescent="0.25">
      <c r="A2064" s="2">
        <v>2058</v>
      </c>
      <c r="B2064" s="11">
        <f t="shared" ca="1" si="161"/>
        <v>0</v>
      </c>
      <c r="C2064" s="26">
        <f t="shared" ca="1" si="165"/>
        <v>0.98781075971499599</v>
      </c>
      <c r="J2064">
        <f t="shared" ca="1" si="162"/>
        <v>0</v>
      </c>
      <c r="K2064">
        <f t="shared" ca="1" si="163"/>
        <v>1</v>
      </c>
      <c r="L2064" s="65">
        <v>2058</v>
      </c>
      <c r="M2064" s="71">
        <f t="shared" ca="1" si="164"/>
        <v>0</v>
      </c>
      <c r="N2064" s="65"/>
    </row>
    <row r="2065" spans="1:14" x14ac:dyDescent="0.25">
      <c r="A2065" s="2">
        <v>2059</v>
      </c>
      <c r="B2065" s="11">
        <f t="shared" ca="1" si="161"/>
        <v>0</v>
      </c>
      <c r="C2065" s="26">
        <f t="shared" ca="1" si="165"/>
        <v>0.73859102449441838</v>
      </c>
      <c r="J2065">
        <f t="shared" ca="1" si="162"/>
        <v>0</v>
      </c>
      <c r="K2065">
        <f t="shared" ca="1" si="163"/>
        <v>0</v>
      </c>
      <c r="L2065" s="65">
        <v>2059</v>
      </c>
      <c r="M2065" s="71">
        <f t="shared" ca="1" si="164"/>
        <v>0</v>
      </c>
      <c r="N2065" s="65"/>
    </row>
    <row r="2066" spans="1:14" x14ac:dyDescent="0.25">
      <c r="A2066" s="2">
        <v>2060</v>
      </c>
      <c r="B2066" s="11">
        <f t="shared" ca="1" si="161"/>
        <v>1</v>
      </c>
      <c r="C2066" s="26">
        <f t="shared" ca="1" si="165"/>
        <v>0.6899617763241892</v>
      </c>
      <c r="J2066">
        <f t="shared" ca="1" si="162"/>
        <v>1</v>
      </c>
      <c r="K2066">
        <f t="shared" ca="1" si="163"/>
        <v>0</v>
      </c>
      <c r="L2066" s="65">
        <v>2060</v>
      </c>
      <c r="M2066" s="71">
        <f t="shared" ca="1" si="164"/>
        <v>2.1034940133756601</v>
      </c>
      <c r="N2066" s="65"/>
    </row>
    <row r="2067" spans="1:14" x14ac:dyDescent="0.25">
      <c r="A2067" s="2">
        <v>2061</v>
      </c>
      <c r="B2067" s="11">
        <f t="shared" ca="1" si="161"/>
        <v>1</v>
      </c>
      <c r="C2067" s="26">
        <f t="shared" ca="1" si="165"/>
        <v>9.2104469062257666E-2</v>
      </c>
      <c r="J2067">
        <f t="shared" ca="1" si="162"/>
        <v>0</v>
      </c>
      <c r="K2067">
        <f t="shared" ca="1" si="163"/>
        <v>0</v>
      </c>
      <c r="L2067" s="65">
        <v>2061</v>
      </c>
      <c r="M2067" s="71">
        <f t="shared" ca="1" si="164"/>
        <v>6.1033225765299433</v>
      </c>
      <c r="N2067" s="65"/>
    </row>
    <row r="2068" spans="1:14" x14ac:dyDescent="0.25">
      <c r="A2068" s="2">
        <v>2062</v>
      </c>
      <c r="B2068" s="11">
        <f t="shared" ca="1" si="161"/>
        <v>0</v>
      </c>
      <c r="C2068" s="26">
        <f t="shared" ca="1" si="165"/>
        <v>0.97398236613297062</v>
      </c>
      <c r="J2068">
        <f t="shared" ca="1" si="162"/>
        <v>0</v>
      </c>
      <c r="K2068">
        <f t="shared" ca="1" si="163"/>
        <v>0</v>
      </c>
      <c r="L2068" s="65">
        <v>2062</v>
      </c>
      <c r="M2068" s="71">
        <f t="shared" ca="1" si="164"/>
        <v>0</v>
      </c>
      <c r="N2068" s="65"/>
    </row>
    <row r="2069" spans="1:14" x14ac:dyDescent="0.25">
      <c r="A2069" s="2">
        <v>2063</v>
      </c>
      <c r="B2069" s="11">
        <f t="shared" ca="1" si="161"/>
        <v>1</v>
      </c>
      <c r="C2069" s="26">
        <f t="shared" ca="1" si="165"/>
        <v>1.0573477892872329E-2</v>
      </c>
      <c r="J2069">
        <f t="shared" ca="1" si="162"/>
        <v>1</v>
      </c>
      <c r="K2069">
        <f t="shared" ca="1" si="163"/>
        <v>0</v>
      </c>
      <c r="L2069" s="65">
        <v>2063</v>
      </c>
      <c r="M2069" s="71">
        <f t="shared" ca="1" si="164"/>
        <v>4.1530529539546093</v>
      </c>
      <c r="N2069" s="65"/>
    </row>
    <row r="2070" spans="1:14" x14ac:dyDescent="0.25">
      <c r="A2070" s="2">
        <v>2064</v>
      </c>
      <c r="B2070" s="11">
        <f t="shared" ca="1" si="161"/>
        <v>1</v>
      </c>
      <c r="C2070" s="26">
        <f t="shared" ca="1" si="165"/>
        <v>9.7834045560220573E-2</v>
      </c>
      <c r="J2070">
        <f t="shared" ca="1" si="162"/>
        <v>0</v>
      </c>
      <c r="K2070">
        <f t="shared" ca="1" si="163"/>
        <v>0</v>
      </c>
      <c r="L2070" s="65">
        <v>2064</v>
      </c>
      <c r="M2070" s="71">
        <f t="shared" ca="1" si="164"/>
        <v>0.75831334697679076</v>
      </c>
      <c r="N2070" s="65"/>
    </row>
    <row r="2071" spans="1:14" x14ac:dyDescent="0.25">
      <c r="A2071" s="2">
        <v>2065</v>
      </c>
      <c r="B2071" s="11">
        <f t="shared" ca="1" si="161"/>
        <v>0</v>
      </c>
      <c r="C2071" s="26">
        <f t="shared" ca="1" si="165"/>
        <v>0.92145545173058219</v>
      </c>
      <c r="J2071">
        <f t="shared" ca="1" si="162"/>
        <v>0</v>
      </c>
      <c r="K2071">
        <f t="shared" ca="1" si="163"/>
        <v>0</v>
      </c>
      <c r="L2071" s="65">
        <v>2065</v>
      </c>
      <c r="M2071" s="71">
        <f t="shared" ca="1" si="164"/>
        <v>0</v>
      </c>
      <c r="N2071" s="65"/>
    </row>
    <row r="2072" spans="1:14" x14ac:dyDescent="0.25">
      <c r="A2072" s="2">
        <v>2066</v>
      </c>
      <c r="B2072" s="11">
        <f t="shared" ca="1" si="161"/>
        <v>1</v>
      </c>
      <c r="C2072" s="26">
        <f t="shared" ca="1" si="165"/>
        <v>0.24410813043362878</v>
      </c>
      <c r="J2072">
        <f t="shared" ca="1" si="162"/>
        <v>1</v>
      </c>
      <c r="K2072">
        <f t="shared" ca="1" si="163"/>
        <v>0</v>
      </c>
      <c r="L2072" s="65">
        <v>2066</v>
      </c>
      <c r="M2072" s="71">
        <f t="shared" ca="1" si="164"/>
        <v>1.418093739388723</v>
      </c>
      <c r="N2072" s="65"/>
    </row>
    <row r="2073" spans="1:14" x14ac:dyDescent="0.25">
      <c r="A2073" s="2">
        <v>2067</v>
      </c>
      <c r="B2073" s="11">
        <f t="shared" ca="1" si="161"/>
        <v>1</v>
      </c>
      <c r="C2073" s="26">
        <f t="shared" ca="1" si="165"/>
        <v>0.34207950244437446</v>
      </c>
      <c r="J2073">
        <f t="shared" ca="1" si="162"/>
        <v>0</v>
      </c>
      <c r="K2073">
        <f t="shared" ca="1" si="163"/>
        <v>0</v>
      </c>
      <c r="L2073" s="65">
        <v>2067</v>
      </c>
      <c r="M2073" s="71">
        <f t="shared" ca="1" si="164"/>
        <v>0.5370440517440892</v>
      </c>
      <c r="N2073" s="65"/>
    </row>
    <row r="2074" spans="1:14" x14ac:dyDescent="0.25">
      <c r="A2074" s="2">
        <v>2068</v>
      </c>
      <c r="B2074" s="11">
        <f t="shared" ca="1" si="161"/>
        <v>0</v>
      </c>
      <c r="C2074" s="26">
        <f t="shared" ca="1" si="165"/>
        <v>0.8756157056170083</v>
      </c>
      <c r="J2074">
        <f t="shared" ca="1" si="162"/>
        <v>0</v>
      </c>
      <c r="K2074">
        <f t="shared" ca="1" si="163"/>
        <v>0</v>
      </c>
      <c r="L2074" s="65">
        <v>2068</v>
      </c>
      <c r="M2074" s="71">
        <f t="shared" ca="1" si="164"/>
        <v>0</v>
      </c>
      <c r="N2074" s="65"/>
    </row>
    <row r="2075" spans="1:14" x14ac:dyDescent="0.25">
      <c r="A2075" s="2">
        <v>2069</v>
      </c>
      <c r="B2075" s="11">
        <f t="shared" ca="1" si="161"/>
        <v>1</v>
      </c>
      <c r="C2075" s="26">
        <f t="shared" ca="1" si="165"/>
        <v>0.5010706665993776</v>
      </c>
      <c r="J2075">
        <f t="shared" ca="1" si="162"/>
        <v>1</v>
      </c>
      <c r="K2075">
        <f t="shared" ca="1" si="163"/>
        <v>0</v>
      </c>
      <c r="L2075" s="65">
        <v>2069</v>
      </c>
      <c r="M2075" s="71">
        <f t="shared" ca="1" si="164"/>
        <v>6.4314338133470011E-2</v>
      </c>
      <c r="N2075" s="65"/>
    </row>
    <row r="2076" spans="1:14" x14ac:dyDescent="0.25">
      <c r="A2076" s="2">
        <v>2070</v>
      </c>
      <c r="B2076" s="11">
        <f t="shared" ca="1" si="161"/>
        <v>1</v>
      </c>
      <c r="C2076" s="26">
        <f t="shared" ca="1" si="165"/>
        <v>0.43268651722031504</v>
      </c>
      <c r="J2076">
        <f t="shared" ca="1" si="162"/>
        <v>1</v>
      </c>
      <c r="K2076">
        <f t="shared" ca="1" si="163"/>
        <v>0</v>
      </c>
      <c r="L2076" s="65">
        <v>2070</v>
      </c>
      <c r="M2076" s="71">
        <f t="shared" ca="1" si="164"/>
        <v>1.9407567707798248</v>
      </c>
      <c r="N2076" s="65"/>
    </row>
    <row r="2077" spans="1:14" x14ac:dyDescent="0.25">
      <c r="A2077" s="2">
        <v>2071</v>
      </c>
      <c r="B2077" s="11">
        <f t="shared" ca="1" si="161"/>
        <v>1</v>
      </c>
      <c r="C2077" s="26">
        <f t="shared" ca="1" si="165"/>
        <v>0.29578368717504655</v>
      </c>
      <c r="J2077">
        <f t="shared" ca="1" si="162"/>
        <v>1</v>
      </c>
      <c r="K2077">
        <f t="shared" ca="1" si="163"/>
        <v>0</v>
      </c>
      <c r="L2077" s="65">
        <v>2071</v>
      </c>
      <c r="M2077" s="71">
        <f t="shared" ca="1" si="164"/>
        <v>0.7532965393452693</v>
      </c>
      <c r="N2077" s="65"/>
    </row>
    <row r="2078" spans="1:14" x14ac:dyDescent="0.25">
      <c r="A2078" s="2">
        <v>2072</v>
      </c>
      <c r="B2078" s="11">
        <f t="shared" ca="1" si="161"/>
        <v>1</v>
      </c>
      <c r="C2078" s="26">
        <f t="shared" ca="1" si="165"/>
        <v>0.27072873181438084</v>
      </c>
      <c r="J2078">
        <f t="shared" ca="1" si="162"/>
        <v>1</v>
      </c>
      <c r="K2078">
        <f t="shared" ca="1" si="163"/>
        <v>0</v>
      </c>
      <c r="L2078" s="65">
        <v>2072</v>
      </c>
      <c r="M2078" s="71">
        <f t="shared" ca="1" si="164"/>
        <v>5.1592902305080282</v>
      </c>
      <c r="N2078" s="65"/>
    </row>
    <row r="2079" spans="1:14" x14ac:dyDescent="0.25">
      <c r="A2079" s="2">
        <v>2073</v>
      </c>
      <c r="B2079" s="11">
        <f t="shared" ca="1" si="161"/>
        <v>1</v>
      </c>
      <c r="C2079" s="26">
        <f t="shared" ca="1" si="165"/>
        <v>0.53585809350803237</v>
      </c>
      <c r="J2079">
        <f t="shared" ca="1" si="162"/>
        <v>0</v>
      </c>
      <c r="K2079">
        <f t="shared" ca="1" si="163"/>
        <v>0</v>
      </c>
      <c r="L2079" s="65">
        <v>2073</v>
      </c>
      <c r="M2079" s="71">
        <f t="shared" ca="1" si="164"/>
        <v>15.627949655265155</v>
      </c>
      <c r="N2079" s="65"/>
    </row>
    <row r="2080" spans="1:14" x14ac:dyDescent="0.25">
      <c r="A2080" s="2">
        <v>2074</v>
      </c>
      <c r="B2080" s="11">
        <f t="shared" ca="1" si="161"/>
        <v>0</v>
      </c>
      <c r="C2080" s="26">
        <f t="shared" ca="1" si="165"/>
        <v>0.98577642930277509</v>
      </c>
      <c r="J2080">
        <f t="shared" ca="1" si="162"/>
        <v>0</v>
      </c>
      <c r="K2080">
        <f t="shared" ca="1" si="163"/>
        <v>0</v>
      </c>
      <c r="L2080" s="65">
        <v>2074</v>
      </c>
      <c r="M2080" s="71">
        <f t="shared" ca="1" si="164"/>
        <v>0</v>
      </c>
      <c r="N2080" s="65"/>
    </row>
    <row r="2081" spans="1:14" x14ac:dyDescent="0.25">
      <c r="A2081" s="2">
        <v>2075</v>
      </c>
      <c r="B2081" s="11">
        <f t="shared" ca="1" si="161"/>
        <v>1</v>
      </c>
      <c r="C2081" s="26">
        <f t="shared" ca="1" si="165"/>
        <v>0.4064334870483548</v>
      </c>
      <c r="J2081">
        <f t="shared" ca="1" si="162"/>
        <v>1</v>
      </c>
      <c r="K2081">
        <f t="shared" ca="1" si="163"/>
        <v>0</v>
      </c>
      <c r="L2081" s="65">
        <v>2075</v>
      </c>
      <c r="M2081" s="71">
        <f t="shared" ca="1" si="164"/>
        <v>3.1564663324203051</v>
      </c>
      <c r="N2081" s="65"/>
    </row>
    <row r="2082" spans="1:14" x14ac:dyDescent="0.25">
      <c r="A2082" s="2">
        <v>2076</v>
      </c>
      <c r="B2082" s="11">
        <f t="shared" ca="1" si="161"/>
        <v>1</v>
      </c>
      <c r="C2082" s="26">
        <f t="shared" ca="1" si="165"/>
        <v>7.707945363774249E-2</v>
      </c>
      <c r="J2082">
        <f t="shared" ca="1" si="162"/>
        <v>1</v>
      </c>
      <c r="K2082">
        <f t="shared" ca="1" si="163"/>
        <v>0</v>
      </c>
      <c r="L2082" s="65">
        <v>2076</v>
      </c>
      <c r="M2082" s="71">
        <f t="shared" ca="1" si="164"/>
        <v>1.3839296093296538</v>
      </c>
      <c r="N2082" s="65"/>
    </row>
    <row r="2083" spans="1:14" x14ac:dyDescent="0.25">
      <c r="A2083" s="2">
        <v>2077</v>
      </c>
      <c r="B2083" s="11">
        <f t="shared" ca="1" si="161"/>
        <v>1</v>
      </c>
      <c r="C2083" s="26">
        <f t="shared" ca="1" si="165"/>
        <v>0.70594295287092379</v>
      </c>
      <c r="J2083">
        <f t="shared" ca="1" si="162"/>
        <v>1</v>
      </c>
      <c r="K2083">
        <f t="shared" ca="1" si="163"/>
        <v>0</v>
      </c>
      <c r="L2083" s="65">
        <v>2077</v>
      </c>
      <c r="M2083" s="71">
        <f t="shared" ca="1" si="164"/>
        <v>1.9669445214344496</v>
      </c>
      <c r="N2083" s="65"/>
    </row>
    <row r="2084" spans="1:14" x14ac:dyDescent="0.25">
      <c r="A2084" s="2">
        <v>2078</v>
      </c>
      <c r="B2084" s="11">
        <f t="shared" ca="1" si="161"/>
        <v>1</v>
      </c>
      <c r="C2084" s="26">
        <f t="shared" ca="1" si="165"/>
        <v>0.26591343884388752</v>
      </c>
      <c r="J2084">
        <f t="shared" ca="1" si="162"/>
        <v>1</v>
      </c>
      <c r="K2084">
        <f t="shared" ca="1" si="163"/>
        <v>0</v>
      </c>
      <c r="L2084" s="65">
        <v>2078</v>
      </c>
      <c r="M2084" s="71">
        <f t="shared" ca="1" si="164"/>
        <v>1.0419688508035807</v>
      </c>
      <c r="N2084" s="65"/>
    </row>
    <row r="2085" spans="1:14" x14ac:dyDescent="0.25">
      <c r="A2085" s="2">
        <v>2079</v>
      </c>
      <c r="B2085" s="11">
        <f t="shared" ca="1" si="161"/>
        <v>1</v>
      </c>
      <c r="C2085" s="26">
        <f t="shared" ca="1" si="165"/>
        <v>0.43209558910241308</v>
      </c>
      <c r="J2085">
        <f t="shared" ca="1" si="162"/>
        <v>1</v>
      </c>
      <c r="K2085">
        <f t="shared" ca="1" si="163"/>
        <v>0</v>
      </c>
      <c r="L2085" s="65">
        <v>2079</v>
      </c>
      <c r="M2085" s="71">
        <f t="shared" ca="1" si="164"/>
        <v>5.2095295600802016</v>
      </c>
      <c r="N2085" s="65"/>
    </row>
    <row r="2086" spans="1:14" x14ac:dyDescent="0.25">
      <c r="A2086" s="2">
        <v>2080</v>
      </c>
      <c r="B2086" s="11">
        <f t="shared" ca="1" si="161"/>
        <v>1</v>
      </c>
      <c r="C2086" s="26">
        <f t="shared" ca="1" si="165"/>
        <v>0.15478941355591891</v>
      </c>
      <c r="J2086">
        <f t="shared" ca="1" si="162"/>
        <v>1</v>
      </c>
      <c r="K2086">
        <f t="shared" ca="1" si="163"/>
        <v>0</v>
      </c>
      <c r="L2086" s="65">
        <v>2080</v>
      </c>
      <c r="M2086" s="71">
        <f t="shared" ca="1" si="164"/>
        <v>1.1973299270877782</v>
      </c>
      <c r="N2086" s="65"/>
    </row>
    <row r="2087" spans="1:14" x14ac:dyDescent="0.25">
      <c r="A2087" s="2">
        <v>2081</v>
      </c>
      <c r="B2087" s="11">
        <f t="shared" ca="1" si="161"/>
        <v>1</v>
      </c>
      <c r="C2087" s="26">
        <f t="shared" ca="1" si="165"/>
        <v>0.1104748393041467</v>
      </c>
      <c r="J2087">
        <f t="shared" ca="1" si="162"/>
        <v>1</v>
      </c>
      <c r="K2087">
        <f t="shared" ca="1" si="163"/>
        <v>0</v>
      </c>
      <c r="L2087" s="65">
        <v>2081</v>
      </c>
      <c r="M2087" s="71">
        <f t="shared" ca="1" si="164"/>
        <v>6.482781890883544</v>
      </c>
      <c r="N2087" s="65"/>
    </row>
    <row r="2088" spans="1:14" x14ac:dyDescent="0.25">
      <c r="A2088" s="2">
        <v>2082</v>
      </c>
      <c r="B2088" s="11">
        <f t="shared" ca="1" si="161"/>
        <v>1</v>
      </c>
      <c r="C2088" s="26">
        <f t="shared" ca="1" si="165"/>
        <v>3.5235564555729848E-2</v>
      </c>
      <c r="J2088">
        <f t="shared" ca="1" si="162"/>
        <v>1</v>
      </c>
      <c r="K2088">
        <f t="shared" ca="1" si="163"/>
        <v>0</v>
      </c>
      <c r="L2088" s="65">
        <v>2082</v>
      </c>
      <c r="M2088" s="71">
        <f t="shared" ca="1" si="164"/>
        <v>0.7346848393448463</v>
      </c>
      <c r="N2088" s="65"/>
    </row>
    <row r="2089" spans="1:14" x14ac:dyDescent="0.25">
      <c r="A2089" s="2">
        <v>2083</v>
      </c>
      <c r="B2089" s="11">
        <f t="shared" ca="1" si="161"/>
        <v>1</v>
      </c>
      <c r="C2089" s="26">
        <f t="shared" ca="1" si="165"/>
        <v>0.60917602933918491</v>
      </c>
      <c r="J2089">
        <f t="shared" ca="1" si="162"/>
        <v>1</v>
      </c>
      <c r="K2089">
        <f t="shared" ca="1" si="163"/>
        <v>0</v>
      </c>
      <c r="L2089" s="65">
        <v>2083</v>
      </c>
      <c r="M2089" s="71">
        <f t="shared" ca="1" si="164"/>
        <v>8.0964338371162192</v>
      </c>
      <c r="N2089" s="65"/>
    </row>
    <row r="2090" spans="1:14" x14ac:dyDescent="0.25">
      <c r="A2090" s="2">
        <v>2084</v>
      </c>
      <c r="B2090" s="11">
        <f t="shared" ca="1" si="161"/>
        <v>1</v>
      </c>
      <c r="C2090" s="26">
        <f t="shared" ca="1" si="165"/>
        <v>0.53002836496266137</v>
      </c>
      <c r="J2090">
        <f t="shared" ca="1" si="162"/>
        <v>1</v>
      </c>
      <c r="K2090">
        <f t="shared" ca="1" si="163"/>
        <v>0</v>
      </c>
      <c r="L2090" s="65">
        <v>2084</v>
      </c>
      <c r="M2090" s="71">
        <f t="shared" ca="1" si="164"/>
        <v>2.8180164093367877</v>
      </c>
      <c r="N2090" s="65"/>
    </row>
    <row r="2091" spans="1:14" x14ac:dyDescent="0.25">
      <c r="A2091" s="2">
        <v>2085</v>
      </c>
      <c r="B2091" s="11">
        <f t="shared" ca="1" si="161"/>
        <v>1</v>
      </c>
      <c r="C2091" s="26">
        <f t="shared" ca="1" si="165"/>
        <v>0.70494417243708207</v>
      </c>
      <c r="J2091">
        <f t="shared" ca="1" si="162"/>
        <v>1</v>
      </c>
      <c r="K2091">
        <f t="shared" ca="1" si="163"/>
        <v>0</v>
      </c>
      <c r="L2091" s="65">
        <v>2085</v>
      </c>
      <c r="M2091" s="71">
        <f t="shared" ca="1" si="164"/>
        <v>9.2039573060069415</v>
      </c>
      <c r="N2091" s="65"/>
    </row>
    <row r="2092" spans="1:14" x14ac:dyDescent="0.25">
      <c r="A2092" s="2">
        <v>2086</v>
      </c>
      <c r="B2092" s="11">
        <f t="shared" ca="1" si="161"/>
        <v>1</v>
      </c>
      <c r="C2092" s="26">
        <f t="shared" ca="1" si="165"/>
        <v>0.43160633397078241</v>
      </c>
      <c r="J2092">
        <f t="shared" ca="1" si="162"/>
        <v>1</v>
      </c>
      <c r="K2092">
        <f t="shared" ca="1" si="163"/>
        <v>0</v>
      </c>
      <c r="L2092" s="65">
        <v>2086</v>
      </c>
      <c r="M2092" s="71">
        <f t="shared" ca="1" si="164"/>
        <v>2.9489334106573226</v>
      </c>
      <c r="N2092" s="65"/>
    </row>
    <row r="2093" spans="1:14" x14ac:dyDescent="0.25">
      <c r="A2093" s="2">
        <v>2087</v>
      </c>
      <c r="B2093" s="11">
        <f t="shared" ca="1" si="161"/>
        <v>1</v>
      </c>
      <c r="C2093" s="26">
        <f t="shared" ca="1" si="165"/>
        <v>0.52902789554823271</v>
      </c>
      <c r="J2093">
        <f t="shared" ca="1" si="162"/>
        <v>1</v>
      </c>
      <c r="K2093">
        <f t="shared" ca="1" si="163"/>
        <v>0</v>
      </c>
      <c r="L2093" s="65">
        <v>2087</v>
      </c>
      <c r="M2093" s="71">
        <f t="shared" ca="1" si="164"/>
        <v>3.0095098592436438</v>
      </c>
      <c r="N2093" s="65"/>
    </row>
    <row r="2094" spans="1:14" x14ac:dyDescent="0.25">
      <c r="A2094" s="2">
        <v>2088</v>
      </c>
      <c r="B2094" s="11">
        <f t="shared" ca="1" si="161"/>
        <v>1</v>
      </c>
      <c r="C2094" s="26">
        <f t="shared" ca="1" si="165"/>
        <v>0.28246113337652679</v>
      </c>
      <c r="J2094">
        <f t="shared" ca="1" si="162"/>
        <v>1</v>
      </c>
      <c r="K2094">
        <f t="shared" ca="1" si="163"/>
        <v>0</v>
      </c>
      <c r="L2094" s="65">
        <v>2088</v>
      </c>
      <c r="M2094" s="71">
        <f t="shared" ca="1" si="164"/>
        <v>4.1532729372683956</v>
      </c>
      <c r="N2094" s="65"/>
    </row>
    <row r="2095" spans="1:14" x14ac:dyDescent="0.25">
      <c r="A2095" s="2">
        <v>2089</v>
      </c>
      <c r="B2095" s="11">
        <f t="shared" ref="B2095:B2158" ca="1" si="166">IF(B2094&gt;0,IF(C2095&lt;pww,1,0),IF(C2095&lt;pdw,1,0))</f>
        <v>1</v>
      </c>
      <c r="C2095" s="26">
        <f t="shared" ca="1" si="165"/>
        <v>0.55909727222589012</v>
      </c>
      <c r="J2095">
        <f t="shared" ref="J2095:J2158" ca="1" si="167">IF(AND(B2095,B2096),1,0)</f>
        <v>1</v>
      </c>
      <c r="K2095">
        <f t="shared" ref="K2095:K2158" ca="1" si="168">IF(AND(NOT(B2095),NOT(B2096)),1,0)</f>
        <v>0</v>
      </c>
      <c r="L2095" s="65">
        <v>2089</v>
      </c>
      <c r="M2095" s="71">
        <f t="shared" ca="1" si="164"/>
        <v>6.3241909545173902</v>
      </c>
      <c r="N2095" s="65"/>
    </row>
    <row r="2096" spans="1:14" x14ac:dyDescent="0.25">
      <c r="A2096" s="2">
        <v>2090</v>
      </c>
      <c r="B2096" s="11">
        <f t="shared" ca="1" si="166"/>
        <v>1</v>
      </c>
      <c r="C2096" s="26">
        <f t="shared" ca="1" si="165"/>
        <v>0.40452823858307108</v>
      </c>
      <c r="J2096">
        <f t="shared" ca="1" si="167"/>
        <v>1</v>
      </c>
      <c r="K2096">
        <f t="shared" ca="1" si="168"/>
        <v>0</v>
      </c>
      <c r="L2096" s="65">
        <v>2090</v>
      </c>
      <c r="M2096" s="71">
        <f t="shared" ca="1" si="164"/>
        <v>4.5390953069367077</v>
      </c>
      <c r="N2096" s="65"/>
    </row>
    <row r="2097" spans="1:14" x14ac:dyDescent="0.25">
      <c r="A2097" s="2">
        <v>2091</v>
      </c>
      <c r="B2097" s="11">
        <f t="shared" ca="1" si="166"/>
        <v>1</v>
      </c>
      <c r="C2097" s="26">
        <f t="shared" ca="1" si="165"/>
        <v>0.16527720002302715</v>
      </c>
      <c r="J2097">
        <f t="shared" ca="1" si="167"/>
        <v>0</v>
      </c>
      <c r="K2097">
        <f t="shared" ca="1" si="168"/>
        <v>0</v>
      </c>
      <c r="L2097" s="65">
        <v>2091</v>
      </c>
      <c r="M2097" s="71">
        <f t="shared" ca="1" si="164"/>
        <v>4.2451409025946125</v>
      </c>
      <c r="N2097" s="65"/>
    </row>
    <row r="2098" spans="1:14" x14ac:dyDescent="0.25">
      <c r="A2098" s="2">
        <v>2092</v>
      </c>
      <c r="B2098" s="11">
        <f t="shared" ca="1" si="166"/>
        <v>0</v>
      </c>
      <c r="C2098" s="26">
        <f t="shared" ca="1" si="165"/>
        <v>0.90267910176558441</v>
      </c>
      <c r="J2098">
        <f t="shared" ca="1" si="167"/>
        <v>0</v>
      </c>
      <c r="K2098">
        <f t="shared" ca="1" si="168"/>
        <v>1</v>
      </c>
      <c r="L2098" s="65">
        <v>2092</v>
      </c>
      <c r="M2098" s="71">
        <f t="shared" ca="1" si="164"/>
        <v>0</v>
      </c>
      <c r="N2098" s="65"/>
    </row>
    <row r="2099" spans="1:14" x14ac:dyDescent="0.25">
      <c r="A2099" s="2">
        <v>2093</v>
      </c>
      <c r="B2099" s="11">
        <f t="shared" ca="1" si="166"/>
        <v>0</v>
      </c>
      <c r="C2099" s="26">
        <f t="shared" ca="1" si="165"/>
        <v>0.8321316911323059</v>
      </c>
      <c r="J2099">
        <f t="shared" ca="1" si="167"/>
        <v>0</v>
      </c>
      <c r="K2099">
        <f t="shared" ca="1" si="168"/>
        <v>0</v>
      </c>
      <c r="L2099" s="65">
        <v>2093</v>
      </c>
      <c r="M2099" s="71">
        <f t="shared" ca="1" si="164"/>
        <v>0</v>
      </c>
      <c r="N2099" s="65"/>
    </row>
    <row r="2100" spans="1:14" x14ac:dyDescent="0.25">
      <c r="A2100" s="2">
        <v>2094</v>
      </c>
      <c r="B2100" s="11">
        <f t="shared" ca="1" si="166"/>
        <v>1</v>
      </c>
      <c r="C2100" s="26">
        <f t="shared" ca="1" si="165"/>
        <v>0.24648197976380215</v>
      </c>
      <c r="J2100">
        <f t="shared" ca="1" si="167"/>
        <v>1</v>
      </c>
      <c r="K2100">
        <f t="shared" ca="1" si="168"/>
        <v>0</v>
      </c>
      <c r="L2100" s="65">
        <v>2094</v>
      </c>
      <c r="M2100" s="71">
        <f t="shared" ca="1" si="164"/>
        <v>3.5051119053549007</v>
      </c>
      <c r="N2100" s="65"/>
    </row>
    <row r="2101" spans="1:14" x14ac:dyDescent="0.25">
      <c r="A2101" s="2">
        <v>2095</v>
      </c>
      <c r="B2101" s="11">
        <f t="shared" ca="1" si="166"/>
        <v>1</v>
      </c>
      <c r="C2101" s="26">
        <f t="shared" ca="1" si="165"/>
        <v>0.74112612890321083</v>
      </c>
      <c r="J2101">
        <f t="shared" ca="1" si="167"/>
        <v>1</v>
      </c>
      <c r="K2101">
        <f t="shared" ca="1" si="168"/>
        <v>0</v>
      </c>
      <c r="L2101" s="65">
        <v>2095</v>
      </c>
      <c r="M2101" s="71">
        <f t="shared" ca="1" si="164"/>
        <v>9.2504412293080804</v>
      </c>
      <c r="N2101" s="65"/>
    </row>
    <row r="2102" spans="1:14" x14ac:dyDescent="0.25">
      <c r="A2102" s="2">
        <v>2096</v>
      </c>
      <c r="B2102" s="11">
        <f t="shared" ca="1" si="166"/>
        <v>1</v>
      </c>
      <c r="C2102" s="26">
        <f t="shared" ca="1" si="165"/>
        <v>0.32973671119053194</v>
      </c>
      <c r="J2102">
        <f t="shared" ca="1" si="167"/>
        <v>1</v>
      </c>
      <c r="K2102">
        <f t="shared" ca="1" si="168"/>
        <v>0</v>
      </c>
      <c r="L2102" s="65">
        <v>2096</v>
      </c>
      <c r="M2102" s="71">
        <f t="shared" ca="1" si="164"/>
        <v>5.6060920794276576</v>
      </c>
      <c r="N2102" s="65"/>
    </row>
    <row r="2103" spans="1:14" x14ac:dyDescent="0.25">
      <c r="A2103" s="2">
        <v>2097</v>
      </c>
      <c r="B2103" s="11">
        <f t="shared" ca="1" si="166"/>
        <v>1</v>
      </c>
      <c r="C2103" s="26">
        <f t="shared" ca="1" si="165"/>
        <v>0.22271993762522169</v>
      </c>
      <c r="J2103">
        <f t="shared" ca="1" si="167"/>
        <v>1</v>
      </c>
      <c r="K2103">
        <f t="shared" ca="1" si="168"/>
        <v>0</v>
      </c>
      <c r="L2103" s="65">
        <v>2097</v>
      </c>
      <c r="M2103" s="71">
        <f t="shared" ca="1" si="164"/>
        <v>0.57122065219799356</v>
      </c>
      <c r="N2103" s="65"/>
    </row>
    <row r="2104" spans="1:14" x14ac:dyDescent="0.25">
      <c r="A2104" s="2">
        <v>2098</v>
      </c>
      <c r="B2104" s="11">
        <f t="shared" ca="1" si="166"/>
        <v>1</v>
      </c>
      <c r="C2104" s="26">
        <f t="shared" ca="1" si="165"/>
        <v>7.4026051763845802E-3</v>
      </c>
      <c r="J2104">
        <f t="shared" ca="1" si="167"/>
        <v>1</v>
      </c>
      <c r="K2104">
        <f t="shared" ca="1" si="168"/>
        <v>0</v>
      </c>
      <c r="L2104" s="65">
        <v>2098</v>
      </c>
      <c r="M2104" s="71">
        <f t="shared" ca="1" si="164"/>
        <v>0.69667014175733166</v>
      </c>
      <c r="N2104" s="65"/>
    </row>
    <row r="2105" spans="1:14" x14ac:dyDescent="0.25">
      <c r="A2105" s="2">
        <v>2099</v>
      </c>
      <c r="B2105" s="11">
        <f t="shared" ca="1" si="166"/>
        <v>1</v>
      </c>
      <c r="C2105" s="26">
        <f t="shared" ca="1" si="165"/>
        <v>7.4364494486898636E-2</v>
      </c>
      <c r="J2105">
        <f t="shared" ca="1" si="167"/>
        <v>1</v>
      </c>
      <c r="K2105">
        <f t="shared" ca="1" si="168"/>
        <v>0</v>
      </c>
      <c r="L2105" s="65">
        <v>2099</v>
      </c>
      <c r="M2105" s="71">
        <f t="shared" ca="1" si="164"/>
        <v>9.5368545791729247</v>
      </c>
      <c r="N2105" s="65"/>
    </row>
    <row r="2106" spans="1:14" x14ac:dyDescent="0.25">
      <c r="A2106" s="2">
        <v>2100</v>
      </c>
      <c r="B2106" s="11">
        <f t="shared" ca="1" si="166"/>
        <v>1</v>
      </c>
      <c r="C2106" s="26">
        <f t="shared" ca="1" si="165"/>
        <v>0.19226192582241308</v>
      </c>
      <c r="J2106">
        <f t="shared" ca="1" si="167"/>
        <v>1</v>
      </c>
      <c r="K2106">
        <f t="shared" ca="1" si="168"/>
        <v>0</v>
      </c>
      <c r="L2106" s="65">
        <v>2100</v>
      </c>
      <c r="M2106" s="71">
        <f t="shared" ca="1" si="164"/>
        <v>0.48173829522275485</v>
      </c>
      <c r="N2106" s="65"/>
    </row>
    <row r="2107" spans="1:14" x14ac:dyDescent="0.25">
      <c r="A2107" s="2">
        <v>2101</v>
      </c>
      <c r="B2107" s="11">
        <f t="shared" ca="1" si="166"/>
        <v>1</v>
      </c>
      <c r="C2107" s="26">
        <f t="shared" ca="1" si="165"/>
        <v>0.33557268150085029</v>
      </c>
      <c r="J2107">
        <f t="shared" ca="1" si="167"/>
        <v>0</v>
      </c>
      <c r="K2107">
        <f t="shared" ca="1" si="168"/>
        <v>0</v>
      </c>
      <c r="L2107" s="65">
        <v>2101</v>
      </c>
      <c r="M2107" s="71">
        <f t="shared" ca="1" si="164"/>
        <v>1.0981524705966731E-2</v>
      </c>
      <c r="N2107" s="65"/>
    </row>
    <row r="2108" spans="1:14" x14ac:dyDescent="0.25">
      <c r="A2108" s="2">
        <v>2102</v>
      </c>
      <c r="B2108" s="11">
        <f t="shared" ca="1" si="166"/>
        <v>0</v>
      </c>
      <c r="C2108" s="26">
        <f t="shared" ca="1" si="165"/>
        <v>0.88213507129244595</v>
      </c>
      <c r="J2108">
        <f t="shared" ca="1" si="167"/>
        <v>0</v>
      </c>
      <c r="K2108">
        <f t="shared" ca="1" si="168"/>
        <v>1</v>
      </c>
      <c r="L2108" s="65">
        <v>2102</v>
      </c>
      <c r="M2108" s="71">
        <f t="shared" ca="1" si="164"/>
        <v>0</v>
      </c>
      <c r="N2108" s="65"/>
    </row>
    <row r="2109" spans="1:14" x14ac:dyDescent="0.25">
      <c r="A2109" s="2">
        <v>2103</v>
      </c>
      <c r="B2109" s="11">
        <f t="shared" ca="1" si="166"/>
        <v>0</v>
      </c>
      <c r="C2109" s="26">
        <f t="shared" ca="1" si="165"/>
        <v>0.90127594268055888</v>
      </c>
      <c r="J2109">
        <f t="shared" ca="1" si="167"/>
        <v>0</v>
      </c>
      <c r="K2109">
        <f t="shared" ca="1" si="168"/>
        <v>0</v>
      </c>
      <c r="L2109" s="65">
        <v>2103</v>
      </c>
      <c r="M2109" s="71">
        <f t="shared" ca="1" si="164"/>
        <v>0</v>
      </c>
      <c r="N2109" s="65"/>
    </row>
    <row r="2110" spans="1:14" x14ac:dyDescent="0.25">
      <c r="A2110" s="2">
        <v>2104</v>
      </c>
      <c r="B2110" s="11">
        <f t="shared" ca="1" si="166"/>
        <v>1</v>
      </c>
      <c r="C2110" s="26">
        <f t="shared" ca="1" si="165"/>
        <v>0.54519939489333291</v>
      </c>
      <c r="J2110">
        <f t="shared" ca="1" si="167"/>
        <v>1</v>
      </c>
      <c r="K2110">
        <f t="shared" ca="1" si="168"/>
        <v>0</v>
      </c>
      <c r="L2110" s="65">
        <v>2104</v>
      </c>
      <c r="M2110" s="71">
        <f t="shared" ca="1" si="164"/>
        <v>0.27034935075594152</v>
      </c>
      <c r="N2110" s="65"/>
    </row>
    <row r="2111" spans="1:14" x14ac:dyDescent="0.25">
      <c r="A2111" s="2">
        <v>2105</v>
      </c>
      <c r="B2111" s="11">
        <f t="shared" ca="1" si="166"/>
        <v>1</v>
      </c>
      <c r="C2111" s="26">
        <f t="shared" ca="1" si="165"/>
        <v>0.66276323315079422</v>
      </c>
      <c r="J2111">
        <f t="shared" ca="1" si="167"/>
        <v>0</v>
      </c>
      <c r="K2111">
        <f t="shared" ca="1" si="168"/>
        <v>0</v>
      </c>
      <c r="L2111" s="65">
        <v>2105</v>
      </c>
      <c r="M2111" s="71">
        <f t="shared" ca="1" si="164"/>
        <v>8.8499369353086337</v>
      </c>
      <c r="N2111" s="65"/>
    </row>
    <row r="2112" spans="1:14" x14ac:dyDescent="0.25">
      <c r="A2112" s="2">
        <v>2106</v>
      </c>
      <c r="B2112" s="11">
        <f t="shared" ca="1" si="166"/>
        <v>0</v>
      </c>
      <c r="C2112" s="26">
        <f t="shared" ca="1" si="165"/>
        <v>0.84727192179464517</v>
      </c>
      <c r="J2112">
        <f t="shared" ca="1" si="167"/>
        <v>0</v>
      </c>
      <c r="K2112">
        <f t="shared" ca="1" si="168"/>
        <v>1</v>
      </c>
      <c r="L2112" s="65">
        <v>2106</v>
      </c>
      <c r="M2112" s="71">
        <f t="shared" ca="1" si="164"/>
        <v>0</v>
      </c>
      <c r="N2112" s="65"/>
    </row>
    <row r="2113" spans="1:14" x14ac:dyDescent="0.25">
      <c r="A2113" s="2">
        <v>2107</v>
      </c>
      <c r="B2113" s="11">
        <f t="shared" ca="1" si="166"/>
        <v>0</v>
      </c>
      <c r="C2113" s="26">
        <f t="shared" ca="1" si="165"/>
        <v>0.77539398896560108</v>
      </c>
      <c r="J2113">
        <f t="shared" ca="1" si="167"/>
        <v>0</v>
      </c>
      <c r="K2113">
        <f t="shared" ca="1" si="168"/>
        <v>1</v>
      </c>
      <c r="L2113" s="65">
        <v>2107</v>
      </c>
      <c r="M2113" s="71">
        <f t="shared" ca="1" si="164"/>
        <v>0</v>
      </c>
      <c r="N2113" s="65"/>
    </row>
    <row r="2114" spans="1:14" x14ac:dyDescent="0.25">
      <c r="A2114" s="2">
        <v>2108</v>
      </c>
      <c r="B2114" s="11">
        <f t="shared" ca="1" si="166"/>
        <v>0</v>
      </c>
      <c r="C2114" s="26">
        <f t="shared" ca="1" si="165"/>
        <v>0.78515484099960953</v>
      </c>
      <c r="J2114">
        <f t="shared" ca="1" si="167"/>
        <v>0</v>
      </c>
      <c r="K2114">
        <f t="shared" ca="1" si="168"/>
        <v>0</v>
      </c>
      <c r="L2114" s="65">
        <v>2108</v>
      </c>
      <c r="M2114" s="71">
        <f t="shared" ca="1" si="164"/>
        <v>0</v>
      </c>
      <c r="N2114" s="65"/>
    </row>
    <row r="2115" spans="1:14" x14ac:dyDescent="0.25">
      <c r="A2115" s="2">
        <v>2109</v>
      </c>
      <c r="B2115" s="11">
        <f t="shared" ca="1" si="166"/>
        <v>1</v>
      </c>
      <c r="C2115" s="26">
        <f t="shared" ca="1" si="165"/>
        <v>0.49794737848978476</v>
      </c>
      <c r="J2115">
        <f t="shared" ca="1" si="167"/>
        <v>1</v>
      </c>
      <c r="K2115">
        <f t="shared" ca="1" si="168"/>
        <v>0</v>
      </c>
      <c r="L2115" s="65">
        <v>2109</v>
      </c>
      <c r="M2115" s="71">
        <f t="shared" ca="1" si="164"/>
        <v>2.3906589558617029</v>
      </c>
      <c r="N2115" s="65"/>
    </row>
    <row r="2116" spans="1:14" x14ac:dyDescent="0.25">
      <c r="A2116" s="2">
        <v>2110</v>
      </c>
      <c r="B2116" s="11">
        <f t="shared" ca="1" si="166"/>
        <v>1</v>
      </c>
      <c r="C2116" s="26">
        <f t="shared" ca="1" si="165"/>
        <v>0.51761766998518044</v>
      </c>
      <c r="J2116">
        <f t="shared" ca="1" si="167"/>
        <v>1</v>
      </c>
      <c r="K2116">
        <f t="shared" ca="1" si="168"/>
        <v>0</v>
      </c>
      <c r="L2116" s="65">
        <v>2110</v>
      </c>
      <c r="M2116" s="71">
        <f t="shared" ca="1" si="164"/>
        <v>1.9324784466337785</v>
      </c>
      <c r="N2116" s="65"/>
    </row>
    <row r="2117" spans="1:14" x14ac:dyDescent="0.25">
      <c r="A2117" s="2">
        <v>2111</v>
      </c>
      <c r="B2117" s="11">
        <f t="shared" ca="1" si="166"/>
        <v>1</v>
      </c>
      <c r="C2117" s="26">
        <f t="shared" ca="1" si="165"/>
        <v>0.22648318100834319</v>
      </c>
      <c r="J2117">
        <f t="shared" ca="1" si="167"/>
        <v>1</v>
      </c>
      <c r="K2117">
        <f t="shared" ca="1" si="168"/>
        <v>0</v>
      </c>
      <c r="L2117" s="65">
        <v>2111</v>
      </c>
      <c r="M2117" s="71">
        <f t="shared" ca="1" si="164"/>
        <v>3.5461983173090683</v>
      </c>
      <c r="N2117" s="65"/>
    </row>
    <row r="2118" spans="1:14" x14ac:dyDescent="0.25">
      <c r="A2118" s="2">
        <v>2112</v>
      </c>
      <c r="B2118" s="11">
        <f t="shared" ca="1" si="166"/>
        <v>1</v>
      </c>
      <c r="C2118" s="26">
        <f t="shared" ca="1" si="165"/>
        <v>0.29529327482801937</v>
      </c>
      <c r="J2118">
        <f t="shared" ca="1" si="167"/>
        <v>1</v>
      </c>
      <c r="K2118">
        <f t="shared" ca="1" si="168"/>
        <v>0</v>
      </c>
      <c r="L2118" s="65">
        <v>2112</v>
      </c>
      <c r="M2118" s="71">
        <f t="shared" ca="1" si="164"/>
        <v>1.6197611663611187</v>
      </c>
      <c r="N2118" s="65"/>
    </row>
    <row r="2119" spans="1:14" x14ac:dyDescent="0.25">
      <c r="A2119" s="2">
        <v>2113</v>
      </c>
      <c r="B2119" s="11">
        <f t="shared" ca="1" si="166"/>
        <v>1</v>
      </c>
      <c r="C2119" s="26">
        <f t="shared" ca="1" si="165"/>
        <v>0.10551724769428039</v>
      </c>
      <c r="J2119">
        <f t="shared" ca="1" si="167"/>
        <v>1</v>
      </c>
      <c r="K2119">
        <f t="shared" ca="1" si="168"/>
        <v>0</v>
      </c>
      <c r="L2119" s="65">
        <v>2113</v>
      </c>
      <c r="M2119" s="71">
        <f t="shared" ref="M2119:M2182" ca="1" si="169">IF(B2119&gt;0,-LN(1-(RAND()))/lambda,0)</f>
        <v>8.6003962972913151</v>
      </c>
      <c r="N2119" s="65"/>
    </row>
    <row r="2120" spans="1:14" x14ac:dyDescent="0.25">
      <c r="A2120" s="2">
        <v>2114</v>
      </c>
      <c r="B2120" s="11">
        <f t="shared" ca="1" si="166"/>
        <v>1</v>
      </c>
      <c r="C2120" s="26">
        <f t="shared" ref="C2120:C2183" ca="1" si="170">RAND()</f>
        <v>0.35149929195977259</v>
      </c>
      <c r="J2120">
        <f t="shared" ca="1" si="167"/>
        <v>1</v>
      </c>
      <c r="K2120">
        <f t="shared" ca="1" si="168"/>
        <v>0</v>
      </c>
      <c r="L2120" s="65">
        <v>2114</v>
      </c>
      <c r="M2120" s="71">
        <f t="shared" ca="1" si="169"/>
        <v>0.98550639773591642</v>
      </c>
      <c r="N2120" s="65"/>
    </row>
    <row r="2121" spans="1:14" x14ac:dyDescent="0.25">
      <c r="A2121" s="2">
        <v>2115</v>
      </c>
      <c r="B2121" s="11">
        <f t="shared" ca="1" si="166"/>
        <v>1</v>
      </c>
      <c r="C2121" s="26">
        <f t="shared" ca="1" si="170"/>
        <v>0.50167989865685547</v>
      </c>
      <c r="J2121">
        <f t="shared" ca="1" si="167"/>
        <v>1</v>
      </c>
      <c r="K2121">
        <f t="shared" ca="1" si="168"/>
        <v>0</v>
      </c>
      <c r="L2121" s="65">
        <v>2115</v>
      </c>
      <c r="M2121" s="71">
        <f t="shared" ca="1" si="169"/>
        <v>0.73506404574409179</v>
      </c>
      <c r="N2121" s="65"/>
    </row>
    <row r="2122" spans="1:14" x14ac:dyDescent="0.25">
      <c r="A2122" s="2">
        <v>2116</v>
      </c>
      <c r="B2122" s="11">
        <f t="shared" ca="1" si="166"/>
        <v>1</v>
      </c>
      <c r="C2122" s="26">
        <f t="shared" ca="1" si="170"/>
        <v>0.72380345447458005</v>
      </c>
      <c r="J2122">
        <f t="shared" ca="1" si="167"/>
        <v>1</v>
      </c>
      <c r="K2122">
        <f t="shared" ca="1" si="168"/>
        <v>0</v>
      </c>
      <c r="L2122" s="65">
        <v>2116</v>
      </c>
      <c r="M2122" s="71">
        <f t="shared" ca="1" si="169"/>
        <v>4.0537823285639689</v>
      </c>
      <c r="N2122" s="65"/>
    </row>
    <row r="2123" spans="1:14" x14ac:dyDescent="0.25">
      <c r="A2123" s="2">
        <v>2117</v>
      </c>
      <c r="B2123" s="11">
        <f t="shared" ca="1" si="166"/>
        <v>1</v>
      </c>
      <c r="C2123" s="26">
        <f t="shared" ca="1" si="170"/>
        <v>0.27100192798717759</v>
      </c>
      <c r="J2123">
        <f t="shared" ca="1" si="167"/>
        <v>0</v>
      </c>
      <c r="K2123">
        <f t="shared" ca="1" si="168"/>
        <v>0</v>
      </c>
      <c r="L2123" s="65">
        <v>2117</v>
      </c>
      <c r="M2123" s="71">
        <f t="shared" ca="1" si="169"/>
        <v>2.7437081079912677</v>
      </c>
      <c r="N2123" s="65"/>
    </row>
    <row r="2124" spans="1:14" x14ac:dyDescent="0.25">
      <c r="A2124" s="2">
        <v>2118</v>
      </c>
      <c r="B2124" s="11">
        <f t="shared" ca="1" si="166"/>
        <v>0</v>
      </c>
      <c r="C2124" s="26">
        <f t="shared" ca="1" si="170"/>
        <v>0.92059347778704326</v>
      </c>
      <c r="J2124">
        <f t="shared" ca="1" si="167"/>
        <v>0</v>
      </c>
      <c r="K2124">
        <f t="shared" ca="1" si="168"/>
        <v>0</v>
      </c>
      <c r="L2124" s="65">
        <v>2118</v>
      </c>
      <c r="M2124" s="71">
        <f t="shared" ca="1" si="169"/>
        <v>0</v>
      </c>
      <c r="N2124" s="65"/>
    </row>
    <row r="2125" spans="1:14" x14ac:dyDescent="0.25">
      <c r="A2125" s="2">
        <v>2119</v>
      </c>
      <c r="B2125" s="11">
        <f t="shared" ca="1" si="166"/>
        <v>1</v>
      </c>
      <c r="C2125" s="26">
        <f t="shared" ca="1" si="170"/>
        <v>0.13943314951861419</v>
      </c>
      <c r="J2125">
        <f t="shared" ca="1" si="167"/>
        <v>1</v>
      </c>
      <c r="K2125">
        <f t="shared" ca="1" si="168"/>
        <v>0</v>
      </c>
      <c r="L2125" s="65">
        <v>2119</v>
      </c>
      <c r="M2125" s="71">
        <f t="shared" ca="1" si="169"/>
        <v>1.4454473680217883</v>
      </c>
      <c r="N2125" s="65"/>
    </row>
    <row r="2126" spans="1:14" x14ac:dyDescent="0.25">
      <c r="A2126" s="2">
        <v>2120</v>
      </c>
      <c r="B2126" s="11">
        <f t="shared" ca="1" si="166"/>
        <v>1</v>
      </c>
      <c r="C2126" s="26">
        <f t="shared" ca="1" si="170"/>
        <v>0.67170016799394472</v>
      </c>
      <c r="J2126">
        <f t="shared" ca="1" si="167"/>
        <v>1</v>
      </c>
      <c r="K2126">
        <f t="shared" ca="1" si="168"/>
        <v>0</v>
      </c>
      <c r="L2126" s="65">
        <v>2120</v>
      </c>
      <c r="M2126" s="71">
        <f t="shared" ca="1" si="169"/>
        <v>1.239101509113649</v>
      </c>
      <c r="N2126" s="65"/>
    </row>
    <row r="2127" spans="1:14" x14ac:dyDescent="0.25">
      <c r="A2127" s="2">
        <v>2121</v>
      </c>
      <c r="B2127" s="11">
        <f t="shared" ca="1" si="166"/>
        <v>1</v>
      </c>
      <c r="C2127" s="26">
        <f t="shared" ca="1" si="170"/>
        <v>0.24124810746282477</v>
      </c>
      <c r="J2127">
        <f t="shared" ca="1" si="167"/>
        <v>1</v>
      </c>
      <c r="K2127">
        <f t="shared" ca="1" si="168"/>
        <v>0</v>
      </c>
      <c r="L2127" s="65">
        <v>2121</v>
      </c>
      <c r="M2127" s="71">
        <f t="shared" ca="1" si="169"/>
        <v>4.8152247318060795</v>
      </c>
      <c r="N2127" s="65"/>
    </row>
    <row r="2128" spans="1:14" x14ac:dyDescent="0.25">
      <c r="A2128" s="2">
        <v>2122</v>
      </c>
      <c r="B2128" s="11">
        <f t="shared" ca="1" si="166"/>
        <v>1</v>
      </c>
      <c r="C2128" s="26">
        <f t="shared" ca="1" si="170"/>
        <v>0.64213965044436006</v>
      </c>
      <c r="J2128">
        <f t="shared" ca="1" si="167"/>
        <v>1</v>
      </c>
      <c r="K2128">
        <f t="shared" ca="1" si="168"/>
        <v>0</v>
      </c>
      <c r="L2128" s="65">
        <v>2122</v>
      </c>
      <c r="M2128" s="71">
        <f t="shared" ca="1" si="169"/>
        <v>9.4009470998459363</v>
      </c>
      <c r="N2128" s="65"/>
    </row>
    <row r="2129" spans="1:14" x14ac:dyDescent="0.25">
      <c r="A2129" s="2">
        <v>2123</v>
      </c>
      <c r="B2129" s="11">
        <f t="shared" ca="1" si="166"/>
        <v>1</v>
      </c>
      <c r="C2129" s="26">
        <f t="shared" ca="1" si="170"/>
        <v>3.4139657967023118E-2</v>
      </c>
      <c r="J2129">
        <f t="shared" ca="1" si="167"/>
        <v>1</v>
      </c>
      <c r="K2129">
        <f t="shared" ca="1" si="168"/>
        <v>0</v>
      </c>
      <c r="L2129" s="65">
        <v>2123</v>
      </c>
      <c r="M2129" s="71">
        <f t="shared" ca="1" si="169"/>
        <v>11.645542314276083</v>
      </c>
      <c r="N2129" s="65"/>
    </row>
    <row r="2130" spans="1:14" x14ac:dyDescent="0.25">
      <c r="A2130" s="2">
        <v>2124</v>
      </c>
      <c r="B2130" s="11">
        <f t="shared" ca="1" si="166"/>
        <v>1</v>
      </c>
      <c r="C2130" s="26">
        <f t="shared" ca="1" si="170"/>
        <v>0.16168872125918565</v>
      </c>
      <c r="J2130">
        <f t="shared" ca="1" si="167"/>
        <v>1</v>
      </c>
      <c r="K2130">
        <f t="shared" ca="1" si="168"/>
        <v>0</v>
      </c>
      <c r="L2130" s="65">
        <v>2124</v>
      </c>
      <c r="M2130" s="71">
        <f t="shared" ca="1" si="169"/>
        <v>0.36323552435505108</v>
      </c>
      <c r="N2130" s="65"/>
    </row>
    <row r="2131" spans="1:14" x14ac:dyDescent="0.25">
      <c r="A2131" s="2">
        <v>2125</v>
      </c>
      <c r="B2131" s="11">
        <f t="shared" ca="1" si="166"/>
        <v>1</v>
      </c>
      <c r="C2131" s="26">
        <f t="shared" ca="1" si="170"/>
        <v>0.24583542853489826</v>
      </c>
      <c r="J2131">
        <f t="shared" ca="1" si="167"/>
        <v>1</v>
      </c>
      <c r="K2131">
        <f t="shared" ca="1" si="168"/>
        <v>0</v>
      </c>
      <c r="L2131" s="65">
        <v>2125</v>
      </c>
      <c r="M2131" s="71">
        <f t="shared" ca="1" si="169"/>
        <v>0.53607170673152993</v>
      </c>
      <c r="N2131" s="65"/>
    </row>
    <row r="2132" spans="1:14" x14ac:dyDescent="0.25">
      <c r="A2132" s="2">
        <v>2126</v>
      </c>
      <c r="B2132" s="11">
        <f t="shared" ca="1" si="166"/>
        <v>1</v>
      </c>
      <c r="C2132" s="26">
        <f t="shared" ca="1" si="170"/>
        <v>0.41727669071159668</v>
      </c>
      <c r="J2132">
        <f t="shared" ca="1" si="167"/>
        <v>1</v>
      </c>
      <c r="K2132">
        <f t="shared" ca="1" si="168"/>
        <v>0</v>
      </c>
      <c r="L2132" s="65">
        <v>2126</v>
      </c>
      <c r="M2132" s="71">
        <f t="shared" ca="1" si="169"/>
        <v>1.5208177458532151</v>
      </c>
      <c r="N2132" s="65"/>
    </row>
    <row r="2133" spans="1:14" x14ac:dyDescent="0.25">
      <c r="A2133" s="2">
        <v>2127</v>
      </c>
      <c r="B2133" s="11">
        <f t="shared" ca="1" si="166"/>
        <v>1</v>
      </c>
      <c r="C2133" s="26">
        <f t="shared" ca="1" si="170"/>
        <v>0.70488189944250645</v>
      </c>
      <c r="J2133">
        <f t="shared" ca="1" si="167"/>
        <v>0</v>
      </c>
      <c r="K2133">
        <f t="shared" ca="1" si="168"/>
        <v>0</v>
      </c>
      <c r="L2133" s="65">
        <v>2127</v>
      </c>
      <c r="M2133" s="71">
        <f t="shared" ca="1" si="169"/>
        <v>8.7856432939272977E-2</v>
      </c>
      <c r="N2133" s="65"/>
    </row>
    <row r="2134" spans="1:14" x14ac:dyDescent="0.25">
      <c r="A2134" s="2">
        <v>2128</v>
      </c>
      <c r="B2134" s="11">
        <f t="shared" ca="1" si="166"/>
        <v>0</v>
      </c>
      <c r="C2134" s="26">
        <f t="shared" ca="1" si="170"/>
        <v>0.96057911043559974</v>
      </c>
      <c r="J2134">
        <f t="shared" ca="1" si="167"/>
        <v>0</v>
      </c>
      <c r="K2134">
        <f t="shared" ca="1" si="168"/>
        <v>0</v>
      </c>
      <c r="L2134" s="65">
        <v>2128</v>
      </c>
      <c r="M2134" s="71">
        <f t="shared" ca="1" si="169"/>
        <v>0</v>
      </c>
      <c r="N2134" s="65"/>
    </row>
    <row r="2135" spans="1:14" x14ac:dyDescent="0.25">
      <c r="A2135" s="2">
        <v>2129</v>
      </c>
      <c r="B2135" s="11">
        <f t="shared" ca="1" si="166"/>
        <v>1</v>
      </c>
      <c r="C2135" s="26">
        <f t="shared" ca="1" si="170"/>
        <v>0.45193365691015686</v>
      </c>
      <c r="J2135">
        <f t="shared" ca="1" si="167"/>
        <v>1</v>
      </c>
      <c r="K2135">
        <f t="shared" ca="1" si="168"/>
        <v>0</v>
      </c>
      <c r="L2135" s="65">
        <v>2129</v>
      </c>
      <c r="M2135" s="71">
        <f t="shared" ca="1" si="169"/>
        <v>3.7827158848784439</v>
      </c>
      <c r="N2135" s="65"/>
    </row>
    <row r="2136" spans="1:14" x14ac:dyDescent="0.25">
      <c r="A2136" s="2">
        <v>2130</v>
      </c>
      <c r="B2136" s="11">
        <f t="shared" ca="1" si="166"/>
        <v>1</v>
      </c>
      <c r="C2136" s="26">
        <f t="shared" ca="1" si="170"/>
        <v>0.25533859911535239</v>
      </c>
      <c r="J2136">
        <f t="shared" ca="1" si="167"/>
        <v>1</v>
      </c>
      <c r="K2136">
        <f t="shared" ca="1" si="168"/>
        <v>0</v>
      </c>
      <c r="L2136" s="65">
        <v>2130</v>
      </c>
      <c r="M2136" s="71">
        <f t="shared" ca="1" si="169"/>
        <v>2.7077754677532209</v>
      </c>
      <c r="N2136" s="65"/>
    </row>
    <row r="2137" spans="1:14" x14ac:dyDescent="0.25">
      <c r="A2137" s="2">
        <v>2131</v>
      </c>
      <c r="B2137" s="11">
        <f t="shared" ca="1" si="166"/>
        <v>1</v>
      </c>
      <c r="C2137" s="26">
        <f t="shared" ca="1" si="170"/>
        <v>0.50247837502957793</v>
      </c>
      <c r="J2137">
        <f t="shared" ca="1" si="167"/>
        <v>1</v>
      </c>
      <c r="K2137">
        <f t="shared" ca="1" si="168"/>
        <v>0</v>
      </c>
      <c r="L2137" s="65">
        <v>2131</v>
      </c>
      <c r="M2137" s="71">
        <f t="shared" ca="1" si="169"/>
        <v>1.9369462983314873</v>
      </c>
      <c r="N2137" s="65"/>
    </row>
    <row r="2138" spans="1:14" x14ac:dyDescent="0.25">
      <c r="A2138" s="2">
        <v>2132</v>
      </c>
      <c r="B2138" s="11">
        <f t="shared" ca="1" si="166"/>
        <v>1</v>
      </c>
      <c r="C2138" s="26">
        <f t="shared" ca="1" si="170"/>
        <v>7.1520500118699593E-2</v>
      </c>
      <c r="J2138">
        <f t="shared" ca="1" si="167"/>
        <v>0</v>
      </c>
      <c r="K2138">
        <f t="shared" ca="1" si="168"/>
        <v>0</v>
      </c>
      <c r="L2138" s="65">
        <v>2132</v>
      </c>
      <c r="M2138" s="71">
        <f t="shared" ca="1" si="169"/>
        <v>4.3615267664514015</v>
      </c>
      <c r="N2138" s="65"/>
    </row>
    <row r="2139" spans="1:14" x14ac:dyDescent="0.25">
      <c r="A2139" s="2">
        <v>2133</v>
      </c>
      <c r="B2139" s="11">
        <f t="shared" ca="1" si="166"/>
        <v>0</v>
      </c>
      <c r="C2139" s="26">
        <f t="shared" ca="1" si="170"/>
        <v>0.99130887439635074</v>
      </c>
      <c r="J2139">
        <f t="shared" ca="1" si="167"/>
        <v>0</v>
      </c>
      <c r="K2139">
        <f t="shared" ca="1" si="168"/>
        <v>0</v>
      </c>
      <c r="L2139" s="65">
        <v>2133</v>
      </c>
      <c r="M2139" s="71">
        <f t="shared" ca="1" si="169"/>
        <v>0</v>
      </c>
      <c r="N2139" s="65"/>
    </row>
    <row r="2140" spans="1:14" x14ac:dyDescent="0.25">
      <c r="A2140" s="2">
        <v>2134</v>
      </c>
      <c r="B2140" s="11">
        <f t="shared" ca="1" si="166"/>
        <v>1</v>
      </c>
      <c r="C2140" s="26">
        <f t="shared" ca="1" si="170"/>
        <v>0.10308674151129704</v>
      </c>
      <c r="J2140">
        <f t="shared" ca="1" si="167"/>
        <v>0</v>
      </c>
      <c r="K2140">
        <f t="shared" ca="1" si="168"/>
        <v>0</v>
      </c>
      <c r="L2140" s="65">
        <v>2134</v>
      </c>
      <c r="M2140" s="71">
        <f t="shared" ca="1" si="169"/>
        <v>0.70883732035810776</v>
      </c>
      <c r="N2140" s="65"/>
    </row>
    <row r="2141" spans="1:14" x14ac:dyDescent="0.25">
      <c r="A2141" s="2">
        <v>2135</v>
      </c>
      <c r="B2141" s="11">
        <f t="shared" ca="1" si="166"/>
        <v>0</v>
      </c>
      <c r="C2141" s="26">
        <f t="shared" ca="1" si="170"/>
        <v>0.9850375820109889</v>
      </c>
      <c r="J2141">
        <f t="shared" ca="1" si="167"/>
        <v>0</v>
      </c>
      <c r="K2141">
        <f t="shared" ca="1" si="168"/>
        <v>1</v>
      </c>
      <c r="L2141" s="65">
        <v>2135</v>
      </c>
      <c r="M2141" s="71">
        <f t="shared" ca="1" si="169"/>
        <v>0</v>
      </c>
      <c r="N2141" s="65"/>
    </row>
    <row r="2142" spans="1:14" x14ac:dyDescent="0.25">
      <c r="A2142" s="2">
        <v>2136</v>
      </c>
      <c r="B2142" s="11">
        <f t="shared" ca="1" si="166"/>
        <v>0</v>
      </c>
      <c r="C2142" s="26">
        <f t="shared" ca="1" si="170"/>
        <v>0.82610945914855904</v>
      </c>
      <c r="J2142">
        <f t="shared" ca="1" si="167"/>
        <v>0</v>
      </c>
      <c r="K2142">
        <f t="shared" ca="1" si="168"/>
        <v>1</v>
      </c>
      <c r="L2142" s="65">
        <v>2136</v>
      </c>
      <c r="M2142" s="71">
        <f t="shared" ca="1" si="169"/>
        <v>0</v>
      </c>
      <c r="N2142" s="65"/>
    </row>
    <row r="2143" spans="1:14" x14ac:dyDescent="0.25">
      <c r="A2143" s="2">
        <v>2137</v>
      </c>
      <c r="B2143" s="11">
        <f t="shared" ca="1" si="166"/>
        <v>0</v>
      </c>
      <c r="C2143" s="26">
        <f t="shared" ca="1" si="170"/>
        <v>0.94261665126722205</v>
      </c>
      <c r="J2143">
        <f t="shared" ca="1" si="167"/>
        <v>0</v>
      </c>
      <c r="K2143">
        <f t="shared" ca="1" si="168"/>
        <v>0</v>
      </c>
      <c r="L2143" s="65">
        <v>2137</v>
      </c>
      <c r="M2143" s="71">
        <f t="shared" ca="1" si="169"/>
        <v>0</v>
      </c>
      <c r="N2143" s="65"/>
    </row>
    <row r="2144" spans="1:14" x14ac:dyDescent="0.25">
      <c r="A2144" s="2">
        <v>2138</v>
      </c>
      <c r="B2144" s="11">
        <f t="shared" ca="1" si="166"/>
        <v>1</v>
      </c>
      <c r="C2144" s="26">
        <f t="shared" ca="1" si="170"/>
        <v>0.25236266665422002</v>
      </c>
      <c r="J2144">
        <f t="shared" ca="1" si="167"/>
        <v>0</v>
      </c>
      <c r="K2144">
        <f t="shared" ca="1" si="168"/>
        <v>0</v>
      </c>
      <c r="L2144" s="65">
        <v>2138</v>
      </c>
      <c r="M2144" s="71">
        <f t="shared" ca="1" si="169"/>
        <v>3.5013369976539046</v>
      </c>
      <c r="N2144" s="65"/>
    </row>
    <row r="2145" spans="1:14" x14ac:dyDescent="0.25">
      <c r="A2145" s="2">
        <v>2139</v>
      </c>
      <c r="B2145" s="11">
        <f t="shared" ca="1" si="166"/>
        <v>0</v>
      </c>
      <c r="C2145" s="26">
        <f t="shared" ca="1" si="170"/>
        <v>0.8619625230629846</v>
      </c>
      <c r="J2145">
        <f t="shared" ca="1" si="167"/>
        <v>0</v>
      </c>
      <c r="K2145">
        <f t="shared" ca="1" si="168"/>
        <v>1</v>
      </c>
      <c r="L2145" s="65">
        <v>2139</v>
      </c>
      <c r="M2145" s="71">
        <f t="shared" ca="1" si="169"/>
        <v>0</v>
      </c>
      <c r="N2145" s="65"/>
    </row>
    <row r="2146" spans="1:14" x14ac:dyDescent="0.25">
      <c r="A2146" s="2">
        <v>2140</v>
      </c>
      <c r="B2146" s="11">
        <f t="shared" ca="1" si="166"/>
        <v>0</v>
      </c>
      <c r="C2146" s="26">
        <f t="shared" ca="1" si="170"/>
        <v>0.85808751993957477</v>
      </c>
      <c r="J2146">
        <f t="shared" ca="1" si="167"/>
        <v>0</v>
      </c>
      <c r="K2146">
        <f t="shared" ca="1" si="168"/>
        <v>0</v>
      </c>
      <c r="L2146" s="65">
        <v>2140</v>
      </c>
      <c r="M2146" s="71">
        <f t="shared" ca="1" si="169"/>
        <v>0</v>
      </c>
      <c r="N2146" s="65"/>
    </row>
    <row r="2147" spans="1:14" x14ac:dyDescent="0.25">
      <c r="A2147" s="2">
        <v>2141</v>
      </c>
      <c r="B2147" s="11">
        <f t="shared" ca="1" si="166"/>
        <v>1</v>
      </c>
      <c r="C2147" s="26">
        <f t="shared" ca="1" si="170"/>
        <v>0.21314751640504181</v>
      </c>
      <c r="J2147">
        <f t="shared" ca="1" si="167"/>
        <v>1</v>
      </c>
      <c r="K2147">
        <f t="shared" ca="1" si="168"/>
        <v>0</v>
      </c>
      <c r="L2147" s="65">
        <v>2141</v>
      </c>
      <c r="M2147" s="71">
        <f t="shared" ca="1" si="169"/>
        <v>11.475619017678934</v>
      </c>
      <c r="N2147" s="65"/>
    </row>
    <row r="2148" spans="1:14" x14ac:dyDescent="0.25">
      <c r="A2148" s="2">
        <v>2142</v>
      </c>
      <c r="B2148" s="11">
        <f t="shared" ca="1" si="166"/>
        <v>1</v>
      </c>
      <c r="C2148" s="26">
        <f t="shared" ca="1" si="170"/>
        <v>0.21956526587760472</v>
      </c>
      <c r="J2148">
        <f t="shared" ca="1" si="167"/>
        <v>1</v>
      </c>
      <c r="K2148">
        <f t="shared" ca="1" si="168"/>
        <v>0</v>
      </c>
      <c r="L2148" s="65">
        <v>2142</v>
      </c>
      <c r="M2148" s="71">
        <f t="shared" ca="1" si="169"/>
        <v>0.20108114973036803</v>
      </c>
      <c r="N2148" s="65"/>
    </row>
    <row r="2149" spans="1:14" x14ac:dyDescent="0.25">
      <c r="A2149" s="2">
        <v>2143</v>
      </c>
      <c r="B2149" s="11">
        <f t="shared" ca="1" si="166"/>
        <v>1</v>
      </c>
      <c r="C2149" s="26">
        <f t="shared" ca="1" si="170"/>
        <v>0.55550309096537154</v>
      </c>
      <c r="J2149">
        <f t="shared" ca="1" si="167"/>
        <v>0</v>
      </c>
      <c r="K2149">
        <f t="shared" ca="1" si="168"/>
        <v>0</v>
      </c>
      <c r="L2149" s="65">
        <v>2143</v>
      </c>
      <c r="M2149" s="71">
        <f t="shared" ca="1" si="169"/>
        <v>1.6206676454490256</v>
      </c>
      <c r="N2149" s="65"/>
    </row>
    <row r="2150" spans="1:14" x14ac:dyDescent="0.25">
      <c r="A2150" s="2">
        <v>2144</v>
      </c>
      <c r="B2150" s="11">
        <f t="shared" ca="1" si="166"/>
        <v>0</v>
      </c>
      <c r="C2150" s="26">
        <f t="shared" ca="1" si="170"/>
        <v>0.88943008142574342</v>
      </c>
      <c r="J2150">
        <f t="shared" ca="1" si="167"/>
        <v>0</v>
      </c>
      <c r="K2150">
        <f t="shared" ca="1" si="168"/>
        <v>1</v>
      </c>
      <c r="L2150" s="65">
        <v>2144</v>
      </c>
      <c r="M2150" s="71">
        <f t="shared" ca="1" si="169"/>
        <v>0</v>
      </c>
      <c r="N2150" s="65"/>
    </row>
    <row r="2151" spans="1:14" x14ac:dyDescent="0.25">
      <c r="A2151" s="2">
        <v>2145</v>
      </c>
      <c r="B2151" s="11">
        <f t="shared" ca="1" si="166"/>
        <v>0</v>
      </c>
      <c r="C2151" s="26">
        <f t="shared" ca="1" si="170"/>
        <v>0.95603672310472965</v>
      </c>
      <c r="J2151">
        <f t="shared" ca="1" si="167"/>
        <v>0</v>
      </c>
      <c r="K2151">
        <f t="shared" ca="1" si="168"/>
        <v>0</v>
      </c>
      <c r="L2151" s="65">
        <v>2145</v>
      </c>
      <c r="M2151" s="71">
        <f t="shared" ca="1" si="169"/>
        <v>0</v>
      </c>
      <c r="N2151" s="65"/>
    </row>
    <row r="2152" spans="1:14" x14ac:dyDescent="0.25">
      <c r="A2152" s="2">
        <v>2146</v>
      </c>
      <c r="B2152" s="11">
        <f t="shared" ca="1" si="166"/>
        <v>1</v>
      </c>
      <c r="C2152" s="26">
        <f t="shared" ca="1" si="170"/>
        <v>2.6820851467313611E-2</v>
      </c>
      <c r="J2152">
        <f t="shared" ca="1" si="167"/>
        <v>1</v>
      </c>
      <c r="K2152">
        <f t="shared" ca="1" si="168"/>
        <v>0</v>
      </c>
      <c r="L2152" s="65">
        <v>2146</v>
      </c>
      <c r="M2152" s="71">
        <f t="shared" ca="1" si="169"/>
        <v>3.9202220305810189</v>
      </c>
      <c r="N2152" s="65"/>
    </row>
    <row r="2153" spans="1:14" x14ac:dyDescent="0.25">
      <c r="A2153" s="2">
        <v>2147</v>
      </c>
      <c r="B2153" s="11">
        <f t="shared" ca="1" si="166"/>
        <v>1</v>
      </c>
      <c r="C2153" s="26">
        <f t="shared" ca="1" si="170"/>
        <v>0.79127540685177788</v>
      </c>
      <c r="J2153">
        <f t="shared" ca="1" si="167"/>
        <v>1</v>
      </c>
      <c r="K2153">
        <f t="shared" ca="1" si="168"/>
        <v>0</v>
      </c>
      <c r="L2153" s="65">
        <v>2147</v>
      </c>
      <c r="M2153" s="71">
        <f t="shared" ca="1" si="169"/>
        <v>7.1462313273284996</v>
      </c>
      <c r="N2153" s="65"/>
    </row>
    <row r="2154" spans="1:14" x14ac:dyDescent="0.25">
      <c r="A2154" s="2">
        <v>2148</v>
      </c>
      <c r="B2154" s="11">
        <f t="shared" ca="1" si="166"/>
        <v>1</v>
      </c>
      <c r="C2154" s="26">
        <f t="shared" ca="1" si="170"/>
        <v>1.836788292213587E-2</v>
      </c>
      <c r="J2154">
        <f t="shared" ca="1" si="167"/>
        <v>1</v>
      </c>
      <c r="K2154">
        <f t="shared" ca="1" si="168"/>
        <v>0</v>
      </c>
      <c r="L2154" s="65">
        <v>2148</v>
      </c>
      <c r="M2154" s="71">
        <f t="shared" ca="1" si="169"/>
        <v>9.9091582532997489</v>
      </c>
      <c r="N2154" s="65"/>
    </row>
    <row r="2155" spans="1:14" x14ac:dyDescent="0.25">
      <c r="A2155" s="2">
        <v>2149</v>
      </c>
      <c r="B2155" s="11">
        <f t="shared" ca="1" si="166"/>
        <v>1</v>
      </c>
      <c r="C2155" s="26">
        <f t="shared" ca="1" si="170"/>
        <v>7.5401298064104227E-2</v>
      </c>
      <c r="J2155">
        <f t="shared" ca="1" si="167"/>
        <v>1</v>
      </c>
      <c r="K2155">
        <f t="shared" ca="1" si="168"/>
        <v>0</v>
      </c>
      <c r="L2155" s="65">
        <v>2149</v>
      </c>
      <c r="M2155" s="71">
        <f t="shared" ca="1" si="169"/>
        <v>0.14898543791642446</v>
      </c>
      <c r="N2155" s="65"/>
    </row>
    <row r="2156" spans="1:14" x14ac:dyDescent="0.25">
      <c r="A2156" s="2">
        <v>2150</v>
      </c>
      <c r="B2156" s="11">
        <f t="shared" ca="1" si="166"/>
        <v>1</v>
      </c>
      <c r="C2156" s="26">
        <f t="shared" ca="1" si="170"/>
        <v>0.28091753419119703</v>
      </c>
      <c r="J2156">
        <f t="shared" ca="1" si="167"/>
        <v>1</v>
      </c>
      <c r="K2156">
        <f t="shared" ca="1" si="168"/>
        <v>0</v>
      </c>
      <c r="L2156" s="65">
        <v>2150</v>
      </c>
      <c r="M2156" s="71">
        <f t="shared" ca="1" si="169"/>
        <v>0.94529419120481206</v>
      </c>
      <c r="N2156" s="65"/>
    </row>
    <row r="2157" spans="1:14" x14ac:dyDescent="0.25">
      <c r="A2157" s="2">
        <v>2151</v>
      </c>
      <c r="B2157" s="11">
        <f t="shared" ca="1" si="166"/>
        <v>1</v>
      </c>
      <c r="C2157" s="26">
        <f t="shared" ca="1" si="170"/>
        <v>2.1190187569154029E-2</v>
      </c>
      <c r="J2157">
        <f t="shared" ca="1" si="167"/>
        <v>1</v>
      </c>
      <c r="K2157">
        <f t="shared" ca="1" si="168"/>
        <v>0</v>
      </c>
      <c r="L2157" s="65">
        <v>2151</v>
      </c>
      <c r="M2157" s="71">
        <f t="shared" ca="1" si="169"/>
        <v>2.6651581942659508</v>
      </c>
      <c r="N2157" s="65"/>
    </row>
    <row r="2158" spans="1:14" x14ac:dyDescent="0.25">
      <c r="A2158" s="2">
        <v>2152</v>
      </c>
      <c r="B2158" s="11">
        <f t="shared" ca="1" si="166"/>
        <v>1</v>
      </c>
      <c r="C2158" s="26">
        <f t="shared" ca="1" si="170"/>
        <v>0.11355986614115265</v>
      </c>
      <c r="J2158">
        <f t="shared" ca="1" si="167"/>
        <v>1</v>
      </c>
      <c r="K2158">
        <f t="shared" ca="1" si="168"/>
        <v>0</v>
      </c>
      <c r="L2158" s="65">
        <v>2152</v>
      </c>
      <c r="M2158" s="71">
        <f t="shared" ca="1" si="169"/>
        <v>0.61053411020305148</v>
      </c>
      <c r="N2158" s="65"/>
    </row>
    <row r="2159" spans="1:14" x14ac:dyDescent="0.25">
      <c r="A2159" s="2">
        <v>2153</v>
      </c>
      <c r="B2159" s="11">
        <f t="shared" ref="B2159:B2222" ca="1" si="171">IF(B2158&gt;0,IF(C2159&lt;pww,1,0),IF(C2159&lt;pdw,1,0))</f>
        <v>1</v>
      </c>
      <c r="C2159" s="26">
        <f t="shared" ca="1" si="170"/>
        <v>0.77557261773058328</v>
      </c>
      <c r="J2159">
        <f t="shared" ref="J2159:J2222" ca="1" si="172">IF(AND(B2159,B2160),1,0)</f>
        <v>1</v>
      </c>
      <c r="K2159">
        <f t="shared" ref="K2159:K2222" ca="1" si="173">IF(AND(NOT(B2159),NOT(B2160)),1,0)</f>
        <v>0</v>
      </c>
      <c r="L2159" s="65">
        <v>2153</v>
      </c>
      <c r="M2159" s="71">
        <f t="shared" ca="1" si="169"/>
        <v>7.6554800848770936</v>
      </c>
      <c r="N2159" s="65"/>
    </row>
    <row r="2160" spans="1:14" x14ac:dyDescent="0.25">
      <c r="A2160" s="2">
        <v>2154</v>
      </c>
      <c r="B2160" s="11">
        <f t="shared" ca="1" si="171"/>
        <v>1</v>
      </c>
      <c r="C2160" s="26">
        <f t="shared" ca="1" si="170"/>
        <v>0.31095777558105553</v>
      </c>
      <c r="J2160">
        <f t="shared" ca="1" si="172"/>
        <v>1</v>
      </c>
      <c r="K2160">
        <f t="shared" ca="1" si="173"/>
        <v>0</v>
      </c>
      <c r="L2160" s="65">
        <v>2154</v>
      </c>
      <c r="M2160" s="71">
        <f t="shared" ca="1" si="169"/>
        <v>3.9434389869950506</v>
      </c>
      <c r="N2160" s="65"/>
    </row>
    <row r="2161" spans="1:14" x14ac:dyDescent="0.25">
      <c r="A2161" s="2">
        <v>2155</v>
      </c>
      <c r="B2161" s="11">
        <f t="shared" ca="1" si="171"/>
        <v>1</v>
      </c>
      <c r="C2161" s="26">
        <f t="shared" ca="1" si="170"/>
        <v>0.54612526302280917</v>
      </c>
      <c r="J2161">
        <f t="shared" ca="1" si="172"/>
        <v>1</v>
      </c>
      <c r="K2161">
        <f t="shared" ca="1" si="173"/>
        <v>0</v>
      </c>
      <c r="L2161" s="65">
        <v>2155</v>
      </c>
      <c r="M2161" s="71">
        <f t="shared" ca="1" si="169"/>
        <v>6.5117081870959712</v>
      </c>
      <c r="N2161" s="65"/>
    </row>
    <row r="2162" spans="1:14" x14ac:dyDescent="0.25">
      <c r="A2162" s="2">
        <v>2156</v>
      </c>
      <c r="B2162" s="11">
        <f t="shared" ca="1" si="171"/>
        <v>1</v>
      </c>
      <c r="C2162" s="26">
        <f t="shared" ca="1" si="170"/>
        <v>0.46351821409455307</v>
      </c>
      <c r="J2162">
        <f t="shared" ca="1" si="172"/>
        <v>1</v>
      </c>
      <c r="K2162">
        <f t="shared" ca="1" si="173"/>
        <v>0</v>
      </c>
      <c r="L2162" s="65">
        <v>2156</v>
      </c>
      <c r="M2162" s="71">
        <f t="shared" ca="1" si="169"/>
        <v>7.3671455853670293</v>
      </c>
      <c r="N2162" s="65"/>
    </row>
    <row r="2163" spans="1:14" x14ac:dyDescent="0.25">
      <c r="A2163" s="2">
        <v>2157</v>
      </c>
      <c r="B2163" s="11">
        <f t="shared" ca="1" si="171"/>
        <v>1</v>
      </c>
      <c r="C2163" s="26">
        <f t="shared" ca="1" si="170"/>
        <v>0.32602518708231054</v>
      </c>
      <c r="J2163">
        <f t="shared" ca="1" si="172"/>
        <v>1</v>
      </c>
      <c r="K2163">
        <f t="shared" ca="1" si="173"/>
        <v>0</v>
      </c>
      <c r="L2163" s="65">
        <v>2157</v>
      </c>
      <c r="M2163" s="71">
        <f t="shared" ca="1" si="169"/>
        <v>0.50780922155776353</v>
      </c>
      <c r="N2163" s="65"/>
    </row>
    <row r="2164" spans="1:14" x14ac:dyDescent="0.25">
      <c r="A2164" s="2">
        <v>2158</v>
      </c>
      <c r="B2164" s="11">
        <f t="shared" ca="1" si="171"/>
        <v>1</v>
      </c>
      <c r="C2164" s="26">
        <f t="shared" ca="1" si="170"/>
        <v>0.36729790919772076</v>
      </c>
      <c r="J2164">
        <f t="shared" ca="1" si="172"/>
        <v>0</v>
      </c>
      <c r="K2164">
        <f t="shared" ca="1" si="173"/>
        <v>0</v>
      </c>
      <c r="L2164" s="65">
        <v>2158</v>
      </c>
      <c r="M2164" s="71">
        <f t="shared" ca="1" si="169"/>
        <v>3.5014868285107297</v>
      </c>
      <c r="N2164" s="65"/>
    </row>
    <row r="2165" spans="1:14" x14ac:dyDescent="0.25">
      <c r="A2165" s="2">
        <v>2159</v>
      </c>
      <c r="B2165" s="11">
        <f t="shared" ca="1" si="171"/>
        <v>0</v>
      </c>
      <c r="C2165" s="26">
        <f t="shared" ca="1" si="170"/>
        <v>0.85482015857405336</v>
      </c>
      <c r="J2165">
        <f t="shared" ca="1" si="172"/>
        <v>0</v>
      </c>
      <c r="K2165">
        <f t="shared" ca="1" si="173"/>
        <v>0</v>
      </c>
      <c r="L2165" s="65">
        <v>2159</v>
      </c>
      <c r="M2165" s="71">
        <f t="shared" ca="1" si="169"/>
        <v>0</v>
      </c>
      <c r="N2165" s="65"/>
    </row>
    <row r="2166" spans="1:14" x14ac:dyDescent="0.25">
      <c r="A2166" s="2">
        <v>2160</v>
      </c>
      <c r="B2166" s="11">
        <f t="shared" ca="1" si="171"/>
        <v>1</v>
      </c>
      <c r="C2166" s="26">
        <f t="shared" ca="1" si="170"/>
        <v>9.8838969518546538E-3</v>
      </c>
      <c r="J2166">
        <f t="shared" ca="1" si="172"/>
        <v>1</v>
      </c>
      <c r="K2166">
        <f t="shared" ca="1" si="173"/>
        <v>0</v>
      </c>
      <c r="L2166" s="65">
        <v>2160</v>
      </c>
      <c r="M2166" s="71">
        <f t="shared" ca="1" si="169"/>
        <v>10.586880452430547</v>
      </c>
      <c r="N2166" s="65"/>
    </row>
    <row r="2167" spans="1:14" x14ac:dyDescent="0.25">
      <c r="A2167" s="2">
        <v>2161</v>
      </c>
      <c r="B2167" s="11">
        <f t="shared" ca="1" si="171"/>
        <v>1</v>
      </c>
      <c r="C2167" s="26">
        <f t="shared" ca="1" si="170"/>
        <v>0.14271718829318858</v>
      </c>
      <c r="J2167">
        <f t="shared" ca="1" si="172"/>
        <v>1</v>
      </c>
      <c r="K2167">
        <f t="shared" ca="1" si="173"/>
        <v>0</v>
      </c>
      <c r="L2167" s="65">
        <v>2161</v>
      </c>
      <c r="M2167" s="71">
        <f t="shared" ca="1" si="169"/>
        <v>2.4854319627764716</v>
      </c>
      <c r="N2167" s="65"/>
    </row>
    <row r="2168" spans="1:14" x14ac:dyDescent="0.25">
      <c r="A2168" s="2">
        <v>2162</v>
      </c>
      <c r="B2168" s="11">
        <f t="shared" ca="1" si="171"/>
        <v>1</v>
      </c>
      <c r="C2168" s="26">
        <f t="shared" ca="1" si="170"/>
        <v>0.78959504913698142</v>
      </c>
      <c r="J2168">
        <f t="shared" ca="1" si="172"/>
        <v>0</v>
      </c>
      <c r="K2168">
        <f t="shared" ca="1" si="173"/>
        <v>0</v>
      </c>
      <c r="L2168" s="65">
        <v>2162</v>
      </c>
      <c r="M2168" s="71">
        <f t="shared" ca="1" si="169"/>
        <v>2.8234960643946425</v>
      </c>
      <c r="N2168" s="65"/>
    </row>
    <row r="2169" spans="1:14" x14ac:dyDescent="0.25">
      <c r="A2169" s="2">
        <v>2163</v>
      </c>
      <c r="B2169" s="11">
        <f t="shared" ca="1" si="171"/>
        <v>0</v>
      </c>
      <c r="C2169" s="26">
        <f t="shared" ca="1" si="170"/>
        <v>0.89521037768521305</v>
      </c>
      <c r="J2169">
        <f t="shared" ca="1" si="172"/>
        <v>0</v>
      </c>
      <c r="K2169">
        <f t="shared" ca="1" si="173"/>
        <v>1</v>
      </c>
      <c r="L2169" s="65">
        <v>2163</v>
      </c>
      <c r="M2169" s="71">
        <f t="shared" ca="1" si="169"/>
        <v>0</v>
      </c>
      <c r="N2169" s="65"/>
    </row>
    <row r="2170" spans="1:14" x14ac:dyDescent="0.25">
      <c r="A2170" s="2">
        <v>2164</v>
      </c>
      <c r="B2170" s="11">
        <f t="shared" ca="1" si="171"/>
        <v>0</v>
      </c>
      <c r="C2170" s="26">
        <f t="shared" ca="1" si="170"/>
        <v>0.72837387986580437</v>
      </c>
      <c r="J2170">
        <f t="shared" ca="1" si="172"/>
        <v>0</v>
      </c>
      <c r="K2170">
        <f t="shared" ca="1" si="173"/>
        <v>0</v>
      </c>
      <c r="L2170" s="65">
        <v>2164</v>
      </c>
      <c r="M2170" s="71">
        <f t="shared" ca="1" si="169"/>
        <v>0</v>
      </c>
      <c r="N2170" s="65"/>
    </row>
    <row r="2171" spans="1:14" x14ac:dyDescent="0.25">
      <c r="A2171" s="2">
        <v>2165</v>
      </c>
      <c r="B2171" s="11">
        <f t="shared" ca="1" si="171"/>
        <v>1</v>
      </c>
      <c r="C2171" s="26">
        <f t="shared" ca="1" si="170"/>
        <v>0.58962021139834797</v>
      </c>
      <c r="J2171">
        <f t="shared" ca="1" si="172"/>
        <v>1</v>
      </c>
      <c r="K2171">
        <f t="shared" ca="1" si="173"/>
        <v>0</v>
      </c>
      <c r="L2171" s="65">
        <v>2165</v>
      </c>
      <c r="M2171" s="71">
        <f t="shared" ca="1" si="169"/>
        <v>5.530378133629573</v>
      </c>
      <c r="N2171" s="65"/>
    </row>
    <row r="2172" spans="1:14" x14ac:dyDescent="0.25">
      <c r="A2172" s="2">
        <v>2166</v>
      </c>
      <c r="B2172" s="11">
        <f t="shared" ca="1" si="171"/>
        <v>1</v>
      </c>
      <c r="C2172" s="26">
        <f t="shared" ca="1" si="170"/>
        <v>0.56516128741302862</v>
      </c>
      <c r="J2172">
        <f t="shared" ca="1" si="172"/>
        <v>1</v>
      </c>
      <c r="K2172">
        <f t="shared" ca="1" si="173"/>
        <v>0</v>
      </c>
      <c r="L2172" s="65">
        <v>2166</v>
      </c>
      <c r="M2172" s="71">
        <f t="shared" ca="1" si="169"/>
        <v>3.6464831328718375</v>
      </c>
      <c r="N2172" s="65"/>
    </row>
    <row r="2173" spans="1:14" x14ac:dyDescent="0.25">
      <c r="A2173" s="2">
        <v>2167</v>
      </c>
      <c r="B2173" s="11">
        <f t="shared" ca="1" si="171"/>
        <v>1</v>
      </c>
      <c r="C2173" s="26">
        <f t="shared" ca="1" si="170"/>
        <v>6.7279981608869832E-3</v>
      </c>
      <c r="J2173">
        <f t="shared" ca="1" si="172"/>
        <v>1</v>
      </c>
      <c r="K2173">
        <f t="shared" ca="1" si="173"/>
        <v>0</v>
      </c>
      <c r="L2173" s="65">
        <v>2167</v>
      </c>
      <c r="M2173" s="71">
        <f t="shared" ca="1" si="169"/>
        <v>3.3376147290153551</v>
      </c>
      <c r="N2173" s="65"/>
    </row>
    <row r="2174" spans="1:14" x14ac:dyDescent="0.25">
      <c r="A2174" s="2">
        <v>2168</v>
      </c>
      <c r="B2174" s="11">
        <f t="shared" ca="1" si="171"/>
        <v>1</v>
      </c>
      <c r="C2174" s="26">
        <f t="shared" ca="1" si="170"/>
        <v>0.32674432233508055</v>
      </c>
      <c r="J2174">
        <f t="shared" ca="1" si="172"/>
        <v>1</v>
      </c>
      <c r="K2174">
        <f t="shared" ca="1" si="173"/>
        <v>0</v>
      </c>
      <c r="L2174" s="65">
        <v>2168</v>
      </c>
      <c r="M2174" s="71">
        <f t="shared" ca="1" si="169"/>
        <v>7.5416187454356773</v>
      </c>
      <c r="N2174" s="65"/>
    </row>
    <row r="2175" spans="1:14" x14ac:dyDescent="0.25">
      <c r="A2175" s="2">
        <v>2169</v>
      </c>
      <c r="B2175" s="11">
        <f t="shared" ca="1" si="171"/>
        <v>1</v>
      </c>
      <c r="C2175" s="26">
        <f t="shared" ca="1" si="170"/>
        <v>0.12709568193627052</v>
      </c>
      <c r="J2175">
        <f t="shared" ca="1" si="172"/>
        <v>1</v>
      </c>
      <c r="K2175">
        <f t="shared" ca="1" si="173"/>
        <v>0</v>
      </c>
      <c r="L2175" s="65">
        <v>2169</v>
      </c>
      <c r="M2175" s="71">
        <f t="shared" ca="1" si="169"/>
        <v>7.6710063958094103</v>
      </c>
      <c r="N2175" s="65"/>
    </row>
    <row r="2176" spans="1:14" x14ac:dyDescent="0.25">
      <c r="A2176" s="2">
        <v>2170</v>
      </c>
      <c r="B2176" s="11">
        <f t="shared" ca="1" si="171"/>
        <v>1</v>
      </c>
      <c r="C2176" s="26">
        <f t="shared" ca="1" si="170"/>
        <v>0.26344156099141813</v>
      </c>
      <c r="J2176">
        <f t="shared" ca="1" si="172"/>
        <v>1</v>
      </c>
      <c r="K2176">
        <f t="shared" ca="1" si="173"/>
        <v>0</v>
      </c>
      <c r="L2176" s="65">
        <v>2170</v>
      </c>
      <c r="M2176" s="71">
        <f t="shared" ca="1" si="169"/>
        <v>2.8054445250794031</v>
      </c>
      <c r="N2176" s="65"/>
    </row>
    <row r="2177" spans="1:14" x14ac:dyDescent="0.25">
      <c r="A2177" s="2">
        <v>2171</v>
      </c>
      <c r="B2177" s="11">
        <f t="shared" ca="1" si="171"/>
        <v>1</v>
      </c>
      <c r="C2177" s="26">
        <f t="shared" ca="1" si="170"/>
        <v>0.55341511687357214</v>
      </c>
      <c r="J2177">
        <f t="shared" ca="1" si="172"/>
        <v>1</v>
      </c>
      <c r="K2177">
        <f t="shared" ca="1" si="173"/>
        <v>0</v>
      </c>
      <c r="L2177" s="65">
        <v>2171</v>
      </c>
      <c r="M2177" s="71">
        <f t="shared" ca="1" si="169"/>
        <v>8.0371950640787446</v>
      </c>
      <c r="N2177" s="65"/>
    </row>
    <row r="2178" spans="1:14" x14ac:dyDescent="0.25">
      <c r="A2178" s="2">
        <v>2172</v>
      </c>
      <c r="B2178" s="11">
        <f t="shared" ca="1" si="171"/>
        <v>1</v>
      </c>
      <c r="C2178" s="26">
        <f t="shared" ca="1" si="170"/>
        <v>0.20348394705516293</v>
      </c>
      <c r="J2178">
        <f t="shared" ca="1" si="172"/>
        <v>1</v>
      </c>
      <c r="K2178">
        <f t="shared" ca="1" si="173"/>
        <v>0</v>
      </c>
      <c r="L2178" s="65">
        <v>2172</v>
      </c>
      <c r="M2178" s="71">
        <f t="shared" ca="1" si="169"/>
        <v>1.3580505689883569</v>
      </c>
      <c r="N2178" s="65"/>
    </row>
    <row r="2179" spans="1:14" x14ac:dyDescent="0.25">
      <c r="A2179" s="2">
        <v>2173</v>
      </c>
      <c r="B2179" s="11">
        <f t="shared" ca="1" si="171"/>
        <v>1</v>
      </c>
      <c r="C2179" s="26">
        <f t="shared" ca="1" si="170"/>
        <v>0.38983057608483407</v>
      </c>
      <c r="J2179">
        <f t="shared" ca="1" si="172"/>
        <v>0</v>
      </c>
      <c r="K2179">
        <f t="shared" ca="1" si="173"/>
        <v>0</v>
      </c>
      <c r="L2179" s="65">
        <v>2173</v>
      </c>
      <c r="M2179" s="71">
        <f t="shared" ca="1" si="169"/>
        <v>7.007588234568642</v>
      </c>
      <c r="N2179" s="65"/>
    </row>
    <row r="2180" spans="1:14" x14ac:dyDescent="0.25">
      <c r="A2180" s="2">
        <v>2174</v>
      </c>
      <c r="B2180" s="11">
        <f t="shared" ca="1" si="171"/>
        <v>0</v>
      </c>
      <c r="C2180" s="26">
        <f t="shared" ca="1" si="170"/>
        <v>0.90136814823436207</v>
      </c>
      <c r="J2180">
        <f t="shared" ca="1" si="172"/>
        <v>0</v>
      </c>
      <c r="K2180">
        <f t="shared" ca="1" si="173"/>
        <v>0</v>
      </c>
      <c r="L2180" s="65">
        <v>2174</v>
      </c>
      <c r="M2180" s="71">
        <f t="shared" ca="1" si="169"/>
        <v>0</v>
      </c>
      <c r="N2180" s="65"/>
    </row>
    <row r="2181" spans="1:14" x14ac:dyDescent="0.25">
      <c r="A2181" s="2">
        <v>2175</v>
      </c>
      <c r="B2181" s="11">
        <f t="shared" ca="1" si="171"/>
        <v>1</v>
      </c>
      <c r="C2181" s="26">
        <f t="shared" ca="1" si="170"/>
        <v>0.6531045356146038</v>
      </c>
      <c r="J2181">
        <f t="shared" ca="1" si="172"/>
        <v>1</v>
      </c>
      <c r="K2181">
        <f t="shared" ca="1" si="173"/>
        <v>0</v>
      </c>
      <c r="L2181" s="65">
        <v>2175</v>
      </c>
      <c r="M2181" s="71">
        <f t="shared" ca="1" si="169"/>
        <v>1.5729865098874267</v>
      </c>
      <c r="N2181" s="65"/>
    </row>
    <row r="2182" spans="1:14" x14ac:dyDescent="0.25">
      <c r="A2182" s="2">
        <v>2176</v>
      </c>
      <c r="B2182" s="11">
        <f t="shared" ca="1" si="171"/>
        <v>1</v>
      </c>
      <c r="C2182" s="26">
        <f t="shared" ca="1" si="170"/>
        <v>0.61637733169696218</v>
      </c>
      <c r="J2182">
        <f t="shared" ca="1" si="172"/>
        <v>1</v>
      </c>
      <c r="K2182">
        <f t="shared" ca="1" si="173"/>
        <v>0</v>
      </c>
      <c r="L2182" s="65">
        <v>2176</v>
      </c>
      <c r="M2182" s="71">
        <f t="shared" ca="1" si="169"/>
        <v>9.3926011944418626</v>
      </c>
      <c r="N2182" s="65"/>
    </row>
    <row r="2183" spans="1:14" x14ac:dyDescent="0.25">
      <c r="A2183" s="2">
        <v>2177</v>
      </c>
      <c r="B2183" s="11">
        <f t="shared" ca="1" si="171"/>
        <v>1</v>
      </c>
      <c r="C2183" s="26">
        <f t="shared" ca="1" si="170"/>
        <v>9.5268015435274744E-3</v>
      </c>
      <c r="J2183">
        <f t="shared" ca="1" si="172"/>
        <v>1</v>
      </c>
      <c r="K2183">
        <f t="shared" ca="1" si="173"/>
        <v>0</v>
      </c>
      <c r="L2183" s="65">
        <v>2177</v>
      </c>
      <c r="M2183" s="71">
        <f t="shared" ref="M2183:M2246" ca="1" si="174">IF(B2183&gt;0,-LN(1-(RAND()))/lambda,0)</f>
        <v>2.195522640727726</v>
      </c>
      <c r="N2183" s="65"/>
    </row>
    <row r="2184" spans="1:14" x14ac:dyDescent="0.25">
      <c r="A2184" s="2">
        <v>2178</v>
      </c>
      <c r="B2184" s="11">
        <f t="shared" ca="1" si="171"/>
        <v>1</v>
      </c>
      <c r="C2184" s="26">
        <f t="shared" ref="C2184:C2247" ca="1" si="175">RAND()</f>
        <v>2.5407438534254423E-2</v>
      </c>
      <c r="J2184">
        <f t="shared" ca="1" si="172"/>
        <v>0</v>
      </c>
      <c r="K2184">
        <f t="shared" ca="1" si="173"/>
        <v>0</v>
      </c>
      <c r="L2184" s="65">
        <v>2178</v>
      </c>
      <c r="M2184" s="71">
        <f t="shared" ca="1" si="174"/>
        <v>0.28823852585636855</v>
      </c>
      <c r="N2184" s="65"/>
    </row>
    <row r="2185" spans="1:14" x14ac:dyDescent="0.25">
      <c r="A2185" s="2">
        <v>2179</v>
      </c>
      <c r="B2185" s="11">
        <f t="shared" ca="1" si="171"/>
        <v>0</v>
      </c>
      <c r="C2185" s="26">
        <f t="shared" ca="1" si="175"/>
        <v>0.86105572832493826</v>
      </c>
      <c r="J2185">
        <f t="shared" ca="1" si="172"/>
        <v>0</v>
      </c>
      <c r="K2185">
        <f t="shared" ca="1" si="173"/>
        <v>0</v>
      </c>
      <c r="L2185" s="65">
        <v>2179</v>
      </c>
      <c r="M2185" s="71">
        <f t="shared" ca="1" si="174"/>
        <v>0</v>
      </c>
      <c r="N2185" s="65"/>
    </row>
    <row r="2186" spans="1:14" x14ac:dyDescent="0.25">
      <c r="A2186" s="2">
        <v>2180</v>
      </c>
      <c r="B2186" s="11">
        <f t="shared" ca="1" si="171"/>
        <v>1</v>
      </c>
      <c r="C2186" s="26">
        <f t="shared" ca="1" si="175"/>
        <v>0.32454684637129105</v>
      </c>
      <c r="J2186">
        <f t="shared" ca="1" si="172"/>
        <v>1</v>
      </c>
      <c r="K2186">
        <f t="shared" ca="1" si="173"/>
        <v>0</v>
      </c>
      <c r="L2186" s="65">
        <v>2180</v>
      </c>
      <c r="M2186" s="71">
        <f t="shared" ca="1" si="174"/>
        <v>1.8979726897675726</v>
      </c>
      <c r="N2186" s="65"/>
    </row>
    <row r="2187" spans="1:14" x14ac:dyDescent="0.25">
      <c r="A2187" s="2">
        <v>2181</v>
      </c>
      <c r="B2187" s="11">
        <f t="shared" ca="1" si="171"/>
        <v>1</v>
      </c>
      <c r="C2187" s="26">
        <f t="shared" ca="1" si="175"/>
        <v>1.9442967047837767E-2</v>
      </c>
      <c r="J2187">
        <f t="shared" ca="1" si="172"/>
        <v>1</v>
      </c>
      <c r="K2187">
        <f t="shared" ca="1" si="173"/>
        <v>0</v>
      </c>
      <c r="L2187" s="65">
        <v>2181</v>
      </c>
      <c r="M2187" s="71">
        <f t="shared" ca="1" si="174"/>
        <v>1.5860418910294085</v>
      </c>
      <c r="N2187" s="65"/>
    </row>
    <row r="2188" spans="1:14" x14ac:dyDescent="0.25">
      <c r="A2188" s="2">
        <v>2182</v>
      </c>
      <c r="B2188" s="11">
        <f t="shared" ca="1" si="171"/>
        <v>1</v>
      </c>
      <c r="C2188" s="26">
        <f t="shared" ca="1" si="175"/>
        <v>8.6553662533758624E-2</v>
      </c>
      <c r="J2188">
        <f t="shared" ca="1" si="172"/>
        <v>1</v>
      </c>
      <c r="K2188">
        <f t="shared" ca="1" si="173"/>
        <v>0</v>
      </c>
      <c r="L2188" s="65">
        <v>2182</v>
      </c>
      <c r="M2188" s="71">
        <f t="shared" ca="1" si="174"/>
        <v>2.3204809206982859</v>
      </c>
      <c r="N2188" s="65"/>
    </row>
    <row r="2189" spans="1:14" x14ac:dyDescent="0.25">
      <c r="A2189" s="2">
        <v>2183</v>
      </c>
      <c r="B2189" s="11">
        <f t="shared" ca="1" si="171"/>
        <v>1</v>
      </c>
      <c r="C2189" s="26">
        <f t="shared" ca="1" si="175"/>
        <v>0.41766385709964238</v>
      </c>
      <c r="J2189">
        <f t="shared" ca="1" si="172"/>
        <v>1</v>
      </c>
      <c r="K2189">
        <f t="shared" ca="1" si="173"/>
        <v>0</v>
      </c>
      <c r="L2189" s="65">
        <v>2183</v>
      </c>
      <c r="M2189" s="71">
        <f t="shared" ca="1" si="174"/>
        <v>2.9410831315140618</v>
      </c>
      <c r="N2189" s="65"/>
    </row>
    <row r="2190" spans="1:14" x14ac:dyDescent="0.25">
      <c r="A2190" s="2">
        <v>2184</v>
      </c>
      <c r="B2190" s="11">
        <f t="shared" ca="1" si="171"/>
        <v>1</v>
      </c>
      <c r="C2190" s="26">
        <f t="shared" ca="1" si="175"/>
        <v>0.30688880937347351</v>
      </c>
      <c r="J2190">
        <f t="shared" ca="1" si="172"/>
        <v>1</v>
      </c>
      <c r="K2190">
        <f t="shared" ca="1" si="173"/>
        <v>0</v>
      </c>
      <c r="L2190" s="65">
        <v>2184</v>
      </c>
      <c r="M2190" s="71">
        <f t="shared" ca="1" si="174"/>
        <v>1.1722477924500756</v>
      </c>
      <c r="N2190" s="65"/>
    </row>
    <row r="2191" spans="1:14" x14ac:dyDescent="0.25">
      <c r="A2191" s="2">
        <v>2185</v>
      </c>
      <c r="B2191" s="11">
        <f t="shared" ca="1" si="171"/>
        <v>1</v>
      </c>
      <c r="C2191" s="26">
        <f t="shared" ca="1" si="175"/>
        <v>0.75813786867474608</v>
      </c>
      <c r="J2191">
        <f t="shared" ca="1" si="172"/>
        <v>1</v>
      </c>
      <c r="K2191">
        <f t="shared" ca="1" si="173"/>
        <v>0</v>
      </c>
      <c r="L2191" s="65">
        <v>2185</v>
      </c>
      <c r="M2191" s="71">
        <f t="shared" ca="1" si="174"/>
        <v>0.29165516276686276</v>
      </c>
      <c r="N2191" s="65"/>
    </row>
    <row r="2192" spans="1:14" x14ac:dyDescent="0.25">
      <c r="A2192" s="2">
        <v>2186</v>
      </c>
      <c r="B2192" s="11">
        <f t="shared" ca="1" si="171"/>
        <v>1</v>
      </c>
      <c r="C2192" s="26">
        <f t="shared" ca="1" si="175"/>
        <v>0.28358207133911761</v>
      </c>
      <c r="J2192">
        <f t="shared" ca="1" si="172"/>
        <v>1</v>
      </c>
      <c r="K2192">
        <f t="shared" ca="1" si="173"/>
        <v>0</v>
      </c>
      <c r="L2192" s="65">
        <v>2186</v>
      </c>
      <c r="M2192" s="71">
        <f t="shared" ca="1" si="174"/>
        <v>0.6237544978576901</v>
      </c>
      <c r="N2192" s="65"/>
    </row>
    <row r="2193" spans="1:14" x14ac:dyDescent="0.25">
      <c r="A2193" s="2">
        <v>2187</v>
      </c>
      <c r="B2193" s="11">
        <f t="shared" ca="1" si="171"/>
        <v>1</v>
      </c>
      <c r="C2193" s="26">
        <f t="shared" ca="1" si="175"/>
        <v>0.5189560288956101</v>
      </c>
      <c r="J2193">
        <f t="shared" ca="1" si="172"/>
        <v>1</v>
      </c>
      <c r="K2193">
        <f t="shared" ca="1" si="173"/>
        <v>0</v>
      </c>
      <c r="L2193" s="65">
        <v>2187</v>
      </c>
      <c r="M2193" s="71">
        <f t="shared" ca="1" si="174"/>
        <v>3.90384866389623</v>
      </c>
      <c r="N2193" s="65"/>
    </row>
    <row r="2194" spans="1:14" x14ac:dyDescent="0.25">
      <c r="A2194" s="2">
        <v>2188</v>
      </c>
      <c r="B2194" s="11">
        <f t="shared" ca="1" si="171"/>
        <v>1</v>
      </c>
      <c r="C2194" s="26">
        <f t="shared" ca="1" si="175"/>
        <v>0.52368498051874557</v>
      </c>
      <c r="J2194">
        <f t="shared" ca="1" si="172"/>
        <v>1</v>
      </c>
      <c r="K2194">
        <f t="shared" ca="1" si="173"/>
        <v>0</v>
      </c>
      <c r="L2194" s="65">
        <v>2188</v>
      </c>
      <c r="M2194" s="71">
        <f t="shared" ca="1" si="174"/>
        <v>1.1053906160514289</v>
      </c>
      <c r="N2194" s="65"/>
    </row>
    <row r="2195" spans="1:14" x14ac:dyDescent="0.25">
      <c r="A2195" s="2">
        <v>2189</v>
      </c>
      <c r="B2195" s="11">
        <f t="shared" ca="1" si="171"/>
        <v>1</v>
      </c>
      <c r="C2195" s="26">
        <f t="shared" ca="1" si="175"/>
        <v>0.64805674010650949</v>
      </c>
      <c r="J2195">
        <f t="shared" ca="1" si="172"/>
        <v>0</v>
      </c>
      <c r="K2195">
        <f t="shared" ca="1" si="173"/>
        <v>0</v>
      </c>
      <c r="L2195" s="65">
        <v>2189</v>
      </c>
      <c r="M2195" s="71">
        <f t="shared" ca="1" si="174"/>
        <v>0.81405714650629857</v>
      </c>
      <c r="N2195" s="65"/>
    </row>
    <row r="2196" spans="1:14" x14ac:dyDescent="0.25">
      <c r="A2196" s="2">
        <v>2190</v>
      </c>
      <c r="B2196" s="11">
        <f t="shared" ca="1" si="171"/>
        <v>0</v>
      </c>
      <c r="C2196" s="26">
        <f t="shared" ca="1" si="175"/>
        <v>0.84874688838243839</v>
      </c>
      <c r="J2196">
        <f t="shared" ca="1" si="172"/>
        <v>0</v>
      </c>
      <c r="K2196">
        <f t="shared" ca="1" si="173"/>
        <v>0</v>
      </c>
      <c r="L2196" s="65">
        <v>2190</v>
      </c>
      <c r="M2196" s="71">
        <f t="shared" ca="1" si="174"/>
        <v>0</v>
      </c>
      <c r="N2196" s="65"/>
    </row>
    <row r="2197" spans="1:14" x14ac:dyDescent="0.25">
      <c r="A2197" s="2">
        <v>2191</v>
      </c>
      <c r="B2197" s="11">
        <f t="shared" ca="1" si="171"/>
        <v>1</v>
      </c>
      <c r="C2197" s="26">
        <f t="shared" ca="1" si="175"/>
        <v>0.15287084504499193</v>
      </c>
      <c r="J2197">
        <f t="shared" ca="1" si="172"/>
        <v>1</v>
      </c>
      <c r="K2197">
        <f t="shared" ca="1" si="173"/>
        <v>0</v>
      </c>
      <c r="L2197" s="65">
        <v>2191</v>
      </c>
      <c r="M2197" s="71">
        <f t="shared" ca="1" si="174"/>
        <v>1.2489131633677686</v>
      </c>
      <c r="N2197" s="65"/>
    </row>
    <row r="2198" spans="1:14" x14ac:dyDescent="0.25">
      <c r="A2198" s="2">
        <v>2192</v>
      </c>
      <c r="B2198" s="11">
        <f t="shared" ca="1" si="171"/>
        <v>1</v>
      </c>
      <c r="C2198" s="26">
        <f t="shared" ca="1" si="175"/>
        <v>0.67435758527439338</v>
      </c>
      <c r="J2198">
        <f t="shared" ca="1" si="172"/>
        <v>0</v>
      </c>
      <c r="K2198">
        <f t="shared" ca="1" si="173"/>
        <v>0</v>
      </c>
      <c r="L2198" s="65">
        <v>2192</v>
      </c>
      <c r="M2198" s="71">
        <f t="shared" ca="1" si="174"/>
        <v>6.8335576406797944</v>
      </c>
      <c r="N2198" s="65"/>
    </row>
    <row r="2199" spans="1:14" x14ac:dyDescent="0.25">
      <c r="A2199" s="2">
        <v>2193</v>
      </c>
      <c r="B2199" s="11">
        <f t="shared" ca="1" si="171"/>
        <v>0</v>
      </c>
      <c r="C2199" s="26">
        <f t="shared" ca="1" si="175"/>
        <v>0.80404099456910372</v>
      </c>
      <c r="J2199">
        <f t="shared" ca="1" si="172"/>
        <v>0</v>
      </c>
      <c r="K2199">
        <f t="shared" ca="1" si="173"/>
        <v>0</v>
      </c>
      <c r="L2199" s="65">
        <v>2193</v>
      </c>
      <c r="M2199" s="71">
        <f t="shared" ca="1" si="174"/>
        <v>0</v>
      </c>
      <c r="N2199" s="65"/>
    </row>
    <row r="2200" spans="1:14" x14ac:dyDescent="0.25">
      <c r="A2200" s="2">
        <v>2194</v>
      </c>
      <c r="B2200" s="11">
        <f t="shared" ca="1" si="171"/>
        <v>1</v>
      </c>
      <c r="C2200" s="26">
        <f t="shared" ca="1" si="175"/>
        <v>0.3873520887313896</v>
      </c>
      <c r="J2200">
        <f t="shared" ca="1" si="172"/>
        <v>1</v>
      </c>
      <c r="K2200">
        <f t="shared" ca="1" si="173"/>
        <v>0</v>
      </c>
      <c r="L2200" s="65">
        <v>2194</v>
      </c>
      <c r="M2200" s="71">
        <f t="shared" ca="1" si="174"/>
        <v>7.8255224407742014</v>
      </c>
      <c r="N2200" s="65"/>
    </row>
    <row r="2201" spans="1:14" x14ac:dyDescent="0.25">
      <c r="A2201" s="2">
        <v>2195</v>
      </c>
      <c r="B2201" s="11">
        <f t="shared" ca="1" si="171"/>
        <v>1</v>
      </c>
      <c r="C2201" s="26">
        <f t="shared" ca="1" si="175"/>
        <v>0.55615783562839194</v>
      </c>
      <c r="J2201">
        <f t="shared" ca="1" si="172"/>
        <v>0</v>
      </c>
      <c r="K2201">
        <f t="shared" ca="1" si="173"/>
        <v>0</v>
      </c>
      <c r="L2201" s="65">
        <v>2195</v>
      </c>
      <c r="M2201" s="71">
        <f t="shared" ca="1" si="174"/>
        <v>1.8700409545752508</v>
      </c>
      <c r="N2201" s="65"/>
    </row>
    <row r="2202" spans="1:14" x14ac:dyDescent="0.25">
      <c r="A2202" s="2">
        <v>2196</v>
      </c>
      <c r="B2202" s="11">
        <f t="shared" ca="1" si="171"/>
        <v>0</v>
      </c>
      <c r="C2202" s="26">
        <f t="shared" ca="1" si="175"/>
        <v>0.85076413645244475</v>
      </c>
      <c r="J2202">
        <f t="shared" ca="1" si="172"/>
        <v>0</v>
      </c>
      <c r="K2202">
        <f t="shared" ca="1" si="173"/>
        <v>1</v>
      </c>
      <c r="L2202" s="65">
        <v>2196</v>
      </c>
      <c r="M2202" s="71">
        <f t="shared" ca="1" si="174"/>
        <v>0</v>
      </c>
      <c r="N2202" s="65"/>
    </row>
    <row r="2203" spans="1:14" x14ac:dyDescent="0.25">
      <c r="A2203" s="2">
        <v>2197</v>
      </c>
      <c r="B2203" s="11">
        <f t="shared" ca="1" si="171"/>
        <v>0</v>
      </c>
      <c r="C2203" s="26">
        <f t="shared" ca="1" si="175"/>
        <v>0.86494723450779665</v>
      </c>
      <c r="J2203">
        <f t="shared" ca="1" si="172"/>
        <v>0</v>
      </c>
      <c r="K2203">
        <f t="shared" ca="1" si="173"/>
        <v>1</v>
      </c>
      <c r="L2203" s="65">
        <v>2197</v>
      </c>
      <c r="M2203" s="71">
        <f t="shared" ca="1" si="174"/>
        <v>0</v>
      </c>
      <c r="N2203" s="65"/>
    </row>
    <row r="2204" spans="1:14" x14ac:dyDescent="0.25">
      <c r="A2204" s="2">
        <v>2198</v>
      </c>
      <c r="B2204" s="11">
        <f t="shared" ca="1" si="171"/>
        <v>0</v>
      </c>
      <c r="C2204" s="26">
        <f t="shared" ca="1" si="175"/>
        <v>0.86021760662455082</v>
      </c>
      <c r="J2204">
        <f t="shared" ca="1" si="172"/>
        <v>0</v>
      </c>
      <c r="K2204">
        <f t="shared" ca="1" si="173"/>
        <v>0</v>
      </c>
      <c r="L2204" s="65">
        <v>2198</v>
      </c>
      <c r="M2204" s="71">
        <f t="shared" ca="1" si="174"/>
        <v>0</v>
      </c>
      <c r="N2204" s="65"/>
    </row>
    <row r="2205" spans="1:14" x14ac:dyDescent="0.25">
      <c r="A2205" s="2">
        <v>2199</v>
      </c>
      <c r="B2205" s="11">
        <f t="shared" ca="1" si="171"/>
        <v>1</v>
      </c>
      <c r="C2205" s="26">
        <f t="shared" ca="1" si="175"/>
        <v>0.19946121924671978</v>
      </c>
      <c r="J2205">
        <f t="shared" ca="1" si="172"/>
        <v>1</v>
      </c>
      <c r="K2205">
        <f t="shared" ca="1" si="173"/>
        <v>0</v>
      </c>
      <c r="L2205" s="65">
        <v>2199</v>
      </c>
      <c r="M2205" s="71">
        <f t="shared" ca="1" si="174"/>
        <v>2.5321446307663109</v>
      </c>
      <c r="N2205" s="65"/>
    </row>
    <row r="2206" spans="1:14" x14ac:dyDescent="0.25">
      <c r="A2206" s="2">
        <v>2200</v>
      </c>
      <c r="B2206" s="11">
        <f t="shared" ca="1" si="171"/>
        <v>1</v>
      </c>
      <c r="C2206" s="26">
        <f t="shared" ca="1" si="175"/>
        <v>0.63437046951740872</v>
      </c>
      <c r="J2206">
        <f t="shared" ca="1" si="172"/>
        <v>1</v>
      </c>
      <c r="K2206">
        <f t="shared" ca="1" si="173"/>
        <v>0</v>
      </c>
      <c r="L2206" s="65">
        <v>2200</v>
      </c>
      <c r="M2206" s="71">
        <f t="shared" ca="1" si="174"/>
        <v>6.740740279875701</v>
      </c>
      <c r="N2206" s="65"/>
    </row>
    <row r="2207" spans="1:14" x14ac:dyDescent="0.25">
      <c r="A2207" s="2">
        <v>2201</v>
      </c>
      <c r="B2207" s="11">
        <f t="shared" ca="1" si="171"/>
        <v>1</v>
      </c>
      <c r="C2207" s="26">
        <f t="shared" ca="1" si="175"/>
        <v>0.34147457149391247</v>
      </c>
      <c r="J2207">
        <f t="shared" ca="1" si="172"/>
        <v>0</v>
      </c>
      <c r="K2207">
        <f t="shared" ca="1" si="173"/>
        <v>0</v>
      </c>
      <c r="L2207" s="65">
        <v>2201</v>
      </c>
      <c r="M2207" s="71">
        <f t="shared" ca="1" si="174"/>
        <v>2.7915165928950172</v>
      </c>
      <c r="N2207" s="65"/>
    </row>
    <row r="2208" spans="1:14" x14ac:dyDescent="0.25">
      <c r="A2208" s="2">
        <v>2202</v>
      </c>
      <c r="B2208" s="11">
        <f t="shared" ca="1" si="171"/>
        <v>0</v>
      </c>
      <c r="C2208" s="26">
        <f t="shared" ca="1" si="175"/>
        <v>0.99674744907189794</v>
      </c>
      <c r="J2208">
        <f t="shared" ca="1" si="172"/>
        <v>0</v>
      </c>
      <c r="K2208">
        <f t="shared" ca="1" si="173"/>
        <v>0</v>
      </c>
      <c r="L2208" s="65">
        <v>2202</v>
      </c>
      <c r="M2208" s="71">
        <f t="shared" ca="1" si="174"/>
        <v>0</v>
      </c>
      <c r="N2208" s="65"/>
    </row>
    <row r="2209" spans="1:14" x14ac:dyDescent="0.25">
      <c r="A2209" s="2">
        <v>2203</v>
      </c>
      <c r="B2209" s="11">
        <f t="shared" ca="1" si="171"/>
        <v>1</v>
      </c>
      <c r="C2209" s="26">
        <f t="shared" ca="1" si="175"/>
        <v>0.18463364360934476</v>
      </c>
      <c r="J2209">
        <f t="shared" ca="1" si="172"/>
        <v>1</v>
      </c>
      <c r="K2209">
        <f t="shared" ca="1" si="173"/>
        <v>0</v>
      </c>
      <c r="L2209" s="65">
        <v>2203</v>
      </c>
      <c r="M2209" s="71">
        <f t="shared" ca="1" si="174"/>
        <v>9.1465531381352303</v>
      </c>
      <c r="N2209" s="65"/>
    </row>
    <row r="2210" spans="1:14" x14ac:dyDescent="0.25">
      <c r="A2210" s="2">
        <v>2204</v>
      </c>
      <c r="B2210" s="11">
        <f t="shared" ca="1" si="171"/>
        <v>1</v>
      </c>
      <c r="C2210" s="26">
        <f t="shared" ca="1" si="175"/>
        <v>0.48324865790439742</v>
      </c>
      <c r="J2210">
        <f t="shared" ca="1" si="172"/>
        <v>1</v>
      </c>
      <c r="K2210">
        <f t="shared" ca="1" si="173"/>
        <v>0</v>
      </c>
      <c r="L2210" s="65">
        <v>2204</v>
      </c>
      <c r="M2210" s="71">
        <f t="shared" ca="1" si="174"/>
        <v>3.6535052789241207</v>
      </c>
      <c r="N2210" s="65"/>
    </row>
    <row r="2211" spans="1:14" x14ac:dyDescent="0.25">
      <c r="A2211" s="2">
        <v>2205</v>
      </c>
      <c r="B2211" s="11">
        <f t="shared" ca="1" si="171"/>
        <v>1</v>
      </c>
      <c r="C2211" s="26">
        <f t="shared" ca="1" si="175"/>
        <v>0.21128460977510777</v>
      </c>
      <c r="J2211">
        <f t="shared" ca="1" si="172"/>
        <v>1</v>
      </c>
      <c r="K2211">
        <f t="shared" ca="1" si="173"/>
        <v>0</v>
      </c>
      <c r="L2211" s="65">
        <v>2205</v>
      </c>
      <c r="M2211" s="71">
        <f t="shared" ca="1" si="174"/>
        <v>5.6451212697787065</v>
      </c>
      <c r="N2211" s="65"/>
    </row>
    <row r="2212" spans="1:14" x14ac:dyDescent="0.25">
      <c r="A2212" s="2">
        <v>2206</v>
      </c>
      <c r="B2212" s="11">
        <f t="shared" ca="1" si="171"/>
        <v>1</v>
      </c>
      <c r="C2212" s="26">
        <f t="shared" ca="1" si="175"/>
        <v>0.74112751627933371</v>
      </c>
      <c r="J2212">
        <f t="shared" ca="1" si="172"/>
        <v>1</v>
      </c>
      <c r="K2212">
        <f t="shared" ca="1" si="173"/>
        <v>0</v>
      </c>
      <c r="L2212" s="65">
        <v>2206</v>
      </c>
      <c r="M2212" s="71">
        <f t="shared" ca="1" si="174"/>
        <v>0.6513336110010679</v>
      </c>
      <c r="N2212" s="65"/>
    </row>
    <row r="2213" spans="1:14" x14ac:dyDescent="0.25">
      <c r="A2213" s="2">
        <v>2207</v>
      </c>
      <c r="B2213" s="11">
        <f t="shared" ca="1" si="171"/>
        <v>1</v>
      </c>
      <c r="C2213" s="26">
        <f t="shared" ca="1" si="175"/>
        <v>0.25799796466607017</v>
      </c>
      <c r="J2213">
        <f t="shared" ca="1" si="172"/>
        <v>0</v>
      </c>
      <c r="K2213">
        <f t="shared" ca="1" si="173"/>
        <v>0</v>
      </c>
      <c r="L2213" s="65">
        <v>2207</v>
      </c>
      <c r="M2213" s="71">
        <f t="shared" ca="1" si="174"/>
        <v>4.3978170134004877</v>
      </c>
      <c r="N2213" s="65"/>
    </row>
    <row r="2214" spans="1:14" x14ac:dyDescent="0.25">
      <c r="A2214" s="2">
        <v>2208</v>
      </c>
      <c r="B2214" s="11">
        <f t="shared" ca="1" si="171"/>
        <v>0</v>
      </c>
      <c r="C2214" s="26">
        <f t="shared" ca="1" si="175"/>
        <v>0.96018573144901798</v>
      </c>
      <c r="J2214">
        <f t="shared" ca="1" si="172"/>
        <v>0</v>
      </c>
      <c r="K2214">
        <f t="shared" ca="1" si="173"/>
        <v>0</v>
      </c>
      <c r="L2214" s="65">
        <v>2208</v>
      </c>
      <c r="M2214" s="71">
        <f t="shared" ca="1" si="174"/>
        <v>0</v>
      </c>
      <c r="N2214" s="65"/>
    </row>
    <row r="2215" spans="1:14" x14ac:dyDescent="0.25">
      <c r="A2215" s="2">
        <v>2209</v>
      </c>
      <c r="B2215" s="11">
        <f t="shared" ca="1" si="171"/>
        <v>1</v>
      </c>
      <c r="C2215" s="26">
        <f t="shared" ca="1" si="175"/>
        <v>0.46914809677374736</v>
      </c>
      <c r="J2215">
        <f t="shared" ca="1" si="172"/>
        <v>1</v>
      </c>
      <c r="K2215">
        <f t="shared" ca="1" si="173"/>
        <v>0</v>
      </c>
      <c r="L2215" s="65">
        <v>2209</v>
      </c>
      <c r="M2215" s="71">
        <f t="shared" ca="1" si="174"/>
        <v>1.7571555315792891</v>
      </c>
      <c r="N2215" s="65"/>
    </row>
    <row r="2216" spans="1:14" x14ac:dyDescent="0.25">
      <c r="A2216" s="2">
        <v>2210</v>
      </c>
      <c r="B2216" s="11">
        <f t="shared" ca="1" si="171"/>
        <v>1</v>
      </c>
      <c r="C2216" s="26">
        <f t="shared" ca="1" si="175"/>
        <v>4.0735573912207723E-2</v>
      </c>
      <c r="J2216">
        <f t="shared" ca="1" si="172"/>
        <v>1</v>
      </c>
      <c r="K2216">
        <f t="shared" ca="1" si="173"/>
        <v>0</v>
      </c>
      <c r="L2216" s="65">
        <v>2210</v>
      </c>
      <c r="M2216" s="71">
        <f t="shared" ca="1" si="174"/>
        <v>1.408070623201277</v>
      </c>
      <c r="N2216" s="65"/>
    </row>
    <row r="2217" spans="1:14" x14ac:dyDescent="0.25">
      <c r="A2217" s="2">
        <v>2211</v>
      </c>
      <c r="B2217" s="11">
        <f t="shared" ca="1" si="171"/>
        <v>1</v>
      </c>
      <c r="C2217" s="26">
        <f t="shared" ca="1" si="175"/>
        <v>0.24784744972486472</v>
      </c>
      <c r="J2217">
        <f t="shared" ca="1" si="172"/>
        <v>1</v>
      </c>
      <c r="K2217">
        <f t="shared" ca="1" si="173"/>
        <v>0</v>
      </c>
      <c r="L2217" s="65">
        <v>2211</v>
      </c>
      <c r="M2217" s="71">
        <f t="shared" ca="1" si="174"/>
        <v>0.51135341640760767</v>
      </c>
      <c r="N2217" s="65"/>
    </row>
    <row r="2218" spans="1:14" x14ac:dyDescent="0.25">
      <c r="A2218" s="2">
        <v>2212</v>
      </c>
      <c r="B2218" s="11">
        <f t="shared" ca="1" si="171"/>
        <v>1</v>
      </c>
      <c r="C2218" s="26">
        <f t="shared" ca="1" si="175"/>
        <v>0.10768680116297069</v>
      </c>
      <c r="J2218">
        <f t="shared" ca="1" si="172"/>
        <v>1</v>
      </c>
      <c r="K2218">
        <f t="shared" ca="1" si="173"/>
        <v>0</v>
      </c>
      <c r="L2218" s="65">
        <v>2212</v>
      </c>
      <c r="M2218" s="71">
        <f t="shared" ca="1" si="174"/>
        <v>6.7214786843206076</v>
      </c>
      <c r="N2218" s="65"/>
    </row>
    <row r="2219" spans="1:14" x14ac:dyDescent="0.25">
      <c r="A2219" s="2">
        <v>2213</v>
      </c>
      <c r="B2219" s="11">
        <f t="shared" ca="1" si="171"/>
        <v>1</v>
      </c>
      <c r="C2219" s="26">
        <f t="shared" ca="1" si="175"/>
        <v>0.21597796306175898</v>
      </c>
      <c r="J2219">
        <f t="shared" ca="1" si="172"/>
        <v>1</v>
      </c>
      <c r="K2219">
        <f t="shared" ca="1" si="173"/>
        <v>0</v>
      </c>
      <c r="L2219" s="65">
        <v>2213</v>
      </c>
      <c r="M2219" s="71">
        <f t="shared" ca="1" si="174"/>
        <v>0.64445168079076565</v>
      </c>
      <c r="N2219" s="65"/>
    </row>
    <row r="2220" spans="1:14" x14ac:dyDescent="0.25">
      <c r="A2220" s="2">
        <v>2214</v>
      </c>
      <c r="B2220" s="11">
        <f t="shared" ca="1" si="171"/>
        <v>1</v>
      </c>
      <c r="C2220" s="26">
        <f t="shared" ca="1" si="175"/>
        <v>0.72564528478954937</v>
      </c>
      <c r="J2220">
        <f t="shared" ca="1" si="172"/>
        <v>1</v>
      </c>
      <c r="K2220">
        <f t="shared" ca="1" si="173"/>
        <v>0</v>
      </c>
      <c r="L2220" s="65">
        <v>2214</v>
      </c>
      <c r="M2220" s="71">
        <f t="shared" ca="1" si="174"/>
        <v>1.1180283043461827</v>
      </c>
      <c r="N2220" s="65"/>
    </row>
    <row r="2221" spans="1:14" x14ac:dyDescent="0.25">
      <c r="A2221" s="2">
        <v>2215</v>
      </c>
      <c r="B2221" s="11">
        <f t="shared" ca="1" si="171"/>
        <v>1</v>
      </c>
      <c r="C2221" s="26">
        <f t="shared" ca="1" si="175"/>
        <v>7.9687101580600772E-2</v>
      </c>
      <c r="J2221">
        <f t="shared" ca="1" si="172"/>
        <v>1</v>
      </c>
      <c r="K2221">
        <f t="shared" ca="1" si="173"/>
        <v>0</v>
      </c>
      <c r="L2221" s="65">
        <v>2215</v>
      </c>
      <c r="M2221" s="71">
        <f t="shared" ca="1" si="174"/>
        <v>9.4822254518223126</v>
      </c>
      <c r="N2221" s="65"/>
    </row>
    <row r="2222" spans="1:14" x14ac:dyDescent="0.25">
      <c r="A2222" s="2">
        <v>2216</v>
      </c>
      <c r="B2222" s="11">
        <f t="shared" ca="1" si="171"/>
        <v>1</v>
      </c>
      <c r="C2222" s="26">
        <f t="shared" ca="1" si="175"/>
        <v>0.60814298158929181</v>
      </c>
      <c r="J2222">
        <f t="shared" ca="1" si="172"/>
        <v>1</v>
      </c>
      <c r="K2222">
        <f t="shared" ca="1" si="173"/>
        <v>0</v>
      </c>
      <c r="L2222" s="65">
        <v>2216</v>
      </c>
      <c r="M2222" s="71">
        <f t="shared" ca="1" si="174"/>
        <v>8.5511765149992556</v>
      </c>
      <c r="N2222" s="65"/>
    </row>
    <row r="2223" spans="1:14" x14ac:dyDescent="0.25">
      <c r="A2223" s="2">
        <v>2217</v>
      </c>
      <c r="B2223" s="11">
        <f t="shared" ref="B2223:B2286" ca="1" si="176">IF(B2222&gt;0,IF(C2223&lt;pww,1,0),IF(C2223&lt;pdw,1,0))</f>
        <v>1</v>
      </c>
      <c r="C2223" s="26">
        <f t="shared" ca="1" si="175"/>
        <v>0.49701112593323793</v>
      </c>
      <c r="J2223">
        <f t="shared" ref="J2223:J2286" ca="1" si="177">IF(AND(B2223,B2224),1,0)</f>
        <v>1</v>
      </c>
      <c r="K2223">
        <f t="shared" ref="K2223:K2286" ca="1" si="178">IF(AND(NOT(B2223),NOT(B2224)),1,0)</f>
        <v>0</v>
      </c>
      <c r="L2223" s="65">
        <v>2217</v>
      </c>
      <c r="M2223" s="71">
        <f t="shared" ca="1" si="174"/>
        <v>1.686474887773868</v>
      </c>
      <c r="N2223" s="65"/>
    </row>
    <row r="2224" spans="1:14" x14ac:dyDescent="0.25">
      <c r="A2224" s="2">
        <v>2218</v>
      </c>
      <c r="B2224" s="11">
        <f t="shared" ca="1" si="176"/>
        <v>1</v>
      </c>
      <c r="C2224" s="26">
        <f t="shared" ca="1" si="175"/>
        <v>0.14432045379563185</v>
      </c>
      <c r="J2224">
        <f t="shared" ca="1" si="177"/>
        <v>1</v>
      </c>
      <c r="K2224">
        <f t="shared" ca="1" si="178"/>
        <v>0</v>
      </c>
      <c r="L2224" s="65">
        <v>2218</v>
      </c>
      <c r="M2224" s="71">
        <f t="shared" ca="1" si="174"/>
        <v>6.6967534691931121</v>
      </c>
      <c r="N2224" s="65"/>
    </row>
    <row r="2225" spans="1:14" x14ac:dyDescent="0.25">
      <c r="A2225" s="2">
        <v>2219</v>
      </c>
      <c r="B2225" s="11">
        <f t="shared" ca="1" si="176"/>
        <v>1</v>
      </c>
      <c r="C2225" s="26">
        <f t="shared" ca="1" si="175"/>
        <v>0.41761392669352571</v>
      </c>
      <c r="J2225">
        <f t="shared" ca="1" si="177"/>
        <v>1</v>
      </c>
      <c r="K2225">
        <f t="shared" ca="1" si="178"/>
        <v>0</v>
      </c>
      <c r="L2225" s="65">
        <v>2219</v>
      </c>
      <c r="M2225" s="71">
        <f t="shared" ca="1" si="174"/>
        <v>2.8043624489341301</v>
      </c>
      <c r="N2225" s="65"/>
    </row>
    <row r="2226" spans="1:14" x14ac:dyDescent="0.25">
      <c r="A2226" s="2">
        <v>2220</v>
      </c>
      <c r="B2226" s="11">
        <f t="shared" ca="1" si="176"/>
        <v>1</v>
      </c>
      <c r="C2226" s="26">
        <f t="shared" ca="1" si="175"/>
        <v>0.6293816512824143</v>
      </c>
      <c r="J2226">
        <f t="shared" ca="1" si="177"/>
        <v>1</v>
      </c>
      <c r="K2226">
        <f t="shared" ca="1" si="178"/>
        <v>0</v>
      </c>
      <c r="L2226" s="65">
        <v>2220</v>
      </c>
      <c r="M2226" s="71">
        <f t="shared" ca="1" si="174"/>
        <v>2.3651887590002509</v>
      </c>
      <c r="N2226" s="65"/>
    </row>
    <row r="2227" spans="1:14" x14ac:dyDescent="0.25">
      <c r="A2227" s="2">
        <v>2221</v>
      </c>
      <c r="B2227" s="11">
        <f t="shared" ca="1" si="176"/>
        <v>1</v>
      </c>
      <c r="C2227" s="26">
        <f t="shared" ca="1" si="175"/>
        <v>0.54222310398072859</v>
      </c>
      <c r="J2227">
        <f t="shared" ca="1" si="177"/>
        <v>0</v>
      </c>
      <c r="K2227">
        <f t="shared" ca="1" si="178"/>
        <v>0</v>
      </c>
      <c r="L2227" s="65">
        <v>2221</v>
      </c>
      <c r="M2227" s="71">
        <f t="shared" ca="1" si="174"/>
        <v>1.2824098177758561</v>
      </c>
      <c r="N2227" s="65"/>
    </row>
    <row r="2228" spans="1:14" x14ac:dyDescent="0.25">
      <c r="A2228" s="2">
        <v>2222</v>
      </c>
      <c r="B2228" s="11">
        <f t="shared" ca="1" si="176"/>
        <v>0</v>
      </c>
      <c r="C2228" s="26">
        <f t="shared" ca="1" si="175"/>
        <v>0.9205534724389367</v>
      </c>
      <c r="J2228">
        <f t="shared" ca="1" si="177"/>
        <v>0</v>
      </c>
      <c r="K2228">
        <f t="shared" ca="1" si="178"/>
        <v>0</v>
      </c>
      <c r="L2228" s="65">
        <v>2222</v>
      </c>
      <c r="M2228" s="71">
        <f t="shared" ca="1" si="174"/>
        <v>0</v>
      </c>
      <c r="N2228" s="65"/>
    </row>
    <row r="2229" spans="1:14" x14ac:dyDescent="0.25">
      <c r="A2229" s="2">
        <v>2223</v>
      </c>
      <c r="B2229" s="11">
        <f t="shared" ca="1" si="176"/>
        <v>1</v>
      </c>
      <c r="C2229" s="26">
        <f t="shared" ca="1" si="175"/>
        <v>0.11779560920660603</v>
      </c>
      <c r="J2229">
        <f t="shared" ca="1" si="177"/>
        <v>1</v>
      </c>
      <c r="K2229">
        <f t="shared" ca="1" si="178"/>
        <v>0</v>
      </c>
      <c r="L2229" s="65">
        <v>2223</v>
      </c>
      <c r="M2229" s="71">
        <f t="shared" ca="1" si="174"/>
        <v>3.9745335481069053</v>
      </c>
      <c r="N2229" s="65"/>
    </row>
    <row r="2230" spans="1:14" x14ac:dyDescent="0.25">
      <c r="A2230" s="2">
        <v>2224</v>
      </c>
      <c r="B2230" s="11">
        <f t="shared" ca="1" si="176"/>
        <v>1</v>
      </c>
      <c r="C2230" s="26">
        <f t="shared" ca="1" si="175"/>
        <v>0.43994957306436167</v>
      </c>
      <c r="J2230">
        <f t="shared" ca="1" si="177"/>
        <v>1</v>
      </c>
      <c r="K2230">
        <f t="shared" ca="1" si="178"/>
        <v>0</v>
      </c>
      <c r="L2230" s="65">
        <v>2224</v>
      </c>
      <c r="M2230" s="71">
        <f t="shared" ca="1" si="174"/>
        <v>3.0320046412393724</v>
      </c>
      <c r="N2230" s="65"/>
    </row>
    <row r="2231" spans="1:14" x14ac:dyDescent="0.25">
      <c r="A2231" s="2">
        <v>2225</v>
      </c>
      <c r="B2231" s="11">
        <f t="shared" ca="1" si="176"/>
        <v>1</v>
      </c>
      <c r="C2231" s="26">
        <f t="shared" ca="1" si="175"/>
        <v>0.32667833949608849</v>
      </c>
      <c r="J2231">
        <f t="shared" ca="1" si="177"/>
        <v>0</v>
      </c>
      <c r="K2231">
        <f t="shared" ca="1" si="178"/>
        <v>0</v>
      </c>
      <c r="L2231" s="65">
        <v>2225</v>
      </c>
      <c r="M2231" s="71">
        <f t="shared" ca="1" si="174"/>
        <v>0.47700186608696232</v>
      </c>
      <c r="N2231" s="65"/>
    </row>
    <row r="2232" spans="1:14" x14ac:dyDescent="0.25">
      <c r="A2232" s="2">
        <v>2226</v>
      </c>
      <c r="B2232" s="11">
        <f t="shared" ca="1" si="176"/>
        <v>0</v>
      </c>
      <c r="C2232" s="26">
        <f t="shared" ca="1" si="175"/>
        <v>0.84252568836339481</v>
      </c>
      <c r="J2232">
        <f t="shared" ca="1" si="177"/>
        <v>0</v>
      </c>
      <c r="K2232">
        <f t="shared" ca="1" si="178"/>
        <v>0</v>
      </c>
      <c r="L2232" s="65">
        <v>2226</v>
      </c>
      <c r="M2232" s="71">
        <f t="shared" ca="1" si="174"/>
        <v>0</v>
      </c>
      <c r="N2232" s="65"/>
    </row>
    <row r="2233" spans="1:14" x14ac:dyDescent="0.25">
      <c r="A2233" s="2">
        <v>2227</v>
      </c>
      <c r="B2233" s="11">
        <f t="shared" ca="1" si="176"/>
        <v>1</v>
      </c>
      <c r="C2233" s="26">
        <f t="shared" ca="1" si="175"/>
        <v>0.24705812326885712</v>
      </c>
      <c r="J2233">
        <f t="shared" ca="1" si="177"/>
        <v>0</v>
      </c>
      <c r="K2233">
        <f t="shared" ca="1" si="178"/>
        <v>0</v>
      </c>
      <c r="L2233" s="65">
        <v>2227</v>
      </c>
      <c r="M2233" s="71">
        <f t="shared" ca="1" si="174"/>
        <v>6.1660265999024482</v>
      </c>
      <c r="N2233" s="65"/>
    </row>
    <row r="2234" spans="1:14" x14ac:dyDescent="0.25">
      <c r="A2234" s="2">
        <v>2228</v>
      </c>
      <c r="B2234" s="11">
        <f t="shared" ca="1" si="176"/>
        <v>0</v>
      </c>
      <c r="C2234" s="26">
        <f t="shared" ca="1" si="175"/>
        <v>0.84595500411233826</v>
      </c>
      <c r="J2234">
        <f t="shared" ca="1" si="177"/>
        <v>0</v>
      </c>
      <c r="K2234">
        <f t="shared" ca="1" si="178"/>
        <v>1</v>
      </c>
      <c r="L2234" s="65">
        <v>2228</v>
      </c>
      <c r="M2234" s="71">
        <f t="shared" ca="1" si="174"/>
        <v>0</v>
      </c>
      <c r="N2234" s="65"/>
    </row>
    <row r="2235" spans="1:14" x14ac:dyDescent="0.25">
      <c r="A2235" s="2">
        <v>2229</v>
      </c>
      <c r="B2235" s="11">
        <f t="shared" ca="1" si="176"/>
        <v>0</v>
      </c>
      <c r="C2235" s="26">
        <f t="shared" ca="1" si="175"/>
        <v>0.79073589483635975</v>
      </c>
      <c r="J2235">
        <f t="shared" ca="1" si="177"/>
        <v>0</v>
      </c>
      <c r="K2235">
        <f t="shared" ca="1" si="178"/>
        <v>0</v>
      </c>
      <c r="L2235" s="65">
        <v>2229</v>
      </c>
      <c r="M2235" s="71">
        <f t="shared" ca="1" si="174"/>
        <v>0</v>
      </c>
      <c r="N2235" s="65"/>
    </row>
    <row r="2236" spans="1:14" x14ac:dyDescent="0.25">
      <c r="A2236" s="2">
        <v>2230</v>
      </c>
      <c r="B2236" s="11">
        <f t="shared" ca="1" si="176"/>
        <v>1</v>
      </c>
      <c r="C2236" s="26">
        <f t="shared" ca="1" si="175"/>
        <v>0.61874476116300781</v>
      </c>
      <c r="J2236">
        <f t="shared" ca="1" si="177"/>
        <v>1</v>
      </c>
      <c r="K2236">
        <f t="shared" ca="1" si="178"/>
        <v>0</v>
      </c>
      <c r="L2236" s="65">
        <v>2230</v>
      </c>
      <c r="M2236" s="71">
        <f t="shared" ca="1" si="174"/>
        <v>1.5511040501836906</v>
      </c>
      <c r="N2236" s="65"/>
    </row>
    <row r="2237" spans="1:14" x14ac:dyDescent="0.25">
      <c r="A2237" s="2">
        <v>2231</v>
      </c>
      <c r="B2237" s="11">
        <f t="shared" ca="1" si="176"/>
        <v>1</v>
      </c>
      <c r="C2237" s="26">
        <f t="shared" ca="1" si="175"/>
        <v>0.28149776203638288</v>
      </c>
      <c r="J2237">
        <f t="shared" ca="1" si="177"/>
        <v>1</v>
      </c>
      <c r="K2237">
        <f t="shared" ca="1" si="178"/>
        <v>0</v>
      </c>
      <c r="L2237" s="65">
        <v>2231</v>
      </c>
      <c r="M2237" s="71">
        <f t="shared" ca="1" si="174"/>
        <v>3.3298628918324344</v>
      </c>
      <c r="N2237" s="65"/>
    </row>
    <row r="2238" spans="1:14" x14ac:dyDescent="0.25">
      <c r="A2238" s="2">
        <v>2232</v>
      </c>
      <c r="B2238" s="11">
        <f t="shared" ca="1" si="176"/>
        <v>1</v>
      </c>
      <c r="C2238" s="26">
        <f t="shared" ca="1" si="175"/>
        <v>4.2567953426024041E-2</v>
      </c>
      <c r="J2238">
        <f t="shared" ca="1" si="177"/>
        <v>1</v>
      </c>
      <c r="K2238">
        <f t="shared" ca="1" si="178"/>
        <v>0</v>
      </c>
      <c r="L2238" s="65">
        <v>2232</v>
      </c>
      <c r="M2238" s="71">
        <f t="shared" ca="1" si="174"/>
        <v>9.5701338626518897</v>
      </c>
      <c r="N2238" s="65"/>
    </row>
    <row r="2239" spans="1:14" x14ac:dyDescent="0.25">
      <c r="A2239" s="2">
        <v>2233</v>
      </c>
      <c r="B2239" s="11">
        <f t="shared" ca="1" si="176"/>
        <v>1</v>
      </c>
      <c r="C2239" s="26">
        <f t="shared" ca="1" si="175"/>
        <v>0.31176038619773572</v>
      </c>
      <c r="J2239">
        <f t="shared" ca="1" si="177"/>
        <v>1</v>
      </c>
      <c r="K2239">
        <f t="shared" ca="1" si="178"/>
        <v>0</v>
      </c>
      <c r="L2239" s="65">
        <v>2233</v>
      </c>
      <c r="M2239" s="71">
        <f t="shared" ca="1" si="174"/>
        <v>3.8686262851121951</v>
      </c>
      <c r="N2239" s="65"/>
    </row>
    <row r="2240" spans="1:14" x14ac:dyDescent="0.25">
      <c r="A2240" s="2">
        <v>2234</v>
      </c>
      <c r="B2240" s="11">
        <f t="shared" ca="1" si="176"/>
        <v>1</v>
      </c>
      <c r="C2240" s="26">
        <f t="shared" ca="1" si="175"/>
        <v>0.65967317155960126</v>
      </c>
      <c r="J2240">
        <f t="shared" ca="1" si="177"/>
        <v>1</v>
      </c>
      <c r="K2240">
        <f t="shared" ca="1" si="178"/>
        <v>0</v>
      </c>
      <c r="L2240" s="65">
        <v>2234</v>
      </c>
      <c r="M2240" s="71">
        <f t="shared" ca="1" si="174"/>
        <v>9.080795045572879</v>
      </c>
      <c r="N2240" s="65"/>
    </row>
    <row r="2241" spans="1:14" x14ac:dyDescent="0.25">
      <c r="A2241" s="2">
        <v>2235</v>
      </c>
      <c r="B2241" s="11">
        <f t="shared" ca="1" si="176"/>
        <v>1</v>
      </c>
      <c r="C2241" s="26">
        <f t="shared" ca="1" si="175"/>
        <v>0.19189452731262413</v>
      </c>
      <c r="J2241">
        <f t="shared" ca="1" si="177"/>
        <v>1</v>
      </c>
      <c r="K2241">
        <f t="shared" ca="1" si="178"/>
        <v>0</v>
      </c>
      <c r="L2241" s="65">
        <v>2235</v>
      </c>
      <c r="M2241" s="71">
        <f t="shared" ca="1" si="174"/>
        <v>5.4784933009861119</v>
      </c>
      <c r="N2241" s="65"/>
    </row>
    <row r="2242" spans="1:14" x14ac:dyDescent="0.25">
      <c r="A2242" s="2">
        <v>2236</v>
      </c>
      <c r="B2242" s="11">
        <f t="shared" ca="1" si="176"/>
        <v>1</v>
      </c>
      <c r="C2242" s="26">
        <f t="shared" ca="1" si="175"/>
        <v>0.48792020636481903</v>
      </c>
      <c r="J2242">
        <f t="shared" ca="1" si="177"/>
        <v>1</v>
      </c>
      <c r="K2242">
        <f t="shared" ca="1" si="178"/>
        <v>0</v>
      </c>
      <c r="L2242" s="65">
        <v>2236</v>
      </c>
      <c r="M2242" s="71">
        <f t="shared" ca="1" si="174"/>
        <v>4.1919901072480235</v>
      </c>
      <c r="N2242" s="65"/>
    </row>
    <row r="2243" spans="1:14" x14ac:dyDescent="0.25">
      <c r="A2243" s="2">
        <v>2237</v>
      </c>
      <c r="B2243" s="11">
        <f t="shared" ca="1" si="176"/>
        <v>1</v>
      </c>
      <c r="C2243" s="26">
        <f t="shared" ca="1" si="175"/>
        <v>5.1632293765069726E-2</v>
      </c>
      <c r="J2243">
        <f t="shared" ca="1" si="177"/>
        <v>1</v>
      </c>
      <c r="K2243">
        <f t="shared" ca="1" si="178"/>
        <v>0</v>
      </c>
      <c r="L2243" s="65">
        <v>2237</v>
      </c>
      <c r="M2243" s="71">
        <f t="shared" ca="1" si="174"/>
        <v>4.0600608260204796</v>
      </c>
      <c r="N2243" s="65"/>
    </row>
    <row r="2244" spans="1:14" x14ac:dyDescent="0.25">
      <c r="A2244" s="2">
        <v>2238</v>
      </c>
      <c r="B2244" s="11">
        <f t="shared" ca="1" si="176"/>
        <v>1</v>
      </c>
      <c r="C2244" s="26">
        <f t="shared" ca="1" si="175"/>
        <v>0.77876563542449395</v>
      </c>
      <c r="J2244">
        <f t="shared" ca="1" si="177"/>
        <v>1</v>
      </c>
      <c r="K2244">
        <f t="shared" ca="1" si="178"/>
        <v>0</v>
      </c>
      <c r="L2244" s="65">
        <v>2238</v>
      </c>
      <c r="M2244" s="71">
        <f t="shared" ca="1" si="174"/>
        <v>4.3754054196559338</v>
      </c>
      <c r="N2244" s="65"/>
    </row>
    <row r="2245" spans="1:14" x14ac:dyDescent="0.25">
      <c r="A2245" s="2">
        <v>2239</v>
      </c>
      <c r="B2245" s="11">
        <f t="shared" ca="1" si="176"/>
        <v>1</v>
      </c>
      <c r="C2245" s="26">
        <f t="shared" ca="1" si="175"/>
        <v>0.26757780766049322</v>
      </c>
      <c r="J2245">
        <f t="shared" ca="1" si="177"/>
        <v>1</v>
      </c>
      <c r="K2245">
        <f t="shared" ca="1" si="178"/>
        <v>0</v>
      </c>
      <c r="L2245" s="65">
        <v>2239</v>
      </c>
      <c r="M2245" s="71">
        <f t="shared" ca="1" si="174"/>
        <v>7.2909542250627998E-2</v>
      </c>
      <c r="N2245" s="65"/>
    </row>
    <row r="2246" spans="1:14" x14ac:dyDescent="0.25">
      <c r="A2246" s="2">
        <v>2240</v>
      </c>
      <c r="B2246" s="11">
        <f t="shared" ca="1" si="176"/>
        <v>1</v>
      </c>
      <c r="C2246" s="26">
        <f t="shared" ca="1" si="175"/>
        <v>0.11630704948650306</v>
      </c>
      <c r="J2246">
        <f t="shared" ca="1" si="177"/>
        <v>1</v>
      </c>
      <c r="K2246">
        <f t="shared" ca="1" si="178"/>
        <v>0</v>
      </c>
      <c r="L2246" s="65">
        <v>2240</v>
      </c>
      <c r="M2246" s="71">
        <f t="shared" ca="1" si="174"/>
        <v>1.4113753789527155</v>
      </c>
      <c r="N2246" s="65"/>
    </row>
    <row r="2247" spans="1:14" x14ac:dyDescent="0.25">
      <c r="A2247" s="2">
        <v>2241</v>
      </c>
      <c r="B2247" s="11">
        <f t="shared" ca="1" si="176"/>
        <v>1</v>
      </c>
      <c r="C2247" s="26">
        <f t="shared" ca="1" si="175"/>
        <v>0.11568084650677835</v>
      </c>
      <c r="J2247">
        <f t="shared" ca="1" si="177"/>
        <v>0</v>
      </c>
      <c r="K2247">
        <f t="shared" ca="1" si="178"/>
        <v>0</v>
      </c>
      <c r="L2247" s="65">
        <v>2241</v>
      </c>
      <c r="M2247" s="71">
        <f t="shared" ref="M2247:M2310" ca="1" si="179">IF(B2247&gt;0,-LN(1-(RAND()))/lambda,0)</f>
        <v>0.77154189816689722</v>
      </c>
      <c r="N2247" s="65"/>
    </row>
    <row r="2248" spans="1:14" x14ac:dyDescent="0.25">
      <c r="A2248" s="2">
        <v>2242</v>
      </c>
      <c r="B2248" s="11">
        <f t="shared" ca="1" si="176"/>
        <v>0</v>
      </c>
      <c r="C2248" s="26">
        <f t="shared" ref="C2248:C2311" ca="1" si="180">RAND()</f>
        <v>0.83021212876087991</v>
      </c>
      <c r="J2248">
        <f t="shared" ca="1" si="177"/>
        <v>0</v>
      </c>
      <c r="K2248">
        <f t="shared" ca="1" si="178"/>
        <v>0</v>
      </c>
      <c r="L2248" s="65">
        <v>2242</v>
      </c>
      <c r="M2248" s="71">
        <f t="shared" ca="1" si="179"/>
        <v>0</v>
      </c>
      <c r="N2248" s="65"/>
    </row>
    <row r="2249" spans="1:14" x14ac:dyDescent="0.25">
      <c r="A2249" s="2">
        <v>2243</v>
      </c>
      <c r="B2249" s="11">
        <f t="shared" ca="1" si="176"/>
        <v>1</v>
      </c>
      <c r="C2249" s="26">
        <f t="shared" ca="1" si="180"/>
        <v>0.19038011689252399</v>
      </c>
      <c r="J2249">
        <f t="shared" ca="1" si="177"/>
        <v>1</v>
      </c>
      <c r="K2249">
        <f t="shared" ca="1" si="178"/>
        <v>0</v>
      </c>
      <c r="L2249" s="65">
        <v>2243</v>
      </c>
      <c r="M2249" s="71">
        <f t="shared" ca="1" si="179"/>
        <v>3.8384275476548866</v>
      </c>
      <c r="N2249" s="65"/>
    </row>
    <row r="2250" spans="1:14" x14ac:dyDescent="0.25">
      <c r="A2250" s="2">
        <v>2244</v>
      </c>
      <c r="B2250" s="11">
        <f t="shared" ca="1" si="176"/>
        <v>1</v>
      </c>
      <c r="C2250" s="26">
        <f t="shared" ca="1" si="180"/>
        <v>0.70234696098782612</v>
      </c>
      <c r="J2250">
        <f t="shared" ca="1" si="177"/>
        <v>1</v>
      </c>
      <c r="K2250">
        <f t="shared" ca="1" si="178"/>
        <v>0</v>
      </c>
      <c r="L2250" s="65">
        <v>2244</v>
      </c>
      <c r="M2250" s="71">
        <f t="shared" ca="1" si="179"/>
        <v>1.6183299161699678</v>
      </c>
      <c r="N2250" s="65"/>
    </row>
    <row r="2251" spans="1:14" x14ac:dyDescent="0.25">
      <c r="A2251" s="2">
        <v>2245</v>
      </c>
      <c r="B2251" s="11">
        <f t="shared" ca="1" si="176"/>
        <v>1</v>
      </c>
      <c r="C2251" s="26">
        <f t="shared" ca="1" si="180"/>
        <v>0.1186670532693036</v>
      </c>
      <c r="J2251">
        <f t="shared" ca="1" si="177"/>
        <v>1</v>
      </c>
      <c r="K2251">
        <f t="shared" ca="1" si="178"/>
        <v>0</v>
      </c>
      <c r="L2251" s="65">
        <v>2245</v>
      </c>
      <c r="M2251" s="71">
        <f t="shared" ca="1" si="179"/>
        <v>7.9472990566008157</v>
      </c>
      <c r="N2251" s="65"/>
    </row>
    <row r="2252" spans="1:14" x14ac:dyDescent="0.25">
      <c r="A2252" s="2">
        <v>2246</v>
      </c>
      <c r="B2252" s="11">
        <f t="shared" ca="1" si="176"/>
        <v>1</v>
      </c>
      <c r="C2252" s="26">
        <f t="shared" ca="1" si="180"/>
        <v>0.51446917788778024</v>
      </c>
      <c r="J2252">
        <f t="shared" ca="1" si="177"/>
        <v>1</v>
      </c>
      <c r="K2252">
        <f t="shared" ca="1" si="178"/>
        <v>0</v>
      </c>
      <c r="L2252" s="65">
        <v>2246</v>
      </c>
      <c r="M2252" s="71">
        <f t="shared" ca="1" si="179"/>
        <v>1.3647510428745366</v>
      </c>
      <c r="N2252" s="65"/>
    </row>
    <row r="2253" spans="1:14" x14ac:dyDescent="0.25">
      <c r="A2253" s="2">
        <v>2247</v>
      </c>
      <c r="B2253" s="11">
        <f t="shared" ca="1" si="176"/>
        <v>1</v>
      </c>
      <c r="C2253" s="26">
        <f t="shared" ca="1" si="180"/>
        <v>0.72039031031599499</v>
      </c>
      <c r="J2253">
        <f t="shared" ca="1" si="177"/>
        <v>0</v>
      </c>
      <c r="K2253">
        <f t="shared" ca="1" si="178"/>
        <v>0</v>
      </c>
      <c r="L2253" s="65">
        <v>2247</v>
      </c>
      <c r="M2253" s="71">
        <f t="shared" ca="1" si="179"/>
        <v>4.1663843457608678</v>
      </c>
      <c r="N2253" s="65"/>
    </row>
    <row r="2254" spans="1:14" x14ac:dyDescent="0.25">
      <c r="A2254" s="2">
        <v>2248</v>
      </c>
      <c r="B2254" s="11">
        <f t="shared" ca="1" si="176"/>
        <v>0</v>
      </c>
      <c r="C2254" s="26">
        <f t="shared" ca="1" si="180"/>
        <v>0.91851394428591771</v>
      </c>
      <c r="J2254">
        <f t="shared" ca="1" si="177"/>
        <v>0</v>
      </c>
      <c r="K2254">
        <f t="shared" ca="1" si="178"/>
        <v>1</v>
      </c>
      <c r="L2254" s="65">
        <v>2248</v>
      </c>
      <c r="M2254" s="71">
        <f t="shared" ca="1" si="179"/>
        <v>0</v>
      </c>
      <c r="N2254" s="65"/>
    </row>
    <row r="2255" spans="1:14" x14ac:dyDescent="0.25">
      <c r="A2255" s="2">
        <v>2249</v>
      </c>
      <c r="B2255" s="11">
        <f t="shared" ca="1" si="176"/>
        <v>0</v>
      </c>
      <c r="C2255" s="26">
        <f t="shared" ca="1" si="180"/>
        <v>0.99242728959098025</v>
      </c>
      <c r="J2255">
        <f t="shared" ca="1" si="177"/>
        <v>0</v>
      </c>
      <c r="K2255">
        <f t="shared" ca="1" si="178"/>
        <v>0</v>
      </c>
      <c r="L2255" s="65">
        <v>2249</v>
      </c>
      <c r="M2255" s="71">
        <f t="shared" ca="1" si="179"/>
        <v>0</v>
      </c>
      <c r="N2255" s="65"/>
    </row>
    <row r="2256" spans="1:14" x14ac:dyDescent="0.25">
      <c r="A2256" s="2">
        <v>2250</v>
      </c>
      <c r="B2256" s="11">
        <f t="shared" ca="1" si="176"/>
        <v>1</v>
      </c>
      <c r="C2256" s="26">
        <f t="shared" ca="1" si="180"/>
        <v>0.67657090474439507</v>
      </c>
      <c r="J2256">
        <f t="shared" ca="1" si="177"/>
        <v>1</v>
      </c>
      <c r="K2256">
        <f t="shared" ca="1" si="178"/>
        <v>0</v>
      </c>
      <c r="L2256" s="65">
        <v>2250</v>
      </c>
      <c r="M2256" s="71">
        <f t="shared" ca="1" si="179"/>
        <v>4.504127279549107</v>
      </c>
      <c r="N2256" s="65"/>
    </row>
    <row r="2257" spans="1:14" x14ac:dyDescent="0.25">
      <c r="A2257" s="2">
        <v>2251</v>
      </c>
      <c r="B2257" s="11">
        <f t="shared" ca="1" si="176"/>
        <v>1</v>
      </c>
      <c r="C2257" s="26">
        <f t="shared" ca="1" si="180"/>
        <v>4.0257525615050471E-2</v>
      </c>
      <c r="J2257">
        <f t="shared" ca="1" si="177"/>
        <v>1</v>
      </c>
      <c r="K2257">
        <f t="shared" ca="1" si="178"/>
        <v>0</v>
      </c>
      <c r="L2257" s="65">
        <v>2251</v>
      </c>
      <c r="M2257" s="71">
        <f t="shared" ca="1" si="179"/>
        <v>3.9193482273965294</v>
      </c>
      <c r="N2257" s="65"/>
    </row>
    <row r="2258" spans="1:14" x14ac:dyDescent="0.25">
      <c r="A2258" s="2">
        <v>2252</v>
      </c>
      <c r="B2258" s="11">
        <f t="shared" ca="1" si="176"/>
        <v>1</v>
      </c>
      <c r="C2258" s="26">
        <f t="shared" ca="1" si="180"/>
        <v>0.59687995077075495</v>
      </c>
      <c r="J2258">
        <f t="shared" ca="1" si="177"/>
        <v>1</v>
      </c>
      <c r="K2258">
        <f t="shared" ca="1" si="178"/>
        <v>0</v>
      </c>
      <c r="L2258" s="65">
        <v>2252</v>
      </c>
      <c r="M2258" s="71">
        <f t="shared" ca="1" si="179"/>
        <v>1.3218112101308783</v>
      </c>
      <c r="N2258" s="65"/>
    </row>
    <row r="2259" spans="1:14" x14ac:dyDescent="0.25">
      <c r="A2259" s="2">
        <v>2253</v>
      </c>
      <c r="B2259" s="11">
        <f t="shared" ca="1" si="176"/>
        <v>1</v>
      </c>
      <c r="C2259" s="26">
        <f t="shared" ca="1" si="180"/>
        <v>0.64193217979871098</v>
      </c>
      <c r="J2259">
        <f t="shared" ca="1" si="177"/>
        <v>1</v>
      </c>
      <c r="K2259">
        <f t="shared" ca="1" si="178"/>
        <v>0</v>
      </c>
      <c r="L2259" s="65">
        <v>2253</v>
      </c>
      <c r="M2259" s="71">
        <f t="shared" ca="1" si="179"/>
        <v>2.7233929245320621</v>
      </c>
      <c r="N2259" s="65"/>
    </row>
    <row r="2260" spans="1:14" x14ac:dyDescent="0.25">
      <c r="A2260" s="2">
        <v>2254</v>
      </c>
      <c r="B2260" s="11">
        <f t="shared" ca="1" si="176"/>
        <v>1</v>
      </c>
      <c r="C2260" s="26">
        <f t="shared" ca="1" si="180"/>
        <v>0.42167829443280103</v>
      </c>
      <c r="J2260">
        <f t="shared" ca="1" si="177"/>
        <v>1</v>
      </c>
      <c r="K2260">
        <f t="shared" ca="1" si="178"/>
        <v>0</v>
      </c>
      <c r="L2260" s="65">
        <v>2254</v>
      </c>
      <c r="M2260" s="71">
        <f t="shared" ca="1" si="179"/>
        <v>6.2873021096445605</v>
      </c>
      <c r="N2260" s="65"/>
    </row>
    <row r="2261" spans="1:14" x14ac:dyDescent="0.25">
      <c r="A2261" s="2">
        <v>2255</v>
      </c>
      <c r="B2261" s="11">
        <f t="shared" ca="1" si="176"/>
        <v>1</v>
      </c>
      <c r="C2261" s="26">
        <f t="shared" ca="1" si="180"/>
        <v>0.38474753226499347</v>
      </c>
      <c r="J2261">
        <f t="shared" ca="1" si="177"/>
        <v>1</v>
      </c>
      <c r="K2261">
        <f t="shared" ca="1" si="178"/>
        <v>0</v>
      </c>
      <c r="L2261" s="65">
        <v>2255</v>
      </c>
      <c r="M2261" s="71">
        <f t="shared" ca="1" si="179"/>
        <v>2.7425142485735203</v>
      </c>
      <c r="N2261" s="65"/>
    </row>
    <row r="2262" spans="1:14" x14ac:dyDescent="0.25">
      <c r="A2262" s="2">
        <v>2256</v>
      </c>
      <c r="B2262" s="11">
        <f t="shared" ca="1" si="176"/>
        <v>1</v>
      </c>
      <c r="C2262" s="26">
        <f t="shared" ca="1" si="180"/>
        <v>0.5578699256788211</v>
      </c>
      <c r="J2262">
        <f t="shared" ca="1" si="177"/>
        <v>1</v>
      </c>
      <c r="K2262">
        <f t="shared" ca="1" si="178"/>
        <v>0</v>
      </c>
      <c r="L2262" s="65">
        <v>2256</v>
      </c>
      <c r="M2262" s="71">
        <f t="shared" ca="1" si="179"/>
        <v>3.8312246010284197</v>
      </c>
      <c r="N2262" s="65"/>
    </row>
    <row r="2263" spans="1:14" x14ac:dyDescent="0.25">
      <c r="A2263" s="2">
        <v>2257</v>
      </c>
      <c r="B2263" s="11">
        <f t="shared" ca="1" si="176"/>
        <v>1</v>
      </c>
      <c r="C2263" s="26">
        <f t="shared" ca="1" si="180"/>
        <v>0.35809615777205994</v>
      </c>
      <c r="J2263">
        <f t="shared" ca="1" si="177"/>
        <v>1</v>
      </c>
      <c r="K2263">
        <f t="shared" ca="1" si="178"/>
        <v>0</v>
      </c>
      <c r="L2263" s="65">
        <v>2257</v>
      </c>
      <c r="M2263" s="71">
        <f t="shared" ca="1" si="179"/>
        <v>0.90297104764738567</v>
      </c>
      <c r="N2263" s="65"/>
    </row>
    <row r="2264" spans="1:14" x14ac:dyDescent="0.25">
      <c r="A2264" s="2">
        <v>2258</v>
      </c>
      <c r="B2264" s="11">
        <f t="shared" ca="1" si="176"/>
        <v>1</v>
      </c>
      <c r="C2264" s="26">
        <f t="shared" ca="1" si="180"/>
        <v>0.72180627777233941</v>
      </c>
      <c r="J2264">
        <f t="shared" ca="1" si="177"/>
        <v>1</v>
      </c>
      <c r="K2264">
        <f t="shared" ca="1" si="178"/>
        <v>0</v>
      </c>
      <c r="L2264" s="65">
        <v>2258</v>
      </c>
      <c r="M2264" s="71">
        <f t="shared" ca="1" si="179"/>
        <v>4.9219259204778316</v>
      </c>
      <c r="N2264" s="65"/>
    </row>
    <row r="2265" spans="1:14" x14ac:dyDescent="0.25">
      <c r="A2265" s="2">
        <v>2259</v>
      </c>
      <c r="B2265" s="11">
        <f t="shared" ca="1" si="176"/>
        <v>1</v>
      </c>
      <c r="C2265" s="26">
        <f t="shared" ca="1" si="180"/>
        <v>0.73037970451160728</v>
      </c>
      <c r="J2265">
        <f t="shared" ca="1" si="177"/>
        <v>1</v>
      </c>
      <c r="K2265">
        <f t="shared" ca="1" si="178"/>
        <v>0</v>
      </c>
      <c r="L2265" s="65">
        <v>2259</v>
      </c>
      <c r="M2265" s="71">
        <f t="shared" ca="1" si="179"/>
        <v>8.5746591863908961</v>
      </c>
      <c r="N2265" s="65"/>
    </row>
    <row r="2266" spans="1:14" x14ac:dyDescent="0.25">
      <c r="A2266" s="2">
        <v>2260</v>
      </c>
      <c r="B2266" s="11">
        <f t="shared" ca="1" si="176"/>
        <v>1</v>
      </c>
      <c r="C2266" s="26">
        <f t="shared" ca="1" si="180"/>
        <v>8.4901714729644917E-3</v>
      </c>
      <c r="J2266">
        <f t="shared" ca="1" si="177"/>
        <v>1</v>
      </c>
      <c r="K2266">
        <f t="shared" ca="1" si="178"/>
        <v>0</v>
      </c>
      <c r="L2266" s="65">
        <v>2260</v>
      </c>
      <c r="M2266" s="71">
        <f t="shared" ca="1" si="179"/>
        <v>2.5632451377349383</v>
      </c>
      <c r="N2266" s="65"/>
    </row>
    <row r="2267" spans="1:14" x14ac:dyDescent="0.25">
      <c r="A2267" s="2">
        <v>2261</v>
      </c>
      <c r="B2267" s="11">
        <f t="shared" ca="1" si="176"/>
        <v>1</v>
      </c>
      <c r="C2267" s="26">
        <f t="shared" ca="1" si="180"/>
        <v>0.74069698361430059</v>
      </c>
      <c r="J2267">
        <f t="shared" ca="1" si="177"/>
        <v>0</v>
      </c>
      <c r="K2267">
        <f t="shared" ca="1" si="178"/>
        <v>0</v>
      </c>
      <c r="L2267" s="65">
        <v>2261</v>
      </c>
      <c r="M2267" s="71">
        <f t="shared" ca="1" si="179"/>
        <v>3.6678865397628786</v>
      </c>
      <c r="N2267" s="65"/>
    </row>
    <row r="2268" spans="1:14" x14ac:dyDescent="0.25">
      <c r="A2268" s="2">
        <v>2262</v>
      </c>
      <c r="B2268" s="11">
        <f t="shared" ca="1" si="176"/>
        <v>0</v>
      </c>
      <c r="C2268" s="26">
        <f t="shared" ca="1" si="180"/>
        <v>0.85865885969563471</v>
      </c>
      <c r="J2268">
        <f t="shared" ca="1" si="177"/>
        <v>0</v>
      </c>
      <c r="K2268">
        <f t="shared" ca="1" si="178"/>
        <v>0</v>
      </c>
      <c r="L2268" s="65">
        <v>2262</v>
      </c>
      <c r="M2268" s="71">
        <f t="shared" ca="1" si="179"/>
        <v>0</v>
      </c>
      <c r="N2268" s="65"/>
    </row>
    <row r="2269" spans="1:14" x14ac:dyDescent="0.25">
      <c r="A2269" s="2">
        <v>2263</v>
      </c>
      <c r="B2269" s="11">
        <f t="shared" ca="1" si="176"/>
        <v>1</v>
      </c>
      <c r="C2269" s="26">
        <f t="shared" ca="1" si="180"/>
        <v>0.58002555189772542</v>
      </c>
      <c r="J2269">
        <f t="shared" ca="1" si="177"/>
        <v>1</v>
      </c>
      <c r="K2269">
        <f t="shared" ca="1" si="178"/>
        <v>0</v>
      </c>
      <c r="L2269" s="65">
        <v>2263</v>
      </c>
      <c r="M2269" s="71">
        <f t="shared" ca="1" si="179"/>
        <v>0.26180584821225406</v>
      </c>
      <c r="N2269" s="65"/>
    </row>
    <row r="2270" spans="1:14" x14ac:dyDescent="0.25">
      <c r="A2270" s="2">
        <v>2264</v>
      </c>
      <c r="B2270" s="11">
        <f t="shared" ca="1" si="176"/>
        <v>1</v>
      </c>
      <c r="C2270" s="26">
        <f t="shared" ca="1" si="180"/>
        <v>0.11716062580356257</v>
      </c>
      <c r="J2270">
        <f t="shared" ca="1" si="177"/>
        <v>1</v>
      </c>
      <c r="K2270">
        <f t="shared" ca="1" si="178"/>
        <v>0</v>
      </c>
      <c r="L2270" s="65">
        <v>2264</v>
      </c>
      <c r="M2270" s="71">
        <f t="shared" ca="1" si="179"/>
        <v>0.62154022318978952</v>
      </c>
      <c r="N2270" s="65"/>
    </row>
    <row r="2271" spans="1:14" x14ac:dyDescent="0.25">
      <c r="A2271" s="2">
        <v>2265</v>
      </c>
      <c r="B2271" s="11">
        <f t="shared" ca="1" si="176"/>
        <v>1</v>
      </c>
      <c r="C2271" s="26">
        <f t="shared" ca="1" si="180"/>
        <v>5.3068032677981103E-2</v>
      </c>
      <c r="J2271">
        <f t="shared" ca="1" si="177"/>
        <v>1</v>
      </c>
      <c r="K2271">
        <f t="shared" ca="1" si="178"/>
        <v>0</v>
      </c>
      <c r="L2271" s="65">
        <v>2265</v>
      </c>
      <c r="M2271" s="71">
        <f t="shared" ca="1" si="179"/>
        <v>1.1125189808860712</v>
      </c>
      <c r="N2271" s="65"/>
    </row>
    <row r="2272" spans="1:14" x14ac:dyDescent="0.25">
      <c r="A2272" s="2">
        <v>2266</v>
      </c>
      <c r="B2272" s="11">
        <f t="shared" ca="1" si="176"/>
        <v>1</v>
      </c>
      <c r="C2272" s="26">
        <f t="shared" ca="1" si="180"/>
        <v>0.49656089448949847</v>
      </c>
      <c r="J2272">
        <f t="shared" ca="1" si="177"/>
        <v>1</v>
      </c>
      <c r="K2272">
        <f t="shared" ca="1" si="178"/>
        <v>0</v>
      </c>
      <c r="L2272" s="65">
        <v>2266</v>
      </c>
      <c r="M2272" s="71">
        <f t="shared" ca="1" si="179"/>
        <v>8.2019096365568345</v>
      </c>
      <c r="N2272" s="65"/>
    </row>
    <row r="2273" spans="1:14" x14ac:dyDescent="0.25">
      <c r="A2273" s="2">
        <v>2267</v>
      </c>
      <c r="B2273" s="11">
        <f t="shared" ca="1" si="176"/>
        <v>1</v>
      </c>
      <c r="C2273" s="26">
        <f t="shared" ca="1" si="180"/>
        <v>0.25515470528457895</v>
      </c>
      <c r="J2273">
        <f t="shared" ca="1" si="177"/>
        <v>1</v>
      </c>
      <c r="K2273">
        <f t="shared" ca="1" si="178"/>
        <v>0</v>
      </c>
      <c r="L2273" s="65">
        <v>2267</v>
      </c>
      <c r="M2273" s="71">
        <f t="shared" ca="1" si="179"/>
        <v>0.51728209883245369</v>
      </c>
      <c r="N2273" s="65"/>
    </row>
    <row r="2274" spans="1:14" x14ac:dyDescent="0.25">
      <c r="A2274" s="2">
        <v>2268</v>
      </c>
      <c r="B2274" s="11">
        <f t="shared" ca="1" si="176"/>
        <v>1</v>
      </c>
      <c r="C2274" s="26">
        <f t="shared" ca="1" si="180"/>
        <v>0.28929610905730907</v>
      </c>
      <c r="J2274">
        <f t="shared" ca="1" si="177"/>
        <v>1</v>
      </c>
      <c r="K2274">
        <f t="shared" ca="1" si="178"/>
        <v>0</v>
      </c>
      <c r="L2274" s="65">
        <v>2268</v>
      </c>
      <c r="M2274" s="71">
        <f t="shared" ca="1" si="179"/>
        <v>10.055048108556759</v>
      </c>
      <c r="N2274" s="65"/>
    </row>
    <row r="2275" spans="1:14" x14ac:dyDescent="0.25">
      <c r="A2275" s="2">
        <v>2269</v>
      </c>
      <c r="B2275" s="11">
        <f t="shared" ca="1" si="176"/>
        <v>1</v>
      </c>
      <c r="C2275" s="26">
        <f t="shared" ca="1" si="180"/>
        <v>0.72699849819087625</v>
      </c>
      <c r="J2275">
        <f t="shared" ca="1" si="177"/>
        <v>1</v>
      </c>
      <c r="K2275">
        <f t="shared" ca="1" si="178"/>
        <v>0</v>
      </c>
      <c r="L2275" s="65">
        <v>2269</v>
      </c>
      <c r="M2275" s="71">
        <f t="shared" ca="1" si="179"/>
        <v>0.61810892009167251</v>
      </c>
      <c r="N2275" s="65"/>
    </row>
    <row r="2276" spans="1:14" x14ac:dyDescent="0.25">
      <c r="A2276" s="2">
        <v>2270</v>
      </c>
      <c r="B2276" s="11">
        <f t="shared" ca="1" si="176"/>
        <v>1</v>
      </c>
      <c r="C2276" s="26">
        <f t="shared" ca="1" si="180"/>
        <v>0.46695056584195105</v>
      </c>
      <c r="J2276">
        <f t="shared" ca="1" si="177"/>
        <v>0</v>
      </c>
      <c r="K2276">
        <f t="shared" ca="1" si="178"/>
        <v>0</v>
      </c>
      <c r="L2276" s="65">
        <v>2270</v>
      </c>
      <c r="M2276" s="71">
        <f t="shared" ca="1" si="179"/>
        <v>0.62831420180810282</v>
      </c>
      <c r="N2276" s="65"/>
    </row>
    <row r="2277" spans="1:14" x14ac:dyDescent="0.25">
      <c r="A2277" s="2">
        <v>2271</v>
      </c>
      <c r="B2277" s="11">
        <f t="shared" ca="1" si="176"/>
        <v>0</v>
      </c>
      <c r="C2277" s="26">
        <f t="shared" ca="1" si="180"/>
        <v>0.80856040387049244</v>
      </c>
      <c r="J2277">
        <f t="shared" ca="1" si="177"/>
        <v>0</v>
      </c>
      <c r="K2277">
        <f t="shared" ca="1" si="178"/>
        <v>0</v>
      </c>
      <c r="L2277" s="65">
        <v>2271</v>
      </c>
      <c r="M2277" s="71">
        <f t="shared" ca="1" si="179"/>
        <v>0</v>
      </c>
      <c r="N2277" s="65"/>
    </row>
    <row r="2278" spans="1:14" x14ac:dyDescent="0.25">
      <c r="A2278" s="2">
        <v>2272</v>
      </c>
      <c r="B2278" s="11">
        <f t="shared" ca="1" si="176"/>
        <v>1</v>
      </c>
      <c r="C2278" s="26">
        <f t="shared" ca="1" si="180"/>
        <v>0.21788750048474659</v>
      </c>
      <c r="J2278">
        <f t="shared" ca="1" si="177"/>
        <v>1</v>
      </c>
      <c r="K2278">
        <f t="shared" ca="1" si="178"/>
        <v>0</v>
      </c>
      <c r="L2278" s="65">
        <v>2272</v>
      </c>
      <c r="M2278" s="71">
        <f t="shared" ca="1" si="179"/>
        <v>3.4982668289632</v>
      </c>
      <c r="N2278" s="65"/>
    </row>
    <row r="2279" spans="1:14" x14ac:dyDescent="0.25">
      <c r="A2279" s="2">
        <v>2273</v>
      </c>
      <c r="B2279" s="11">
        <f t="shared" ca="1" si="176"/>
        <v>1</v>
      </c>
      <c r="C2279" s="26">
        <f t="shared" ca="1" si="180"/>
        <v>0.46122512146022965</v>
      </c>
      <c r="J2279">
        <f t="shared" ca="1" si="177"/>
        <v>1</v>
      </c>
      <c r="K2279">
        <f t="shared" ca="1" si="178"/>
        <v>0</v>
      </c>
      <c r="L2279" s="65">
        <v>2273</v>
      </c>
      <c r="M2279" s="71">
        <f t="shared" ca="1" si="179"/>
        <v>1.8938587469214452</v>
      </c>
      <c r="N2279" s="65"/>
    </row>
    <row r="2280" spans="1:14" x14ac:dyDescent="0.25">
      <c r="A2280" s="2">
        <v>2274</v>
      </c>
      <c r="B2280" s="11">
        <f t="shared" ca="1" si="176"/>
        <v>1</v>
      </c>
      <c r="C2280" s="26">
        <f t="shared" ca="1" si="180"/>
        <v>0.56987478206771447</v>
      </c>
      <c r="J2280">
        <f t="shared" ca="1" si="177"/>
        <v>1</v>
      </c>
      <c r="K2280">
        <f t="shared" ca="1" si="178"/>
        <v>0</v>
      </c>
      <c r="L2280" s="65">
        <v>2274</v>
      </c>
      <c r="M2280" s="71">
        <f t="shared" ca="1" si="179"/>
        <v>10.020646577004577</v>
      </c>
      <c r="N2280" s="65"/>
    </row>
    <row r="2281" spans="1:14" x14ac:dyDescent="0.25">
      <c r="A2281" s="2">
        <v>2275</v>
      </c>
      <c r="B2281" s="11">
        <f t="shared" ca="1" si="176"/>
        <v>1</v>
      </c>
      <c r="C2281" s="26">
        <f t="shared" ca="1" si="180"/>
        <v>0.39513848865582746</v>
      </c>
      <c r="J2281">
        <f t="shared" ca="1" si="177"/>
        <v>1</v>
      </c>
      <c r="K2281">
        <f t="shared" ca="1" si="178"/>
        <v>0</v>
      </c>
      <c r="L2281" s="65">
        <v>2275</v>
      </c>
      <c r="M2281" s="71">
        <f t="shared" ca="1" si="179"/>
        <v>1.3060194627555821</v>
      </c>
      <c r="N2281" s="65"/>
    </row>
    <row r="2282" spans="1:14" x14ac:dyDescent="0.25">
      <c r="A2282" s="2">
        <v>2276</v>
      </c>
      <c r="B2282" s="11">
        <f t="shared" ca="1" si="176"/>
        <v>1</v>
      </c>
      <c r="C2282" s="26">
        <f t="shared" ca="1" si="180"/>
        <v>0.50732316544994582</v>
      </c>
      <c r="J2282">
        <f t="shared" ca="1" si="177"/>
        <v>1</v>
      </c>
      <c r="K2282">
        <f t="shared" ca="1" si="178"/>
        <v>0</v>
      </c>
      <c r="L2282" s="65">
        <v>2276</v>
      </c>
      <c r="M2282" s="71">
        <f t="shared" ca="1" si="179"/>
        <v>1.7632247131439869</v>
      </c>
      <c r="N2282" s="65"/>
    </row>
    <row r="2283" spans="1:14" x14ac:dyDescent="0.25">
      <c r="A2283" s="2">
        <v>2277</v>
      </c>
      <c r="B2283" s="11">
        <f t="shared" ca="1" si="176"/>
        <v>1</v>
      </c>
      <c r="C2283" s="26">
        <f t="shared" ca="1" si="180"/>
        <v>0.66386563186206926</v>
      </c>
      <c r="J2283">
        <f t="shared" ca="1" si="177"/>
        <v>0</v>
      </c>
      <c r="K2283">
        <f t="shared" ca="1" si="178"/>
        <v>0</v>
      </c>
      <c r="L2283" s="65">
        <v>2277</v>
      </c>
      <c r="M2283" s="71">
        <f t="shared" ca="1" si="179"/>
        <v>10.350459770731552</v>
      </c>
      <c r="N2283" s="65"/>
    </row>
    <row r="2284" spans="1:14" x14ac:dyDescent="0.25">
      <c r="A2284" s="2">
        <v>2278</v>
      </c>
      <c r="B2284" s="11">
        <f t="shared" ca="1" si="176"/>
        <v>0</v>
      </c>
      <c r="C2284" s="26">
        <f t="shared" ca="1" si="180"/>
        <v>0.9536099376338959</v>
      </c>
      <c r="J2284">
        <f t="shared" ca="1" si="177"/>
        <v>0</v>
      </c>
      <c r="K2284">
        <f t="shared" ca="1" si="178"/>
        <v>0</v>
      </c>
      <c r="L2284" s="65">
        <v>2278</v>
      </c>
      <c r="M2284" s="71">
        <f t="shared" ca="1" si="179"/>
        <v>0</v>
      </c>
      <c r="N2284" s="65"/>
    </row>
    <row r="2285" spans="1:14" x14ac:dyDescent="0.25">
      <c r="A2285" s="2">
        <v>2279</v>
      </c>
      <c r="B2285" s="11">
        <f t="shared" ca="1" si="176"/>
        <v>1</v>
      </c>
      <c r="C2285" s="26">
        <f t="shared" ca="1" si="180"/>
        <v>0.58700247571601738</v>
      </c>
      <c r="J2285">
        <f t="shared" ca="1" si="177"/>
        <v>1</v>
      </c>
      <c r="K2285">
        <f t="shared" ca="1" si="178"/>
        <v>0</v>
      </c>
      <c r="L2285" s="65">
        <v>2279</v>
      </c>
      <c r="M2285" s="71">
        <f t="shared" ca="1" si="179"/>
        <v>4.2344813477656329</v>
      </c>
      <c r="N2285" s="65"/>
    </row>
    <row r="2286" spans="1:14" x14ac:dyDescent="0.25">
      <c r="A2286" s="2">
        <v>2280</v>
      </c>
      <c r="B2286" s="11">
        <f t="shared" ca="1" si="176"/>
        <v>1</v>
      </c>
      <c r="C2286" s="26">
        <f t="shared" ca="1" si="180"/>
        <v>0.44318563623954665</v>
      </c>
      <c r="J2286">
        <f t="shared" ca="1" si="177"/>
        <v>1</v>
      </c>
      <c r="K2286">
        <f t="shared" ca="1" si="178"/>
        <v>0</v>
      </c>
      <c r="L2286" s="65">
        <v>2280</v>
      </c>
      <c r="M2286" s="71">
        <f t="shared" ca="1" si="179"/>
        <v>3.8200797993461335</v>
      </c>
      <c r="N2286" s="65"/>
    </row>
    <row r="2287" spans="1:14" x14ac:dyDescent="0.25">
      <c r="A2287" s="2">
        <v>2281</v>
      </c>
      <c r="B2287" s="11">
        <f t="shared" ref="B2287:B2350" ca="1" si="181">IF(B2286&gt;0,IF(C2287&lt;pww,1,0),IF(C2287&lt;pdw,1,0))</f>
        <v>1</v>
      </c>
      <c r="C2287" s="26">
        <f t="shared" ca="1" si="180"/>
        <v>0.64461465820780817</v>
      </c>
      <c r="J2287">
        <f t="shared" ref="J2287:J2350" ca="1" si="182">IF(AND(B2287,B2288),1,0)</f>
        <v>1</v>
      </c>
      <c r="K2287">
        <f t="shared" ref="K2287:K2350" ca="1" si="183">IF(AND(NOT(B2287),NOT(B2288)),1,0)</f>
        <v>0</v>
      </c>
      <c r="L2287" s="65">
        <v>2281</v>
      </c>
      <c r="M2287" s="71">
        <f t="shared" ca="1" si="179"/>
        <v>0.46157566283389606</v>
      </c>
      <c r="N2287" s="65"/>
    </row>
    <row r="2288" spans="1:14" x14ac:dyDescent="0.25">
      <c r="A2288" s="2">
        <v>2282</v>
      </c>
      <c r="B2288" s="11">
        <f t="shared" ca="1" si="181"/>
        <v>1</v>
      </c>
      <c r="C2288" s="26">
        <f t="shared" ca="1" si="180"/>
        <v>0.64748448064578901</v>
      </c>
      <c r="J2288">
        <f t="shared" ca="1" si="182"/>
        <v>1</v>
      </c>
      <c r="K2288">
        <f t="shared" ca="1" si="183"/>
        <v>0</v>
      </c>
      <c r="L2288" s="65">
        <v>2282</v>
      </c>
      <c r="M2288" s="71">
        <f t="shared" ca="1" si="179"/>
        <v>2.7744553352477337</v>
      </c>
      <c r="N2288" s="65"/>
    </row>
    <row r="2289" spans="1:14" x14ac:dyDescent="0.25">
      <c r="A2289" s="2">
        <v>2283</v>
      </c>
      <c r="B2289" s="11">
        <f t="shared" ca="1" si="181"/>
        <v>1</v>
      </c>
      <c r="C2289" s="26">
        <f t="shared" ca="1" si="180"/>
        <v>0.17874750236774495</v>
      </c>
      <c r="J2289">
        <f t="shared" ca="1" si="182"/>
        <v>1</v>
      </c>
      <c r="K2289">
        <f t="shared" ca="1" si="183"/>
        <v>0</v>
      </c>
      <c r="L2289" s="65">
        <v>2283</v>
      </c>
      <c r="M2289" s="71">
        <f t="shared" ca="1" si="179"/>
        <v>5.2800646547755274</v>
      </c>
      <c r="N2289" s="65"/>
    </row>
    <row r="2290" spans="1:14" x14ac:dyDescent="0.25">
      <c r="A2290" s="2">
        <v>2284</v>
      </c>
      <c r="B2290" s="11">
        <f t="shared" ca="1" si="181"/>
        <v>1</v>
      </c>
      <c r="C2290" s="26">
        <f t="shared" ca="1" si="180"/>
        <v>0.216567959229645</v>
      </c>
      <c r="J2290">
        <f t="shared" ca="1" si="182"/>
        <v>0</v>
      </c>
      <c r="K2290">
        <f t="shared" ca="1" si="183"/>
        <v>0</v>
      </c>
      <c r="L2290" s="65">
        <v>2284</v>
      </c>
      <c r="M2290" s="71">
        <f t="shared" ca="1" si="179"/>
        <v>1.9702800382677785</v>
      </c>
      <c r="N2290" s="65"/>
    </row>
    <row r="2291" spans="1:14" x14ac:dyDescent="0.25">
      <c r="A2291" s="2">
        <v>2285</v>
      </c>
      <c r="B2291" s="11">
        <f t="shared" ca="1" si="181"/>
        <v>0</v>
      </c>
      <c r="C2291" s="26">
        <f t="shared" ca="1" si="180"/>
        <v>0.87993952620879712</v>
      </c>
      <c r="J2291">
        <f t="shared" ca="1" si="182"/>
        <v>0</v>
      </c>
      <c r="K2291">
        <f t="shared" ca="1" si="183"/>
        <v>0</v>
      </c>
      <c r="L2291" s="65">
        <v>2285</v>
      </c>
      <c r="M2291" s="71">
        <f t="shared" ca="1" si="179"/>
        <v>0</v>
      </c>
      <c r="N2291" s="65"/>
    </row>
    <row r="2292" spans="1:14" x14ac:dyDescent="0.25">
      <c r="A2292" s="2">
        <v>2286</v>
      </c>
      <c r="B2292" s="11">
        <f t="shared" ca="1" si="181"/>
        <v>1</v>
      </c>
      <c r="C2292" s="26">
        <f t="shared" ca="1" si="180"/>
        <v>0.38015141896884541</v>
      </c>
      <c r="J2292">
        <f t="shared" ca="1" si="182"/>
        <v>1</v>
      </c>
      <c r="K2292">
        <f t="shared" ca="1" si="183"/>
        <v>0</v>
      </c>
      <c r="L2292" s="65">
        <v>2286</v>
      </c>
      <c r="M2292" s="71">
        <f t="shared" ca="1" si="179"/>
        <v>0.17593803763284319</v>
      </c>
      <c r="N2292" s="65"/>
    </row>
    <row r="2293" spans="1:14" x14ac:dyDescent="0.25">
      <c r="A2293" s="2">
        <v>2287</v>
      </c>
      <c r="B2293" s="11">
        <f t="shared" ca="1" si="181"/>
        <v>1</v>
      </c>
      <c r="C2293" s="26">
        <f t="shared" ca="1" si="180"/>
        <v>0.64198345042250138</v>
      </c>
      <c r="J2293">
        <f t="shared" ca="1" si="182"/>
        <v>0</v>
      </c>
      <c r="K2293">
        <f t="shared" ca="1" si="183"/>
        <v>0</v>
      </c>
      <c r="L2293" s="65">
        <v>2287</v>
      </c>
      <c r="M2293" s="71">
        <f t="shared" ca="1" si="179"/>
        <v>4.3725326958065791</v>
      </c>
      <c r="N2293" s="65"/>
    </row>
    <row r="2294" spans="1:14" x14ac:dyDescent="0.25">
      <c r="A2294" s="2">
        <v>2288</v>
      </c>
      <c r="B2294" s="11">
        <f t="shared" ca="1" si="181"/>
        <v>0</v>
      </c>
      <c r="C2294" s="26">
        <f t="shared" ca="1" si="180"/>
        <v>0.88759021495837531</v>
      </c>
      <c r="J2294">
        <f t="shared" ca="1" si="182"/>
        <v>0</v>
      </c>
      <c r="K2294">
        <f t="shared" ca="1" si="183"/>
        <v>0</v>
      </c>
      <c r="L2294" s="65">
        <v>2288</v>
      </c>
      <c r="M2294" s="71">
        <f t="shared" ca="1" si="179"/>
        <v>0</v>
      </c>
      <c r="N2294" s="65"/>
    </row>
    <row r="2295" spans="1:14" x14ac:dyDescent="0.25">
      <c r="A2295" s="2">
        <v>2289</v>
      </c>
      <c r="B2295" s="11">
        <f t="shared" ca="1" si="181"/>
        <v>1</v>
      </c>
      <c r="C2295" s="26">
        <f t="shared" ca="1" si="180"/>
        <v>0.50662468112337866</v>
      </c>
      <c r="J2295">
        <f t="shared" ca="1" si="182"/>
        <v>1</v>
      </c>
      <c r="K2295">
        <f t="shared" ca="1" si="183"/>
        <v>0</v>
      </c>
      <c r="L2295" s="65">
        <v>2289</v>
      </c>
      <c r="M2295" s="71">
        <f t="shared" ca="1" si="179"/>
        <v>2.5839146186929489</v>
      </c>
      <c r="N2295" s="65"/>
    </row>
    <row r="2296" spans="1:14" x14ac:dyDescent="0.25">
      <c r="A2296" s="2">
        <v>2290</v>
      </c>
      <c r="B2296" s="11">
        <f t="shared" ca="1" si="181"/>
        <v>1</v>
      </c>
      <c r="C2296" s="26">
        <f t="shared" ca="1" si="180"/>
        <v>0.13303750855092644</v>
      </c>
      <c r="J2296">
        <f t="shared" ca="1" si="182"/>
        <v>1</v>
      </c>
      <c r="K2296">
        <f t="shared" ca="1" si="183"/>
        <v>0</v>
      </c>
      <c r="L2296" s="65">
        <v>2290</v>
      </c>
      <c r="M2296" s="71">
        <f t="shared" ca="1" si="179"/>
        <v>7.3386273928825645</v>
      </c>
      <c r="N2296" s="65"/>
    </row>
    <row r="2297" spans="1:14" x14ac:dyDescent="0.25">
      <c r="A2297" s="2">
        <v>2291</v>
      </c>
      <c r="B2297" s="11">
        <f t="shared" ca="1" si="181"/>
        <v>1</v>
      </c>
      <c r="C2297" s="26">
        <f t="shared" ca="1" si="180"/>
        <v>0.76641996905100507</v>
      </c>
      <c r="J2297">
        <f t="shared" ca="1" si="182"/>
        <v>0</v>
      </c>
      <c r="K2297">
        <f t="shared" ca="1" si="183"/>
        <v>0</v>
      </c>
      <c r="L2297" s="65">
        <v>2291</v>
      </c>
      <c r="M2297" s="71">
        <f t="shared" ca="1" si="179"/>
        <v>1.7240220299861999</v>
      </c>
      <c r="N2297" s="65"/>
    </row>
    <row r="2298" spans="1:14" x14ac:dyDescent="0.25">
      <c r="A2298" s="2">
        <v>2292</v>
      </c>
      <c r="B2298" s="11">
        <f t="shared" ca="1" si="181"/>
        <v>0</v>
      </c>
      <c r="C2298" s="26">
        <f t="shared" ca="1" si="180"/>
        <v>0.82601438246107195</v>
      </c>
      <c r="J2298">
        <f t="shared" ca="1" si="182"/>
        <v>0</v>
      </c>
      <c r="K2298">
        <f t="shared" ca="1" si="183"/>
        <v>0</v>
      </c>
      <c r="L2298" s="65">
        <v>2292</v>
      </c>
      <c r="M2298" s="71">
        <f t="shared" ca="1" si="179"/>
        <v>0</v>
      </c>
      <c r="N2298" s="65"/>
    </row>
    <row r="2299" spans="1:14" x14ac:dyDescent="0.25">
      <c r="A2299" s="2">
        <v>2293</v>
      </c>
      <c r="B2299" s="11">
        <f t="shared" ca="1" si="181"/>
        <v>1</v>
      </c>
      <c r="C2299" s="26">
        <f t="shared" ca="1" si="180"/>
        <v>0.59040561074757858</v>
      </c>
      <c r="J2299">
        <f t="shared" ca="1" si="182"/>
        <v>1</v>
      </c>
      <c r="K2299">
        <f t="shared" ca="1" si="183"/>
        <v>0</v>
      </c>
      <c r="L2299" s="65">
        <v>2293</v>
      </c>
      <c r="M2299" s="71">
        <f t="shared" ca="1" si="179"/>
        <v>3.3289614728031673</v>
      </c>
      <c r="N2299" s="65"/>
    </row>
    <row r="2300" spans="1:14" x14ac:dyDescent="0.25">
      <c r="A2300" s="2">
        <v>2294</v>
      </c>
      <c r="B2300" s="11">
        <f t="shared" ca="1" si="181"/>
        <v>1</v>
      </c>
      <c r="C2300" s="26">
        <f t="shared" ca="1" si="180"/>
        <v>6.8275266358999387E-2</v>
      </c>
      <c r="J2300">
        <f t="shared" ca="1" si="182"/>
        <v>1</v>
      </c>
      <c r="K2300">
        <f t="shared" ca="1" si="183"/>
        <v>0</v>
      </c>
      <c r="L2300" s="65">
        <v>2294</v>
      </c>
      <c r="M2300" s="71">
        <f t="shared" ca="1" si="179"/>
        <v>0.36480438048077179</v>
      </c>
      <c r="N2300" s="65"/>
    </row>
    <row r="2301" spans="1:14" x14ac:dyDescent="0.25">
      <c r="A2301" s="2">
        <v>2295</v>
      </c>
      <c r="B2301" s="11">
        <f t="shared" ca="1" si="181"/>
        <v>1</v>
      </c>
      <c r="C2301" s="26">
        <f t="shared" ca="1" si="180"/>
        <v>0.14394425214676587</v>
      </c>
      <c r="J2301">
        <f t="shared" ca="1" si="182"/>
        <v>1</v>
      </c>
      <c r="K2301">
        <f t="shared" ca="1" si="183"/>
        <v>0</v>
      </c>
      <c r="L2301" s="65">
        <v>2295</v>
      </c>
      <c r="M2301" s="71">
        <f t="shared" ca="1" si="179"/>
        <v>4.7820642535620967</v>
      </c>
      <c r="N2301" s="65"/>
    </row>
    <row r="2302" spans="1:14" x14ac:dyDescent="0.25">
      <c r="A2302" s="2">
        <v>2296</v>
      </c>
      <c r="B2302" s="11">
        <f t="shared" ca="1" si="181"/>
        <v>1</v>
      </c>
      <c r="C2302" s="26">
        <f t="shared" ca="1" si="180"/>
        <v>0.70295409877207982</v>
      </c>
      <c r="J2302">
        <f t="shared" ca="1" si="182"/>
        <v>1</v>
      </c>
      <c r="K2302">
        <f t="shared" ca="1" si="183"/>
        <v>0</v>
      </c>
      <c r="L2302" s="65">
        <v>2296</v>
      </c>
      <c r="M2302" s="71">
        <f t="shared" ca="1" si="179"/>
        <v>0.13915705828019143</v>
      </c>
      <c r="N2302" s="65"/>
    </row>
    <row r="2303" spans="1:14" x14ac:dyDescent="0.25">
      <c r="A2303" s="2">
        <v>2297</v>
      </c>
      <c r="B2303" s="11">
        <f t="shared" ca="1" si="181"/>
        <v>1</v>
      </c>
      <c r="C2303" s="26">
        <f t="shared" ca="1" si="180"/>
        <v>0.24692576863810234</v>
      </c>
      <c r="J2303">
        <f t="shared" ca="1" si="182"/>
        <v>1</v>
      </c>
      <c r="K2303">
        <f t="shared" ca="1" si="183"/>
        <v>0</v>
      </c>
      <c r="L2303" s="65">
        <v>2297</v>
      </c>
      <c r="M2303" s="71">
        <f t="shared" ca="1" si="179"/>
        <v>4.3390069932698045</v>
      </c>
      <c r="N2303" s="65"/>
    </row>
    <row r="2304" spans="1:14" x14ac:dyDescent="0.25">
      <c r="A2304" s="2">
        <v>2298</v>
      </c>
      <c r="B2304" s="11">
        <f t="shared" ca="1" si="181"/>
        <v>1</v>
      </c>
      <c r="C2304" s="26">
        <f t="shared" ca="1" si="180"/>
        <v>0.43345015636261874</v>
      </c>
      <c r="J2304">
        <f t="shared" ca="1" si="182"/>
        <v>1</v>
      </c>
      <c r="K2304">
        <f t="shared" ca="1" si="183"/>
        <v>0</v>
      </c>
      <c r="L2304" s="65">
        <v>2298</v>
      </c>
      <c r="M2304" s="71">
        <f t="shared" ca="1" si="179"/>
        <v>2.7320175958556878</v>
      </c>
      <c r="N2304" s="65"/>
    </row>
    <row r="2305" spans="1:14" x14ac:dyDescent="0.25">
      <c r="A2305" s="2">
        <v>2299</v>
      </c>
      <c r="B2305" s="11">
        <f t="shared" ca="1" si="181"/>
        <v>1</v>
      </c>
      <c r="C2305" s="26">
        <f t="shared" ca="1" si="180"/>
        <v>0.32504494833397157</v>
      </c>
      <c r="J2305">
        <f t="shared" ca="1" si="182"/>
        <v>1</v>
      </c>
      <c r="K2305">
        <f t="shared" ca="1" si="183"/>
        <v>0</v>
      </c>
      <c r="L2305" s="65">
        <v>2299</v>
      </c>
      <c r="M2305" s="71">
        <f t="shared" ca="1" si="179"/>
        <v>2.2006283687652881</v>
      </c>
      <c r="N2305" s="65"/>
    </row>
    <row r="2306" spans="1:14" x14ac:dyDescent="0.25">
      <c r="A2306" s="2">
        <v>2300</v>
      </c>
      <c r="B2306" s="11">
        <f t="shared" ca="1" si="181"/>
        <v>1</v>
      </c>
      <c r="C2306" s="26">
        <f t="shared" ca="1" si="180"/>
        <v>4.463795650655189E-2</v>
      </c>
      <c r="J2306">
        <f t="shared" ca="1" si="182"/>
        <v>1</v>
      </c>
      <c r="K2306">
        <f t="shared" ca="1" si="183"/>
        <v>0</v>
      </c>
      <c r="L2306" s="65">
        <v>2300</v>
      </c>
      <c r="M2306" s="71">
        <f t="shared" ca="1" si="179"/>
        <v>5.0942569159614202</v>
      </c>
      <c r="N2306" s="65"/>
    </row>
    <row r="2307" spans="1:14" x14ac:dyDescent="0.25">
      <c r="A2307" s="2">
        <v>2301</v>
      </c>
      <c r="B2307" s="11">
        <f t="shared" ca="1" si="181"/>
        <v>1</v>
      </c>
      <c r="C2307" s="26">
        <f t="shared" ca="1" si="180"/>
        <v>0.32023290944660643</v>
      </c>
      <c r="J2307">
        <f t="shared" ca="1" si="182"/>
        <v>1</v>
      </c>
      <c r="K2307">
        <f t="shared" ca="1" si="183"/>
        <v>0</v>
      </c>
      <c r="L2307" s="65">
        <v>2301</v>
      </c>
      <c r="M2307" s="71">
        <f t="shared" ca="1" si="179"/>
        <v>6.4017549709166857E-2</v>
      </c>
      <c r="N2307" s="65"/>
    </row>
    <row r="2308" spans="1:14" x14ac:dyDescent="0.25">
      <c r="A2308" s="2">
        <v>2302</v>
      </c>
      <c r="B2308" s="11">
        <f t="shared" ca="1" si="181"/>
        <v>1</v>
      </c>
      <c r="C2308" s="26">
        <f t="shared" ca="1" si="180"/>
        <v>0.15849877185607275</v>
      </c>
      <c r="J2308">
        <f t="shared" ca="1" si="182"/>
        <v>1</v>
      </c>
      <c r="K2308">
        <f t="shared" ca="1" si="183"/>
        <v>0</v>
      </c>
      <c r="L2308" s="65">
        <v>2302</v>
      </c>
      <c r="M2308" s="71">
        <f t="shared" ca="1" si="179"/>
        <v>8.2826788202984289</v>
      </c>
      <c r="N2308" s="65"/>
    </row>
    <row r="2309" spans="1:14" x14ac:dyDescent="0.25">
      <c r="A2309" s="2">
        <v>2303</v>
      </c>
      <c r="B2309" s="11">
        <f t="shared" ca="1" si="181"/>
        <v>1</v>
      </c>
      <c r="C2309" s="26">
        <f t="shared" ca="1" si="180"/>
        <v>0.20489902056940357</v>
      </c>
      <c r="J2309">
        <f t="shared" ca="1" si="182"/>
        <v>1</v>
      </c>
      <c r="K2309">
        <f t="shared" ca="1" si="183"/>
        <v>0</v>
      </c>
      <c r="L2309" s="65">
        <v>2303</v>
      </c>
      <c r="M2309" s="71">
        <f t="shared" ca="1" si="179"/>
        <v>3.8125465232228972</v>
      </c>
      <c r="N2309" s="65"/>
    </row>
    <row r="2310" spans="1:14" x14ac:dyDescent="0.25">
      <c r="A2310" s="2">
        <v>2304</v>
      </c>
      <c r="B2310" s="11">
        <f t="shared" ca="1" si="181"/>
        <v>1</v>
      </c>
      <c r="C2310" s="26">
        <f t="shared" ca="1" si="180"/>
        <v>0.49522930127289633</v>
      </c>
      <c r="J2310">
        <f t="shared" ca="1" si="182"/>
        <v>1</v>
      </c>
      <c r="K2310">
        <f t="shared" ca="1" si="183"/>
        <v>0</v>
      </c>
      <c r="L2310" s="65">
        <v>2304</v>
      </c>
      <c r="M2310" s="71">
        <f t="shared" ca="1" si="179"/>
        <v>6.8330936472853336</v>
      </c>
      <c r="N2310" s="65"/>
    </row>
    <row r="2311" spans="1:14" x14ac:dyDescent="0.25">
      <c r="A2311" s="2">
        <v>2305</v>
      </c>
      <c r="B2311" s="11">
        <f t="shared" ca="1" si="181"/>
        <v>1</v>
      </c>
      <c r="C2311" s="26">
        <f t="shared" ca="1" si="180"/>
        <v>0.24577367413265039</v>
      </c>
      <c r="J2311">
        <f t="shared" ca="1" si="182"/>
        <v>1</v>
      </c>
      <c r="K2311">
        <f t="shared" ca="1" si="183"/>
        <v>0</v>
      </c>
      <c r="L2311" s="65">
        <v>2305</v>
      </c>
      <c r="M2311" s="71">
        <f t="shared" ref="M2311:M2374" ca="1" si="184">IF(B2311&gt;0,-LN(1-(RAND()))/lambda,0)</f>
        <v>6.9458097478249812</v>
      </c>
      <c r="N2311" s="65"/>
    </row>
    <row r="2312" spans="1:14" x14ac:dyDescent="0.25">
      <c r="A2312" s="2">
        <v>2306</v>
      </c>
      <c r="B2312" s="11">
        <f t="shared" ca="1" si="181"/>
        <v>1</v>
      </c>
      <c r="C2312" s="26">
        <f t="shared" ref="C2312:C2375" ca="1" si="185">RAND()</f>
        <v>7.2630765114010343E-2</v>
      </c>
      <c r="J2312">
        <f t="shared" ca="1" si="182"/>
        <v>1</v>
      </c>
      <c r="K2312">
        <f t="shared" ca="1" si="183"/>
        <v>0</v>
      </c>
      <c r="L2312" s="65">
        <v>2306</v>
      </c>
      <c r="M2312" s="71">
        <f t="shared" ca="1" si="184"/>
        <v>2.346015562736707</v>
      </c>
      <c r="N2312" s="65"/>
    </row>
    <row r="2313" spans="1:14" x14ac:dyDescent="0.25">
      <c r="A2313" s="2">
        <v>2307</v>
      </c>
      <c r="B2313" s="11">
        <f t="shared" ca="1" si="181"/>
        <v>1</v>
      </c>
      <c r="C2313" s="26">
        <f t="shared" ca="1" si="185"/>
        <v>0.23541676665644329</v>
      </c>
      <c r="J2313">
        <f t="shared" ca="1" si="182"/>
        <v>1</v>
      </c>
      <c r="K2313">
        <f t="shared" ca="1" si="183"/>
        <v>0</v>
      </c>
      <c r="L2313" s="65">
        <v>2307</v>
      </c>
      <c r="M2313" s="71">
        <f t="shared" ca="1" si="184"/>
        <v>9.0705053255347767</v>
      </c>
      <c r="N2313" s="65"/>
    </row>
    <row r="2314" spans="1:14" x14ac:dyDescent="0.25">
      <c r="A2314" s="2">
        <v>2308</v>
      </c>
      <c r="B2314" s="11">
        <f t="shared" ca="1" si="181"/>
        <v>1</v>
      </c>
      <c r="C2314" s="26">
        <f t="shared" ca="1" si="185"/>
        <v>0.69557507970849242</v>
      </c>
      <c r="J2314">
        <f t="shared" ca="1" si="182"/>
        <v>1</v>
      </c>
      <c r="K2314">
        <f t="shared" ca="1" si="183"/>
        <v>0</v>
      </c>
      <c r="L2314" s="65">
        <v>2308</v>
      </c>
      <c r="M2314" s="71">
        <f t="shared" ca="1" si="184"/>
        <v>4.3529870272922233</v>
      </c>
      <c r="N2314" s="65"/>
    </row>
    <row r="2315" spans="1:14" x14ac:dyDescent="0.25">
      <c r="A2315" s="2">
        <v>2309</v>
      </c>
      <c r="B2315" s="11">
        <f t="shared" ca="1" si="181"/>
        <v>1</v>
      </c>
      <c r="C2315" s="26">
        <f t="shared" ca="1" si="185"/>
        <v>0.58989243519137502</v>
      </c>
      <c r="J2315">
        <f t="shared" ca="1" si="182"/>
        <v>1</v>
      </c>
      <c r="K2315">
        <f t="shared" ca="1" si="183"/>
        <v>0</v>
      </c>
      <c r="L2315" s="65">
        <v>2309</v>
      </c>
      <c r="M2315" s="71">
        <f t="shared" ca="1" si="184"/>
        <v>4.3035785229235461</v>
      </c>
      <c r="N2315" s="65"/>
    </row>
    <row r="2316" spans="1:14" x14ac:dyDescent="0.25">
      <c r="A2316" s="2">
        <v>2310</v>
      </c>
      <c r="B2316" s="11">
        <f t="shared" ca="1" si="181"/>
        <v>1</v>
      </c>
      <c r="C2316" s="26">
        <f t="shared" ca="1" si="185"/>
        <v>0.27415670823703764</v>
      </c>
      <c r="J2316">
        <f t="shared" ca="1" si="182"/>
        <v>0</v>
      </c>
      <c r="K2316">
        <f t="shared" ca="1" si="183"/>
        <v>0</v>
      </c>
      <c r="L2316" s="65">
        <v>2310</v>
      </c>
      <c r="M2316" s="71">
        <f t="shared" ca="1" si="184"/>
        <v>2.6361481814110941</v>
      </c>
      <c r="N2316" s="65"/>
    </row>
    <row r="2317" spans="1:14" x14ac:dyDescent="0.25">
      <c r="A2317" s="2">
        <v>2311</v>
      </c>
      <c r="B2317" s="11">
        <f t="shared" ca="1" si="181"/>
        <v>0</v>
      </c>
      <c r="C2317" s="26">
        <f t="shared" ca="1" si="185"/>
        <v>0.90944911885986102</v>
      </c>
      <c r="J2317">
        <f t="shared" ca="1" si="182"/>
        <v>0</v>
      </c>
      <c r="K2317">
        <f t="shared" ca="1" si="183"/>
        <v>1</v>
      </c>
      <c r="L2317" s="65">
        <v>2311</v>
      </c>
      <c r="M2317" s="71">
        <f t="shared" ca="1" si="184"/>
        <v>0</v>
      </c>
      <c r="N2317" s="65"/>
    </row>
    <row r="2318" spans="1:14" x14ac:dyDescent="0.25">
      <c r="A2318" s="2">
        <v>2312</v>
      </c>
      <c r="B2318" s="11">
        <f t="shared" ca="1" si="181"/>
        <v>0</v>
      </c>
      <c r="C2318" s="26">
        <f t="shared" ca="1" si="185"/>
        <v>0.90636509013564948</v>
      </c>
      <c r="J2318">
        <f t="shared" ca="1" si="182"/>
        <v>0</v>
      </c>
      <c r="K2318">
        <f t="shared" ca="1" si="183"/>
        <v>0</v>
      </c>
      <c r="L2318" s="65">
        <v>2312</v>
      </c>
      <c r="M2318" s="71">
        <f t="shared" ca="1" si="184"/>
        <v>0</v>
      </c>
      <c r="N2318" s="65"/>
    </row>
    <row r="2319" spans="1:14" x14ac:dyDescent="0.25">
      <c r="A2319" s="2">
        <v>2313</v>
      </c>
      <c r="B2319" s="11">
        <f t="shared" ca="1" si="181"/>
        <v>1</v>
      </c>
      <c r="C2319" s="26">
        <f t="shared" ca="1" si="185"/>
        <v>4.1777865480557841E-2</v>
      </c>
      <c r="J2319">
        <f t="shared" ca="1" si="182"/>
        <v>1</v>
      </c>
      <c r="K2319">
        <f t="shared" ca="1" si="183"/>
        <v>0</v>
      </c>
      <c r="L2319" s="65">
        <v>2313</v>
      </c>
      <c r="M2319" s="71">
        <f t="shared" ca="1" si="184"/>
        <v>4.9974014868473837</v>
      </c>
      <c r="N2319" s="65"/>
    </row>
    <row r="2320" spans="1:14" x14ac:dyDescent="0.25">
      <c r="A2320" s="2">
        <v>2314</v>
      </c>
      <c r="B2320" s="11">
        <f t="shared" ca="1" si="181"/>
        <v>1</v>
      </c>
      <c r="C2320" s="26">
        <f t="shared" ca="1" si="185"/>
        <v>0.59634371171643419</v>
      </c>
      <c r="J2320">
        <f t="shared" ca="1" si="182"/>
        <v>1</v>
      </c>
      <c r="K2320">
        <f t="shared" ca="1" si="183"/>
        <v>0</v>
      </c>
      <c r="L2320" s="65">
        <v>2314</v>
      </c>
      <c r="M2320" s="71">
        <f t="shared" ca="1" si="184"/>
        <v>0.49701793545688328</v>
      </c>
      <c r="N2320" s="65"/>
    </row>
    <row r="2321" spans="1:14" x14ac:dyDescent="0.25">
      <c r="A2321" s="2">
        <v>2315</v>
      </c>
      <c r="B2321" s="11">
        <f t="shared" ca="1" si="181"/>
        <v>1</v>
      </c>
      <c r="C2321" s="26">
        <f t="shared" ca="1" si="185"/>
        <v>0.66199613144583125</v>
      </c>
      <c r="J2321">
        <f t="shared" ca="1" si="182"/>
        <v>1</v>
      </c>
      <c r="K2321">
        <f t="shared" ca="1" si="183"/>
        <v>0</v>
      </c>
      <c r="L2321" s="65">
        <v>2315</v>
      </c>
      <c r="M2321" s="71">
        <f t="shared" ca="1" si="184"/>
        <v>5.3369937421534281</v>
      </c>
      <c r="N2321" s="65"/>
    </row>
    <row r="2322" spans="1:14" x14ac:dyDescent="0.25">
      <c r="A2322" s="2">
        <v>2316</v>
      </c>
      <c r="B2322" s="11">
        <f t="shared" ca="1" si="181"/>
        <v>1</v>
      </c>
      <c r="C2322" s="26">
        <f t="shared" ca="1" si="185"/>
        <v>0.34014545607467883</v>
      </c>
      <c r="J2322">
        <f t="shared" ca="1" si="182"/>
        <v>0</v>
      </c>
      <c r="K2322">
        <f t="shared" ca="1" si="183"/>
        <v>0</v>
      </c>
      <c r="L2322" s="65">
        <v>2316</v>
      </c>
      <c r="M2322" s="71">
        <f t="shared" ca="1" si="184"/>
        <v>0.25615012564669543</v>
      </c>
      <c r="N2322" s="65"/>
    </row>
    <row r="2323" spans="1:14" x14ac:dyDescent="0.25">
      <c r="A2323" s="2">
        <v>2317</v>
      </c>
      <c r="B2323" s="11">
        <f t="shared" ca="1" si="181"/>
        <v>0</v>
      </c>
      <c r="C2323" s="26">
        <f t="shared" ca="1" si="185"/>
        <v>0.88873126228066179</v>
      </c>
      <c r="J2323">
        <f t="shared" ca="1" si="182"/>
        <v>0</v>
      </c>
      <c r="K2323">
        <f t="shared" ca="1" si="183"/>
        <v>0</v>
      </c>
      <c r="L2323" s="65">
        <v>2317</v>
      </c>
      <c r="M2323" s="71">
        <f t="shared" ca="1" si="184"/>
        <v>0</v>
      </c>
      <c r="N2323" s="65"/>
    </row>
    <row r="2324" spans="1:14" x14ac:dyDescent="0.25">
      <c r="A2324" s="2">
        <v>2318</v>
      </c>
      <c r="B2324" s="11">
        <f t="shared" ca="1" si="181"/>
        <v>1</v>
      </c>
      <c r="C2324" s="26">
        <f t="shared" ca="1" si="185"/>
        <v>9.7458616887270977E-2</v>
      </c>
      <c r="J2324">
        <f t="shared" ca="1" si="182"/>
        <v>1</v>
      </c>
      <c r="K2324">
        <f t="shared" ca="1" si="183"/>
        <v>0</v>
      </c>
      <c r="L2324" s="65">
        <v>2318</v>
      </c>
      <c r="M2324" s="71">
        <f t="shared" ca="1" si="184"/>
        <v>1.3317269433906915</v>
      </c>
      <c r="N2324" s="65"/>
    </row>
    <row r="2325" spans="1:14" x14ac:dyDescent="0.25">
      <c r="A2325" s="2">
        <v>2319</v>
      </c>
      <c r="B2325" s="11">
        <f t="shared" ca="1" si="181"/>
        <v>1</v>
      </c>
      <c r="C2325" s="26">
        <f t="shared" ca="1" si="185"/>
        <v>0.24863544832955531</v>
      </c>
      <c r="J2325">
        <f t="shared" ca="1" si="182"/>
        <v>1</v>
      </c>
      <c r="K2325">
        <f t="shared" ca="1" si="183"/>
        <v>0</v>
      </c>
      <c r="L2325" s="65">
        <v>2319</v>
      </c>
      <c r="M2325" s="71">
        <f t="shared" ca="1" si="184"/>
        <v>1.8565635339923214</v>
      </c>
      <c r="N2325" s="65"/>
    </row>
    <row r="2326" spans="1:14" x14ac:dyDescent="0.25">
      <c r="A2326" s="2">
        <v>2320</v>
      </c>
      <c r="B2326" s="11">
        <f t="shared" ca="1" si="181"/>
        <v>1</v>
      </c>
      <c r="C2326" s="26">
        <f t="shared" ca="1" si="185"/>
        <v>0.64984210629734596</v>
      </c>
      <c r="J2326">
        <f t="shared" ca="1" si="182"/>
        <v>0</v>
      </c>
      <c r="K2326">
        <f t="shared" ca="1" si="183"/>
        <v>0</v>
      </c>
      <c r="L2326" s="65">
        <v>2320</v>
      </c>
      <c r="M2326" s="71">
        <f t="shared" ca="1" si="184"/>
        <v>4.2696481260682502</v>
      </c>
      <c r="N2326" s="65"/>
    </row>
    <row r="2327" spans="1:14" x14ac:dyDescent="0.25">
      <c r="A2327" s="2">
        <v>2321</v>
      </c>
      <c r="B2327" s="11">
        <f t="shared" ca="1" si="181"/>
        <v>0</v>
      </c>
      <c r="C2327" s="26">
        <f t="shared" ca="1" si="185"/>
        <v>0.99888422552340228</v>
      </c>
      <c r="J2327">
        <f t="shared" ca="1" si="182"/>
        <v>0</v>
      </c>
      <c r="K2327">
        <f t="shared" ca="1" si="183"/>
        <v>1</v>
      </c>
      <c r="L2327" s="65">
        <v>2321</v>
      </c>
      <c r="M2327" s="71">
        <f t="shared" ca="1" si="184"/>
        <v>0</v>
      </c>
      <c r="N2327" s="65"/>
    </row>
    <row r="2328" spans="1:14" x14ac:dyDescent="0.25">
      <c r="A2328" s="2">
        <v>2322</v>
      </c>
      <c r="B2328" s="11">
        <f t="shared" ca="1" si="181"/>
        <v>0</v>
      </c>
      <c r="C2328" s="26">
        <f t="shared" ca="1" si="185"/>
        <v>0.88040018234705752</v>
      </c>
      <c r="J2328">
        <f t="shared" ca="1" si="182"/>
        <v>0</v>
      </c>
      <c r="K2328">
        <f t="shared" ca="1" si="183"/>
        <v>0</v>
      </c>
      <c r="L2328" s="65">
        <v>2322</v>
      </c>
      <c r="M2328" s="71">
        <f t="shared" ca="1" si="184"/>
        <v>0</v>
      </c>
      <c r="N2328" s="65"/>
    </row>
    <row r="2329" spans="1:14" x14ac:dyDescent="0.25">
      <c r="A2329" s="2">
        <v>2323</v>
      </c>
      <c r="B2329" s="11">
        <f t="shared" ca="1" si="181"/>
        <v>1</v>
      </c>
      <c r="C2329" s="26">
        <f t="shared" ca="1" si="185"/>
        <v>0.19380070606914734</v>
      </c>
      <c r="J2329">
        <f t="shared" ca="1" si="182"/>
        <v>1</v>
      </c>
      <c r="K2329">
        <f t="shared" ca="1" si="183"/>
        <v>0</v>
      </c>
      <c r="L2329" s="65">
        <v>2323</v>
      </c>
      <c r="M2329" s="71">
        <f t="shared" ca="1" si="184"/>
        <v>0.56086523024387291</v>
      </c>
      <c r="N2329" s="65"/>
    </row>
    <row r="2330" spans="1:14" x14ac:dyDescent="0.25">
      <c r="A2330" s="2">
        <v>2324</v>
      </c>
      <c r="B2330" s="11">
        <f t="shared" ca="1" si="181"/>
        <v>1</v>
      </c>
      <c r="C2330" s="26">
        <f t="shared" ca="1" si="185"/>
        <v>0.16430229650481176</v>
      </c>
      <c r="J2330">
        <f t="shared" ca="1" si="182"/>
        <v>0</v>
      </c>
      <c r="K2330">
        <f t="shared" ca="1" si="183"/>
        <v>0</v>
      </c>
      <c r="L2330" s="65">
        <v>2324</v>
      </c>
      <c r="M2330" s="71">
        <f t="shared" ca="1" si="184"/>
        <v>2.5987566207476318</v>
      </c>
      <c r="N2330" s="65"/>
    </row>
    <row r="2331" spans="1:14" x14ac:dyDescent="0.25">
      <c r="A2331" s="2">
        <v>2325</v>
      </c>
      <c r="B2331" s="11">
        <f t="shared" ca="1" si="181"/>
        <v>0</v>
      </c>
      <c r="C2331" s="26">
        <f t="shared" ca="1" si="185"/>
        <v>0.95985899031448929</v>
      </c>
      <c r="J2331">
        <f t="shared" ca="1" si="182"/>
        <v>0</v>
      </c>
      <c r="K2331">
        <f t="shared" ca="1" si="183"/>
        <v>0</v>
      </c>
      <c r="L2331" s="65">
        <v>2325</v>
      </c>
      <c r="M2331" s="71">
        <f t="shared" ca="1" si="184"/>
        <v>0</v>
      </c>
      <c r="N2331" s="65"/>
    </row>
    <row r="2332" spans="1:14" x14ac:dyDescent="0.25">
      <c r="A2332" s="2">
        <v>2326</v>
      </c>
      <c r="B2332" s="11">
        <f t="shared" ca="1" si="181"/>
        <v>1</v>
      </c>
      <c r="C2332" s="26">
        <f t="shared" ca="1" si="185"/>
        <v>0.33596626848600109</v>
      </c>
      <c r="J2332">
        <f t="shared" ca="1" si="182"/>
        <v>1</v>
      </c>
      <c r="K2332">
        <f t="shared" ca="1" si="183"/>
        <v>0</v>
      </c>
      <c r="L2332" s="65">
        <v>2326</v>
      </c>
      <c r="M2332" s="71">
        <f t="shared" ca="1" si="184"/>
        <v>15.846893382228716</v>
      </c>
      <c r="N2332" s="65"/>
    </row>
    <row r="2333" spans="1:14" x14ac:dyDescent="0.25">
      <c r="A2333" s="2">
        <v>2327</v>
      </c>
      <c r="B2333" s="11">
        <f t="shared" ca="1" si="181"/>
        <v>1</v>
      </c>
      <c r="C2333" s="26">
        <f t="shared" ca="1" si="185"/>
        <v>8.3352319335840641E-2</v>
      </c>
      <c r="J2333">
        <f t="shared" ca="1" si="182"/>
        <v>1</v>
      </c>
      <c r="K2333">
        <f t="shared" ca="1" si="183"/>
        <v>0</v>
      </c>
      <c r="L2333" s="65">
        <v>2327</v>
      </c>
      <c r="M2333" s="71">
        <f t="shared" ca="1" si="184"/>
        <v>4.8762952644998201</v>
      </c>
      <c r="N2333" s="65"/>
    </row>
    <row r="2334" spans="1:14" x14ac:dyDescent="0.25">
      <c r="A2334" s="2">
        <v>2328</v>
      </c>
      <c r="B2334" s="11">
        <f t="shared" ca="1" si="181"/>
        <v>1</v>
      </c>
      <c r="C2334" s="26">
        <f t="shared" ca="1" si="185"/>
        <v>0.50077097116670743</v>
      </c>
      <c r="J2334">
        <f t="shared" ca="1" si="182"/>
        <v>0</v>
      </c>
      <c r="K2334">
        <f t="shared" ca="1" si="183"/>
        <v>0</v>
      </c>
      <c r="L2334" s="65">
        <v>2328</v>
      </c>
      <c r="M2334" s="71">
        <f t="shared" ca="1" si="184"/>
        <v>0.29415998842717672</v>
      </c>
      <c r="N2334" s="65"/>
    </row>
    <row r="2335" spans="1:14" x14ac:dyDescent="0.25">
      <c r="A2335" s="2">
        <v>2329</v>
      </c>
      <c r="B2335" s="11">
        <f t="shared" ca="1" si="181"/>
        <v>0</v>
      </c>
      <c r="C2335" s="26">
        <f t="shared" ca="1" si="185"/>
        <v>0.85167106756462385</v>
      </c>
      <c r="J2335">
        <f t="shared" ca="1" si="182"/>
        <v>0</v>
      </c>
      <c r="K2335">
        <f t="shared" ca="1" si="183"/>
        <v>0</v>
      </c>
      <c r="L2335" s="65">
        <v>2329</v>
      </c>
      <c r="M2335" s="71">
        <f t="shared" ca="1" si="184"/>
        <v>0</v>
      </c>
      <c r="N2335" s="65"/>
    </row>
    <row r="2336" spans="1:14" x14ac:dyDescent="0.25">
      <c r="A2336" s="2">
        <v>2330</v>
      </c>
      <c r="B2336" s="11">
        <f t="shared" ca="1" si="181"/>
        <v>1</v>
      </c>
      <c r="C2336" s="26">
        <f t="shared" ca="1" si="185"/>
        <v>0.57752856244510375</v>
      </c>
      <c r="J2336">
        <f t="shared" ca="1" si="182"/>
        <v>1</v>
      </c>
      <c r="K2336">
        <f t="shared" ca="1" si="183"/>
        <v>0</v>
      </c>
      <c r="L2336" s="65">
        <v>2330</v>
      </c>
      <c r="M2336" s="71">
        <f t="shared" ca="1" si="184"/>
        <v>7.5980416318312116</v>
      </c>
      <c r="N2336" s="65"/>
    </row>
    <row r="2337" spans="1:14" x14ac:dyDescent="0.25">
      <c r="A2337" s="2">
        <v>2331</v>
      </c>
      <c r="B2337" s="11">
        <f t="shared" ca="1" si="181"/>
        <v>1</v>
      </c>
      <c r="C2337" s="26">
        <f t="shared" ca="1" si="185"/>
        <v>0.50096781012365299</v>
      </c>
      <c r="J2337">
        <f t="shared" ca="1" si="182"/>
        <v>1</v>
      </c>
      <c r="K2337">
        <f t="shared" ca="1" si="183"/>
        <v>0</v>
      </c>
      <c r="L2337" s="65">
        <v>2331</v>
      </c>
      <c r="M2337" s="71">
        <f t="shared" ca="1" si="184"/>
        <v>2.5087885310170264</v>
      </c>
      <c r="N2337" s="65"/>
    </row>
    <row r="2338" spans="1:14" x14ac:dyDescent="0.25">
      <c r="A2338" s="2">
        <v>2332</v>
      </c>
      <c r="B2338" s="11">
        <f t="shared" ca="1" si="181"/>
        <v>1</v>
      </c>
      <c r="C2338" s="26">
        <f t="shared" ca="1" si="185"/>
        <v>0.35680603659571997</v>
      </c>
      <c r="J2338">
        <f t="shared" ca="1" si="182"/>
        <v>1</v>
      </c>
      <c r="K2338">
        <f t="shared" ca="1" si="183"/>
        <v>0</v>
      </c>
      <c r="L2338" s="65">
        <v>2332</v>
      </c>
      <c r="M2338" s="71">
        <f t="shared" ca="1" si="184"/>
        <v>1.8689897346724098</v>
      </c>
      <c r="N2338" s="65"/>
    </row>
    <row r="2339" spans="1:14" x14ac:dyDescent="0.25">
      <c r="A2339" s="2">
        <v>2333</v>
      </c>
      <c r="B2339" s="11">
        <f t="shared" ca="1" si="181"/>
        <v>1</v>
      </c>
      <c r="C2339" s="26">
        <f t="shared" ca="1" si="185"/>
        <v>0.5146378453359981</v>
      </c>
      <c r="J2339">
        <f t="shared" ca="1" si="182"/>
        <v>1</v>
      </c>
      <c r="K2339">
        <f t="shared" ca="1" si="183"/>
        <v>0</v>
      </c>
      <c r="L2339" s="65">
        <v>2333</v>
      </c>
      <c r="M2339" s="71">
        <f t="shared" ca="1" si="184"/>
        <v>4.8405171763035213</v>
      </c>
      <c r="N2339" s="65"/>
    </row>
    <row r="2340" spans="1:14" x14ac:dyDescent="0.25">
      <c r="A2340" s="2">
        <v>2334</v>
      </c>
      <c r="B2340" s="11">
        <f t="shared" ca="1" si="181"/>
        <v>1</v>
      </c>
      <c r="C2340" s="26">
        <f t="shared" ca="1" si="185"/>
        <v>0.22093012253630651</v>
      </c>
      <c r="J2340">
        <f t="shared" ca="1" si="182"/>
        <v>1</v>
      </c>
      <c r="K2340">
        <f t="shared" ca="1" si="183"/>
        <v>0</v>
      </c>
      <c r="L2340" s="65">
        <v>2334</v>
      </c>
      <c r="M2340" s="71">
        <f t="shared" ca="1" si="184"/>
        <v>14.868981726083044</v>
      </c>
      <c r="N2340" s="65"/>
    </row>
    <row r="2341" spans="1:14" x14ac:dyDescent="0.25">
      <c r="A2341" s="2">
        <v>2335</v>
      </c>
      <c r="B2341" s="11">
        <f t="shared" ca="1" si="181"/>
        <v>1</v>
      </c>
      <c r="C2341" s="26">
        <f t="shared" ca="1" si="185"/>
        <v>0.11670383210936197</v>
      </c>
      <c r="J2341">
        <f t="shared" ca="1" si="182"/>
        <v>1</v>
      </c>
      <c r="K2341">
        <f t="shared" ca="1" si="183"/>
        <v>0</v>
      </c>
      <c r="L2341" s="65">
        <v>2335</v>
      </c>
      <c r="M2341" s="71">
        <f t="shared" ca="1" si="184"/>
        <v>4.1108925987380003</v>
      </c>
      <c r="N2341" s="65"/>
    </row>
    <row r="2342" spans="1:14" x14ac:dyDescent="0.25">
      <c r="A2342" s="2">
        <v>2336</v>
      </c>
      <c r="B2342" s="11">
        <f t="shared" ca="1" si="181"/>
        <v>1</v>
      </c>
      <c r="C2342" s="26">
        <f t="shared" ca="1" si="185"/>
        <v>0.74725209858235864</v>
      </c>
      <c r="J2342">
        <f t="shared" ca="1" si="182"/>
        <v>0</v>
      </c>
      <c r="K2342">
        <f t="shared" ca="1" si="183"/>
        <v>0</v>
      </c>
      <c r="L2342" s="65">
        <v>2336</v>
      </c>
      <c r="M2342" s="71">
        <f t="shared" ca="1" si="184"/>
        <v>3.680461676406432</v>
      </c>
      <c r="N2342" s="65"/>
    </row>
    <row r="2343" spans="1:14" x14ac:dyDescent="0.25">
      <c r="A2343" s="2">
        <v>2337</v>
      </c>
      <c r="B2343" s="11">
        <f t="shared" ca="1" si="181"/>
        <v>0</v>
      </c>
      <c r="C2343" s="26">
        <f t="shared" ca="1" si="185"/>
        <v>0.83883256696141462</v>
      </c>
      <c r="J2343">
        <f t="shared" ca="1" si="182"/>
        <v>0</v>
      </c>
      <c r="K2343">
        <f t="shared" ca="1" si="183"/>
        <v>0</v>
      </c>
      <c r="L2343" s="65">
        <v>2337</v>
      </c>
      <c r="M2343" s="71">
        <f t="shared" ca="1" si="184"/>
        <v>0</v>
      </c>
      <c r="N2343" s="65"/>
    </row>
    <row r="2344" spans="1:14" x14ac:dyDescent="0.25">
      <c r="A2344" s="2">
        <v>2338</v>
      </c>
      <c r="B2344" s="11">
        <f t="shared" ca="1" si="181"/>
        <v>1</v>
      </c>
      <c r="C2344" s="26">
        <f t="shared" ca="1" si="185"/>
        <v>0.53710474652917928</v>
      </c>
      <c r="J2344">
        <f t="shared" ca="1" si="182"/>
        <v>1</v>
      </c>
      <c r="K2344">
        <f t="shared" ca="1" si="183"/>
        <v>0</v>
      </c>
      <c r="L2344" s="65">
        <v>2338</v>
      </c>
      <c r="M2344" s="71">
        <f t="shared" ca="1" si="184"/>
        <v>5.1856803182185658</v>
      </c>
      <c r="N2344" s="65"/>
    </row>
    <row r="2345" spans="1:14" x14ac:dyDescent="0.25">
      <c r="A2345" s="2">
        <v>2339</v>
      </c>
      <c r="B2345" s="11">
        <f t="shared" ca="1" si="181"/>
        <v>1</v>
      </c>
      <c r="C2345" s="26">
        <f t="shared" ca="1" si="185"/>
        <v>0.4179770643331383</v>
      </c>
      <c r="J2345">
        <f t="shared" ca="1" si="182"/>
        <v>1</v>
      </c>
      <c r="K2345">
        <f t="shared" ca="1" si="183"/>
        <v>0</v>
      </c>
      <c r="L2345" s="65">
        <v>2339</v>
      </c>
      <c r="M2345" s="71">
        <f t="shared" ca="1" si="184"/>
        <v>5.3436115683842162</v>
      </c>
      <c r="N2345" s="65"/>
    </row>
    <row r="2346" spans="1:14" x14ac:dyDescent="0.25">
      <c r="A2346" s="2">
        <v>2340</v>
      </c>
      <c r="B2346" s="11">
        <f t="shared" ca="1" si="181"/>
        <v>1</v>
      </c>
      <c r="C2346" s="26">
        <f t="shared" ca="1" si="185"/>
        <v>0.57972174049738179</v>
      </c>
      <c r="J2346">
        <f t="shared" ca="1" si="182"/>
        <v>1</v>
      </c>
      <c r="K2346">
        <f t="shared" ca="1" si="183"/>
        <v>0</v>
      </c>
      <c r="L2346" s="65">
        <v>2340</v>
      </c>
      <c r="M2346" s="71">
        <f t="shared" ca="1" si="184"/>
        <v>5.2651686931298283</v>
      </c>
      <c r="N2346" s="65"/>
    </row>
    <row r="2347" spans="1:14" x14ac:dyDescent="0.25">
      <c r="A2347" s="2">
        <v>2341</v>
      </c>
      <c r="B2347" s="11">
        <f t="shared" ca="1" si="181"/>
        <v>1</v>
      </c>
      <c r="C2347" s="26">
        <f t="shared" ca="1" si="185"/>
        <v>0.3580953575503828</v>
      </c>
      <c r="J2347">
        <f t="shared" ca="1" si="182"/>
        <v>1</v>
      </c>
      <c r="K2347">
        <f t="shared" ca="1" si="183"/>
        <v>0</v>
      </c>
      <c r="L2347" s="65">
        <v>2341</v>
      </c>
      <c r="M2347" s="71">
        <f t="shared" ca="1" si="184"/>
        <v>0.76303993840014228</v>
      </c>
      <c r="N2347" s="65"/>
    </row>
    <row r="2348" spans="1:14" x14ac:dyDescent="0.25">
      <c r="A2348" s="2">
        <v>2342</v>
      </c>
      <c r="B2348" s="11">
        <f t="shared" ca="1" si="181"/>
        <v>1</v>
      </c>
      <c r="C2348" s="26">
        <f t="shared" ca="1" si="185"/>
        <v>0.39813036086635623</v>
      </c>
      <c r="J2348">
        <f t="shared" ca="1" si="182"/>
        <v>1</v>
      </c>
      <c r="K2348">
        <f t="shared" ca="1" si="183"/>
        <v>0</v>
      </c>
      <c r="L2348" s="65">
        <v>2342</v>
      </c>
      <c r="M2348" s="71">
        <f t="shared" ca="1" si="184"/>
        <v>3.7383478563429193</v>
      </c>
      <c r="N2348" s="65"/>
    </row>
    <row r="2349" spans="1:14" x14ac:dyDescent="0.25">
      <c r="A2349" s="2">
        <v>2343</v>
      </c>
      <c r="B2349" s="11">
        <f t="shared" ca="1" si="181"/>
        <v>1</v>
      </c>
      <c r="C2349" s="26">
        <f t="shared" ca="1" si="185"/>
        <v>0.62907216958674839</v>
      </c>
      <c r="J2349">
        <f t="shared" ca="1" si="182"/>
        <v>0</v>
      </c>
      <c r="K2349">
        <f t="shared" ca="1" si="183"/>
        <v>0</v>
      </c>
      <c r="L2349" s="65">
        <v>2343</v>
      </c>
      <c r="M2349" s="71">
        <f t="shared" ca="1" si="184"/>
        <v>2.3809001193750094</v>
      </c>
      <c r="N2349" s="65"/>
    </row>
    <row r="2350" spans="1:14" x14ac:dyDescent="0.25">
      <c r="A2350" s="2">
        <v>2344</v>
      </c>
      <c r="B2350" s="11">
        <f t="shared" ca="1" si="181"/>
        <v>0</v>
      </c>
      <c r="C2350" s="26">
        <f t="shared" ca="1" si="185"/>
        <v>0.90468899487559173</v>
      </c>
      <c r="J2350">
        <f t="shared" ca="1" si="182"/>
        <v>0</v>
      </c>
      <c r="K2350">
        <f t="shared" ca="1" si="183"/>
        <v>0</v>
      </c>
      <c r="L2350" s="65">
        <v>2344</v>
      </c>
      <c r="M2350" s="71">
        <f t="shared" ca="1" si="184"/>
        <v>0</v>
      </c>
      <c r="N2350" s="65"/>
    </row>
    <row r="2351" spans="1:14" x14ac:dyDescent="0.25">
      <c r="A2351" s="2">
        <v>2345</v>
      </c>
      <c r="B2351" s="11">
        <f t="shared" ref="B2351:B2414" ca="1" si="186">IF(B2350&gt;0,IF(C2351&lt;pww,1,0),IF(C2351&lt;pdw,1,0))</f>
        <v>1</v>
      </c>
      <c r="C2351" s="26">
        <f t="shared" ca="1" si="185"/>
        <v>0.67059398686153626</v>
      </c>
      <c r="J2351">
        <f t="shared" ref="J2351:J2414" ca="1" si="187">IF(AND(B2351,B2352),1,0)</f>
        <v>1</v>
      </c>
      <c r="K2351">
        <f t="shared" ref="K2351:K2414" ca="1" si="188">IF(AND(NOT(B2351),NOT(B2352)),1,0)</f>
        <v>0</v>
      </c>
      <c r="L2351" s="65">
        <v>2345</v>
      </c>
      <c r="M2351" s="71">
        <f t="shared" ca="1" si="184"/>
        <v>3.8384303790252439</v>
      </c>
      <c r="N2351" s="65"/>
    </row>
    <row r="2352" spans="1:14" x14ac:dyDescent="0.25">
      <c r="A2352" s="2">
        <v>2346</v>
      </c>
      <c r="B2352" s="11">
        <f t="shared" ca="1" si="186"/>
        <v>1</v>
      </c>
      <c r="C2352" s="26">
        <f t="shared" ca="1" si="185"/>
        <v>0.71815141900981561</v>
      </c>
      <c r="J2352">
        <f t="shared" ca="1" si="187"/>
        <v>1</v>
      </c>
      <c r="K2352">
        <f t="shared" ca="1" si="188"/>
        <v>0</v>
      </c>
      <c r="L2352" s="65">
        <v>2346</v>
      </c>
      <c r="M2352" s="71">
        <f t="shared" ca="1" si="184"/>
        <v>0.71750413893139042</v>
      </c>
      <c r="N2352" s="65"/>
    </row>
    <row r="2353" spans="1:14" x14ac:dyDescent="0.25">
      <c r="A2353" s="2">
        <v>2347</v>
      </c>
      <c r="B2353" s="11">
        <f t="shared" ca="1" si="186"/>
        <v>1</v>
      </c>
      <c r="C2353" s="26">
        <f t="shared" ca="1" si="185"/>
        <v>0.4189018478401908</v>
      </c>
      <c r="J2353">
        <f t="shared" ca="1" si="187"/>
        <v>1</v>
      </c>
      <c r="K2353">
        <f t="shared" ca="1" si="188"/>
        <v>0</v>
      </c>
      <c r="L2353" s="65">
        <v>2347</v>
      </c>
      <c r="M2353" s="71">
        <f t="shared" ca="1" si="184"/>
        <v>7.1731868245877406</v>
      </c>
      <c r="N2353" s="65"/>
    </row>
    <row r="2354" spans="1:14" x14ac:dyDescent="0.25">
      <c r="A2354" s="2">
        <v>2348</v>
      </c>
      <c r="B2354" s="11">
        <f t="shared" ca="1" si="186"/>
        <v>1</v>
      </c>
      <c r="C2354" s="26">
        <f t="shared" ca="1" si="185"/>
        <v>0.41633730612305642</v>
      </c>
      <c r="J2354">
        <f t="shared" ca="1" si="187"/>
        <v>1</v>
      </c>
      <c r="K2354">
        <f t="shared" ca="1" si="188"/>
        <v>0</v>
      </c>
      <c r="L2354" s="65">
        <v>2348</v>
      </c>
      <c r="M2354" s="71">
        <f t="shared" ca="1" si="184"/>
        <v>0.69525640417585144</v>
      </c>
      <c r="N2354" s="65"/>
    </row>
    <row r="2355" spans="1:14" x14ac:dyDescent="0.25">
      <c r="A2355" s="2">
        <v>2349</v>
      </c>
      <c r="B2355" s="11">
        <f t="shared" ca="1" si="186"/>
        <v>1</v>
      </c>
      <c r="C2355" s="26">
        <f t="shared" ca="1" si="185"/>
        <v>0.14677545683510063</v>
      </c>
      <c r="J2355">
        <f t="shared" ca="1" si="187"/>
        <v>1</v>
      </c>
      <c r="K2355">
        <f t="shared" ca="1" si="188"/>
        <v>0</v>
      </c>
      <c r="L2355" s="65">
        <v>2349</v>
      </c>
      <c r="M2355" s="71">
        <f t="shared" ca="1" si="184"/>
        <v>1.9990254696488525</v>
      </c>
      <c r="N2355" s="65"/>
    </row>
    <row r="2356" spans="1:14" x14ac:dyDescent="0.25">
      <c r="A2356" s="2">
        <v>2350</v>
      </c>
      <c r="B2356" s="11">
        <f t="shared" ca="1" si="186"/>
        <v>1</v>
      </c>
      <c r="C2356" s="26">
        <f t="shared" ca="1" si="185"/>
        <v>0.45342603552390293</v>
      </c>
      <c r="J2356">
        <f t="shared" ca="1" si="187"/>
        <v>1</v>
      </c>
      <c r="K2356">
        <f t="shared" ca="1" si="188"/>
        <v>0</v>
      </c>
      <c r="L2356" s="65">
        <v>2350</v>
      </c>
      <c r="M2356" s="71">
        <f t="shared" ca="1" si="184"/>
        <v>7.1800642506287078</v>
      </c>
      <c r="N2356" s="65"/>
    </row>
    <row r="2357" spans="1:14" x14ac:dyDescent="0.25">
      <c r="A2357" s="2">
        <v>2351</v>
      </c>
      <c r="B2357" s="11">
        <f t="shared" ca="1" si="186"/>
        <v>1</v>
      </c>
      <c r="C2357" s="26">
        <f t="shared" ca="1" si="185"/>
        <v>0.13735068759163893</v>
      </c>
      <c r="J2357">
        <f t="shared" ca="1" si="187"/>
        <v>1</v>
      </c>
      <c r="K2357">
        <f t="shared" ca="1" si="188"/>
        <v>0</v>
      </c>
      <c r="L2357" s="65">
        <v>2351</v>
      </c>
      <c r="M2357" s="71">
        <f t="shared" ca="1" si="184"/>
        <v>2.5428920404315138</v>
      </c>
      <c r="N2357" s="65"/>
    </row>
    <row r="2358" spans="1:14" x14ac:dyDescent="0.25">
      <c r="A2358" s="2">
        <v>2352</v>
      </c>
      <c r="B2358" s="11">
        <f t="shared" ca="1" si="186"/>
        <v>1</v>
      </c>
      <c r="C2358" s="26">
        <f t="shared" ca="1" si="185"/>
        <v>0.66621832951293314</v>
      </c>
      <c r="J2358">
        <f t="shared" ca="1" si="187"/>
        <v>0</v>
      </c>
      <c r="K2358">
        <f t="shared" ca="1" si="188"/>
        <v>0</v>
      </c>
      <c r="L2358" s="65">
        <v>2352</v>
      </c>
      <c r="M2358" s="71">
        <f t="shared" ca="1" si="184"/>
        <v>13.694211343558203</v>
      </c>
      <c r="N2358" s="65"/>
    </row>
    <row r="2359" spans="1:14" x14ac:dyDescent="0.25">
      <c r="A2359" s="2">
        <v>2353</v>
      </c>
      <c r="B2359" s="11">
        <f t="shared" ca="1" si="186"/>
        <v>0</v>
      </c>
      <c r="C2359" s="26">
        <f t="shared" ca="1" si="185"/>
        <v>0.96936790636293413</v>
      </c>
      <c r="J2359">
        <f t="shared" ca="1" si="187"/>
        <v>0</v>
      </c>
      <c r="K2359">
        <f t="shared" ca="1" si="188"/>
        <v>1</v>
      </c>
      <c r="L2359" s="65">
        <v>2353</v>
      </c>
      <c r="M2359" s="71">
        <f t="shared" ca="1" si="184"/>
        <v>0</v>
      </c>
      <c r="N2359" s="65"/>
    </row>
    <row r="2360" spans="1:14" x14ac:dyDescent="0.25">
      <c r="A2360" s="2">
        <v>2354</v>
      </c>
      <c r="B2360" s="11">
        <f t="shared" ca="1" si="186"/>
        <v>0</v>
      </c>
      <c r="C2360" s="26">
        <f t="shared" ca="1" si="185"/>
        <v>0.94289163409024257</v>
      </c>
      <c r="J2360">
        <f t="shared" ca="1" si="187"/>
        <v>0</v>
      </c>
      <c r="K2360">
        <f t="shared" ca="1" si="188"/>
        <v>0</v>
      </c>
      <c r="L2360" s="65">
        <v>2354</v>
      </c>
      <c r="M2360" s="71">
        <f t="shared" ca="1" si="184"/>
        <v>0</v>
      </c>
      <c r="N2360" s="65"/>
    </row>
    <row r="2361" spans="1:14" x14ac:dyDescent="0.25">
      <c r="A2361" s="2">
        <v>2355</v>
      </c>
      <c r="B2361" s="11">
        <f t="shared" ca="1" si="186"/>
        <v>1</v>
      </c>
      <c r="C2361" s="26">
        <f t="shared" ca="1" si="185"/>
        <v>0.21853295091386415</v>
      </c>
      <c r="J2361">
        <f t="shared" ca="1" si="187"/>
        <v>1</v>
      </c>
      <c r="K2361">
        <f t="shared" ca="1" si="188"/>
        <v>0</v>
      </c>
      <c r="L2361" s="65">
        <v>2355</v>
      </c>
      <c r="M2361" s="71">
        <f t="shared" ca="1" si="184"/>
        <v>9.0737662103116001</v>
      </c>
      <c r="N2361" s="65"/>
    </row>
    <row r="2362" spans="1:14" x14ac:dyDescent="0.25">
      <c r="A2362" s="2">
        <v>2356</v>
      </c>
      <c r="B2362" s="11">
        <f t="shared" ca="1" si="186"/>
        <v>1</v>
      </c>
      <c r="C2362" s="26">
        <f t="shared" ca="1" si="185"/>
        <v>0.30276788136838795</v>
      </c>
      <c r="J2362">
        <f t="shared" ca="1" si="187"/>
        <v>1</v>
      </c>
      <c r="K2362">
        <f t="shared" ca="1" si="188"/>
        <v>0</v>
      </c>
      <c r="L2362" s="65">
        <v>2356</v>
      </c>
      <c r="M2362" s="71">
        <f t="shared" ca="1" si="184"/>
        <v>4.9149328127437144</v>
      </c>
      <c r="N2362" s="65"/>
    </row>
    <row r="2363" spans="1:14" x14ac:dyDescent="0.25">
      <c r="A2363" s="2">
        <v>2357</v>
      </c>
      <c r="B2363" s="11">
        <f t="shared" ca="1" si="186"/>
        <v>1</v>
      </c>
      <c r="C2363" s="26">
        <f t="shared" ca="1" si="185"/>
        <v>0.6797513268410994</v>
      </c>
      <c r="J2363">
        <f t="shared" ca="1" si="187"/>
        <v>0</v>
      </c>
      <c r="K2363">
        <f t="shared" ca="1" si="188"/>
        <v>0</v>
      </c>
      <c r="L2363" s="65">
        <v>2357</v>
      </c>
      <c r="M2363" s="71">
        <f t="shared" ca="1" si="184"/>
        <v>8.3392189568712496</v>
      </c>
      <c r="N2363" s="65"/>
    </row>
    <row r="2364" spans="1:14" x14ac:dyDescent="0.25">
      <c r="A2364" s="2">
        <v>2358</v>
      </c>
      <c r="B2364" s="11">
        <f t="shared" ca="1" si="186"/>
        <v>0</v>
      </c>
      <c r="C2364" s="26">
        <f t="shared" ca="1" si="185"/>
        <v>0.88875267488439025</v>
      </c>
      <c r="J2364">
        <f t="shared" ca="1" si="187"/>
        <v>0</v>
      </c>
      <c r="K2364">
        <f t="shared" ca="1" si="188"/>
        <v>1</v>
      </c>
      <c r="L2364" s="65">
        <v>2358</v>
      </c>
      <c r="M2364" s="71">
        <f t="shared" ca="1" si="184"/>
        <v>0</v>
      </c>
      <c r="N2364" s="65"/>
    </row>
    <row r="2365" spans="1:14" x14ac:dyDescent="0.25">
      <c r="A2365" s="2">
        <v>2359</v>
      </c>
      <c r="B2365" s="11">
        <f t="shared" ca="1" si="186"/>
        <v>0</v>
      </c>
      <c r="C2365" s="26">
        <f t="shared" ca="1" si="185"/>
        <v>0.86394489234249916</v>
      </c>
      <c r="J2365">
        <f t="shared" ca="1" si="187"/>
        <v>0</v>
      </c>
      <c r="K2365">
        <f t="shared" ca="1" si="188"/>
        <v>0</v>
      </c>
      <c r="L2365" s="65">
        <v>2359</v>
      </c>
      <c r="M2365" s="71">
        <f t="shared" ca="1" si="184"/>
        <v>0</v>
      </c>
      <c r="N2365" s="65"/>
    </row>
    <row r="2366" spans="1:14" x14ac:dyDescent="0.25">
      <c r="A2366" s="2">
        <v>2360</v>
      </c>
      <c r="B2366" s="11">
        <f t="shared" ca="1" si="186"/>
        <v>1</v>
      </c>
      <c r="C2366" s="26">
        <f t="shared" ca="1" si="185"/>
        <v>0.15487579756490144</v>
      </c>
      <c r="J2366">
        <f t="shared" ca="1" si="187"/>
        <v>0</v>
      </c>
      <c r="K2366">
        <f t="shared" ca="1" si="188"/>
        <v>0</v>
      </c>
      <c r="L2366" s="65">
        <v>2360</v>
      </c>
      <c r="M2366" s="71">
        <f t="shared" ca="1" si="184"/>
        <v>1.7574484752403687</v>
      </c>
      <c r="N2366" s="65"/>
    </row>
    <row r="2367" spans="1:14" x14ac:dyDescent="0.25">
      <c r="A2367" s="2">
        <v>2361</v>
      </c>
      <c r="B2367" s="11">
        <f t="shared" ca="1" si="186"/>
        <v>0</v>
      </c>
      <c r="C2367" s="26">
        <f t="shared" ca="1" si="185"/>
        <v>0.98740399296732406</v>
      </c>
      <c r="J2367">
        <f t="shared" ca="1" si="187"/>
        <v>0</v>
      </c>
      <c r="K2367">
        <f t="shared" ca="1" si="188"/>
        <v>0</v>
      </c>
      <c r="L2367" s="65">
        <v>2361</v>
      </c>
      <c r="M2367" s="71">
        <f t="shared" ca="1" si="184"/>
        <v>0</v>
      </c>
      <c r="N2367" s="65"/>
    </row>
    <row r="2368" spans="1:14" x14ac:dyDescent="0.25">
      <c r="A2368" s="2">
        <v>2362</v>
      </c>
      <c r="B2368" s="11">
        <f t="shared" ca="1" si="186"/>
        <v>1</v>
      </c>
      <c r="C2368" s="26">
        <f t="shared" ca="1" si="185"/>
        <v>7.4659503954461193E-2</v>
      </c>
      <c r="J2368">
        <f t="shared" ca="1" si="187"/>
        <v>1</v>
      </c>
      <c r="K2368">
        <f t="shared" ca="1" si="188"/>
        <v>0</v>
      </c>
      <c r="L2368" s="65">
        <v>2362</v>
      </c>
      <c r="M2368" s="71">
        <f t="shared" ca="1" si="184"/>
        <v>1.9166045867767627</v>
      </c>
      <c r="N2368" s="65"/>
    </row>
    <row r="2369" spans="1:14" x14ac:dyDescent="0.25">
      <c r="A2369" s="2">
        <v>2363</v>
      </c>
      <c r="B2369" s="11">
        <f t="shared" ca="1" si="186"/>
        <v>1</v>
      </c>
      <c r="C2369" s="26">
        <f t="shared" ca="1" si="185"/>
        <v>0.21232699109775854</v>
      </c>
      <c r="J2369">
        <f t="shared" ca="1" si="187"/>
        <v>1</v>
      </c>
      <c r="K2369">
        <f t="shared" ca="1" si="188"/>
        <v>0</v>
      </c>
      <c r="L2369" s="65">
        <v>2363</v>
      </c>
      <c r="M2369" s="71">
        <f t="shared" ca="1" si="184"/>
        <v>1.2552923673170309</v>
      </c>
      <c r="N2369" s="65"/>
    </row>
    <row r="2370" spans="1:14" x14ac:dyDescent="0.25">
      <c r="A2370" s="2">
        <v>2364</v>
      </c>
      <c r="B2370" s="11">
        <f t="shared" ca="1" si="186"/>
        <v>1</v>
      </c>
      <c r="C2370" s="26">
        <f t="shared" ca="1" si="185"/>
        <v>0.75249690532785363</v>
      </c>
      <c r="J2370">
        <f t="shared" ca="1" si="187"/>
        <v>1</v>
      </c>
      <c r="K2370">
        <f t="shared" ca="1" si="188"/>
        <v>0</v>
      </c>
      <c r="L2370" s="65">
        <v>2364</v>
      </c>
      <c r="M2370" s="71">
        <f t="shared" ca="1" si="184"/>
        <v>4.1533157289033049</v>
      </c>
      <c r="N2370" s="65"/>
    </row>
    <row r="2371" spans="1:14" x14ac:dyDescent="0.25">
      <c r="A2371" s="2">
        <v>2365</v>
      </c>
      <c r="B2371" s="11">
        <f t="shared" ca="1" si="186"/>
        <v>1</v>
      </c>
      <c r="C2371" s="26">
        <f t="shared" ca="1" si="185"/>
        <v>0.23989718523599324</v>
      </c>
      <c r="J2371">
        <f t="shared" ca="1" si="187"/>
        <v>0</v>
      </c>
      <c r="K2371">
        <f t="shared" ca="1" si="188"/>
        <v>0</v>
      </c>
      <c r="L2371" s="65">
        <v>2365</v>
      </c>
      <c r="M2371" s="71">
        <f t="shared" ca="1" si="184"/>
        <v>6.79724349673908</v>
      </c>
      <c r="N2371" s="65"/>
    </row>
    <row r="2372" spans="1:14" x14ac:dyDescent="0.25">
      <c r="A2372" s="2">
        <v>2366</v>
      </c>
      <c r="B2372" s="11">
        <f t="shared" ca="1" si="186"/>
        <v>0</v>
      </c>
      <c r="C2372" s="26">
        <f t="shared" ca="1" si="185"/>
        <v>0.81120322817851886</v>
      </c>
      <c r="J2372">
        <f t="shared" ca="1" si="187"/>
        <v>0</v>
      </c>
      <c r="K2372">
        <f t="shared" ca="1" si="188"/>
        <v>0</v>
      </c>
      <c r="L2372" s="65">
        <v>2366</v>
      </c>
      <c r="M2372" s="71">
        <f t="shared" ca="1" si="184"/>
        <v>0</v>
      </c>
      <c r="N2372" s="65"/>
    </row>
    <row r="2373" spans="1:14" x14ac:dyDescent="0.25">
      <c r="A2373" s="2">
        <v>2367</v>
      </c>
      <c r="B2373" s="11">
        <f t="shared" ca="1" si="186"/>
        <v>1</v>
      </c>
      <c r="C2373" s="26">
        <f t="shared" ca="1" si="185"/>
        <v>1.006072815439929E-2</v>
      </c>
      <c r="J2373">
        <f t="shared" ca="1" si="187"/>
        <v>1</v>
      </c>
      <c r="K2373">
        <f t="shared" ca="1" si="188"/>
        <v>0</v>
      </c>
      <c r="L2373" s="65">
        <v>2367</v>
      </c>
      <c r="M2373" s="71">
        <f t="shared" ca="1" si="184"/>
        <v>3.7813265728126768</v>
      </c>
      <c r="N2373" s="65"/>
    </row>
    <row r="2374" spans="1:14" x14ac:dyDescent="0.25">
      <c r="A2374" s="2">
        <v>2368</v>
      </c>
      <c r="B2374" s="11">
        <f t="shared" ca="1" si="186"/>
        <v>1</v>
      </c>
      <c r="C2374" s="26">
        <f t="shared" ca="1" si="185"/>
        <v>0.54446445309616276</v>
      </c>
      <c r="J2374">
        <f t="shared" ca="1" si="187"/>
        <v>1</v>
      </c>
      <c r="K2374">
        <f t="shared" ca="1" si="188"/>
        <v>0</v>
      </c>
      <c r="L2374" s="65">
        <v>2368</v>
      </c>
      <c r="M2374" s="71">
        <f t="shared" ca="1" si="184"/>
        <v>10.887586403118481</v>
      </c>
      <c r="N2374" s="65"/>
    </row>
    <row r="2375" spans="1:14" x14ac:dyDescent="0.25">
      <c r="A2375" s="2">
        <v>2369</v>
      </c>
      <c r="B2375" s="11">
        <f t="shared" ca="1" si="186"/>
        <v>1</v>
      </c>
      <c r="C2375" s="26">
        <f t="shared" ca="1" si="185"/>
        <v>0.52260652237744776</v>
      </c>
      <c r="J2375">
        <f t="shared" ca="1" si="187"/>
        <v>1</v>
      </c>
      <c r="K2375">
        <f t="shared" ca="1" si="188"/>
        <v>0</v>
      </c>
      <c r="L2375" s="65">
        <v>2369</v>
      </c>
      <c r="M2375" s="71">
        <f t="shared" ref="M2375:M2438" ca="1" si="189">IF(B2375&gt;0,-LN(1-(RAND()))/lambda,0)</f>
        <v>0.26679104083508626</v>
      </c>
      <c r="N2375" s="65"/>
    </row>
    <row r="2376" spans="1:14" x14ac:dyDescent="0.25">
      <c r="A2376" s="2">
        <v>2370</v>
      </c>
      <c r="B2376" s="11">
        <f t="shared" ca="1" si="186"/>
        <v>1</v>
      </c>
      <c r="C2376" s="26">
        <f t="shared" ref="C2376:C2439" ca="1" si="190">RAND()</f>
        <v>0.76735733654045879</v>
      </c>
      <c r="J2376">
        <f t="shared" ca="1" si="187"/>
        <v>1</v>
      </c>
      <c r="K2376">
        <f t="shared" ca="1" si="188"/>
        <v>0</v>
      </c>
      <c r="L2376" s="65">
        <v>2370</v>
      </c>
      <c r="M2376" s="71">
        <f t="shared" ca="1" si="189"/>
        <v>3.1565250156753604</v>
      </c>
      <c r="N2376" s="65"/>
    </row>
    <row r="2377" spans="1:14" x14ac:dyDescent="0.25">
      <c r="A2377" s="2">
        <v>2371</v>
      </c>
      <c r="B2377" s="11">
        <f t="shared" ca="1" si="186"/>
        <v>1</v>
      </c>
      <c r="C2377" s="26">
        <f t="shared" ca="1" si="190"/>
        <v>0.13598967696275577</v>
      </c>
      <c r="J2377">
        <f t="shared" ca="1" si="187"/>
        <v>1</v>
      </c>
      <c r="K2377">
        <f t="shared" ca="1" si="188"/>
        <v>0</v>
      </c>
      <c r="L2377" s="65">
        <v>2371</v>
      </c>
      <c r="M2377" s="71">
        <f t="shared" ca="1" si="189"/>
        <v>3.0350283600626353</v>
      </c>
      <c r="N2377" s="65"/>
    </row>
    <row r="2378" spans="1:14" x14ac:dyDescent="0.25">
      <c r="A2378" s="2">
        <v>2372</v>
      </c>
      <c r="B2378" s="11">
        <f t="shared" ca="1" si="186"/>
        <v>1</v>
      </c>
      <c r="C2378" s="26">
        <f t="shared" ca="1" si="190"/>
        <v>0.77455752557707214</v>
      </c>
      <c r="J2378">
        <f t="shared" ca="1" si="187"/>
        <v>0</v>
      </c>
      <c r="K2378">
        <f t="shared" ca="1" si="188"/>
        <v>0</v>
      </c>
      <c r="L2378" s="65">
        <v>2372</v>
      </c>
      <c r="M2378" s="71">
        <f t="shared" ca="1" si="189"/>
        <v>26.518602805708479</v>
      </c>
      <c r="N2378" s="65"/>
    </row>
    <row r="2379" spans="1:14" x14ac:dyDescent="0.25">
      <c r="A2379" s="2">
        <v>2373</v>
      </c>
      <c r="B2379" s="11">
        <f t="shared" ca="1" si="186"/>
        <v>0</v>
      </c>
      <c r="C2379" s="26">
        <f t="shared" ca="1" si="190"/>
        <v>0.93177961740202919</v>
      </c>
      <c r="J2379">
        <f t="shared" ca="1" si="187"/>
        <v>0</v>
      </c>
      <c r="K2379">
        <f t="shared" ca="1" si="188"/>
        <v>0</v>
      </c>
      <c r="L2379" s="65">
        <v>2373</v>
      </c>
      <c r="M2379" s="71">
        <f t="shared" ca="1" si="189"/>
        <v>0</v>
      </c>
      <c r="N2379" s="65"/>
    </row>
    <row r="2380" spans="1:14" x14ac:dyDescent="0.25">
      <c r="A2380" s="2">
        <v>2374</v>
      </c>
      <c r="B2380" s="11">
        <f t="shared" ca="1" si="186"/>
        <v>1</v>
      </c>
      <c r="C2380" s="26">
        <f t="shared" ca="1" si="190"/>
        <v>0.27917825114157679</v>
      </c>
      <c r="J2380">
        <f t="shared" ca="1" si="187"/>
        <v>1</v>
      </c>
      <c r="K2380">
        <f t="shared" ca="1" si="188"/>
        <v>0</v>
      </c>
      <c r="L2380" s="65">
        <v>2374</v>
      </c>
      <c r="M2380" s="71">
        <f t="shared" ca="1" si="189"/>
        <v>3.2698314590358124</v>
      </c>
      <c r="N2380" s="65"/>
    </row>
    <row r="2381" spans="1:14" x14ac:dyDescent="0.25">
      <c r="A2381" s="2">
        <v>2375</v>
      </c>
      <c r="B2381" s="11">
        <f t="shared" ca="1" si="186"/>
        <v>1</v>
      </c>
      <c r="C2381" s="26">
        <f t="shared" ca="1" si="190"/>
        <v>0.60833361144082176</v>
      </c>
      <c r="J2381">
        <f t="shared" ca="1" si="187"/>
        <v>1</v>
      </c>
      <c r="K2381">
        <f t="shared" ca="1" si="188"/>
        <v>0</v>
      </c>
      <c r="L2381" s="65">
        <v>2375</v>
      </c>
      <c r="M2381" s="71">
        <f t="shared" ca="1" si="189"/>
        <v>1.965643110755884</v>
      </c>
      <c r="N2381" s="65"/>
    </row>
    <row r="2382" spans="1:14" x14ac:dyDescent="0.25">
      <c r="A2382" s="2">
        <v>2376</v>
      </c>
      <c r="B2382" s="11">
        <f t="shared" ca="1" si="186"/>
        <v>1</v>
      </c>
      <c r="C2382" s="26">
        <f t="shared" ca="1" si="190"/>
        <v>0.1138886956995232</v>
      </c>
      <c r="J2382">
        <f t="shared" ca="1" si="187"/>
        <v>1</v>
      </c>
      <c r="K2382">
        <f t="shared" ca="1" si="188"/>
        <v>0</v>
      </c>
      <c r="L2382" s="65">
        <v>2376</v>
      </c>
      <c r="M2382" s="71">
        <f t="shared" ca="1" si="189"/>
        <v>5.734746085741218</v>
      </c>
      <c r="N2382" s="65"/>
    </row>
    <row r="2383" spans="1:14" x14ac:dyDescent="0.25">
      <c r="A2383" s="2">
        <v>2377</v>
      </c>
      <c r="B2383" s="11">
        <f t="shared" ca="1" si="186"/>
        <v>1</v>
      </c>
      <c r="C2383" s="26">
        <f t="shared" ca="1" si="190"/>
        <v>6.162551585940268E-2</v>
      </c>
      <c r="J2383">
        <f t="shared" ca="1" si="187"/>
        <v>0</v>
      </c>
      <c r="K2383">
        <f t="shared" ca="1" si="188"/>
        <v>0</v>
      </c>
      <c r="L2383" s="65">
        <v>2377</v>
      </c>
      <c r="M2383" s="71">
        <f t="shared" ca="1" si="189"/>
        <v>0.89315260935189156</v>
      </c>
      <c r="N2383" s="65"/>
    </row>
    <row r="2384" spans="1:14" x14ac:dyDescent="0.25">
      <c r="A2384" s="2">
        <v>2378</v>
      </c>
      <c r="B2384" s="11">
        <f t="shared" ca="1" si="186"/>
        <v>0</v>
      </c>
      <c r="C2384" s="26">
        <f t="shared" ca="1" si="190"/>
        <v>0.92187728733337759</v>
      </c>
      <c r="J2384">
        <f t="shared" ca="1" si="187"/>
        <v>0</v>
      </c>
      <c r="K2384">
        <f t="shared" ca="1" si="188"/>
        <v>1</v>
      </c>
      <c r="L2384" s="65">
        <v>2378</v>
      </c>
      <c r="M2384" s="71">
        <f t="shared" ca="1" si="189"/>
        <v>0</v>
      </c>
      <c r="N2384" s="65"/>
    </row>
    <row r="2385" spans="1:14" x14ac:dyDescent="0.25">
      <c r="A2385" s="2">
        <v>2379</v>
      </c>
      <c r="B2385" s="11">
        <f t="shared" ca="1" si="186"/>
        <v>0</v>
      </c>
      <c r="C2385" s="26">
        <f t="shared" ca="1" si="190"/>
        <v>0.87451377149112763</v>
      </c>
      <c r="J2385">
        <f t="shared" ca="1" si="187"/>
        <v>0</v>
      </c>
      <c r="K2385">
        <f t="shared" ca="1" si="188"/>
        <v>0</v>
      </c>
      <c r="L2385" s="65">
        <v>2379</v>
      </c>
      <c r="M2385" s="71">
        <f t="shared" ca="1" si="189"/>
        <v>0</v>
      </c>
      <c r="N2385" s="65"/>
    </row>
    <row r="2386" spans="1:14" x14ac:dyDescent="0.25">
      <c r="A2386" s="2">
        <v>2380</v>
      </c>
      <c r="B2386" s="11">
        <f t="shared" ca="1" si="186"/>
        <v>1</v>
      </c>
      <c r="C2386" s="26">
        <f t="shared" ca="1" si="190"/>
        <v>0.43029749324047928</v>
      </c>
      <c r="J2386">
        <f t="shared" ca="1" si="187"/>
        <v>1</v>
      </c>
      <c r="K2386">
        <f t="shared" ca="1" si="188"/>
        <v>0</v>
      </c>
      <c r="L2386" s="65">
        <v>2380</v>
      </c>
      <c r="M2386" s="71">
        <f t="shared" ca="1" si="189"/>
        <v>1.2319391606949113</v>
      </c>
      <c r="N2386" s="65"/>
    </row>
    <row r="2387" spans="1:14" x14ac:dyDescent="0.25">
      <c r="A2387" s="2">
        <v>2381</v>
      </c>
      <c r="B2387" s="11">
        <f t="shared" ca="1" si="186"/>
        <v>1</v>
      </c>
      <c r="C2387" s="26">
        <f t="shared" ca="1" si="190"/>
        <v>0.30824110951949668</v>
      </c>
      <c r="J2387">
        <f t="shared" ca="1" si="187"/>
        <v>1</v>
      </c>
      <c r="K2387">
        <f t="shared" ca="1" si="188"/>
        <v>0</v>
      </c>
      <c r="L2387" s="65">
        <v>2381</v>
      </c>
      <c r="M2387" s="71">
        <f t="shared" ca="1" si="189"/>
        <v>3.6935847448991499</v>
      </c>
      <c r="N2387" s="65"/>
    </row>
    <row r="2388" spans="1:14" x14ac:dyDescent="0.25">
      <c r="A2388" s="2">
        <v>2382</v>
      </c>
      <c r="B2388" s="11">
        <f t="shared" ca="1" si="186"/>
        <v>1</v>
      </c>
      <c r="C2388" s="26">
        <f t="shared" ca="1" si="190"/>
        <v>0.16332025600596889</v>
      </c>
      <c r="J2388">
        <f t="shared" ca="1" si="187"/>
        <v>1</v>
      </c>
      <c r="K2388">
        <f t="shared" ca="1" si="188"/>
        <v>0</v>
      </c>
      <c r="L2388" s="65">
        <v>2382</v>
      </c>
      <c r="M2388" s="71">
        <f t="shared" ca="1" si="189"/>
        <v>6.3410648461344366</v>
      </c>
      <c r="N2388" s="65"/>
    </row>
    <row r="2389" spans="1:14" x14ac:dyDescent="0.25">
      <c r="A2389" s="2">
        <v>2383</v>
      </c>
      <c r="B2389" s="11">
        <f t="shared" ca="1" si="186"/>
        <v>1</v>
      </c>
      <c r="C2389" s="26">
        <f t="shared" ca="1" si="190"/>
        <v>0.18064520503486503</v>
      </c>
      <c r="J2389">
        <f t="shared" ca="1" si="187"/>
        <v>1</v>
      </c>
      <c r="K2389">
        <f t="shared" ca="1" si="188"/>
        <v>0</v>
      </c>
      <c r="L2389" s="65">
        <v>2383</v>
      </c>
      <c r="M2389" s="71">
        <f t="shared" ca="1" si="189"/>
        <v>2.0302150353916288</v>
      </c>
      <c r="N2389" s="65"/>
    </row>
    <row r="2390" spans="1:14" x14ac:dyDescent="0.25">
      <c r="A2390" s="2">
        <v>2384</v>
      </c>
      <c r="B2390" s="11">
        <f t="shared" ca="1" si="186"/>
        <v>1</v>
      </c>
      <c r="C2390" s="26">
        <f t="shared" ca="1" si="190"/>
        <v>0.63508100340215823</v>
      </c>
      <c r="J2390">
        <f t="shared" ca="1" si="187"/>
        <v>1</v>
      </c>
      <c r="K2390">
        <f t="shared" ca="1" si="188"/>
        <v>0</v>
      </c>
      <c r="L2390" s="65">
        <v>2384</v>
      </c>
      <c r="M2390" s="71">
        <f t="shared" ca="1" si="189"/>
        <v>3.2752209165589941</v>
      </c>
      <c r="N2390" s="65"/>
    </row>
    <row r="2391" spans="1:14" x14ac:dyDescent="0.25">
      <c r="A2391" s="2">
        <v>2385</v>
      </c>
      <c r="B2391" s="11">
        <f t="shared" ca="1" si="186"/>
        <v>1</v>
      </c>
      <c r="C2391" s="26">
        <f t="shared" ca="1" si="190"/>
        <v>0.63404266285843602</v>
      </c>
      <c r="J2391">
        <f t="shared" ca="1" si="187"/>
        <v>1</v>
      </c>
      <c r="K2391">
        <f t="shared" ca="1" si="188"/>
        <v>0</v>
      </c>
      <c r="L2391" s="65">
        <v>2385</v>
      </c>
      <c r="M2391" s="71">
        <f t="shared" ca="1" si="189"/>
        <v>2.7384380745918313</v>
      </c>
      <c r="N2391" s="65"/>
    </row>
    <row r="2392" spans="1:14" x14ac:dyDescent="0.25">
      <c r="A2392" s="2">
        <v>2386</v>
      </c>
      <c r="B2392" s="11">
        <f t="shared" ca="1" si="186"/>
        <v>1</v>
      </c>
      <c r="C2392" s="26">
        <f t="shared" ca="1" si="190"/>
        <v>0.7925538717773124</v>
      </c>
      <c r="J2392">
        <f t="shared" ca="1" si="187"/>
        <v>1</v>
      </c>
      <c r="K2392">
        <f t="shared" ca="1" si="188"/>
        <v>0</v>
      </c>
      <c r="L2392" s="65">
        <v>2386</v>
      </c>
      <c r="M2392" s="71">
        <f t="shared" ca="1" si="189"/>
        <v>10.347279974771329</v>
      </c>
      <c r="N2392" s="65"/>
    </row>
    <row r="2393" spans="1:14" x14ac:dyDescent="0.25">
      <c r="A2393" s="2">
        <v>2387</v>
      </c>
      <c r="B2393" s="11">
        <f t="shared" ca="1" si="186"/>
        <v>1</v>
      </c>
      <c r="C2393" s="26">
        <f t="shared" ca="1" si="190"/>
        <v>0.25927492995452794</v>
      </c>
      <c r="J2393">
        <f t="shared" ca="1" si="187"/>
        <v>1</v>
      </c>
      <c r="K2393">
        <f t="shared" ca="1" si="188"/>
        <v>0</v>
      </c>
      <c r="L2393" s="65">
        <v>2387</v>
      </c>
      <c r="M2393" s="71">
        <f t="shared" ca="1" si="189"/>
        <v>5.1523096955520531</v>
      </c>
      <c r="N2393" s="65"/>
    </row>
    <row r="2394" spans="1:14" x14ac:dyDescent="0.25">
      <c r="A2394" s="2">
        <v>2388</v>
      </c>
      <c r="B2394" s="11">
        <f t="shared" ca="1" si="186"/>
        <v>1</v>
      </c>
      <c r="C2394" s="26">
        <f t="shared" ca="1" si="190"/>
        <v>0.64098932331845659</v>
      </c>
      <c r="J2394">
        <f t="shared" ca="1" si="187"/>
        <v>1</v>
      </c>
      <c r="K2394">
        <f t="shared" ca="1" si="188"/>
        <v>0</v>
      </c>
      <c r="L2394" s="65">
        <v>2388</v>
      </c>
      <c r="M2394" s="71">
        <f t="shared" ca="1" si="189"/>
        <v>10.191501517125555</v>
      </c>
      <c r="N2394" s="65"/>
    </row>
    <row r="2395" spans="1:14" x14ac:dyDescent="0.25">
      <c r="A2395" s="2">
        <v>2389</v>
      </c>
      <c r="B2395" s="11">
        <f t="shared" ca="1" si="186"/>
        <v>1</v>
      </c>
      <c r="C2395" s="26">
        <f t="shared" ca="1" si="190"/>
        <v>0.4502815276820461</v>
      </c>
      <c r="J2395">
        <f t="shared" ca="1" si="187"/>
        <v>0</v>
      </c>
      <c r="K2395">
        <f t="shared" ca="1" si="188"/>
        <v>0</v>
      </c>
      <c r="L2395" s="65">
        <v>2389</v>
      </c>
      <c r="M2395" s="71">
        <f t="shared" ca="1" si="189"/>
        <v>5.8824419680668365</v>
      </c>
      <c r="N2395" s="65"/>
    </row>
    <row r="2396" spans="1:14" x14ac:dyDescent="0.25">
      <c r="A2396" s="2">
        <v>2390</v>
      </c>
      <c r="B2396" s="11">
        <f t="shared" ca="1" si="186"/>
        <v>0</v>
      </c>
      <c r="C2396" s="26">
        <f t="shared" ca="1" si="190"/>
        <v>0.92789123884164348</v>
      </c>
      <c r="J2396">
        <f t="shared" ca="1" si="187"/>
        <v>0</v>
      </c>
      <c r="K2396">
        <f t="shared" ca="1" si="188"/>
        <v>0</v>
      </c>
      <c r="L2396" s="65">
        <v>2390</v>
      </c>
      <c r="M2396" s="71">
        <f t="shared" ca="1" si="189"/>
        <v>0</v>
      </c>
      <c r="N2396" s="65"/>
    </row>
    <row r="2397" spans="1:14" x14ac:dyDescent="0.25">
      <c r="A2397" s="2">
        <v>2391</v>
      </c>
      <c r="B2397" s="11">
        <f t="shared" ca="1" si="186"/>
        <v>1</v>
      </c>
      <c r="C2397" s="26">
        <f t="shared" ca="1" si="190"/>
        <v>0.68636596781930648</v>
      </c>
      <c r="J2397">
        <f t="shared" ca="1" si="187"/>
        <v>1</v>
      </c>
      <c r="K2397">
        <f t="shared" ca="1" si="188"/>
        <v>0</v>
      </c>
      <c r="L2397" s="65">
        <v>2391</v>
      </c>
      <c r="M2397" s="71">
        <f t="shared" ca="1" si="189"/>
        <v>0.5822983096689377</v>
      </c>
      <c r="N2397" s="65"/>
    </row>
    <row r="2398" spans="1:14" x14ac:dyDescent="0.25">
      <c r="A2398" s="2">
        <v>2392</v>
      </c>
      <c r="B2398" s="11">
        <f t="shared" ca="1" si="186"/>
        <v>1</v>
      </c>
      <c r="C2398" s="26">
        <f t="shared" ca="1" si="190"/>
        <v>0.56719397830480456</v>
      </c>
      <c r="J2398">
        <f t="shared" ca="1" si="187"/>
        <v>1</v>
      </c>
      <c r="K2398">
        <f t="shared" ca="1" si="188"/>
        <v>0</v>
      </c>
      <c r="L2398" s="65">
        <v>2392</v>
      </c>
      <c r="M2398" s="71">
        <f t="shared" ca="1" si="189"/>
        <v>5.201198609026342</v>
      </c>
      <c r="N2398" s="65"/>
    </row>
    <row r="2399" spans="1:14" x14ac:dyDescent="0.25">
      <c r="A2399" s="2">
        <v>2393</v>
      </c>
      <c r="B2399" s="11">
        <f t="shared" ca="1" si="186"/>
        <v>1</v>
      </c>
      <c r="C2399" s="26">
        <f t="shared" ca="1" si="190"/>
        <v>1.4799472730570029E-2</v>
      </c>
      <c r="J2399">
        <f t="shared" ca="1" si="187"/>
        <v>1</v>
      </c>
      <c r="K2399">
        <f t="shared" ca="1" si="188"/>
        <v>0</v>
      </c>
      <c r="L2399" s="65">
        <v>2393</v>
      </c>
      <c r="M2399" s="71">
        <f t="shared" ca="1" si="189"/>
        <v>3.5431221664107579</v>
      </c>
      <c r="N2399" s="65"/>
    </row>
    <row r="2400" spans="1:14" x14ac:dyDescent="0.25">
      <c r="A2400" s="2">
        <v>2394</v>
      </c>
      <c r="B2400" s="11">
        <f t="shared" ca="1" si="186"/>
        <v>1</v>
      </c>
      <c r="C2400" s="26">
        <f t="shared" ca="1" si="190"/>
        <v>9.8022344149280682E-2</v>
      </c>
      <c r="J2400">
        <f t="shared" ca="1" si="187"/>
        <v>1</v>
      </c>
      <c r="K2400">
        <f t="shared" ca="1" si="188"/>
        <v>0</v>
      </c>
      <c r="L2400" s="65">
        <v>2394</v>
      </c>
      <c r="M2400" s="71">
        <f t="shared" ca="1" si="189"/>
        <v>1.8479170802072631</v>
      </c>
      <c r="N2400" s="65"/>
    </row>
    <row r="2401" spans="1:14" x14ac:dyDescent="0.25">
      <c r="A2401" s="2">
        <v>2395</v>
      </c>
      <c r="B2401" s="11">
        <f t="shared" ca="1" si="186"/>
        <v>1</v>
      </c>
      <c r="C2401" s="26">
        <f t="shared" ca="1" si="190"/>
        <v>0.43152560886071278</v>
      </c>
      <c r="J2401">
        <f t="shared" ca="1" si="187"/>
        <v>1</v>
      </c>
      <c r="K2401">
        <f t="shared" ca="1" si="188"/>
        <v>0</v>
      </c>
      <c r="L2401" s="65">
        <v>2395</v>
      </c>
      <c r="M2401" s="71">
        <f t="shared" ca="1" si="189"/>
        <v>8.1523755981845607</v>
      </c>
      <c r="N2401" s="65"/>
    </row>
    <row r="2402" spans="1:14" x14ac:dyDescent="0.25">
      <c r="A2402" s="2">
        <v>2396</v>
      </c>
      <c r="B2402" s="11">
        <f t="shared" ca="1" si="186"/>
        <v>1</v>
      </c>
      <c r="C2402" s="26">
        <f t="shared" ca="1" si="190"/>
        <v>0.58668895899968798</v>
      </c>
      <c r="J2402">
        <f t="shared" ca="1" si="187"/>
        <v>1</v>
      </c>
      <c r="K2402">
        <f t="shared" ca="1" si="188"/>
        <v>0</v>
      </c>
      <c r="L2402" s="65">
        <v>2396</v>
      </c>
      <c r="M2402" s="71">
        <f t="shared" ca="1" si="189"/>
        <v>7.866584795690458</v>
      </c>
      <c r="N2402" s="65"/>
    </row>
    <row r="2403" spans="1:14" x14ac:dyDescent="0.25">
      <c r="A2403" s="2">
        <v>2397</v>
      </c>
      <c r="B2403" s="11">
        <f t="shared" ca="1" si="186"/>
        <v>1</v>
      </c>
      <c r="C2403" s="26">
        <f t="shared" ca="1" si="190"/>
        <v>0.66807747477504997</v>
      </c>
      <c r="J2403">
        <f t="shared" ca="1" si="187"/>
        <v>1</v>
      </c>
      <c r="K2403">
        <f t="shared" ca="1" si="188"/>
        <v>0</v>
      </c>
      <c r="L2403" s="65">
        <v>2397</v>
      </c>
      <c r="M2403" s="71">
        <f t="shared" ca="1" si="189"/>
        <v>21.609616607544698</v>
      </c>
      <c r="N2403" s="65"/>
    </row>
    <row r="2404" spans="1:14" x14ac:dyDescent="0.25">
      <c r="A2404" s="2">
        <v>2398</v>
      </c>
      <c r="B2404" s="11">
        <f t="shared" ca="1" si="186"/>
        <v>1</v>
      </c>
      <c r="C2404" s="26">
        <f t="shared" ca="1" si="190"/>
        <v>0.15673421626241812</v>
      </c>
      <c r="J2404">
        <f t="shared" ca="1" si="187"/>
        <v>1</v>
      </c>
      <c r="K2404">
        <f t="shared" ca="1" si="188"/>
        <v>0</v>
      </c>
      <c r="L2404" s="65">
        <v>2398</v>
      </c>
      <c r="M2404" s="71">
        <f t="shared" ca="1" si="189"/>
        <v>1.8706958080047229</v>
      </c>
      <c r="N2404" s="65"/>
    </row>
    <row r="2405" spans="1:14" x14ac:dyDescent="0.25">
      <c r="A2405" s="2">
        <v>2399</v>
      </c>
      <c r="B2405" s="11">
        <f t="shared" ca="1" si="186"/>
        <v>1</v>
      </c>
      <c r="C2405" s="26">
        <f t="shared" ca="1" si="190"/>
        <v>0.14686672998559347</v>
      </c>
      <c r="J2405">
        <f t="shared" ca="1" si="187"/>
        <v>0</v>
      </c>
      <c r="K2405">
        <f t="shared" ca="1" si="188"/>
        <v>0</v>
      </c>
      <c r="L2405" s="65">
        <v>2399</v>
      </c>
      <c r="M2405" s="71">
        <f t="shared" ca="1" si="189"/>
        <v>0.27721442261994611</v>
      </c>
      <c r="N2405" s="65"/>
    </row>
    <row r="2406" spans="1:14" x14ac:dyDescent="0.25">
      <c r="A2406" s="2">
        <v>2400</v>
      </c>
      <c r="B2406" s="11">
        <f t="shared" ca="1" si="186"/>
        <v>0</v>
      </c>
      <c r="C2406" s="26">
        <f t="shared" ca="1" si="190"/>
        <v>0.85322151073249608</v>
      </c>
      <c r="J2406">
        <f t="shared" ca="1" si="187"/>
        <v>0</v>
      </c>
      <c r="K2406">
        <f t="shared" ca="1" si="188"/>
        <v>0</v>
      </c>
      <c r="L2406" s="65">
        <v>2400</v>
      </c>
      <c r="M2406" s="71">
        <f t="shared" ca="1" si="189"/>
        <v>0</v>
      </c>
      <c r="N2406" s="65"/>
    </row>
    <row r="2407" spans="1:14" x14ac:dyDescent="0.25">
      <c r="A2407" s="2">
        <v>2401</v>
      </c>
      <c r="B2407" s="11">
        <f t="shared" ca="1" si="186"/>
        <v>1</v>
      </c>
      <c r="C2407" s="26">
        <f t="shared" ca="1" si="190"/>
        <v>0.50649632189536475</v>
      </c>
      <c r="J2407">
        <f t="shared" ca="1" si="187"/>
        <v>1</v>
      </c>
      <c r="K2407">
        <f t="shared" ca="1" si="188"/>
        <v>0</v>
      </c>
      <c r="L2407" s="65">
        <v>2401</v>
      </c>
      <c r="M2407" s="71">
        <f t="shared" ca="1" si="189"/>
        <v>4.9420391659720107</v>
      </c>
      <c r="N2407" s="65"/>
    </row>
    <row r="2408" spans="1:14" x14ac:dyDescent="0.25">
      <c r="A2408" s="2">
        <v>2402</v>
      </c>
      <c r="B2408" s="11">
        <f t="shared" ca="1" si="186"/>
        <v>1</v>
      </c>
      <c r="C2408" s="26">
        <f t="shared" ca="1" si="190"/>
        <v>0.378624047718227</v>
      </c>
      <c r="J2408">
        <f t="shared" ca="1" si="187"/>
        <v>1</v>
      </c>
      <c r="K2408">
        <f t="shared" ca="1" si="188"/>
        <v>0</v>
      </c>
      <c r="L2408" s="65">
        <v>2402</v>
      </c>
      <c r="M2408" s="71">
        <f t="shared" ca="1" si="189"/>
        <v>0.73751197966120363</v>
      </c>
      <c r="N2408" s="65"/>
    </row>
    <row r="2409" spans="1:14" x14ac:dyDescent="0.25">
      <c r="A2409" s="2">
        <v>2403</v>
      </c>
      <c r="B2409" s="11">
        <f t="shared" ca="1" si="186"/>
        <v>1</v>
      </c>
      <c r="C2409" s="26">
        <f t="shared" ca="1" si="190"/>
        <v>0.49239870997511792</v>
      </c>
      <c r="J2409">
        <f t="shared" ca="1" si="187"/>
        <v>1</v>
      </c>
      <c r="K2409">
        <f t="shared" ca="1" si="188"/>
        <v>0</v>
      </c>
      <c r="L2409" s="65">
        <v>2403</v>
      </c>
      <c r="M2409" s="71">
        <f t="shared" ca="1" si="189"/>
        <v>0.98125215149629696</v>
      </c>
      <c r="N2409" s="65"/>
    </row>
    <row r="2410" spans="1:14" x14ac:dyDescent="0.25">
      <c r="A2410" s="2">
        <v>2404</v>
      </c>
      <c r="B2410" s="11">
        <f t="shared" ca="1" si="186"/>
        <v>1</v>
      </c>
      <c r="C2410" s="26">
        <f t="shared" ca="1" si="190"/>
        <v>0.18279323079493248</v>
      </c>
      <c r="J2410">
        <f t="shared" ca="1" si="187"/>
        <v>0</v>
      </c>
      <c r="K2410">
        <f t="shared" ca="1" si="188"/>
        <v>0</v>
      </c>
      <c r="L2410" s="65">
        <v>2404</v>
      </c>
      <c r="M2410" s="71">
        <f t="shared" ca="1" si="189"/>
        <v>6.1852851076516578E-2</v>
      </c>
      <c r="N2410" s="65"/>
    </row>
    <row r="2411" spans="1:14" x14ac:dyDescent="0.25">
      <c r="A2411" s="2">
        <v>2405</v>
      </c>
      <c r="B2411" s="11">
        <f t="shared" ca="1" si="186"/>
        <v>0</v>
      </c>
      <c r="C2411" s="26">
        <f t="shared" ca="1" si="190"/>
        <v>0.85133298713958205</v>
      </c>
      <c r="J2411">
        <f t="shared" ca="1" si="187"/>
        <v>0</v>
      </c>
      <c r="K2411">
        <f t="shared" ca="1" si="188"/>
        <v>1</v>
      </c>
      <c r="L2411" s="65">
        <v>2405</v>
      </c>
      <c r="M2411" s="71">
        <f t="shared" ca="1" si="189"/>
        <v>0</v>
      </c>
      <c r="N2411" s="65"/>
    </row>
    <row r="2412" spans="1:14" x14ac:dyDescent="0.25">
      <c r="A2412" s="2">
        <v>2406</v>
      </c>
      <c r="B2412" s="11">
        <f t="shared" ca="1" si="186"/>
        <v>0</v>
      </c>
      <c r="C2412" s="26">
        <f t="shared" ca="1" si="190"/>
        <v>0.91436772821508017</v>
      </c>
      <c r="J2412">
        <f t="shared" ca="1" si="187"/>
        <v>0</v>
      </c>
      <c r="K2412">
        <f t="shared" ca="1" si="188"/>
        <v>0</v>
      </c>
      <c r="L2412" s="65">
        <v>2406</v>
      </c>
      <c r="M2412" s="71">
        <f t="shared" ca="1" si="189"/>
        <v>0</v>
      </c>
      <c r="N2412" s="65"/>
    </row>
    <row r="2413" spans="1:14" x14ac:dyDescent="0.25">
      <c r="A2413" s="2">
        <v>2407</v>
      </c>
      <c r="B2413" s="11">
        <f t="shared" ca="1" si="186"/>
        <v>1</v>
      </c>
      <c r="C2413" s="26">
        <f t="shared" ca="1" si="190"/>
        <v>0.13723208626124439</v>
      </c>
      <c r="J2413">
        <f t="shared" ca="1" si="187"/>
        <v>1</v>
      </c>
      <c r="K2413">
        <f t="shared" ca="1" si="188"/>
        <v>0</v>
      </c>
      <c r="L2413" s="65">
        <v>2407</v>
      </c>
      <c r="M2413" s="71">
        <f t="shared" ca="1" si="189"/>
        <v>3.291804812725089</v>
      </c>
      <c r="N2413" s="65"/>
    </row>
    <row r="2414" spans="1:14" x14ac:dyDescent="0.25">
      <c r="A2414" s="2">
        <v>2408</v>
      </c>
      <c r="B2414" s="11">
        <f t="shared" ca="1" si="186"/>
        <v>1</v>
      </c>
      <c r="C2414" s="26">
        <f t="shared" ca="1" si="190"/>
        <v>0.26119530889324916</v>
      </c>
      <c r="J2414">
        <f t="shared" ca="1" si="187"/>
        <v>1</v>
      </c>
      <c r="K2414">
        <f t="shared" ca="1" si="188"/>
        <v>0</v>
      </c>
      <c r="L2414" s="65">
        <v>2408</v>
      </c>
      <c r="M2414" s="71">
        <f t="shared" ca="1" si="189"/>
        <v>10.877010271792507</v>
      </c>
      <c r="N2414" s="65"/>
    </row>
    <row r="2415" spans="1:14" x14ac:dyDescent="0.25">
      <c r="A2415" s="2">
        <v>2409</v>
      </c>
      <c r="B2415" s="11">
        <f t="shared" ref="B2415:B2478" ca="1" si="191">IF(B2414&gt;0,IF(C2415&lt;pww,1,0),IF(C2415&lt;pdw,1,0))</f>
        <v>1</v>
      </c>
      <c r="C2415" s="26">
        <f t="shared" ca="1" si="190"/>
        <v>0.6229555158211213</v>
      </c>
      <c r="J2415">
        <f t="shared" ref="J2415:J2478" ca="1" si="192">IF(AND(B2415,B2416),1,0)</f>
        <v>1</v>
      </c>
      <c r="K2415">
        <f t="shared" ref="K2415:K2478" ca="1" si="193">IF(AND(NOT(B2415),NOT(B2416)),1,0)</f>
        <v>0</v>
      </c>
      <c r="L2415" s="65">
        <v>2409</v>
      </c>
      <c r="M2415" s="71">
        <f t="shared" ca="1" si="189"/>
        <v>9.4495126697002458</v>
      </c>
      <c r="N2415" s="65"/>
    </row>
    <row r="2416" spans="1:14" x14ac:dyDescent="0.25">
      <c r="A2416" s="2">
        <v>2410</v>
      </c>
      <c r="B2416" s="11">
        <f t="shared" ca="1" si="191"/>
        <v>1</v>
      </c>
      <c r="C2416" s="26">
        <f t="shared" ca="1" si="190"/>
        <v>0.22549718914402828</v>
      </c>
      <c r="J2416">
        <f t="shared" ca="1" si="192"/>
        <v>0</v>
      </c>
      <c r="K2416">
        <f t="shared" ca="1" si="193"/>
        <v>0</v>
      </c>
      <c r="L2416" s="65">
        <v>2410</v>
      </c>
      <c r="M2416" s="71">
        <f t="shared" ca="1" si="189"/>
        <v>10.829984973690156</v>
      </c>
      <c r="N2416" s="65"/>
    </row>
    <row r="2417" spans="1:14" x14ac:dyDescent="0.25">
      <c r="A2417" s="2">
        <v>2411</v>
      </c>
      <c r="B2417" s="11">
        <f t="shared" ca="1" si="191"/>
        <v>0</v>
      </c>
      <c r="C2417" s="26">
        <f t="shared" ca="1" si="190"/>
        <v>0.91137090493167627</v>
      </c>
      <c r="J2417">
        <f t="shared" ca="1" si="192"/>
        <v>0</v>
      </c>
      <c r="K2417">
        <f t="shared" ca="1" si="193"/>
        <v>0</v>
      </c>
      <c r="L2417" s="65">
        <v>2411</v>
      </c>
      <c r="M2417" s="71">
        <f t="shared" ca="1" si="189"/>
        <v>0</v>
      </c>
      <c r="N2417" s="65"/>
    </row>
    <row r="2418" spans="1:14" x14ac:dyDescent="0.25">
      <c r="A2418" s="2">
        <v>2412</v>
      </c>
      <c r="B2418" s="11">
        <f t="shared" ca="1" si="191"/>
        <v>1</v>
      </c>
      <c r="C2418" s="26">
        <f t="shared" ca="1" si="190"/>
        <v>8.2421090177646428E-2</v>
      </c>
      <c r="J2418">
        <f t="shared" ca="1" si="192"/>
        <v>1</v>
      </c>
      <c r="K2418">
        <f t="shared" ca="1" si="193"/>
        <v>0</v>
      </c>
      <c r="L2418" s="65">
        <v>2412</v>
      </c>
      <c r="M2418" s="71">
        <f t="shared" ca="1" si="189"/>
        <v>0.36537467574828109</v>
      </c>
      <c r="N2418" s="65"/>
    </row>
    <row r="2419" spans="1:14" x14ac:dyDescent="0.25">
      <c r="A2419" s="2">
        <v>2413</v>
      </c>
      <c r="B2419" s="11">
        <f t="shared" ca="1" si="191"/>
        <v>1</v>
      </c>
      <c r="C2419" s="26">
        <f t="shared" ca="1" si="190"/>
        <v>0.18559011931032343</v>
      </c>
      <c r="J2419">
        <f t="shared" ca="1" si="192"/>
        <v>1</v>
      </c>
      <c r="K2419">
        <f t="shared" ca="1" si="193"/>
        <v>0</v>
      </c>
      <c r="L2419" s="65">
        <v>2413</v>
      </c>
      <c r="M2419" s="71">
        <f t="shared" ca="1" si="189"/>
        <v>2.9452174551511381</v>
      </c>
      <c r="N2419" s="65"/>
    </row>
    <row r="2420" spans="1:14" x14ac:dyDescent="0.25">
      <c r="A2420" s="2">
        <v>2414</v>
      </c>
      <c r="B2420" s="11">
        <f t="shared" ca="1" si="191"/>
        <v>1</v>
      </c>
      <c r="C2420" s="26">
        <f t="shared" ca="1" si="190"/>
        <v>0.46212311857924082</v>
      </c>
      <c r="J2420">
        <f t="shared" ca="1" si="192"/>
        <v>0</v>
      </c>
      <c r="K2420">
        <f t="shared" ca="1" si="193"/>
        <v>0</v>
      </c>
      <c r="L2420" s="65">
        <v>2414</v>
      </c>
      <c r="M2420" s="71">
        <f t="shared" ca="1" si="189"/>
        <v>0.12610160897101289</v>
      </c>
      <c r="N2420" s="65"/>
    </row>
    <row r="2421" spans="1:14" x14ac:dyDescent="0.25">
      <c r="A2421" s="2">
        <v>2415</v>
      </c>
      <c r="B2421" s="11">
        <f t="shared" ca="1" si="191"/>
        <v>0</v>
      </c>
      <c r="C2421" s="26">
        <f t="shared" ca="1" si="190"/>
        <v>0.97112272406737998</v>
      </c>
      <c r="J2421">
        <f t="shared" ca="1" si="192"/>
        <v>0</v>
      </c>
      <c r="K2421">
        <f t="shared" ca="1" si="193"/>
        <v>0</v>
      </c>
      <c r="L2421" s="65">
        <v>2415</v>
      </c>
      <c r="M2421" s="71">
        <f t="shared" ca="1" si="189"/>
        <v>0</v>
      </c>
      <c r="N2421" s="65"/>
    </row>
    <row r="2422" spans="1:14" x14ac:dyDescent="0.25">
      <c r="A2422" s="2">
        <v>2416</v>
      </c>
      <c r="B2422" s="11">
        <f t="shared" ca="1" si="191"/>
        <v>1</v>
      </c>
      <c r="C2422" s="26">
        <f t="shared" ca="1" si="190"/>
        <v>0.28560223062029366</v>
      </c>
      <c r="J2422">
        <f t="shared" ca="1" si="192"/>
        <v>0</v>
      </c>
      <c r="K2422">
        <f t="shared" ca="1" si="193"/>
        <v>0</v>
      </c>
      <c r="L2422" s="65">
        <v>2416</v>
      </c>
      <c r="M2422" s="71">
        <f t="shared" ca="1" si="189"/>
        <v>1.9216475563582851</v>
      </c>
      <c r="N2422" s="65"/>
    </row>
    <row r="2423" spans="1:14" x14ac:dyDescent="0.25">
      <c r="A2423" s="2">
        <v>2417</v>
      </c>
      <c r="B2423" s="11">
        <f t="shared" ca="1" si="191"/>
        <v>0</v>
      </c>
      <c r="C2423" s="26">
        <f t="shared" ca="1" si="190"/>
        <v>0.86098745784030373</v>
      </c>
      <c r="J2423">
        <f t="shared" ca="1" si="192"/>
        <v>0</v>
      </c>
      <c r="K2423">
        <f t="shared" ca="1" si="193"/>
        <v>0</v>
      </c>
      <c r="L2423" s="65">
        <v>2417</v>
      </c>
      <c r="M2423" s="71">
        <f t="shared" ca="1" si="189"/>
        <v>0</v>
      </c>
      <c r="N2423" s="65"/>
    </row>
    <row r="2424" spans="1:14" x14ac:dyDescent="0.25">
      <c r="A2424" s="2">
        <v>2418</v>
      </c>
      <c r="B2424" s="11">
        <f t="shared" ca="1" si="191"/>
        <v>1</v>
      </c>
      <c r="C2424" s="26">
        <f t="shared" ca="1" si="190"/>
        <v>0.61237845929417822</v>
      </c>
      <c r="J2424">
        <f t="shared" ca="1" si="192"/>
        <v>0</v>
      </c>
      <c r="K2424">
        <f t="shared" ca="1" si="193"/>
        <v>0</v>
      </c>
      <c r="L2424" s="65">
        <v>2418</v>
      </c>
      <c r="M2424" s="71">
        <f t="shared" ca="1" si="189"/>
        <v>0.84689134739352523</v>
      </c>
      <c r="N2424" s="65"/>
    </row>
    <row r="2425" spans="1:14" x14ac:dyDescent="0.25">
      <c r="A2425" s="2">
        <v>2419</v>
      </c>
      <c r="B2425" s="11">
        <f t="shared" ca="1" si="191"/>
        <v>0</v>
      </c>
      <c r="C2425" s="26">
        <f t="shared" ca="1" si="190"/>
        <v>0.95456771020163356</v>
      </c>
      <c r="J2425">
        <f t="shared" ca="1" si="192"/>
        <v>0</v>
      </c>
      <c r="K2425">
        <f t="shared" ca="1" si="193"/>
        <v>1</v>
      </c>
      <c r="L2425" s="65">
        <v>2419</v>
      </c>
      <c r="M2425" s="71">
        <f t="shared" ca="1" si="189"/>
        <v>0</v>
      </c>
      <c r="N2425" s="65"/>
    </row>
    <row r="2426" spans="1:14" x14ac:dyDescent="0.25">
      <c r="A2426" s="2">
        <v>2420</v>
      </c>
      <c r="B2426" s="11">
        <f t="shared" ca="1" si="191"/>
        <v>0</v>
      </c>
      <c r="C2426" s="26">
        <f t="shared" ca="1" si="190"/>
        <v>0.93722434466873505</v>
      </c>
      <c r="J2426">
        <f t="shared" ca="1" si="192"/>
        <v>0</v>
      </c>
      <c r="K2426">
        <f t="shared" ca="1" si="193"/>
        <v>0</v>
      </c>
      <c r="L2426" s="65">
        <v>2420</v>
      </c>
      <c r="M2426" s="71">
        <f t="shared" ca="1" si="189"/>
        <v>0</v>
      </c>
      <c r="N2426" s="65"/>
    </row>
    <row r="2427" spans="1:14" x14ac:dyDescent="0.25">
      <c r="A2427" s="2">
        <v>2421</v>
      </c>
      <c r="B2427" s="11">
        <f t="shared" ca="1" si="191"/>
        <v>1</v>
      </c>
      <c r="C2427" s="26">
        <f t="shared" ca="1" si="190"/>
        <v>0.28450548311100499</v>
      </c>
      <c r="J2427">
        <f t="shared" ca="1" si="192"/>
        <v>0</v>
      </c>
      <c r="K2427">
        <f t="shared" ca="1" si="193"/>
        <v>0</v>
      </c>
      <c r="L2427" s="65">
        <v>2421</v>
      </c>
      <c r="M2427" s="71">
        <f t="shared" ca="1" si="189"/>
        <v>12.327185143413278</v>
      </c>
      <c r="N2427" s="65"/>
    </row>
    <row r="2428" spans="1:14" x14ac:dyDescent="0.25">
      <c r="A2428" s="2">
        <v>2422</v>
      </c>
      <c r="B2428" s="11">
        <f t="shared" ca="1" si="191"/>
        <v>0</v>
      </c>
      <c r="C2428" s="26">
        <f t="shared" ca="1" si="190"/>
        <v>0.82886463488631357</v>
      </c>
      <c r="J2428">
        <f t="shared" ca="1" si="192"/>
        <v>0</v>
      </c>
      <c r="K2428">
        <f t="shared" ca="1" si="193"/>
        <v>0</v>
      </c>
      <c r="L2428" s="65">
        <v>2422</v>
      </c>
      <c r="M2428" s="71">
        <f t="shared" ca="1" si="189"/>
        <v>0</v>
      </c>
      <c r="N2428" s="65"/>
    </row>
    <row r="2429" spans="1:14" x14ac:dyDescent="0.25">
      <c r="A2429" s="2">
        <v>2423</v>
      </c>
      <c r="B2429" s="11">
        <f t="shared" ca="1" si="191"/>
        <v>1</v>
      </c>
      <c r="C2429" s="26">
        <f t="shared" ca="1" si="190"/>
        <v>0.60041778087541087</v>
      </c>
      <c r="J2429">
        <f t="shared" ca="1" si="192"/>
        <v>1</v>
      </c>
      <c r="K2429">
        <f t="shared" ca="1" si="193"/>
        <v>0</v>
      </c>
      <c r="L2429" s="65">
        <v>2423</v>
      </c>
      <c r="M2429" s="71">
        <f t="shared" ca="1" si="189"/>
        <v>2.9796268810943993</v>
      </c>
      <c r="N2429" s="65"/>
    </row>
    <row r="2430" spans="1:14" x14ac:dyDescent="0.25">
      <c r="A2430" s="2">
        <v>2424</v>
      </c>
      <c r="B2430" s="11">
        <f t="shared" ca="1" si="191"/>
        <v>1</v>
      </c>
      <c r="C2430" s="26">
        <f t="shared" ca="1" si="190"/>
        <v>0.17413836871191513</v>
      </c>
      <c r="J2430">
        <f t="shared" ca="1" si="192"/>
        <v>1</v>
      </c>
      <c r="K2430">
        <f t="shared" ca="1" si="193"/>
        <v>0</v>
      </c>
      <c r="L2430" s="65">
        <v>2424</v>
      </c>
      <c r="M2430" s="71">
        <f t="shared" ca="1" si="189"/>
        <v>1.8098738672177181</v>
      </c>
      <c r="N2430" s="65"/>
    </row>
    <row r="2431" spans="1:14" x14ac:dyDescent="0.25">
      <c r="A2431" s="2">
        <v>2425</v>
      </c>
      <c r="B2431" s="11">
        <f t="shared" ca="1" si="191"/>
        <v>1</v>
      </c>
      <c r="C2431" s="26">
        <f t="shared" ca="1" si="190"/>
        <v>0.75998001566519968</v>
      </c>
      <c r="J2431">
        <f t="shared" ca="1" si="192"/>
        <v>1</v>
      </c>
      <c r="K2431">
        <f t="shared" ca="1" si="193"/>
        <v>0</v>
      </c>
      <c r="L2431" s="65">
        <v>2425</v>
      </c>
      <c r="M2431" s="71">
        <f t="shared" ca="1" si="189"/>
        <v>12.418002165604495</v>
      </c>
      <c r="N2431" s="65"/>
    </row>
    <row r="2432" spans="1:14" x14ac:dyDescent="0.25">
      <c r="A2432" s="2">
        <v>2426</v>
      </c>
      <c r="B2432" s="11">
        <f t="shared" ca="1" si="191"/>
        <v>1</v>
      </c>
      <c r="C2432" s="26">
        <f t="shared" ca="1" si="190"/>
        <v>0.56548290075723628</v>
      </c>
      <c r="J2432">
        <f t="shared" ca="1" si="192"/>
        <v>0</v>
      </c>
      <c r="K2432">
        <f t="shared" ca="1" si="193"/>
        <v>0</v>
      </c>
      <c r="L2432" s="65">
        <v>2426</v>
      </c>
      <c r="M2432" s="71">
        <f t="shared" ca="1" si="189"/>
        <v>6.7724306324454639</v>
      </c>
      <c r="N2432" s="65"/>
    </row>
    <row r="2433" spans="1:14" x14ac:dyDescent="0.25">
      <c r="A2433" s="2">
        <v>2427</v>
      </c>
      <c r="B2433" s="11">
        <f t="shared" ca="1" si="191"/>
        <v>0</v>
      </c>
      <c r="C2433" s="26">
        <f t="shared" ca="1" si="190"/>
        <v>0.99984313931372337</v>
      </c>
      <c r="J2433">
        <f t="shared" ca="1" si="192"/>
        <v>0</v>
      </c>
      <c r="K2433">
        <f t="shared" ca="1" si="193"/>
        <v>1</v>
      </c>
      <c r="L2433" s="65">
        <v>2427</v>
      </c>
      <c r="M2433" s="71">
        <f t="shared" ca="1" si="189"/>
        <v>0</v>
      </c>
      <c r="N2433" s="65"/>
    </row>
    <row r="2434" spans="1:14" x14ac:dyDescent="0.25">
      <c r="A2434" s="2">
        <v>2428</v>
      </c>
      <c r="B2434" s="11">
        <f t="shared" ca="1" si="191"/>
        <v>0</v>
      </c>
      <c r="C2434" s="26">
        <f t="shared" ca="1" si="190"/>
        <v>0.85765753528478561</v>
      </c>
      <c r="J2434">
        <f t="shared" ca="1" si="192"/>
        <v>0</v>
      </c>
      <c r="K2434">
        <f t="shared" ca="1" si="193"/>
        <v>0</v>
      </c>
      <c r="L2434" s="65">
        <v>2428</v>
      </c>
      <c r="M2434" s="71">
        <f t="shared" ca="1" si="189"/>
        <v>0</v>
      </c>
      <c r="N2434" s="65"/>
    </row>
    <row r="2435" spans="1:14" x14ac:dyDescent="0.25">
      <c r="A2435" s="2">
        <v>2429</v>
      </c>
      <c r="B2435" s="11">
        <f t="shared" ca="1" si="191"/>
        <v>1</v>
      </c>
      <c r="C2435" s="26">
        <f t="shared" ca="1" si="190"/>
        <v>0.5253887853343574</v>
      </c>
      <c r="J2435">
        <f t="shared" ca="1" si="192"/>
        <v>1</v>
      </c>
      <c r="K2435">
        <f t="shared" ca="1" si="193"/>
        <v>0</v>
      </c>
      <c r="L2435" s="65">
        <v>2429</v>
      </c>
      <c r="M2435" s="71">
        <f t="shared" ca="1" si="189"/>
        <v>10.23352474316321</v>
      </c>
      <c r="N2435" s="65"/>
    </row>
    <row r="2436" spans="1:14" x14ac:dyDescent="0.25">
      <c r="A2436" s="2">
        <v>2430</v>
      </c>
      <c r="B2436" s="11">
        <f t="shared" ca="1" si="191"/>
        <v>1</v>
      </c>
      <c r="C2436" s="26">
        <f t="shared" ca="1" si="190"/>
        <v>0.17930848449696801</v>
      </c>
      <c r="J2436">
        <f t="shared" ca="1" si="192"/>
        <v>1</v>
      </c>
      <c r="K2436">
        <f t="shared" ca="1" si="193"/>
        <v>0</v>
      </c>
      <c r="L2436" s="65">
        <v>2430</v>
      </c>
      <c r="M2436" s="71">
        <f t="shared" ca="1" si="189"/>
        <v>2.8260930237575939</v>
      </c>
      <c r="N2436" s="65"/>
    </row>
    <row r="2437" spans="1:14" x14ac:dyDescent="0.25">
      <c r="A2437" s="2">
        <v>2431</v>
      </c>
      <c r="B2437" s="11">
        <f t="shared" ca="1" si="191"/>
        <v>1</v>
      </c>
      <c r="C2437" s="26">
        <f t="shared" ca="1" si="190"/>
        <v>0.30419292792469388</v>
      </c>
      <c r="J2437">
        <f t="shared" ca="1" si="192"/>
        <v>1</v>
      </c>
      <c r="K2437">
        <f t="shared" ca="1" si="193"/>
        <v>0</v>
      </c>
      <c r="L2437" s="65">
        <v>2431</v>
      </c>
      <c r="M2437" s="71">
        <f t="shared" ca="1" si="189"/>
        <v>6.7150470754613512</v>
      </c>
      <c r="N2437" s="65"/>
    </row>
    <row r="2438" spans="1:14" x14ac:dyDescent="0.25">
      <c r="A2438" s="2">
        <v>2432</v>
      </c>
      <c r="B2438" s="11">
        <f t="shared" ca="1" si="191"/>
        <v>1</v>
      </c>
      <c r="C2438" s="26">
        <f t="shared" ca="1" si="190"/>
        <v>0.27610222014672126</v>
      </c>
      <c r="J2438">
        <f t="shared" ca="1" si="192"/>
        <v>1</v>
      </c>
      <c r="K2438">
        <f t="shared" ca="1" si="193"/>
        <v>0</v>
      </c>
      <c r="L2438" s="65">
        <v>2432</v>
      </c>
      <c r="M2438" s="71">
        <f t="shared" ca="1" si="189"/>
        <v>0.9239894667992028</v>
      </c>
      <c r="N2438" s="65"/>
    </row>
    <row r="2439" spans="1:14" x14ac:dyDescent="0.25">
      <c r="A2439" s="2">
        <v>2433</v>
      </c>
      <c r="B2439" s="11">
        <f t="shared" ca="1" si="191"/>
        <v>1</v>
      </c>
      <c r="C2439" s="26">
        <f t="shared" ca="1" si="190"/>
        <v>0.31809789723343673</v>
      </c>
      <c r="J2439">
        <f t="shared" ca="1" si="192"/>
        <v>1</v>
      </c>
      <c r="K2439">
        <f t="shared" ca="1" si="193"/>
        <v>0</v>
      </c>
      <c r="L2439" s="65">
        <v>2433</v>
      </c>
      <c r="M2439" s="71">
        <f t="shared" ref="M2439:M2502" ca="1" si="194">IF(B2439&gt;0,-LN(1-(RAND()))/lambda,0)</f>
        <v>2.0883505177605106</v>
      </c>
      <c r="N2439" s="65"/>
    </row>
    <row r="2440" spans="1:14" x14ac:dyDescent="0.25">
      <c r="A2440" s="2">
        <v>2434</v>
      </c>
      <c r="B2440" s="11">
        <f t="shared" ca="1" si="191"/>
        <v>1</v>
      </c>
      <c r="C2440" s="26">
        <f t="shared" ref="C2440:C2503" ca="1" si="195">RAND()</f>
        <v>0.52386999225906483</v>
      </c>
      <c r="J2440">
        <f t="shared" ca="1" si="192"/>
        <v>1</v>
      </c>
      <c r="K2440">
        <f t="shared" ca="1" si="193"/>
        <v>0</v>
      </c>
      <c r="L2440" s="65">
        <v>2434</v>
      </c>
      <c r="M2440" s="71">
        <f t="shared" ca="1" si="194"/>
        <v>5.0114237205802512</v>
      </c>
      <c r="N2440" s="65"/>
    </row>
    <row r="2441" spans="1:14" x14ac:dyDescent="0.25">
      <c r="A2441" s="2">
        <v>2435</v>
      </c>
      <c r="B2441" s="11">
        <f t="shared" ca="1" si="191"/>
        <v>1</v>
      </c>
      <c r="C2441" s="26">
        <f t="shared" ca="1" si="195"/>
        <v>0.20595502453142023</v>
      </c>
      <c r="J2441">
        <f t="shared" ca="1" si="192"/>
        <v>1</v>
      </c>
      <c r="K2441">
        <f t="shared" ca="1" si="193"/>
        <v>0</v>
      </c>
      <c r="L2441" s="65">
        <v>2435</v>
      </c>
      <c r="M2441" s="71">
        <f t="shared" ca="1" si="194"/>
        <v>4.1210401266283538</v>
      </c>
      <c r="N2441" s="65"/>
    </row>
    <row r="2442" spans="1:14" x14ac:dyDescent="0.25">
      <c r="A2442" s="2">
        <v>2436</v>
      </c>
      <c r="B2442" s="11">
        <f t="shared" ca="1" si="191"/>
        <v>1</v>
      </c>
      <c r="C2442" s="26">
        <f t="shared" ca="1" si="195"/>
        <v>0.14862269093067904</v>
      </c>
      <c r="J2442">
        <f t="shared" ca="1" si="192"/>
        <v>0</v>
      </c>
      <c r="K2442">
        <f t="shared" ca="1" si="193"/>
        <v>0</v>
      </c>
      <c r="L2442" s="65">
        <v>2436</v>
      </c>
      <c r="M2442" s="71">
        <f t="shared" ca="1" si="194"/>
        <v>2.3742267207013787</v>
      </c>
      <c r="N2442" s="65"/>
    </row>
    <row r="2443" spans="1:14" x14ac:dyDescent="0.25">
      <c r="A2443" s="2">
        <v>2437</v>
      </c>
      <c r="B2443" s="11">
        <f t="shared" ca="1" si="191"/>
        <v>0</v>
      </c>
      <c r="C2443" s="26">
        <f t="shared" ca="1" si="195"/>
        <v>0.81099128132726539</v>
      </c>
      <c r="J2443">
        <f t="shared" ca="1" si="192"/>
        <v>0</v>
      </c>
      <c r="K2443">
        <f t="shared" ca="1" si="193"/>
        <v>0</v>
      </c>
      <c r="L2443" s="65">
        <v>2437</v>
      </c>
      <c r="M2443" s="71">
        <f t="shared" ca="1" si="194"/>
        <v>0</v>
      </c>
      <c r="N2443" s="65"/>
    </row>
    <row r="2444" spans="1:14" x14ac:dyDescent="0.25">
      <c r="A2444" s="2">
        <v>2438</v>
      </c>
      <c r="B2444" s="11">
        <f t="shared" ca="1" si="191"/>
        <v>1</v>
      </c>
      <c r="C2444" s="26">
        <f t="shared" ca="1" si="195"/>
        <v>0.10264558186888761</v>
      </c>
      <c r="J2444">
        <f t="shared" ca="1" si="192"/>
        <v>0</v>
      </c>
      <c r="K2444">
        <f t="shared" ca="1" si="193"/>
        <v>0</v>
      </c>
      <c r="L2444" s="65">
        <v>2438</v>
      </c>
      <c r="M2444" s="71">
        <f t="shared" ca="1" si="194"/>
        <v>10.421870893782849</v>
      </c>
      <c r="N2444" s="65"/>
    </row>
    <row r="2445" spans="1:14" x14ac:dyDescent="0.25">
      <c r="A2445" s="2">
        <v>2439</v>
      </c>
      <c r="B2445" s="11">
        <f t="shared" ca="1" si="191"/>
        <v>0</v>
      </c>
      <c r="C2445" s="26">
        <f t="shared" ca="1" si="195"/>
        <v>0.88752302754454415</v>
      </c>
      <c r="J2445">
        <f t="shared" ca="1" si="192"/>
        <v>0</v>
      </c>
      <c r="K2445">
        <f t="shared" ca="1" si="193"/>
        <v>0</v>
      </c>
      <c r="L2445" s="65">
        <v>2439</v>
      </c>
      <c r="M2445" s="71">
        <f t="shared" ca="1" si="194"/>
        <v>0</v>
      </c>
      <c r="N2445" s="65"/>
    </row>
    <row r="2446" spans="1:14" x14ac:dyDescent="0.25">
      <c r="A2446" s="2">
        <v>2440</v>
      </c>
      <c r="B2446" s="11">
        <f t="shared" ca="1" si="191"/>
        <v>1</v>
      </c>
      <c r="C2446" s="26">
        <f t="shared" ca="1" si="195"/>
        <v>0.6287035473338749</v>
      </c>
      <c r="J2446">
        <f t="shared" ca="1" si="192"/>
        <v>1</v>
      </c>
      <c r="K2446">
        <f t="shared" ca="1" si="193"/>
        <v>0</v>
      </c>
      <c r="L2446" s="65">
        <v>2440</v>
      </c>
      <c r="M2446" s="71">
        <f t="shared" ca="1" si="194"/>
        <v>1.6641325011784311</v>
      </c>
      <c r="N2446" s="65"/>
    </row>
    <row r="2447" spans="1:14" x14ac:dyDescent="0.25">
      <c r="A2447" s="2">
        <v>2441</v>
      </c>
      <c r="B2447" s="11">
        <f t="shared" ca="1" si="191"/>
        <v>1</v>
      </c>
      <c r="C2447" s="26">
        <f t="shared" ca="1" si="195"/>
        <v>0.55529575025314282</v>
      </c>
      <c r="J2447">
        <f t="shared" ca="1" si="192"/>
        <v>0</v>
      </c>
      <c r="K2447">
        <f t="shared" ca="1" si="193"/>
        <v>0</v>
      </c>
      <c r="L2447" s="65">
        <v>2441</v>
      </c>
      <c r="M2447" s="71">
        <f t="shared" ca="1" si="194"/>
        <v>3.5719498101296598</v>
      </c>
      <c r="N2447" s="65"/>
    </row>
    <row r="2448" spans="1:14" x14ac:dyDescent="0.25">
      <c r="A2448" s="2">
        <v>2442</v>
      </c>
      <c r="B2448" s="11">
        <f t="shared" ca="1" si="191"/>
        <v>0</v>
      </c>
      <c r="C2448" s="26">
        <f t="shared" ca="1" si="195"/>
        <v>0.88776722969807265</v>
      </c>
      <c r="J2448">
        <f t="shared" ca="1" si="192"/>
        <v>0</v>
      </c>
      <c r="K2448">
        <f t="shared" ca="1" si="193"/>
        <v>1</v>
      </c>
      <c r="L2448" s="65">
        <v>2442</v>
      </c>
      <c r="M2448" s="71">
        <f t="shared" ca="1" si="194"/>
        <v>0</v>
      </c>
      <c r="N2448" s="65"/>
    </row>
    <row r="2449" spans="1:14" x14ac:dyDescent="0.25">
      <c r="A2449" s="2">
        <v>2443</v>
      </c>
      <c r="B2449" s="11">
        <f t="shared" ca="1" si="191"/>
        <v>0</v>
      </c>
      <c r="C2449" s="26">
        <f t="shared" ca="1" si="195"/>
        <v>0.84626836682550166</v>
      </c>
      <c r="J2449">
        <f t="shared" ca="1" si="192"/>
        <v>0</v>
      </c>
      <c r="K2449">
        <f t="shared" ca="1" si="193"/>
        <v>0</v>
      </c>
      <c r="L2449" s="65">
        <v>2443</v>
      </c>
      <c r="M2449" s="71">
        <f t="shared" ca="1" si="194"/>
        <v>0</v>
      </c>
      <c r="N2449" s="65"/>
    </row>
    <row r="2450" spans="1:14" x14ac:dyDescent="0.25">
      <c r="A2450" s="2">
        <v>2444</v>
      </c>
      <c r="B2450" s="11">
        <f t="shared" ca="1" si="191"/>
        <v>1</v>
      </c>
      <c r="C2450" s="26">
        <f t="shared" ca="1" si="195"/>
        <v>0.20666600087354259</v>
      </c>
      <c r="J2450">
        <f t="shared" ca="1" si="192"/>
        <v>0</v>
      </c>
      <c r="K2450">
        <f t="shared" ca="1" si="193"/>
        <v>0</v>
      </c>
      <c r="L2450" s="65">
        <v>2444</v>
      </c>
      <c r="M2450" s="71">
        <f t="shared" ca="1" si="194"/>
        <v>1.8736586565390165</v>
      </c>
      <c r="N2450" s="65"/>
    </row>
    <row r="2451" spans="1:14" x14ac:dyDescent="0.25">
      <c r="A2451" s="2">
        <v>2445</v>
      </c>
      <c r="B2451" s="11">
        <f t="shared" ca="1" si="191"/>
        <v>0</v>
      </c>
      <c r="C2451" s="26">
        <f t="shared" ca="1" si="195"/>
        <v>0.92774766728143709</v>
      </c>
      <c r="J2451">
        <f t="shared" ca="1" si="192"/>
        <v>0</v>
      </c>
      <c r="K2451">
        <f t="shared" ca="1" si="193"/>
        <v>0</v>
      </c>
      <c r="L2451" s="65">
        <v>2445</v>
      </c>
      <c r="M2451" s="71">
        <f t="shared" ca="1" si="194"/>
        <v>0</v>
      </c>
      <c r="N2451" s="65"/>
    </row>
    <row r="2452" spans="1:14" x14ac:dyDescent="0.25">
      <c r="A2452" s="2">
        <v>2446</v>
      </c>
      <c r="B2452" s="11">
        <f t="shared" ca="1" si="191"/>
        <v>1</v>
      </c>
      <c r="C2452" s="26">
        <f t="shared" ca="1" si="195"/>
        <v>0.28069471008173374</v>
      </c>
      <c r="J2452">
        <f t="shared" ca="1" si="192"/>
        <v>1</v>
      </c>
      <c r="K2452">
        <f t="shared" ca="1" si="193"/>
        <v>0</v>
      </c>
      <c r="L2452" s="65">
        <v>2446</v>
      </c>
      <c r="M2452" s="71">
        <f t="shared" ca="1" si="194"/>
        <v>0.45643224877964017</v>
      </c>
      <c r="N2452" s="65"/>
    </row>
    <row r="2453" spans="1:14" x14ac:dyDescent="0.25">
      <c r="A2453" s="2">
        <v>2447</v>
      </c>
      <c r="B2453" s="11">
        <f t="shared" ca="1" si="191"/>
        <v>1</v>
      </c>
      <c r="C2453" s="26">
        <f t="shared" ca="1" si="195"/>
        <v>0.20900849641094776</v>
      </c>
      <c r="J2453">
        <f t="shared" ca="1" si="192"/>
        <v>0</v>
      </c>
      <c r="K2453">
        <f t="shared" ca="1" si="193"/>
        <v>0</v>
      </c>
      <c r="L2453" s="65">
        <v>2447</v>
      </c>
      <c r="M2453" s="71">
        <f t="shared" ca="1" si="194"/>
        <v>15.373140993166903</v>
      </c>
      <c r="N2453" s="65"/>
    </row>
    <row r="2454" spans="1:14" x14ac:dyDescent="0.25">
      <c r="A2454" s="2">
        <v>2448</v>
      </c>
      <c r="B2454" s="11">
        <f t="shared" ca="1" si="191"/>
        <v>0</v>
      </c>
      <c r="C2454" s="26">
        <f t="shared" ca="1" si="195"/>
        <v>0.87004169593829395</v>
      </c>
      <c r="J2454">
        <f t="shared" ca="1" si="192"/>
        <v>0</v>
      </c>
      <c r="K2454">
        <f t="shared" ca="1" si="193"/>
        <v>1</v>
      </c>
      <c r="L2454" s="65">
        <v>2448</v>
      </c>
      <c r="M2454" s="71">
        <f t="shared" ca="1" si="194"/>
        <v>0</v>
      </c>
      <c r="N2454" s="65"/>
    </row>
    <row r="2455" spans="1:14" x14ac:dyDescent="0.25">
      <c r="A2455" s="2">
        <v>2449</v>
      </c>
      <c r="B2455" s="11">
        <f t="shared" ca="1" si="191"/>
        <v>0</v>
      </c>
      <c r="C2455" s="26">
        <f t="shared" ca="1" si="195"/>
        <v>0.92421285085889637</v>
      </c>
      <c r="J2455">
        <f t="shared" ca="1" si="192"/>
        <v>0</v>
      </c>
      <c r="K2455">
        <f t="shared" ca="1" si="193"/>
        <v>1</v>
      </c>
      <c r="L2455" s="65">
        <v>2449</v>
      </c>
      <c r="M2455" s="71">
        <f t="shared" ca="1" si="194"/>
        <v>0</v>
      </c>
      <c r="N2455" s="65"/>
    </row>
    <row r="2456" spans="1:14" x14ac:dyDescent="0.25">
      <c r="A2456" s="2">
        <v>2450</v>
      </c>
      <c r="B2456" s="11">
        <f t="shared" ca="1" si="191"/>
        <v>0</v>
      </c>
      <c r="C2456" s="26">
        <f t="shared" ca="1" si="195"/>
        <v>0.75136023654414497</v>
      </c>
      <c r="J2456">
        <f t="shared" ca="1" si="192"/>
        <v>0</v>
      </c>
      <c r="K2456">
        <f t="shared" ca="1" si="193"/>
        <v>0</v>
      </c>
      <c r="L2456" s="65">
        <v>2450</v>
      </c>
      <c r="M2456" s="71">
        <f t="shared" ca="1" si="194"/>
        <v>0</v>
      </c>
      <c r="N2456" s="65"/>
    </row>
    <row r="2457" spans="1:14" x14ac:dyDescent="0.25">
      <c r="A2457" s="2">
        <v>2451</v>
      </c>
      <c r="B2457" s="11">
        <f t="shared" ca="1" si="191"/>
        <v>1</v>
      </c>
      <c r="C2457" s="26">
        <f t="shared" ca="1" si="195"/>
        <v>2.7096039486210755E-3</v>
      </c>
      <c r="J2457">
        <f t="shared" ca="1" si="192"/>
        <v>1</v>
      </c>
      <c r="K2457">
        <f t="shared" ca="1" si="193"/>
        <v>0</v>
      </c>
      <c r="L2457" s="65">
        <v>2451</v>
      </c>
      <c r="M2457" s="71">
        <f t="shared" ca="1" si="194"/>
        <v>1.6276268778915042</v>
      </c>
      <c r="N2457" s="65"/>
    </row>
    <row r="2458" spans="1:14" x14ac:dyDescent="0.25">
      <c r="A2458" s="2">
        <v>2452</v>
      </c>
      <c r="B2458" s="11">
        <f t="shared" ca="1" si="191"/>
        <v>1</v>
      </c>
      <c r="C2458" s="26">
        <f t="shared" ca="1" si="195"/>
        <v>0.45038286791679516</v>
      </c>
      <c r="J2458">
        <f t="shared" ca="1" si="192"/>
        <v>1</v>
      </c>
      <c r="K2458">
        <f t="shared" ca="1" si="193"/>
        <v>0</v>
      </c>
      <c r="L2458" s="65">
        <v>2452</v>
      </c>
      <c r="M2458" s="71">
        <f t="shared" ca="1" si="194"/>
        <v>0.34900601682069021</v>
      </c>
      <c r="N2458" s="65"/>
    </row>
    <row r="2459" spans="1:14" x14ac:dyDescent="0.25">
      <c r="A2459" s="2">
        <v>2453</v>
      </c>
      <c r="B2459" s="11">
        <f t="shared" ca="1" si="191"/>
        <v>1</v>
      </c>
      <c r="C2459" s="26">
        <f t="shared" ca="1" si="195"/>
        <v>0.63227340525200548</v>
      </c>
      <c r="J2459">
        <f t="shared" ca="1" si="192"/>
        <v>1</v>
      </c>
      <c r="K2459">
        <f t="shared" ca="1" si="193"/>
        <v>0</v>
      </c>
      <c r="L2459" s="65">
        <v>2453</v>
      </c>
      <c r="M2459" s="71">
        <f t="shared" ca="1" si="194"/>
        <v>8.9555490523097987</v>
      </c>
      <c r="N2459" s="65"/>
    </row>
    <row r="2460" spans="1:14" x14ac:dyDescent="0.25">
      <c r="A2460" s="2">
        <v>2454</v>
      </c>
      <c r="B2460" s="11">
        <f t="shared" ca="1" si="191"/>
        <v>1</v>
      </c>
      <c r="C2460" s="26">
        <f t="shared" ca="1" si="195"/>
        <v>0.48698690266380762</v>
      </c>
      <c r="J2460">
        <f t="shared" ca="1" si="192"/>
        <v>1</v>
      </c>
      <c r="K2460">
        <f t="shared" ca="1" si="193"/>
        <v>0</v>
      </c>
      <c r="L2460" s="65">
        <v>2454</v>
      </c>
      <c r="M2460" s="71">
        <f t="shared" ca="1" si="194"/>
        <v>0.1172100458568954</v>
      </c>
      <c r="N2460" s="65"/>
    </row>
    <row r="2461" spans="1:14" x14ac:dyDescent="0.25">
      <c r="A2461" s="2">
        <v>2455</v>
      </c>
      <c r="B2461" s="11">
        <f t="shared" ca="1" si="191"/>
        <v>1</v>
      </c>
      <c r="C2461" s="26">
        <f t="shared" ca="1" si="195"/>
        <v>0.72719141313774183</v>
      </c>
      <c r="J2461">
        <f t="shared" ca="1" si="192"/>
        <v>1</v>
      </c>
      <c r="K2461">
        <f t="shared" ca="1" si="193"/>
        <v>0</v>
      </c>
      <c r="L2461" s="65">
        <v>2455</v>
      </c>
      <c r="M2461" s="71">
        <f t="shared" ca="1" si="194"/>
        <v>0.87450838058642644</v>
      </c>
      <c r="N2461" s="65"/>
    </row>
    <row r="2462" spans="1:14" x14ac:dyDescent="0.25">
      <c r="A2462" s="2">
        <v>2456</v>
      </c>
      <c r="B2462" s="11">
        <f t="shared" ca="1" si="191"/>
        <v>1</v>
      </c>
      <c r="C2462" s="26">
        <f t="shared" ca="1" si="195"/>
        <v>0.68258966290289858</v>
      </c>
      <c r="J2462">
        <f t="shared" ca="1" si="192"/>
        <v>0</v>
      </c>
      <c r="K2462">
        <f t="shared" ca="1" si="193"/>
        <v>0</v>
      </c>
      <c r="L2462" s="65">
        <v>2456</v>
      </c>
      <c r="M2462" s="71">
        <f t="shared" ca="1" si="194"/>
        <v>1.5056991653752358</v>
      </c>
      <c r="N2462" s="65"/>
    </row>
    <row r="2463" spans="1:14" x14ac:dyDescent="0.25">
      <c r="A2463" s="2">
        <v>2457</v>
      </c>
      <c r="B2463" s="11">
        <f t="shared" ca="1" si="191"/>
        <v>0</v>
      </c>
      <c r="C2463" s="26">
        <f t="shared" ca="1" si="195"/>
        <v>0.93582747390229704</v>
      </c>
      <c r="J2463">
        <f t="shared" ca="1" si="192"/>
        <v>0</v>
      </c>
      <c r="K2463">
        <f t="shared" ca="1" si="193"/>
        <v>0</v>
      </c>
      <c r="L2463" s="65">
        <v>2457</v>
      </c>
      <c r="M2463" s="71">
        <f t="shared" ca="1" si="194"/>
        <v>0</v>
      </c>
      <c r="N2463" s="65"/>
    </row>
    <row r="2464" spans="1:14" x14ac:dyDescent="0.25">
      <c r="A2464" s="2">
        <v>2458</v>
      </c>
      <c r="B2464" s="11">
        <f t="shared" ca="1" si="191"/>
        <v>1</v>
      </c>
      <c r="C2464" s="26">
        <f t="shared" ca="1" si="195"/>
        <v>0.30345388493503123</v>
      </c>
      <c r="J2464">
        <f t="shared" ca="1" si="192"/>
        <v>1</v>
      </c>
      <c r="K2464">
        <f t="shared" ca="1" si="193"/>
        <v>0</v>
      </c>
      <c r="L2464" s="65">
        <v>2458</v>
      </c>
      <c r="M2464" s="71">
        <f t="shared" ca="1" si="194"/>
        <v>4.7589282122009893</v>
      </c>
      <c r="N2464" s="65"/>
    </row>
    <row r="2465" spans="1:14" x14ac:dyDescent="0.25">
      <c r="A2465" s="2">
        <v>2459</v>
      </c>
      <c r="B2465" s="11">
        <f t="shared" ca="1" si="191"/>
        <v>1</v>
      </c>
      <c r="C2465" s="26">
        <f t="shared" ca="1" si="195"/>
        <v>0.76332213310428987</v>
      </c>
      <c r="J2465">
        <f t="shared" ca="1" si="192"/>
        <v>1</v>
      </c>
      <c r="K2465">
        <f t="shared" ca="1" si="193"/>
        <v>0</v>
      </c>
      <c r="L2465" s="65">
        <v>2459</v>
      </c>
      <c r="M2465" s="71">
        <f t="shared" ca="1" si="194"/>
        <v>6.4765402280880462</v>
      </c>
      <c r="N2465" s="65"/>
    </row>
    <row r="2466" spans="1:14" x14ac:dyDescent="0.25">
      <c r="A2466" s="2">
        <v>2460</v>
      </c>
      <c r="B2466" s="11">
        <f t="shared" ca="1" si="191"/>
        <v>1</v>
      </c>
      <c r="C2466" s="26">
        <f t="shared" ca="1" si="195"/>
        <v>0.43905255263234899</v>
      </c>
      <c r="J2466">
        <f t="shared" ca="1" si="192"/>
        <v>1</v>
      </c>
      <c r="K2466">
        <f t="shared" ca="1" si="193"/>
        <v>0</v>
      </c>
      <c r="L2466" s="65">
        <v>2460</v>
      </c>
      <c r="M2466" s="71">
        <f t="shared" ca="1" si="194"/>
        <v>6.4189905434532397</v>
      </c>
      <c r="N2466" s="65"/>
    </row>
    <row r="2467" spans="1:14" x14ac:dyDescent="0.25">
      <c r="A2467" s="2">
        <v>2461</v>
      </c>
      <c r="B2467" s="11">
        <f t="shared" ca="1" si="191"/>
        <v>1</v>
      </c>
      <c r="C2467" s="26">
        <f t="shared" ca="1" si="195"/>
        <v>0.34045402678856129</v>
      </c>
      <c r="J2467">
        <f t="shared" ca="1" si="192"/>
        <v>1</v>
      </c>
      <c r="K2467">
        <f t="shared" ca="1" si="193"/>
        <v>0</v>
      </c>
      <c r="L2467" s="65">
        <v>2461</v>
      </c>
      <c r="M2467" s="71">
        <f t="shared" ca="1" si="194"/>
        <v>2.6187264578275342</v>
      </c>
      <c r="N2467" s="65"/>
    </row>
    <row r="2468" spans="1:14" x14ac:dyDescent="0.25">
      <c r="A2468" s="2">
        <v>2462</v>
      </c>
      <c r="B2468" s="11">
        <f t="shared" ca="1" si="191"/>
        <v>1</v>
      </c>
      <c r="C2468" s="26">
        <f t="shared" ca="1" si="195"/>
        <v>0.46460436340145761</v>
      </c>
      <c r="J2468">
        <f t="shared" ca="1" si="192"/>
        <v>1</v>
      </c>
      <c r="K2468">
        <f t="shared" ca="1" si="193"/>
        <v>0</v>
      </c>
      <c r="L2468" s="65">
        <v>2462</v>
      </c>
      <c r="M2468" s="71">
        <f t="shared" ca="1" si="194"/>
        <v>0.4914308902254631</v>
      </c>
      <c r="N2468" s="65"/>
    </row>
    <row r="2469" spans="1:14" x14ac:dyDescent="0.25">
      <c r="A2469" s="2">
        <v>2463</v>
      </c>
      <c r="B2469" s="11">
        <f t="shared" ca="1" si="191"/>
        <v>1</v>
      </c>
      <c r="C2469" s="26">
        <f t="shared" ca="1" si="195"/>
        <v>0.51379614578930044</v>
      </c>
      <c r="J2469">
        <f t="shared" ca="1" si="192"/>
        <v>1</v>
      </c>
      <c r="K2469">
        <f t="shared" ca="1" si="193"/>
        <v>0</v>
      </c>
      <c r="L2469" s="65">
        <v>2463</v>
      </c>
      <c r="M2469" s="71">
        <f t="shared" ca="1" si="194"/>
        <v>5.1528986245246671</v>
      </c>
      <c r="N2469" s="65"/>
    </row>
    <row r="2470" spans="1:14" x14ac:dyDescent="0.25">
      <c r="A2470" s="2">
        <v>2464</v>
      </c>
      <c r="B2470" s="11">
        <f t="shared" ca="1" si="191"/>
        <v>1</v>
      </c>
      <c r="C2470" s="26">
        <f t="shared" ca="1" si="195"/>
        <v>8.404548527540745E-2</v>
      </c>
      <c r="J2470">
        <f t="shared" ca="1" si="192"/>
        <v>1</v>
      </c>
      <c r="K2470">
        <f t="shared" ca="1" si="193"/>
        <v>0</v>
      </c>
      <c r="L2470" s="65">
        <v>2464</v>
      </c>
      <c r="M2470" s="71">
        <f t="shared" ca="1" si="194"/>
        <v>3.2883240088964221</v>
      </c>
      <c r="N2470" s="65"/>
    </row>
    <row r="2471" spans="1:14" x14ac:dyDescent="0.25">
      <c r="A2471" s="2">
        <v>2465</v>
      </c>
      <c r="B2471" s="11">
        <f t="shared" ca="1" si="191"/>
        <v>1</v>
      </c>
      <c r="C2471" s="26">
        <f t="shared" ca="1" si="195"/>
        <v>0.22854211515844214</v>
      </c>
      <c r="J2471">
        <f t="shared" ca="1" si="192"/>
        <v>1</v>
      </c>
      <c r="K2471">
        <f t="shared" ca="1" si="193"/>
        <v>0</v>
      </c>
      <c r="L2471" s="65">
        <v>2465</v>
      </c>
      <c r="M2471" s="71">
        <f t="shared" ca="1" si="194"/>
        <v>1.5468609863025822</v>
      </c>
      <c r="N2471" s="65"/>
    </row>
    <row r="2472" spans="1:14" x14ac:dyDescent="0.25">
      <c r="A2472" s="2">
        <v>2466</v>
      </c>
      <c r="B2472" s="11">
        <f t="shared" ca="1" si="191"/>
        <v>1</v>
      </c>
      <c r="C2472" s="26">
        <f t="shared" ca="1" si="195"/>
        <v>0.43367115082714747</v>
      </c>
      <c r="J2472">
        <f t="shared" ca="1" si="192"/>
        <v>1</v>
      </c>
      <c r="K2472">
        <f t="shared" ca="1" si="193"/>
        <v>0</v>
      </c>
      <c r="L2472" s="65">
        <v>2466</v>
      </c>
      <c r="M2472" s="71">
        <f t="shared" ca="1" si="194"/>
        <v>3.659391343243287</v>
      </c>
      <c r="N2472" s="65"/>
    </row>
    <row r="2473" spans="1:14" x14ac:dyDescent="0.25">
      <c r="A2473" s="2">
        <v>2467</v>
      </c>
      <c r="B2473" s="11">
        <f t="shared" ca="1" si="191"/>
        <v>1</v>
      </c>
      <c r="C2473" s="26">
        <f t="shared" ca="1" si="195"/>
        <v>0.61980114371897965</v>
      </c>
      <c r="J2473">
        <f t="shared" ca="1" si="192"/>
        <v>1</v>
      </c>
      <c r="K2473">
        <f t="shared" ca="1" si="193"/>
        <v>0</v>
      </c>
      <c r="L2473" s="65">
        <v>2467</v>
      </c>
      <c r="M2473" s="71">
        <f t="shared" ca="1" si="194"/>
        <v>3.6655774782410657</v>
      </c>
      <c r="N2473" s="65"/>
    </row>
    <row r="2474" spans="1:14" x14ac:dyDescent="0.25">
      <c r="A2474" s="2">
        <v>2468</v>
      </c>
      <c r="B2474" s="11">
        <f t="shared" ca="1" si="191"/>
        <v>1</v>
      </c>
      <c r="C2474" s="26">
        <f t="shared" ca="1" si="195"/>
        <v>1.0045895010909578E-2</v>
      </c>
      <c r="J2474">
        <f t="shared" ca="1" si="192"/>
        <v>1</v>
      </c>
      <c r="K2474">
        <f t="shared" ca="1" si="193"/>
        <v>0</v>
      </c>
      <c r="L2474" s="65">
        <v>2468</v>
      </c>
      <c r="M2474" s="71">
        <f t="shared" ca="1" si="194"/>
        <v>0.52360073982252164</v>
      </c>
      <c r="N2474" s="65"/>
    </row>
    <row r="2475" spans="1:14" x14ac:dyDescent="0.25">
      <c r="A2475" s="2">
        <v>2469</v>
      </c>
      <c r="B2475" s="11">
        <f t="shared" ca="1" si="191"/>
        <v>1</v>
      </c>
      <c r="C2475" s="26">
        <f t="shared" ca="1" si="195"/>
        <v>0.18548201277422027</v>
      </c>
      <c r="J2475">
        <f t="shared" ca="1" si="192"/>
        <v>1</v>
      </c>
      <c r="K2475">
        <f t="shared" ca="1" si="193"/>
        <v>0</v>
      </c>
      <c r="L2475" s="65">
        <v>2469</v>
      </c>
      <c r="M2475" s="71">
        <f t="shared" ca="1" si="194"/>
        <v>0.51303656604643433</v>
      </c>
      <c r="N2475" s="65"/>
    </row>
    <row r="2476" spans="1:14" x14ac:dyDescent="0.25">
      <c r="A2476" s="2">
        <v>2470</v>
      </c>
      <c r="B2476" s="11">
        <f t="shared" ca="1" si="191"/>
        <v>1</v>
      </c>
      <c r="C2476" s="26">
        <f t="shared" ca="1" si="195"/>
        <v>0.75163892890931006</v>
      </c>
      <c r="J2476">
        <f t="shared" ca="1" si="192"/>
        <v>1</v>
      </c>
      <c r="K2476">
        <f t="shared" ca="1" si="193"/>
        <v>0</v>
      </c>
      <c r="L2476" s="65">
        <v>2470</v>
      </c>
      <c r="M2476" s="71">
        <f t="shared" ca="1" si="194"/>
        <v>3.8502638469015111</v>
      </c>
      <c r="N2476" s="65"/>
    </row>
    <row r="2477" spans="1:14" x14ac:dyDescent="0.25">
      <c r="A2477" s="2">
        <v>2471</v>
      </c>
      <c r="B2477" s="11">
        <f t="shared" ca="1" si="191"/>
        <v>1</v>
      </c>
      <c r="C2477" s="26">
        <f t="shared" ca="1" si="195"/>
        <v>0.62192197549345707</v>
      </c>
      <c r="J2477">
        <f t="shared" ca="1" si="192"/>
        <v>1</v>
      </c>
      <c r="K2477">
        <f t="shared" ca="1" si="193"/>
        <v>0</v>
      </c>
      <c r="L2477" s="65">
        <v>2471</v>
      </c>
      <c r="M2477" s="71">
        <f t="shared" ca="1" si="194"/>
        <v>2.8855342837697879</v>
      </c>
      <c r="N2477" s="65"/>
    </row>
    <row r="2478" spans="1:14" x14ac:dyDescent="0.25">
      <c r="A2478" s="2">
        <v>2472</v>
      </c>
      <c r="B2478" s="11">
        <f t="shared" ca="1" si="191"/>
        <v>1</v>
      </c>
      <c r="C2478" s="26">
        <f t="shared" ca="1" si="195"/>
        <v>0.32319916829439166</v>
      </c>
      <c r="J2478">
        <f t="shared" ca="1" si="192"/>
        <v>1</v>
      </c>
      <c r="K2478">
        <f t="shared" ca="1" si="193"/>
        <v>0</v>
      </c>
      <c r="L2478" s="65">
        <v>2472</v>
      </c>
      <c r="M2478" s="71">
        <f t="shared" ca="1" si="194"/>
        <v>2.6056601613265817</v>
      </c>
      <c r="N2478" s="65"/>
    </row>
    <row r="2479" spans="1:14" x14ac:dyDescent="0.25">
      <c r="A2479" s="2">
        <v>2473</v>
      </c>
      <c r="B2479" s="11">
        <f t="shared" ref="B2479:B2542" ca="1" si="196">IF(B2478&gt;0,IF(C2479&lt;pww,1,0),IF(C2479&lt;pdw,1,0))</f>
        <v>1</v>
      </c>
      <c r="C2479" s="26">
        <f t="shared" ca="1" si="195"/>
        <v>0.31116128998670212</v>
      </c>
      <c r="J2479">
        <f t="shared" ref="J2479:J2542" ca="1" si="197">IF(AND(B2479,B2480),1,0)</f>
        <v>0</v>
      </c>
      <c r="K2479">
        <f t="shared" ref="K2479:K2542" ca="1" si="198">IF(AND(NOT(B2479),NOT(B2480)),1,0)</f>
        <v>0</v>
      </c>
      <c r="L2479" s="65">
        <v>2473</v>
      </c>
      <c r="M2479" s="71">
        <f t="shared" ca="1" si="194"/>
        <v>2.3584240063859583</v>
      </c>
      <c r="N2479" s="65"/>
    </row>
    <row r="2480" spans="1:14" x14ac:dyDescent="0.25">
      <c r="A2480" s="2">
        <v>2474</v>
      </c>
      <c r="B2480" s="11">
        <f t="shared" ca="1" si="196"/>
        <v>0</v>
      </c>
      <c r="C2480" s="26">
        <f t="shared" ca="1" si="195"/>
        <v>0.85961312708990223</v>
      </c>
      <c r="J2480">
        <f t="shared" ca="1" si="197"/>
        <v>0</v>
      </c>
      <c r="K2480">
        <f t="shared" ca="1" si="198"/>
        <v>0</v>
      </c>
      <c r="L2480" s="65">
        <v>2474</v>
      </c>
      <c r="M2480" s="71">
        <f t="shared" ca="1" si="194"/>
        <v>0</v>
      </c>
      <c r="N2480" s="65"/>
    </row>
    <row r="2481" spans="1:14" x14ac:dyDescent="0.25">
      <c r="A2481" s="2">
        <v>2475</v>
      </c>
      <c r="B2481" s="11">
        <f t="shared" ca="1" si="196"/>
        <v>1</v>
      </c>
      <c r="C2481" s="26">
        <f t="shared" ca="1" si="195"/>
        <v>0.25666947697604015</v>
      </c>
      <c r="J2481">
        <f t="shared" ca="1" si="197"/>
        <v>1</v>
      </c>
      <c r="K2481">
        <f t="shared" ca="1" si="198"/>
        <v>0</v>
      </c>
      <c r="L2481" s="65">
        <v>2475</v>
      </c>
      <c r="M2481" s="71">
        <f t="shared" ca="1" si="194"/>
        <v>4.0113065436358815</v>
      </c>
      <c r="N2481" s="65"/>
    </row>
    <row r="2482" spans="1:14" x14ac:dyDescent="0.25">
      <c r="A2482" s="2">
        <v>2476</v>
      </c>
      <c r="B2482" s="11">
        <f t="shared" ca="1" si="196"/>
        <v>1</v>
      </c>
      <c r="C2482" s="26">
        <f t="shared" ca="1" si="195"/>
        <v>7.8638963799228412E-2</v>
      </c>
      <c r="J2482">
        <f t="shared" ca="1" si="197"/>
        <v>1</v>
      </c>
      <c r="K2482">
        <f t="shared" ca="1" si="198"/>
        <v>0</v>
      </c>
      <c r="L2482" s="65">
        <v>2476</v>
      </c>
      <c r="M2482" s="71">
        <f t="shared" ca="1" si="194"/>
        <v>5.1477782063875537E-2</v>
      </c>
      <c r="N2482" s="65"/>
    </row>
    <row r="2483" spans="1:14" x14ac:dyDescent="0.25">
      <c r="A2483" s="2">
        <v>2477</v>
      </c>
      <c r="B2483" s="11">
        <f t="shared" ca="1" si="196"/>
        <v>1</v>
      </c>
      <c r="C2483" s="26">
        <f t="shared" ca="1" si="195"/>
        <v>0.60440795639337608</v>
      </c>
      <c r="J2483">
        <f t="shared" ca="1" si="197"/>
        <v>1</v>
      </c>
      <c r="K2483">
        <f t="shared" ca="1" si="198"/>
        <v>0</v>
      </c>
      <c r="L2483" s="65">
        <v>2477</v>
      </c>
      <c r="M2483" s="71">
        <f t="shared" ca="1" si="194"/>
        <v>0.37923697874523316</v>
      </c>
      <c r="N2483" s="65"/>
    </row>
    <row r="2484" spans="1:14" x14ac:dyDescent="0.25">
      <c r="A2484" s="2">
        <v>2478</v>
      </c>
      <c r="B2484" s="11">
        <f t="shared" ca="1" si="196"/>
        <v>1</v>
      </c>
      <c r="C2484" s="26">
        <f t="shared" ca="1" si="195"/>
        <v>0.6986019073003692</v>
      </c>
      <c r="J2484">
        <f t="shared" ca="1" si="197"/>
        <v>1</v>
      </c>
      <c r="K2484">
        <f t="shared" ca="1" si="198"/>
        <v>0</v>
      </c>
      <c r="L2484" s="65">
        <v>2478</v>
      </c>
      <c r="M2484" s="71">
        <f t="shared" ca="1" si="194"/>
        <v>2.7616850380614806</v>
      </c>
      <c r="N2484" s="65"/>
    </row>
    <row r="2485" spans="1:14" x14ac:dyDescent="0.25">
      <c r="A2485" s="2">
        <v>2479</v>
      </c>
      <c r="B2485" s="11">
        <f t="shared" ca="1" si="196"/>
        <v>1</v>
      </c>
      <c r="C2485" s="26">
        <f t="shared" ca="1" si="195"/>
        <v>6.25022622614676E-2</v>
      </c>
      <c r="J2485">
        <f t="shared" ca="1" si="197"/>
        <v>1</v>
      </c>
      <c r="K2485">
        <f t="shared" ca="1" si="198"/>
        <v>0</v>
      </c>
      <c r="L2485" s="65">
        <v>2479</v>
      </c>
      <c r="M2485" s="71">
        <f t="shared" ca="1" si="194"/>
        <v>3.8016346377618881</v>
      </c>
      <c r="N2485" s="65"/>
    </row>
    <row r="2486" spans="1:14" x14ac:dyDescent="0.25">
      <c r="A2486" s="2">
        <v>2480</v>
      </c>
      <c r="B2486" s="11">
        <f t="shared" ca="1" si="196"/>
        <v>1</v>
      </c>
      <c r="C2486" s="26">
        <f t="shared" ca="1" si="195"/>
        <v>0.65503117904357278</v>
      </c>
      <c r="J2486">
        <f t="shared" ca="1" si="197"/>
        <v>1</v>
      </c>
      <c r="K2486">
        <f t="shared" ca="1" si="198"/>
        <v>0</v>
      </c>
      <c r="L2486" s="65">
        <v>2480</v>
      </c>
      <c r="M2486" s="71">
        <f t="shared" ca="1" si="194"/>
        <v>0.1433717634804024</v>
      </c>
      <c r="N2486" s="65"/>
    </row>
    <row r="2487" spans="1:14" x14ac:dyDescent="0.25">
      <c r="A2487" s="2">
        <v>2481</v>
      </c>
      <c r="B2487" s="11">
        <f t="shared" ca="1" si="196"/>
        <v>1</v>
      </c>
      <c r="C2487" s="26">
        <f t="shared" ca="1" si="195"/>
        <v>1.8078432946893042E-2</v>
      </c>
      <c r="J2487">
        <f t="shared" ca="1" si="197"/>
        <v>1</v>
      </c>
      <c r="K2487">
        <f t="shared" ca="1" si="198"/>
        <v>0</v>
      </c>
      <c r="L2487" s="65">
        <v>2481</v>
      </c>
      <c r="M2487" s="71">
        <f t="shared" ca="1" si="194"/>
        <v>5.6414499360326804</v>
      </c>
      <c r="N2487" s="65"/>
    </row>
    <row r="2488" spans="1:14" x14ac:dyDescent="0.25">
      <c r="A2488" s="2">
        <v>2482</v>
      </c>
      <c r="B2488" s="11">
        <f t="shared" ca="1" si="196"/>
        <v>1</v>
      </c>
      <c r="C2488" s="26">
        <f t="shared" ca="1" si="195"/>
        <v>3.9017517958472969E-2</v>
      </c>
      <c r="J2488">
        <f t="shared" ca="1" si="197"/>
        <v>1</v>
      </c>
      <c r="K2488">
        <f t="shared" ca="1" si="198"/>
        <v>0</v>
      </c>
      <c r="L2488" s="65">
        <v>2482</v>
      </c>
      <c r="M2488" s="71">
        <f t="shared" ca="1" si="194"/>
        <v>1.0540528497414492</v>
      </c>
      <c r="N2488" s="65"/>
    </row>
    <row r="2489" spans="1:14" x14ac:dyDescent="0.25">
      <c r="A2489" s="2">
        <v>2483</v>
      </c>
      <c r="B2489" s="11">
        <f t="shared" ca="1" si="196"/>
        <v>1</v>
      </c>
      <c r="C2489" s="26">
        <f t="shared" ca="1" si="195"/>
        <v>0.69538070305443567</v>
      </c>
      <c r="J2489">
        <f t="shared" ca="1" si="197"/>
        <v>1</v>
      </c>
      <c r="K2489">
        <f t="shared" ca="1" si="198"/>
        <v>0</v>
      </c>
      <c r="L2489" s="65">
        <v>2483</v>
      </c>
      <c r="M2489" s="71">
        <f t="shared" ca="1" si="194"/>
        <v>1.0959477351925784</v>
      </c>
      <c r="N2489" s="65"/>
    </row>
    <row r="2490" spans="1:14" x14ac:dyDescent="0.25">
      <c r="A2490" s="2">
        <v>2484</v>
      </c>
      <c r="B2490" s="11">
        <f t="shared" ca="1" si="196"/>
        <v>1</v>
      </c>
      <c r="C2490" s="26">
        <f t="shared" ca="1" si="195"/>
        <v>0.62310394960298132</v>
      </c>
      <c r="J2490">
        <f t="shared" ca="1" si="197"/>
        <v>1</v>
      </c>
      <c r="K2490">
        <f t="shared" ca="1" si="198"/>
        <v>0</v>
      </c>
      <c r="L2490" s="65">
        <v>2484</v>
      </c>
      <c r="M2490" s="71">
        <f t="shared" ca="1" si="194"/>
        <v>1.7838171285078495</v>
      </c>
      <c r="N2490" s="65"/>
    </row>
    <row r="2491" spans="1:14" x14ac:dyDescent="0.25">
      <c r="A2491" s="2">
        <v>2485</v>
      </c>
      <c r="B2491" s="11">
        <f t="shared" ca="1" si="196"/>
        <v>1</v>
      </c>
      <c r="C2491" s="26">
        <f t="shared" ca="1" si="195"/>
        <v>0.64057460534711053</v>
      </c>
      <c r="J2491">
        <f t="shared" ca="1" si="197"/>
        <v>1</v>
      </c>
      <c r="K2491">
        <f t="shared" ca="1" si="198"/>
        <v>0</v>
      </c>
      <c r="L2491" s="65">
        <v>2485</v>
      </c>
      <c r="M2491" s="71">
        <f t="shared" ca="1" si="194"/>
        <v>3.5420429771633519</v>
      </c>
      <c r="N2491" s="65"/>
    </row>
    <row r="2492" spans="1:14" x14ac:dyDescent="0.25">
      <c r="A2492" s="2">
        <v>2486</v>
      </c>
      <c r="B2492" s="11">
        <f t="shared" ca="1" si="196"/>
        <v>1</v>
      </c>
      <c r="C2492" s="26">
        <f t="shared" ca="1" si="195"/>
        <v>4.1460067283939805E-2</v>
      </c>
      <c r="J2492">
        <f t="shared" ca="1" si="197"/>
        <v>1</v>
      </c>
      <c r="K2492">
        <f t="shared" ca="1" si="198"/>
        <v>0</v>
      </c>
      <c r="L2492" s="65">
        <v>2486</v>
      </c>
      <c r="M2492" s="71">
        <f t="shared" ca="1" si="194"/>
        <v>2.4594807076857248</v>
      </c>
      <c r="N2492" s="65"/>
    </row>
    <row r="2493" spans="1:14" x14ac:dyDescent="0.25">
      <c r="A2493" s="2">
        <v>2487</v>
      </c>
      <c r="B2493" s="11">
        <f t="shared" ca="1" si="196"/>
        <v>1</v>
      </c>
      <c r="C2493" s="26">
        <f t="shared" ca="1" si="195"/>
        <v>0.7332600295011299</v>
      </c>
      <c r="J2493">
        <f t="shared" ca="1" si="197"/>
        <v>1</v>
      </c>
      <c r="K2493">
        <f t="shared" ca="1" si="198"/>
        <v>0</v>
      </c>
      <c r="L2493" s="65">
        <v>2487</v>
      </c>
      <c r="M2493" s="71">
        <f t="shared" ca="1" si="194"/>
        <v>4.3892953387854758</v>
      </c>
      <c r="N2493" s="65"/>
    </row>
    <row r="2494" spans="1:14" x14ac:dyDescent="0.25">
      <c r="A2494" s="2">
        <v>2488</v>
      </c>
      <c r="B2494" s="11">
        <f t="shared" ca="1" si="196"/>
        <v>1</v>
      </c>
      <c r="C2494" s="26">
        <f t="shared" ca="1" si="195"/>
        <v>0.11496107864837779</v>
      </c>
      <c r="J2494">
        <f t="shared" ca="1" si="197"/>
        <v>1</v>
      </c>
      <c r="K2494">
        <f t="shared" ca="1" si="198"/>
        <v>0</v>
      </c>
      <c r="L2494" s="65">
        <v>2488</v>
      </c>
      <c r="M2494" s="71">
        <f t="shared" ca="1" si="194"/>
        <v>5.0393797733493164</v>
      </c>
      <c r="N2494" s="65"/>
    </row>
    <row r="2495" spans="1:14" x14ac:dyDescent="0.25">
      <c r="A2495" s="2">
        <v>2489</v>
      </c>
      <c r="B2495" s="11">
        <f t="shared" ca="1" si="196"/>
        <v>1</v>
      </c>
      <c r="C2495" s="26">
        <f t="shared" ca="1" si="195"/>
        <v>0.67419968623883242</v>
      </c>
      <c r="J2495">
        <f t="shared" ca="1" si="197"/>
        <v>1</v>
      </c>
      <c r="K2495">
        <f t="shared" ca="1" si="198"/>
        <v>0</v>
      </c>
      <c r="L2495" s="65">
        <v>2489</v>
      </c>
      <c r="M2495" s="71">
        <f t="shared" ca="1" si="194"/>
        <v>17.569936973457569</v>
      </c>
      <c r="N2495" s="65"/>
    </row>
    <row r="2496" spans="1:14" x14ac:dyDescent="0.25">
      <c r="A2496" s="2">
        <v>2490</v>
      </c>
      <c r="B2496" s="11">
        <f t="shared" ca="1" si="196"/>
        <v>1</v>
      </c>
      <c r="C2496" s="26">
        <f t="shared" ca="1" si="195"/>
        <v>3.0200167224996188E-2</v>
      </c>
      <c r="J2496">
        <f t="shared" ca="1" si="197"/>
        <v>1</v>
      </c>
      <c r="K2496">
        <f t="shared" ca="1" si="198"/>
        <v>0</v>
      </c>
      <c r="L2496" s="65">
        <v>2490</v>
      </c>
      <c r="M2496" s="71">
        <f t="shared" ca="1" si="194"/>
        <v>3.0422755391437244</v>
      </c>
      <c r="N2496" s="65"/>
    </row>
    <row r="2497" spans="1:14" x14ac:dyDescent="0.25">
      <c r="A2497" s="2">
        <v>2491</v>
      </c>
      <c r="B2497" s="11">
        <f t="shared" ca="1" si="196"/>
        <v>1</v>
      </c>
      <c r="C2497" s="26">
        <f t="shared" ca="1" si="195"/>
        <v>0.13597264631543815</v>
      </c>
      <c r="J2497">
        <f t="shared" ca="1" si="197"/>
        <v>1</v>
      </c>
      <c r="K2497">
        <f t="shared" ca="1" si="198"/>
        <v>0</v>
      </c>
      <c r="L2497" s="65">
        <v>2491</v>
      </c>
      <c r="M2497" s="71">
        <f t="shared" ca="1" si="194"/>
        <v>3.3088269791745404</v>
      </c>
      <c r="N2497" s="65"/>
    </row>
    <row r="2498" spans="1:14" x14ac:dyDescent="0.25">
      <c r="A2498" s="2">
        <v>2492</v>
      </c>
      <c r="B2498" s="11">
        <f t="shared" ca="1" si="196"/>
        <v>1</v>
      </c>
      <c r="C2498" s="26">
        <f t="shared" ca="1" si="195"/>
        <v>0.4705133034017448</v>
      </c>
      <c r="J2498">
        <f t="shared" ca="1" si="197"/>
        <v>1</v>
      </c>
      <c r="K2498">
        <f t="shared" ca="1" si="198"/>
        <v>0</v>
      </c>
      <c r="L2498" s="65">
        <v>2492</v>
      </c>
      <c r="M2498" s="71">
        <f t="shared" ca="1" si="194"/>
        <v>0.73506400505652081</v>
      </c>
      <c r="N2498" s="65"/>
    </row>
    <row r="2499" spans="1:14" x14ac:dyDescent="0.25">
      <c r="A2499" s="2">
        <v>2493</v>
      </c>
      <c r="B2499" s="11">
        <f t="shared" ca="1" si="196"/>
        <v>1</v>
      </c>
      <c r="C2499" s="26">
        <f t="shared" ca="1" si="195"/>
        <v>0.31796930932502865</v>
      </c>
      <c r="J2499">
        <f t="shared" ca="1" si="197"/>
        <v>1</v>
      </c>
      <c r="K2499">
        <f t="shared" ca="1" si="198"/>
        <v>0</v>
      </c>
      <c r="L2499" s="65">
        <v>2493</v>
      </c>
      <c r="M2499" s="71">
        <f t="shared" ca="1" si="194"/>
        <v>2.6081839206294792</v>
      </c>
      <c r="N2499" s="65"/>
    </row>
    <row r="2500" spans="1:14" x14ac:dyDescent="0.25">
      <c r="A2500" s="2">
        <v>2494</v>
      </c>
      <c r="B2500" s="11">
        <f t="shared" ca="1" si="196"/>
        <v>1</v>
      </c>
      <c r="C2500" s="26">
        <f t="shared" ca="1" si="195"/>
        <v>0.36184150394715753</v>
      </c>
      <c r="J2500">
        <f t="shared" ca="1" si="197"/>
        <v>1</v>
      </c>
      <c r="K2500">
        <f t="shared" ca="1" si="198"/>
        <v>0</v>
      </c>
      <c r="L2500" s="65">
        <v>2494</v>
      </c>
      <c r="M2500" s="71">
        <f t="shared" ca="1" si="194"/>
        <v>5.7684761296721971</v>
      </c>
      <c r="N2500" s="65"/>
    </row>
    <row r="2501" spans="1:14" x14ac:dyDescent="0.25">
      <c r="A2501" s="2">
        <v>2495</v>
      </c>
      <c r="B2501" s="11">
        <f t="shared" ca="1" si="196"/>
        <v>1</v>
      </c>
      <c r="C2501" s="26">
        <f t="shared" ca="1" si="195"/>
        <v>0.56790960151207637</v>
      </c>
      <c r="J2501">
        <f t="shared" ca="1" si="197"/>
        <v>0</v>
      </c>
      <c r="K2501">
        <f t="shared" ca="1" si="198"/>
        <v>0</v>
      </c>
      <c r="L2501" s="65">
        <v>2495</v>
      </c>
      <c r="M2501" s="71">
        <f t="shared" ca="1" si="194"/>
        <v>1.0695254843580191</v>
      </c>
      <c r="N2501" s="65"/>
    </row>
    <row r="2502" spans="1:14" x14ac:dyDescent="0.25">
      <c r="A2502" s="2">
        <v>2496</v>
      </c>
      <c r="B2502" s="11">
        <f t="shared" ca="1" si="196"/>
        <v>0</v>
      </c>
      <c r="C2502" s="26">
        <f t="shared" ca="1" si="195"/>
        <v>0.87084801759649777</v>
      </c>
      <c r="J2502">
        <f t="shared" ca="1" si="197"/>
        <v>0</v>
      </c>
      <c r="K2502">
        <f t="shared" ca="1" si="198"/>
        <v>0</v>
      </c>
      <c r="L2502" s="65">
        <v>2496</v>
      </c>
      <c r="M2502" s="71">
        <f t="shared" ca="1" si="194"/>
        <v>0</v>
      </c>
      <c r="N2502" s="65"/>
    </row>
    <row r="2503" spans="1:14" x14ac:dyDescent="0.25">
      <c r="A2503" s="2">
        <v>2497</v>
      </c>
      <c r="B2503" s="11">
        <f t="shared" ca="1" si="196"/>
        <v>1</v>
      </c>
      <c r="C2503" s="26">
        <f t="shared" ca="1" si="195"/>
        <v>0.13873527649270989</v>
      </c>
      <c r="J2503">
        <f t="shared" ca="1" si="197"/>
        <v>1</v>
      </c>
      <c r="K2503">
        <f t="shared" ca="1" si="198"/>
        <v>0</v>
      </c>
      <c r="L2503" s="65">
        <v>2497</v>
      </c>
      <c r="M2503" s="71">
        <f t="shared" ref="M2503:M2566" ca="1" si="199">IF(B2503&gt;0,-LN(1-(RAND()))/lambda,0)</f>
        <v>2.3569060748877471</v>
      </c>
      <c r="N2503" s="65"/>
    </row>
    <row r="2504" spans="1:14" x14ac:dyDescent="0.25">
      <c r="A2504" s="2">
        <v>2498</v>
      </c>
      <c r="B2504" s="11">
        <f t="shared" ca="1" si="196"/>
        <v>1</v>
      </c>
      <c r="C2504" s="26">
        <f t="shared" ref="C2504:C2567" ca="1" si="200">RAND()</f>
        <v>0.12676183682383191</v>
      </c>
      <c r="J2504">
        <f t="shared" ca="1" si="197"/>
        <v>1</v>
      </c>
      <c r="K2504">
        <f t="shared" ca="1" si="198"/>
        <v>0</v>
      </c>
      <c r="L2504" s="65">
        <v>2498</v>
      </c>
      <c r="M2504" s="71">
        <f t="shared" ca="1" si="199"/>
        <v>0.75217234939976629</v>
      </c>
      <c r="N2504" s="65"/>
    </row>
    <row r="2505" spans="1:14" x14ac:dyDescent="0.25">
      <c r="A2505" s="2">
        <v>2499</v>
      </c>
      <c r="B2505" s="11">
        <f t="shared" ca="1" si="196"/>
        <v>1</v>
      </c>
      <c r="C2505" s="26">
        <f t="shared" ca="1" si="200"/>
        <v>0.7353651967851994</v>
      </c>
      <c r="J2505">
        <f t="shared" ca="1" si="197"/>
        <v>1</v>
      </c>
      <c r="K2505">
        <f t="shared" ca="1" si="198"/>
        <v>0</v>
      </c>
      <c r="L2505" s="65">
        <v>2499</v>
      </c>
      <c r="M2505" s="71">
        <f t="shared" ca="1" si="199"/>
        <v>0.37327235825155369</v>
      </c>
      <c r="N2505" s="65"/>
    </row>
    <row r="2506" spans="1:14" x14ac:dyDescent="0.25">
      <c r="A2506" s="2">
        <v>2500</v>
      </c>
      <c r="B2506" s="11">
        <f t="shared" ca="1" si="196"/>
        <v>1</v>
      </c>
      <c r="C2506" s="26">
        <f t="shared" ca="1" si="200"/>
        <v>0.60104951939227869</v>
      </c>
      <c r="J2506">
        <f t="shared" ca="1" si="197"/>
        <v>1</v>
      </c>
      <c r="K2506">
        <f t="shared" ca="1" si="198"/>
        <v>0</v>
      </c>
      <c r="L2506" s="65">
        <v>2500</v>
      </c>
      <c r="M2506" s="71">
        <f t="shared" ca="1" si="199"/>
        <v>3.8152815978878487</v>
      </c>
      <c r="N2506" s="65"/>
    </row>
    <row r="2507" spans="1:14" x14ac:dyDescent="0.25">
      <c r="A2507" s="2">
        <v>2501</v>
      </c>
      <c r="B2507" s="11">
        <f t="shared" ca="1" si="196"/>
        <v>1</v>
      </c>
      <c r="C2507" s="26">
        <f t="shared" ca="1" si="200"/>
        <v>0.5420993241194435</v>
      </c>
      <c r="J2507">
        <f t="shared" ca="1" si="197"/>
        <v>1</v>
      </c>
      <c r="K2507">
        <f t="shared" ca="1" si="198"/>
        <v>0</v>
      </c>
      <c r="L2507" s="65">
        <v>2501</v>
      </c>
      <c r="M2507" s="71">
        <f t="shared" ca="1" si="199"/>
        <v>6.3955412443434501</v>
      </c>
      <c r="N2507" s="65"/>
    </row>
    <row r="2508" spans="1:14" x14ac:dyDescent="0.25">
      <c r="A2508" s="2">
        <v>2502</v>
      </c>
      <c r="B2508" s="11">
        <f t="shared" ca="1" si="196"/>
        <v>1</v>
      </c>
      <c r="C2508" s="26">
        <f t="shared" ca="1" si="200"/>
        <v>6.1801067028516399E-2</v>
      </c>
      <c r="J2508">
        <f t="shared" ca="1" si="197"/>
        <v>1</v>
      </c>
      <c r="K2508">
        <f t="shared" ca="1" si="198"/>
        <v>0</v>
      </c>
      <c r="L2508" s="65">
        <v>2502</v>
      </c>
      <c r="M2508" s="71">
        <f t="shared" ca="1" si="199"/>
        <v>1.5821637042598278</v>
      </c>
      <c r="N2508" s="65"/>
    </row>
    <row r="2509" spans="1:14" x14ac:dyDescent="0.25">
      <c r="A2509" s="2">
        <v>2503</v>
      </c>
      <c r="B2509" s="11">
        <f t="shared" ca="1" si="196"/>
        <v>1</v>
      </c>
      <c r="C2509" s="26">
        <f t="shared" ca="1" si="200"/>
        <v>0.19846287596600687</v>
      </c>
      <c r="J2509">
        <f t="shared" ca="1" si="197"/>
        <v>0</v>
      </c>
      <c r="K2509">
        <f t="shared" ca="1" si="198"/>
        <v>0</v>
      </c>
      <c r="L2509" s="65">
        <v>2503</v>
      </c>
      <c r="M2509" s="71">
        <f t="shared" ca="1" si="199"/>
        <v>4.5519659560433077</v>
      </c>
      <c r="N2509" s="65"/>
    </row>
    <row r="2510" spans="1:14" x14ac:dyDescent="0.25">
      <c r="A2510" s="2">
        <v>2504</v>
      </c>
      <c r="B2510" s="11">
        <f t="shared" ca="1" si="196"/>
        <v>0</v>
      </c>
      <c r="C2510" s="26">
        <f t="shared" ca="1" si="200"/>
        <v>0.8116551682878228</v>
      </c>
      <c r="J2510">
        <f t="shared" ca="1" si="197"/>
        <v>0</v>
      </c>
      <c r="K2510">
        <f t="shared" ca="1" si="198"/>
        <v>0</v>
      </c>
      <c r="L2510" s="65">
        <v>2504</v>
      </c>
      <c r="M2510" s="71">
        <f t="shared" ca="1" si="199"/>
        <v>0</v>
      </c>
      <c r="N2510" s="65"/>
    </row>
    <row r="2511" spans="1:14" x14ac:dyDescent="0.25">
      <c r="A2511" s="2">
        <v>2505</v>
      </c>
      <c r="B2511" s="11">
        <f t="shared" ca="1" si="196"/>
        <v>1</v>
      </c>
      <c r="C2511" s="26">
        <f t="shared" ca="1" si="200"/>
        <v>0.52407265638992107</v>
      </c>
      <c r="J2511">
        <f t="shared" ca="1" si="197"/>
        <v>1</v>
      </c>
      <c r="K2511">
        <f t="shared" ca="1" si="198"/>
        <v>0</v>
      </c>
      <c r="L2511" s="65">
        <v>2505</v>
      </c>
      <c r="M2511" s="71">
        <f t="shared" ca="1" si="199"/>
        <v>3.6245436445701555</v>
      </c>
      <c r="N2511" s="65"/>
    </row>
    <row r="2512" spans="1:14" x14ac:dyDescent="0.25">
      <c r="A2512" s="2">
        <v>2506</v>
      </c>
      <c r="B2512" s="11">
        <f t="shared" ca="1" si="196"/>
        <v>1</v>
      </c>
      <c r="C2512" s="26">
        <f t="shared" ca="1" si="200"/>
        <v>0.39921109922576237</v>
      </c>
      <c r="J2512">
        <f t="shared" ca="1" si="197"/>
        <v>0</v>
      </c>
      <c r="K2512">
        <f t="shared" ca="1" si="198"/>
        <v>0</v>
      </c>
      <c r="L2512" s="65">
        <v>2506</v>
      </c>
      <c r="M2512" s="71">
        <f t="shared" ca="1" si="199"/>
        <v>4.3245011872196848</v>
      </c>
      <c r="N2512" s="65"/>
    </row>
    <row r="2513" spans="1:14" x14ac:dyDescent="0.25">
      <c r="A2513" s="2">
        <v>2507</v>
      </c>
      <c r="B2513" s="11">
        <f t="shared" ca="1" si="196"/>
        <v>0</v>
      </c>
      <c r="C2513" s="26">
        <f t="shared" ca="1" si="200"/>
        <v>0.90108843947226258</v>
      </c>
      <c r="J2513">
        <f t="shared" ca="1" si="197"/>
        <v>0</v>
      </c>
      <c r="K2513">
        <f t="shared" ca="1" si="198"/>
        <v>0</v>
      </c>
      <c r="L2513" s="65">
        <v>2507</v>
      </c>
      <c r="M2513" s="71">
        <f t="shared" ca="1" si="199"/>
        <v>0</v>
      </c>
      <c r="N2513" s="65"/>
    </row>
    <row r="2514" spans="1:14" x14ac:dyDescent="0.25">
      <c r="A2514" s="2">
        <v>2508</v>
      </c>
      <c r="B2514" s="11">
        <f t="shared" ca="1" si="196"/>
        <v>1</v>
      </c>
      <c r="C2514" s="26">
        <f t="shared" ca="1" si="200"/>
        <v>0.65733528890905069</v>
      </c>
      <c r="J2514">
        <f t="shared" ca="1" si="197"/>
        <v>1</v>
      </c>
      <c r="K2514">
        <f t="shared" ca="1" si="198"/>
        <v>0</v>
      </c>
      <c r="L2514" s="65">
        <v>2508</v>
      </c>
      <c r="M2514" s="71">
        <f t="shared" ca="1" si="199"/>
        <v>4.6031530782107692</v>
      </c>
      <c r="N2514" s="65"/>
    </row>
    <row r="2515" spans="1:14" x14ac:dyDescent="0.25">
      <c r="A2515" s="2">
        <v>2509</v>
      </c>
      <c r="B2515" s="11">
        <f t="shared" ca="1" si="196"/>
        <v>1</v>
      </c>
      <c r="C2515" s="26">
        <f t="shared" ca="1" si="200"/>
        <v>0.39228829984046565</v>
      </c>
      <c r="J2515">
        <f t="shared" ca="1" si="197"/>
        <v>1</v>
      </c>
      <c r="K2515">
        <f t="shared" ca="1" si="198"/>
        <v>0</v>
      </c>
      <c r="L2515" s="65">
        <v>2509</v>
      </c>
      <c r="M2515" s="71">
        <f t="shared" ca="1" si="199"/>
        <v>0.16242977008644352</v>
      </c>
      <c r="N2515" s="65"/>
    </row>
    <row r="2516" spans="1:14" x14ac:dyDescent="0.25">
      <c r="A2516" s="2">
        <v>2510</v>
      </c>
      <c r="B2516" s="11">
        <f t="shared" ca="1" si="196"/>
        <v>1</v>
      </c>
      <c r="C2516" s="26">
        <f t="shared" ca="1" si="200"/>
        <v>0.42539892800184054</v>
      </c>
      <c r="J2516">
        <f t="shared" ca="1" si="197"/>
        <v>1</v>
      </c>
      <c r="K2516">
        <f t="shared" ca="1" si="198"/>
        <v>0</v>
      </c>
      <c r="L2516" s="65">
        <v>2510</v>
      </c>
      <c r="M2516" s="71">
        <f t="shared" ca="1" si="199"/>
        <v>2.9806610818097696</v>
      </c>
      <c r="N2516" s="65"/>
    </row>
    <row r="2517" spans="1:14" x14ac:dyDescent="0.25">
      <c r="A2517" s="2">
        <v>2511</v>
      </c>
      <c r="B2517" s="11">
        <f t="shared" ca="1" si="196"/>
        <v>1</v>
      </c>
      <c r="C2517" s="26">
        <f t="shared" ca="1" si="200"/>
        <v>0.71039691367062041</v>
      </c>
      <c r="J2517">
        <f t="shared" ca="1" si="197"/>
        <v>1</v>
      </c>
      <c r="K2517">
        <f t="shared" ca="1" si="198"/>
        <v>0</v>
      </c>
      <c r="L2517" s="65">
        <v>2511</v>
      </c>
      <c r="M2517" s="71">
        <f t="shared" ca="1" si="199"/>
        <v>7.501326392928509</v>
      </c>
      <c r="N2517" s="65"/>
    </row>
    <row r="2518" spans="1:14" x14ac:dyDescent="0.25">
      <c r="A2518" s="2">
        <v>2512</v>
      </c>
      <c r="B2518" s="11">
        <f t="shared" ca="1" si="196"/>
        <v>1</v>
      </c>
      <c r="C2518" s="26">
        <f t="shared" ca="1" si="200"/>
        <v>0.14052222631416522</v>
      </c>
      <c r="J2518">
        <f t="shared" ca="1" si="197"/>
        <v>1</v>
      </c>
      <c r="K2518">
        <f t="shared" ca="1" si="198"/>
        <v>0</v>
      </c>
      <c r="L2518" s="65">
        <v>2512</v>
      </c>
      <c r="M2518" s="71">
        <f t="shared" ca="1" si="199"/>
        <v>1.4202473895491299</v>
      </c>
      <c r="N2518" s="65"/>
    </row>
    <row r="2519" spans="1:14" x14ac:dyDescent="0.25">
      <c r="A2519" s="2">
        <v>2513</v>
      </c>
      <c r="B2519" s="11">
        <f t="shared" ca="1" si="196"/>
        <v>1</v>
      </c>
      <c r="C2519" s="26">
        <f t="shared" ca="1" si="200"/>
        <v>0.14927405696543961</v>
      </c>
      <c r="J2519">
        <f t="shared" ca="1" si="197"/>
        <v>1</v>
      </c>
      <c r="K2519">
        <f t="shared" ca="1" si="198"/>
        <v>0</v>
      </c>
      <c r="L2519" s="65">
        <v>2513</v>
      </c>
      <c r="M2519" s="71">
        <f t="shared" ca="1" si="199"/>
        <v>3.9609823389825141</v>
      </c>
      <c r="N2519" s="65"/>
    </row>
    <row r="2520" spans="1:14" x14ac:dyDescent="0.25">
      <c r="A2520" s="2">
        <v>2514</v>
      </c>
      <c r="B2520" s="11">
        <f t="shared" ca="1" si="196"/>
        <v>1</v>
      </c>
      <c r="C2520" s="26">
        <f t="shared" ca="1" si="200"/>
        <v>0.30362475407453815</v>
      </c>
      <c r="J2520">
        <f t="shared" ca="1" si="197"/>
        <v>1</v>
      </c>
      <c r="K2520">
        <f t="shared" ca="1" si="198"/>
        <v>0</v>
      </c>
      <c r="L2520" s="65">
        <v>2514</v>
      </c>
      <c r="M2520" s="71">
        <f t="shared" ca="1" si="199"/>
        <v>1.3994225308408577</v>
      </c>
      <c r="N2520" s="65"/>
    </row>
    <row r="2521" spans="1:14" x14ac:dyDescent="0.25">
      <c r="A2521" s="2">
        <v>2515</v>
      </c>
      <c r="B2521" s="11">
        <f t="shared" ca="1" si="196"/>
        <v>1</v>
      </c>
      <c r="C2521" s="26">
        <f t="shared" ca="1" si="200"/>
        <v>0.70287735087180714</v>
      </c>
      <c r="J2521">
        <f t="shared" ca="1" si="197"/>
        <v>1</v>
      </c>
      <c r="K2521">
        <f t="shared" ca="1" si="198"/>
        <v>0</v>
      </c>
      <c r="L2521" s="65">
        <v>2515</v>
      </c>
      <c r="M2521" s="71">
        <f t="shared" ca="1" si="199"/>
        <v>0.51628756949403831</v>
      </c>
      <c r="N2521" s="65"/>
    </row>
    <row r="2522" spans="1:14" x14ac:dyDescent="0.25">
      <c r="A2522" s="2">
        <v>2516</v>
      </c>
      <c r="B2522" s="11">
        <f t="shared" ca="1" si="196"/>
        <v>1</v>
      </c>
      <c r="C2522" s="26">
        <f t="shared" ca="1" si="200"/>
        <v>6.5629024828939841E-2</v>
      </c>
      <c r="J2522">
        <f t="shared" ca="1" si="197"/>
        <v>0</v>
      </c>
      <c r="K2522">
        <f t="shared" ca="1" si="198"/>
        <v>0</v>
      </c>
      <c r="L2522" s="65">
        <v>2516</v>
      </c>
      <c r="M2522" s="71">
        <f t="shared" ca="1" si="199"/>
        <v>1.7710841576609715</v>
      </c>
      <c r="N2522" s="65"/>
    </row>
    <row r="2523" spans="1:14" x14ac:dyDescent="0.25">
      <c r="A2523" s="2">
        <v>2517</v>
      </c>
      <c r="B2523" s="11">
        <f t="shared" ca="1" si="196"/>
        <v>0</v>
      </c>
      <c r="C2523" s="26">
        <f t="shared" ca="1" si="200"/>
        <v>0.90807619515283422</v>
      </c>
      <c r="J2523">
        <f t="shared" ca="1" si="197"/>
        <v>0</v>
      </c>
      <c r="K2523">
        <f t="shared" ca="1" si="198"/>
        <v>0</v>
      </c>
      <c r="L2523" s="65">
        <v>2517</v>
      </c>
      <c r="M2523" s="71">
        <f t="shared" ca="1" si="199"/>
        <v>0</v>
      </c>
      <c r="N2523" s="65"/>
    </row>
    <row r="2524" spans="1:14" x14ac:dyDescent="0.25">
      <c r="A2524" s="2">
        <v>2518</v>
      </c>
      <c r="B2524" s="11">
        <f t="shared" ca="1" si="196"/>
        <v>1</v>
      </c>
      <c r="C2524" s="26">
        <f t="shared" ca="1" si="200"/>
        <v>0.57301515026651639</v>
      </c>
      <c r="J2524">
        <f t="shared" ca="1" si="197"/>
        <v>1</v>
      </c>
      <c r="K2524">
        <f t="shared" ca="1" si="198"/>
        <v>0</v>
      </c>
      <c r="L2524" s="65">
        <v>2518</v>
      </c>
      <c r="M2524" s="71">
        <f t="shared" ca="1" si="199"/>
        <v>0.58787413284422774</v>
      </c>
      <c r="N2524" s="65"/>
    </row>
    <row r="2525" spans="1:14" x14ac:dyDescent="0.25">
      <c r="A2525" s="2">
        <v>2519</v>
      </c>
      <c r="B2525" s="11">
        <f t="shared" ca="1" si="196"/>
        <v>1</v>
      </c>
      <c r="C2525" s="26">
        <f t="shared" ca="1" si="200"/>
        <v>0.71584011362874111</v>
      </c>
      <c r="J2525">
        <f t="shared" ca="1" si="197"/>
        <v>1</v>
      </c>
      <c r="K2525">
        <f t="shared" ca="1" si="198"/>
        <v>0</v>
      </c>
      <c r="L2525" s="65">
        <v>2519</v>
      </c>
      <c r="M2525" s="71">
        <f t="shared" ca="1" si="199"/>
        <v>0.6177341966677532</v>
      </c>
      <c r="N2525" s="65"/>
    </row>
    <row r="2526" spans="1:14" x14ac:dyDescent="0.25">
      <c r="A2526" s="2">
        <v>2520</v>
      </c>
      <c r="B2526" s="11">
        <f t="shared" ca="1" si="196"/>
        <v>1</v>
      </c>
      <c r="C2526" s="26">
        <f t="shared" ca="1" si="200"/>
        <v>0.48249381465681729</v>
      </c>
      <c r="J2526">
        <f t="shared" ca="1" si="197"/>
        <v>1</v>
      </c>
      <c r="K2526">
        <f t="shared" ca="1" si="198"/>
        <v>0</v>
      </c>
      <c r="L2526" s="65">
        <v>2520</v>
      </c>
      <c r="M2526" s="71">
        <f t="shared" ca="1" si="199"/>
        <v>4.4553916757578342</v>
      </c>
      <c r="N2526" s="65"/>
    </row>
    <row r="2527" spans="1:14" x14ac:dyDescent="0.25">
      <c r="A2527" s="2">
        <v>2521</v>
      </c>
      <c r="B2527" s="11">
        <f t="shared" ca="1" si="196"/>
        <v>1</v>
      </c>
      <c r="C2527" s="26">
        <f t="shared" ca="1" si="200"/>
        <v>7.2707211990895138E-2</v>
      </c>
      <c r="J2527">
        <f t="shared" ca="1" si="197"/>
        <v>1</v>
      </c>
      <c r="K2527">
        <f t="shared" ca="1" si="198"/>
        <v>0</v>
      </c>
      <c r="L2527" s="65">
        <v>2521</v>
      </c>
      <c r="M2527" s="71">
        <f t="shared" ca="1" si="199"/>
        <v>7.8344748404589195</v>
      </c>
      <c r="N2527" s="65"/>
    </row>
    <row r="2528" spans="1:14" x14ac:dyDescent="0.25">
      <c r="A2528" s="2">
        <v>2522</v>
      </c>
      <c r="B2528" s="11">
        <f t="shared" ca="1" si="196"/>
        <v>1</v>
      </c>
      <c r="C2528" s="26">
        <f t="shared" ca="1" si="200"/>
        <v>0.71189252782804791</v>
      </c>
      <c r="J2528">
        <f t="shared" ca="1" si="197"/>
        <v>1</v>
      </c>
      <c r="K2528">
        <f t="shared" ca="1" si="198"/>
        <v>0</v>
      </c>
      <c r="L2528" s="65">
        <v>2522</v>
      </c>
      <c r="M2528" s="71">
        <f t="shared" ca="1" si="199"/>
        <v>2.5467907474275515</v>
      </c>
      <c r="N2528" s="65"/>
    </row>
    <row r="2529" spans="1:14" x14ac:dyDescent="0.25">
      <c r="A2529" s="2">
        <v>2523</v>
      </c>
      <c r="B2529" s="11">
        <f t="shared" ca="1" si="196"/>
        <v>1</v>
      </c>
      <c r="C2529" s="26">
        <f t="shared" ca="1" si="200"/>
        <v>0.29601186892722287</v>
      </c>
      <c r="J2529">
        <f t="shared" ca="1" si="197"/>
        <v>0</v>
      </c>
      <c r="K2529">
        <f t="shared" ca="1" si="198"/>
        <v>0</v>
      </c>
      <c r="L2529" s="65">
        <v>2523</v>
      </c>
      <c r="M2529" s="71">
        <f t="shared" ca="1" si="199"/>
        <v>6.7200998655186597</v>
      </c>
      <c r="N2529" s="65"/>
    </row>
    <row r="2530" spans="1:14" x14ac:dyDescent="0.25">
      <c r="A2530" s="2">
        <v>2524</v>
      </c>
      <c r="B2530" s="11">
        <f t="shared" ca="1" si="196"/>
        <v>0</v>
      </c>
      <c r="C2530" s="26">
        <f t="shared" ca="1" si="200"/>
        <v>0.89355813226040459</v>
      </c>
      <c r="J2530">
        <f t="shared" ca="1" si="197"/>
        <v>0</v>
      </c>
      <c r="K2530">
        <f t="shared" ca="1" si="198"/>
        <v>0</v>
      </c>
      <c r="L2530" s="65">
        <v>2524</v>
      </c>
      <c r="M2530" s="71">
        <f t="shared" ca="1" si="199"/>
        <v>0</v>
      </c>
      <c r="N2530" s="65"/>
    </row>
    <row r="2531" spans="1:14" x14ac:dyDescent="0.25">
      <c r="A2531" s="2">
        <v>2525</v>
      </c>
      <c r="B2531" s="11">
        <f t="shared" ca="1" si="196"/>
        <v>1</v>
      </c>
      <c r="C2531" s="26">
        <f t="shared" ca="1" si="200"/>
        <v>0.21232272354595627</v>
      </c>
      <c r="J2531">
        <f t="shared" ca="1" si="197"/>
        <v>0</v>
      </c>
      <c r="K2531">
        <f t="shared" ca="1" si="198"/>
        <v>0</v>
      </c>
      <c r="L2531" s="65">
        <v>2525</v>
      </c>
      <c r="M2531" s="71">
        <f t="shared" ca="1" si="199"/>
        <v>1.6761833994321444</v>
      </c>
      <c r="N2531" s="65"/>
    </row>
    <row r="2532" spans="1:14" x14ac:dyDescent="0.25">
      <c r="A2532" s="2">
        <v>2526</v>
      </c>
      <c r="B2532" s="11">
        <f t="shared" ca="1" si="196"/>
        <v>0</v>
      </c>
      <c r="C2532" s="26">
        <f t="shared" ca="1" si="200"/>
        <v>0.99544603345039206</v>
      </c>
      <c r="J2532">
        <f t="shared" ca="1" si="197"/>
        <v>0</v>
      </c>
      <c r="K2532">
        <f t="shared" ca="1" si="198"/>
        <v>0</v>
      </c>
      <c r="L2532" s="65">
        <v>2526</v>
      </c>
      <c r="M2532" s="71">
        <f t="shared" ca="1" si="199"/>
        <v>0</v>
      </c>
      <c r="N2532" s="65"/>
    </row>
    <row r="2533" spans="1:14" x14ac:dyDescent="0.25">
      <c r="A2533" s="2">
        <v>2527</v>
      </c>
      <c r="B2533" s="11">
        <f t="shared" ca="1" si="196"/>
        <v>1</v>
      </c>
      <c r="C2533" s="26">
        <f t="shared" ca="1" si="200"/>
        <v>1.6843603321359035E-2</v>
      </c>
      <c r="J2533">
        <f t="shared" ca="1" si="197"/>
        <v>1</v>
      </c>
      <c r="K2533">
        <f t="shared" ca="1" si="198"/>
        <v>0</v>
      </c>
      <c r="L2533" s="65">
        <v>2527</v>
      </c>
      <c r="M2533" s="71">
        <f t="shared" ca="1" si="199"/>
        <v>0.90592318023967955</v>
      </c>
      <c r="N2533" s="65"/>
    </row>
    <row r="2534" spans="1:14" x14ac:dyDescent="0.25">
      <c r="A2534" s="2">
        <v>2528</v>
      </c>
      <c r="B2534" s="11">
        <f t="shared" ca="1" si="196"/>
        <v>1</v>
      </c>
      <c r="C2534" s="26">
        <f t="shared" ca="1" si="200"/>
        <v>0.7960762176781353</v>
      </c>
      <c r="J2534">
        <f t="shared" ca="1" si="197"/>
        <v>0</v>
      </c>
      <c r="K2534">
        <f t="shared" ca="1" si="198"/>
        <v>0</v>
      </c>
      <c r="L2534" s="65">
        <v>2528</v>
      </c>
      <c r="M2534" s="71">
        <f t="shared" ca="1" si="199"/>
        <v>3.6888142797442556</v>
      </c>
      <c r="N2534" s="65"/>
    </row>
    <row r="2535" spans="1:14" x14ac:dyDescent="0.25">
      <c r="A2535" s="2">
        <v>2529</v>
      </c>
      <c r="B2535" s="11">
        <f t="shared" ca="1" si="196"/>
        <v>0</v>
      </c>
      <c r="C2535" s="26">
        <f t="shared" ca="1" si="200"/>
        <v>0.88533361391252119</v>
      </c>
      <c r="J2535">
        <f t="shared" ca="1" si="197"/>
        <v>0</v>
      </c>
      <c r="K2535">
        <f t="shared" ca="1" si="198"/>
        <v>0</v>
      </c>
      <c r="L2535" s="65">
        <v>2529</v>
      </c>
      <c r="M2535" s="71">
        <f t="shared" ca="1" si="199"/>
        <v>0</v>
      </c>
      <c r="N2535" s="65"/>
    </row>
    <row r="2536" spans="1:14" x14ac:dyDescent="0.25">
      <c r="A2536" s="2">
        <v>2530</v>
      </c>
      <c r="B2536" s="11">
        <f t="shared" ca="1" si="196"/>
        <v>1</v>
      </c>
      <c r="C2536" s="26">
        <f t="shared" ca="1" si="200"/>
        <v>4.4371250765909753E-2</v>
      </c>
      <c r="J2536">
        <f t="shared" ca="1" si="197"/>
        <v>0</v>
      </c>
      <c r="K2536">
        <f t="shared" ca="1" si="198"/>
        <v>0</v>
      </c>
      <c r="L2536" s="65">
        <v>2530</v>
      </c>
      <c r="M2536" s="71">
        <f t="shared" ca="1" si="199"/>
        <v>10.301103362477518</v>
      </c>
      <c r="N2536" s="65"/>
    </row>
    <row r="2537" spans="1:14" x14ac:dyDescent="0.25">
      <c r="A2537" s="2">
        <v>2531</v>
      </c>
      <c r="B2537" s="11">
        <f t="shared" ca="1" si="196"/>
        <v>0</v>
      </c>
      <c r="C2537" s="26">
        <f t="shared" ca="1" si="200"/>
        <v>0.87989474476579332</v>
      </c>
      <c r="J2537">
        <f t="shared" ca="1" si="197"/>
        <v>0</v>
      </c>
      <c r="K2537">
        <f t="shared" ca="1" si="198"/>
        <v>0</v>
      </c>
      <c r="L2537" s="65">
        <v>2531</v>
      </c>
      <c r="M2537" s="71">
        <f t="shared" ca="1" si="199"/>
        <v>0</v>
      </c>
      <c r="N2537" s="65"/>
    </row>
    <row r="2538" spans="1:14" x14ac:dyDescent="0.25">
      <c r="A2538" s="2">
        <v>2532</v>
      </c>
      <c r="B2538" s="11">
        <f t="shared" ca="1" si="196"/>
        <v>1</v>
      </c>
      <c r="C2538" s="26">
        <f t="shared" ca="1" si="200"/>
        <v>3.3810184126185083E-3</v>
      </c>
      <c r="J2538">
        <f t="shared" ca="1" si="197"/>
        <v>1</v>
      </c>
      <c r="K2538">
        <f t="shared" ca="1" si="198"/>
        <v>0</v>
      </c>
      <c r="L2538" s="65">
        <v>2532</v>
      </c>
      <c r="M2538" s="71">
        <f t="shared" ca="1" si="199"/>
        <v>0.8620217041089393</v>
      </c>
      <c r="N2538" s="65"/>
    </row>
    <row r="2539" spans="1:14" x14ac:dyDescent="0.25">
      <c r="A2539" s="2">
        <v>2533</v>
      </c>
      <c r="B2539" s="11">
        <f t="shared" ca="1" si="196"/>
        <v>1</v>
      </c>
      <c r="C2539" s="26">
        <f t="shared" ca="1" si="200"/>
        <v>0.75961580807212636</v>
      </c>
      <c r="J2539">
        <f t="shared" ca="1" si="197"/>
        <v>0</v>
      </c>
      <c r="K2539">
        <f t="shared" ca="1" si="198"/>
        <v>0</v>
      </c>
      <c r="L2539" s="65">
        <v>2533</v>
      </c>
      <c r="M2539" s="71">
        <f t="shared" ca="1" si="199"/>
        <v>5.5079205733491081</v>
      </c>
      <c r="N2539" s="65"/>
    </row>
    <row r="2540" spans="1:14" x14ac:dyDescent="0.25">
      <c r="A2540" s="2">
        <v>2534</v>
      </c>
      <c r="B2540" s="11">
        <f t="shared" ca="1" si="196"/>
        <v>0</v>
      </c>
      <c r="C2540" s="26">
        <f t="shared" ca="1" si="200"/>
        <v>0.85623952309349738</v>
      </c>
      <c r="J2540">
        <f t="shared" ca="1" si="197"/>
        <v>0</v>
      </c>
      <c r="K2540">
        <f t="shared" ca="1" si="198"/>
        <v>0</v>
      </c>
      <c r="L2540" s="65">
        <v>2534</v>
      </c>
      <c r="M2540" s="71">
        <f t="shared" ca="1" si="199"/>
        <v>0</v>
      </c>
      <c r="N2540" s="65"/>
    </row>
    <row r="2541" spans="1:14" x14ac:dyDescent="0.25">
      <c r="A2541" s="2">
        <v>2535</v>
      </c>
      <c r="B2541" s="11">
        <f t="shared" ca="1" si="196"/>
        <v>1</v>
      </c>
      <c r="C2541" s="26">
        <f t="shared" ca="1" si="200"/>
        <v>0.34406961659546853</v>
      </c>
      <c r="J2541">
        <f t="shared" ca="1" si="197"/>
        <v>1</v>
      </c>
      <c r="K2541">
        <f t="shared" ca="1" si="198"/>
        <v>0</v>
      </c>
      <c r="L2541" s="65">
        <v>2535</v>
      </c>
      <c r="M2541" s="71">
        <f t="shared" ca="1" si="199"/>
        <v>3.5827237560169283</v>
      </c>
      <c r="N2541" s="65"/>
    </row>
    <row r="2542" spans="1:14" x14ac:dyDescent="0.25">
      <c r="A2542" s="2">
        <v>2536</v>
      </c>
      <c r="B2542" s="11">
        <f t="shared" ca="1" si="196"/>
        <v>1</v>
      </c>
      <c r="C2542" s="26">
        <f t="shared" ca="1" si="200"/>
        <v>0.23463366887788029</v>
      </c>
      <c r="J2542">
        <f t="shared" ca="1" si="197"/>
        <v>0</v>
      </c>
      <c r="K2542">
        <f t="shared" ca="1" si="198"/>
        <v>0</v>
      </c>
      <c r="L2542" s="65">
        <v>2536</v>
      </c>
      <c r="M2542" s="71">
        <f t="shared" ca="1" si="199"/>
        <v>1.6758200352056472</v>
      </c>
      <c r="N2542" s="65"/>
    </row>
    <row r="2543" spans="1:14" x14ac:dyDescent="0.25">
      <c r="A2543" s="2">
        <v>2537</v>
      </c>
      <c r="B2543" s="11">
        <f t="shared" ref="B2543:B2606" ca="1" si="201">IF(B2542&gt;0,IF(C2543&lt;pww,1,0),IF(C2543&lt;pdw,1,0))</f>
        <v>0</v>
      </c>
      <c r="C2543" s="26">
        <f t="shared" ca="1" si="200"/>
        <v>0.91498606196281818</v>
      </c>
      <c r="J2543">
        <f t="shared" ref="J2543:J2606" ca="1" si="202">IF(AND(B2543,B2544),1,0)</f>
        <v>0</v>
      </c>
      <c r="K2543">
        <f t="shared" ref="K2543:K2606" ca="1" si="203">IF(AND(NOT(B2543),NOT(B2544)),1,0)</f>
        <v>0</v>
      </c>
      <c r="L2543" s="65">
        <v>2537</v>
      </c>
      <c r="M2543" s="71">
        <f t="shared" ca="1" si="199"/>
        <v>0</v>
      </c>
      <c r="N2543" s="65"/>
    </row>
    <row r="2544" spans="1:14" x14ac:dyDescent="0.25">
      <c r="A2544" s="2">
        <v>2538</v>
      </c>
      <c r="B2544" s="11">
        <f t="shared" ca="1" si="201"/>
        <v>1</v>
      </c>
      <c r="C2544" s="26">
        <f t="shared" ca="1" si="200"/>
        <v>0.16581228788713098</v>
      </c>
      <c r="J2544">
        <f t="shared" ca="1" si="202"/>
        <v>1</v>
      </c>
      <c r="K2544">
        <f t="shared" ca="1" si="203"/>
        <v>0</v>
      </c>
      <c r="L2544" s="65">
        <v>2538</v>
      </c>
      <c r="M2544" s="71">
        <f t="shared" ca="1" si="199"/>
        <v>1.4972771255461261</v>
      </c>
      <c r="N2544" s="65"/>
    </row>
    <row r="2545" spans="1:14" x14ac:dyDescent="0.25">
      <c r="A2545" s="2">
        <v>2539</v>
      </c>
      <c r="B2545" s="11">
        <f t="shared" ca="1" si="201"/>
        <v>1</v>
      </c>
      <c r="C2545" s="26">
        <f t="shared" ca="1" si="200"/>
        <v>0.14531206544460951</v>
      </c>
      <c r="J2545">
        <f t="shared" ca="1" si="202"/>
        <v>1</v>
      </c>
      <c r="K2545">
        <f t="shared" ca="1" si="203"/>
        <v>0</v>
      </c>
      <c r="L2545" s="65">
        <v>2539</v>
      </c>
      <c r="M2545" s="71">
        <f t="shared" ca="1" si="199"/>
        <v>1.515190855911837</v>
      </c>
      <c r="N2545" s="65"/>
    </row>
    <row r="2546" spans="1:14" x14ac:dyDescent="0.25">
      <c r="A2546" s="2">
        <v>2540</v>
      </c>
      <c r="B2546" s="11">
        <f t="shared" ca="1" si="201"/>
        <v>1</v>
      </c>
      <c r="C2546" s="26">
        <f t="shared" ca="1" si="200"/>
        <v>0.13766101421550836</v>
      </c>
      <c r="J2546">
        <f t="shared" ca="1" si="202"/>
        <v>1</v>
      </c>
      <c r="K2546">
        <f t="shared" ca="1" si="203"/>
        <v>0</v>
      </c>
      <c r="L2546" s="65">
        <v>2540</v>
      </c>
      <c r="M2546" s="71">
        <f t="shared" ca="1" si="199"/>
        <v>2.3340761723363816</v>
      </c>
      <c r="N2546" s="65"/>
    </row>
    <row r="2547" spans="1:14" x14ac:dyDescent="0.25">
      <c r="A2547" s="2">
        <v>2541</v>
      </c>
      <c r="B2547" s="11">
        <f t="shared" ca="1" si="201"/>
        <v>1</v>
      </c>
      <c r="C2547" s="26">
        <f t="shared" ca="1" si="200"/>
        <v>0.49498204969548609</v>
      </c>
      <c r="J2547">
        <f t="shared" ca="1" si="202"/>
        <v>1</v>
      </c>
      <c r="K2547">
        <f t="shared" ca="1" si="203"/>
        <v>0</v>
      </c>
      <c r="L2547" s="65">
        <v>2541</v>
      </c>
      <c r="M2547" s="71">
        <f t="shared" ca="1" si="199"/>
        <v>0.44187328287445227</v>
      </c>
      <c r="N2547" s="65"/>
    </row>
    <row r="2548" spans="1:14" x14ac:dyDescent="0.25">
      <c r="A2548" s="2">
        <v>2542</v>
      </c>
      <c r="B2548" s="11">
        <f t="shared" ca="1" si="201"/>
        <v>1</v>
      </c>
      <c r="C2548" s="26">
        <f t="shared" ca="1" si="200"/>
        <v>0.51167215880064909</v>
      </c>
      <c r="J2548">
        <f t="shared" ca="1" si="202"/>
        <v>1</v>
      </c>
      <c r="K2548">
        <f t="shared" ca="1" si="203"/>
        <v>0</v>
      </c>
      <c r="L2548" s="65">
        <v>2542</v>
      </c>
      <c r="M2548" s="71">
        <f t="shared" ca="1" si="199"/>
        <v>2.2601946603728482</v>
      </c>
      <c r="N2548" s="65"/>
    </row>
    <row r="2549" spans="1:14" x14ac:dyDescent="0.25">
      <c r="A2549" s="2">
        <v>2543</v>
      </c>
      <c r="B2549" s="11">
        <f t="shared" ca="1" si="201"/>
        <v>1</v>
      </c>
      <c r="C2549" s="26">
        <f t="shared" ca="1" si="200"/>
        <v>2.5502373385329347E-2</v>
      </c>
      <c r="J2549">
        <f t="shared" ca="1" si="202"/>
        <v>0</v>
      </c>
      <c r="K2549">
        <f t="shared" ca="1" si="203"/>
        <v>0</v>
      </c>
      <c r="L2549" s="65">
        <v>2543</v>
      </c>
      <c r="M2549" s="71">
        <f t="shared" ca="1" si="199"/>
        <v>0.56580528039162226</v>
      </c>
      <c r="N2549" s="65"/>
    </row>
    <row r="2550" spans="1:14" x14ac:dyDescent="0.25">
      <c r="A2550" s="2">
        <v>2544</v>
      </c>
      <c r="B2550" s="11">
        <f t="shared" ca="1" si="201"/>
        <v>0</v>
      </c>
      <c r="C2550" s="26">
        <f t="shared" ca="1" si="200"/>
        <v>0.89341467041309175</v>
      </c>
      <c r="J2550">
        <f t="shared" ca="1" si="202"/>
        <v>0</v>
      </c>
      <c r="K2550">
        <f t="shared" ca="1" si="203"/>
        <v>1</v>
      </c>
      <c r="L2550" s="65">
        <v>2544</v>
      </c>
      <c r="M2550" s="71">
        <f t="shared" ca="1" si="199"/>
        <v>0</v>
      </c>
      <c r="N2550" s="65"/>
    </row>
    <row r="2551" spans="1:14" x14ac:dyDescent="0.25">
      <c r="A2551" s="2">
        <v>2545</v>
      </c>
      <c r="B2551" s="11">
        <f t="shared" ca="1" si="201"/>
        <v>0</v>
      </c>
      <c r="C2551" s="26">
        <f t="shared" ca="1" si="200"/>
        <v>0.75318169996137008</v>
      </c>
      <c r="J2551">
        <f t="shared" ca="1" si="202"/>
        <v>0</v>
      </c>
      <c r="K2551">
        <f t="shared" ca="1" si="203"/>
        <v>0</v>
      </c>
      <c r="L2551" s="65">
        <v>2545</v>
      </c>
      <c r="M2551" s="71">
        <f t="shared" ca="1" si="199"/>
        <v>0</v>
      </c>
      <c r="N2551" s="65"/>
    </row>
    <row r="2552" spans="1:14" x14ac:dyDescent="0.25">
      <c r="A2552" s="2">
        <v>2546</v>
      </c>
      <c r="B2552" s="11">
        <f t="shared" ca="1" si="201"/>
        <v>1</v>
      </c>
      <c r="C2552" s="26">
        <f t="shared" ca="1" si="200"/>
        <v>0.64745544473978156</v>
      </c>
      <c r="J2552">
        <f t="shared" ca="1" si="202"/>
        <v>1</v>
      </c>
      <c r="K2552">
        <f t="shared" ca="1" si="203"/>
        <v>0</v>
      </c>
      <c r="L2552" s="65">
        <v>2546</v>
      </c>
      <c r="M2552" s="71">
        <f t="shared" ca="1" si="199"/>
        <v>0.32697360026127886</v>
      </c>
      <c r="N2552" s="65"/>
    </row>
    <row r="2553" spans="1:14" x14ac:dyDescent="0.25">
      <c r="A2553" s="2">
        <v>2547</v>
      </c>
      <c r="B2553" s="11">
        <f t="shared" ca="1" si="201"/>
        <v>1</v>
      </c>
      <c r="C2553" s="26">
        <f t="shared" ca="1" si="200"/>
        <v>0.14076265420671441</v>
      </c>
      <c r="J2553">
        <f t="shared" ca="1" si="202"/>
        <v>1</v>
      </c>
      <c r="K2553">
        <f t="shared" ca="1" si="203"/>
        <v>0</v>
      </c>
      <c r="L2553" s="65">
        <v>2547</v>
      </c>
      <c r="M2553" s="71">
        <f t="shared" ca="1" si="199"/>
        <v>1.8994042980060388</v>
      </c>
      <c r="N2553" s="65"/>
    </row>
    <row r="2554" spans="1:14" x14ac:dyDescent="0.25">
      <c r="A2554" s="2">
        <v>2548</v>
      </c>
      <c r="B2554" s="11">
        <f t="shared" ca="1" si="201"/>
        <v>1</v>
      </c>
      <c r="C2554" s="26">
        <f t="shared" ca="1" si="200"/>
        <v>0.37279236400813731</v>
      </c>
      <c r="J2554">
        <f t="shared" ca="1" si="202"/>
        <v>1</v>
      </c>
      <c r="K2554">
        <f t="shared" ca="1" si="203"/>
        <v>0</v>
      </c>
      <c r="L2554" s="65">
        <v>2548</v>
      </c>
      <c r="M2554" s="71">
        <f t="shared" ca="1" si="199"/>
        <v>1.2458045783100011</v>
      </c>
      <c r="N2554" s="65"/>
    </row>
    <row r="2555" spans="1:14" x14ac:dyDescent="0.25">
      <c r="A2555" s="2">
        <v>2549</v>
      </c>
      <c r="B2555" s="11">
        <f t="shared" ca="1" si="201"/>
        <v>1</v>
      </c>
      <c r="C2555" s="26">
        <f t="shared" ca="1" si="200"/>
        <v>0.20582166871341201</v>
      </c>
      <c r="J2555">
        <f t="shared" ca="1" si="202"/>
        <v>1</v>
      </c>
      <c r="K2555">
        <f t="shared" ca="1" si="203"/>
        <v>0</v>
      </c>
      <c r="L2555" s="65">
        <v>2549</v>
      </c>
      <c r="M2555" s="71">
        <f t="shared" ca="1" si="199"/>
        <v>0.23402385925692409</v>
      </c>
      <c r="N2555" s="65"/>
    </row>
    <row r="2556" spans="1:14" x14ac:dyDescent="0.25">
      <c r="A2556" s="2">
        <v>2550</v>
      </c>
      <c r="B2556" s="11">
        <f t="shared" ca="1" si="201"/>
        <v>1</v>
      </c>
      <c r="C2556" s="26">
        <f t="shared" ca="1" si="200"/>
        <v>8.9834650010809147E-2</v>
      </c>
      <c r="J2556">
        <f t="shared" ca="1" si="202"/>
        <v>0</v>
      </c>
      <c r="K2556">
        <f t="shared" ca="1" si="203"/>
        <v>0</v>
      </c>
      <c r="L2556" s="65">
        <v>2550</v>
      </c>
      <c r="M2556" s="71">
        <f t="shared" ca="1" si="199"/>
        <v>13.770692754366669</v>
      </c>
      <c r="N2556" s="65"/>
    </row>
    <row r="2557" spans="1:14" x14ac:dyDescent="0.25">
      <c r="A2557" s="2">
        <v>2551</v>
      </c>
      <c r="B2557" s="11">
        <f t="shared" ca="1" si="201"/>
        <v>0</v>
      </c>
      <c r="C2557" s="26">
        <f t="shared" ca="1" si="200"/>
        <v>0.92682827476827845</v>
      </c>
      <c r="J2557">
        <f t="shared" ca="1" si="202"/>
        <v>0</v>
      </c>
      <c r="K2557">
        <f t="shared" ca="1" si="203"/>
        <v>0</v>
      </c>
      <c r="L2557" s="65">
        <v>2551</v>
      </c>
      <c r="M2557" s="71">
        <f t="shared" ca="1" si="199"/>
        <v>0</v>
      </c>
      <c r="N2557" s="65"/>
    </row>
    <row r="2558" spans="1:14" x14ac:dyDescent="0.25">
      <c r="A2558" s="2">
        <v>2552</v>
      </c>
      <c r="B2558" s="11">
        <f t="shared" ca="1" si="201"/>
        <v>1</v>
      </c>
      <c r="C2558" s="26">
        <f t="shared" ca="1" si="200"/>
        <v>0.54687391520621609</v>
      </c>
      <c r="J2558">
        <f t="shared" ca="1" si="202"/>
        <v>1</v>
      </c>
      <c r="K2558">
        <f t="shared" ca="1" si="203"/>
        <v>0</v>
      </c>
      <c r="L2558" s="65">
        <v>2552</v>
      </c>
      <c r="M2558" s="71">
        <f t="shared" ca="1" si="199"/>
        <v>3.056480927006556</v>
      </c>
      <c r="N2558" s="65"/>
    </row>
    <row r="2559" spans="1:14" x14ac:dyDescent="0.25">
      <c r="A2559" s="2">
        <v>2553</v>
      </c>
      <c r="B2559" s="11">
        <f t="shared" ca="1" si="201"/>
        <v>1</v>
      </c>
      <c r="C2559" s="26">
        <f t="shared" ca="1" si="200"/>
        <v>0.46702301603128715</v>
      </c>
      <c r="J2559">
        <f t="shared" ca="1" si="202"/>
        <v>1</v>
      </c>
      <c r="K2559">
        <f t="shared" ca="1" si="203"/>
        <v>0</v>
      </c>
      <c r="L2559" s="65">
        <v>2553</v>
      </c>
      <c r="M2559" s="71">
        <f t="shared" ca="1" si="199"/>
        <v>3.4393172123369977</v>
      </c>
      <c r="N2559" s="65"/>
    </row>
    <row r="2560" spans="1:14" x14ac:dyDescent="0.25">
      <c r="A2560" s="2">
        <v>2554</v>
      </c>
      <c r="B2560" s="11">
        <f t="shared" ca="1" si="201"/>
        <v>1</v>
      </c>
      <c r="C2560" s="26">
        <f t="shared" ca="1" si="200"/>
        <v>0.39432151278037342</v>
      </c>
      <c r="J2560">
        <f t="shared" ca="1" si="202"/>
        <v>1</v>
      </c>
      <c r="K2560">
        <f t="shared" ca="1" si="203"/>
        <v>0</v>
      </c>
      <c r="L2560" s="65">
        <v>2554</v>
      </c>
      <c r="M2560" s="71">
        <f t="shared" ca="1" si="199"/>
        <v>1.7983674189983372</v>
      </c>
      <c r="N2560" s="65"/>
    </row>
    <row r="2561" spans="1:14" x14ac:dyDescent="0.25">
      <c r="A2561" s="2">
        <v>2555</v>
      </c>
      <c r="B2561" s="11">
        <f t="shared" ca="1" si="201"/>
        <v>1</v>
      </c>
      <c r="C2561" s="26">
        <f t="shared" ca="1" si="200"/>
        <v>0.79683747375101044</v>
      </c>
      <c r="J2561">
        <f t="shared" ca="1" si="202"/>
        <v>1</v>
      </c>
      <c r="K2561">
        <f t="shared" ca="1" si="203"/>
        <v>0</v>
      </c>
      <c r="L2561" s="65">
        <v>2555</v>
      </c>
      <c r="M2561" s="71">
        <f t="shared" ca="1" si="199"/>
        <v>2.8217214837873814</v>
      </c>
      <c r="N2561" s="65"/>
    </row>
    <row r="2562" spans="1:14" x14ac:dyDescent="0.25">
      <c r="A2562" s="2">
        <v>2556</v>
      </c>
      <c r="B2562" s="11">
        <f t="shared" ca="1" si="201"/>
        <v>1</v>
      </c>
      <c r="C2562" s="26">
        <f t="shared" ca="1" si="200"/>
        <v>0.61477818229507841</v>
      </c>
      <c r="J2562">
        <f t="shared" ca="1" si="202"/>
        <v>1</v>
      </c>
      <c r="K2562">
        <f t="shared" ca="1" si="203"/>
        <v>0</v>
      </c>
      <c r="L2562" s="65">
        <v>2556</v>
      </c>
      <c r="M2562" s="71">
        <f t="shared" ca="1" si="199"/>
        <v>0.47495623354138539</v>
      </c>
      <c r="N2562" s="65"/>
    </row>
    <row r="2563" spans="1:14" x14ac:dyDescent="0.25">
      <c r="A2563" s="2">
        <v>2557</v>
      </c>
      <c r="B2563" s="11">
        <f t="shared" ca="1" si="201"/>
        <v>1</v>
      </c>
      <c r="C2563" s="26">
        <f t="shared" ca="1" si="200"/>
        <v>0.68399682287548091</v>
      </c>
      <c r="J2563">
        <f t="shared" ca="1" si="202"/>
        <v>1</v>
      </c>
      <c r="K2563">
        <f t="shared" ca="1" si="203"/>
        <v>0</v>
      </c>
      <c r="L2563" s="65">
        <v>2557</v>
      </c>
      <c r="M2563" s="71">
        <f t="shared" ca="1" si="199"/>
        <v>2.9235435395731693</v>
      </c>
      <c r="N2563" s="65"/>
    </row>
    <row r="2564" spans="1:14" x14ac:dyDescent="0.25">
      <c r="A2564" s="2">
        <v>2558</v>
      </c>
      <c r="B2564" s="11">
        <f t="shared" ca="1" si="201"/>
        <v>1</v>
      </c>
      <c r="C2564" s="26">
        <f t="shared" ca="1" si="200"/>
        <v>8.1460531402964831E-3</v>
      </c>
      <c r="J2564">
        <f t="shared" ca="1" si="202"/>
        <v>1</v>
      </c>
      <c r="K2564">
        <f t="shared" ca="1" si="203"/>
        <v>0</v>
      </c>
      <c r="L2564" s="65">
        <v>2558</v>
      </c>
      <c r="M2564" s="71">
        <f t="shared" ca="1" si="199"/>
        <v>0.75167874201812712</v>
      </c>
      <c r="N2564" s="65"/>
    </row>
    <row r="2565" spans="1:14" x14ac:dyDescent="0.25">
      <c r="A2565" s="2">
        <v>2559</v>
      </c>
      <c r="B2565" s="11">
        <f t="shared" ca="1" si="201"/>
        <v>1</v>
      </c>
      <c r="C2565" s="26">
        <f t="shared" ca="1" si="200"/>
        <v>0.24861936887817981</v>
      </c>
      <c r="J2565">
        <f t="shared" ca="1" si="202"/>
        <v>1</v>
      </c>
      <c r="K2565">
        <f t="shared" ca="1" si="203"/>
        <v>0</v>
      </c>
      <c r="L2565" s="65">
        <v>2559</v>
      </c>
      <c r="M2565" s="71">
        <f t="shared" ca="1" si="199"/>
        <v>0.97248157810999014</v>
      </c>
      <c r="N2565" s="65"/>
    </row>
    <row r="2566" spans="1:14" x14ac:dyDescent="0.25">
      <c r="A2566" s="2">
        <v>2560</v>
      </c>
      <c r="B2566" s="11">
        <f t="shared" ca="1" si="201"/>
        <v>1</v>
      </c>
      <c r="C2566" s="26">
        <f t="shared" ca="1" si="200"/>
        <v>0.13327125775206827</v>
      </c>
      <c r="J2566">
        <f t="shared" ca="1" si="202"/>
        <v>0</v>
      </c>
      <c r="K2566">
        <f t="shared" ca="1" si="203"/>
        <v>0</v>
      </c>
      <c r="L2566" s="65">
        <v>2560</v>
      </c>
      <c r="M2566" s="71">
        <f t="shared" ca="1" si="199"/>
        <v>1.0570918934460163</v>
      </c>
      <c r="N2566" s="65"/>
    </row>
    <row r="2567" spans="1:14" x14ac:dyDescent="0.25">
      <c r="A2567" s="2">
        <v>2561</v>
      </c>
      <c r="B2567" s="11">
        <f t="shared" ca="1" si="201"/>
        <v>0</v>
      </c>
      <c r="C2567" s="26">
        <f t="shared" ca="1" si="200"/>
        <v>0.94482311996623269</v>
      </c>
      <c r="J2567">
        <f t="shared" ca="1" si="202"/>
        <v>0</v>
      </c>
      <c r="K2567">
        <f t="shared" ca="1" si="203"/>
        <v>0</v>
      </c>
      <c r="L2567" s="65">
        <v>2561</v>
      </c>
      <c r="M2567" s="71">
        <f t="shared" ref="M2567:M2630" ca="1" si="204">IF(B2567&gt;0,-LN(1-(RAND()))/lambda,0)</f>
        <v>0</v>
      </c>
      <c r="N2567" s="65"/>
    </row>
    <row r="2568" spans="1:14" x14ac:dyDescent="0.25">
      <c r="A2568" s="2">
        <v>2562</v>
      </c>
      <c r="B2568" s="11">
        <f t="shared" ca="1" si="201"/>
        <v>1</v>
      </c>
      <c r="C2568" s="26">
        <f t="shared" ref="C2568:C2631" ca="1" si="205">RAND()</f>
        <v>0.69173547154657722</v>
      </c>
      <c r="J2568">
        <f t="shared" ca="1" si="202"/>
        <v>1</v>
      </c>
      <c r="K2568">
        <f t="shared" ca="1" si="203"/>
        <v>0</v>
      </c>
      <c r="L2568" s="65">
        <v>2562</v>
      </c>
      <c r="M2568" s="71">
        <f t="shared" ca="1" si="204"/>
        <v>0.22530892719848591</v>
      </c>
      <c r="N2568" s="65"/>
    </row>
    <row r="2569" spans="1:14" x14ac:dyDescent="0.25">
      <c r="A2569" s="2">
        <v>2563</v>
      </c>
      <c r="B2569" s="11">
        <f t="shared" ca="1" si="201"/>
        <v>1</v>
      </c>
      <c r="C2569" s="26">
        <f t="shared" ca="1" si="205"/>
        <v>0.61353554422337497</v>
      </c>
      <c r="J2569">
        <f t="shared" ca="1" si="202"/>
        <v>1</v>
      </c>
      <c r="K2569">
        <f t="shared" ca="1" si="203"/>
        <v>0</v>
      </c>
      <c r="L2569" s="65">
        <v>2563</v>
      </c>
      <c r="M2569" s="71">
        <f t="shared" ca="1" si="204"/>
        <v>2.9747181638865241</v>
      </c>
      <c r="N2569" s="65"/>
    </row>
    <row r="2570" spans="1:14" x14ac:dyDescent="0.25">
      <c r="A2570" s="2">
        <v>2564</v>
      </c>
      <c r="B2570" s="11">
        <f t="shared" ca="1" si="201"/>
        <v>1</v>
      </c>
      <c r="C2570" s="26">
        <f t="shared" ca="1" si="205"/>
        <v>0.58852740142969173</v>
      </c>
      <c r="J2570">
        <f t="shared" ca="1" si="202"/>
        <v>1</v>
      </c>
      <c r="K2570">
        <f t="shared" ca="1" si="203"/>
        <v>0</v>
      </c>
      <c r="L2570" s="65">
        <v>2564</v>
      </c>
      <c r="M2570" s="71">
        <f t="shared" ca="1" si="204"/>
        <v>1.2982190846578188</v>
      </c>
      <c r="N2570" s="65"/>
    </row>
    <row r="2571" spans="1:14" x14ac:dyDescent="0.25">
      <c r="A2571" s="2">
        <v>2565</v>
      </c>
      <c r="B2571" s="11">
        <f t="shared" ca="1" si="201"/>
        <v>1</v>
      </c>
      <c r="C2571" s="26">
        <f t="shared" ca="1" si="205"/>
        <v>0.62538950044963393</v>
      </c>
      <c r="J2571">
        <f t="shared" ca="1" si="202"/>
        <v>1</v>
      </c>
      <c r="K2571">
        <f t="shared" ca="1" si="203"/>
        <v>0</v>
      </c>
      <c r="L2571" s="65">
        <v>2565</v>
      </c>
      <c r="M2571" s="71">
        <f t="shared" ca="1" si="204"/>
        <v>14.944675315592828</v>
      </c>
      <c r="N2571" s="65"/>
    </row>
    <row r="2572" spans="1:14" x14ac:dyDescent="0.25">
      <c r="A2572" s="2">
        <v>2566</v>
      </c>
      <c r="B2572" s="11">
        <f t="shared" ca="1" si="201"/>
        <v>1</v>
      </c>
      <c r="C2572" s="26">
        <f t="shared" ca="1" si="205"/>
        <v>1.5889053878200499E-2</v>
      </c>
      <c r="J2572">
        <f t="shared" ca="1" si="202"/>
        <v>0</v>
      </c>
      <c r="K2572">
        <f t="shared" ca="1" si="203"/>
        <v>0</v>
      </c>
      <c r="L2572" s="65">
        <v>2566</v>
      </c>
      <c r="M2572" s="71">
        <f t="shared" ca="1" si="204"/>
        <v>3.3392498906595547</v>
      </c>
      <c r="N2572" s="65"/>
    </row>
    <row r="2573" spans="1:14" x14ac:dyDescent="0.25">
      <c r="A2573" s="2">
        <v>2567</v>
      </c>
      <c r="B2573" s="11">
        <f t="shared" ca="1" si="201"/>
        <v>0</v>
      </c>
      <c r="C2573" s="26">
        <f t="shared" ca="1" si="205"/>
        <v>0.85277268445136933</v>
      </c>
      <c r="J2573">
        <f t="shared" ca="1" si="202"/>
        <v>0</v>
      </c>
      <c r="K2573">
        <f t="shared" ca="1" si="203"/>
        <v>0</v>
      </c>
      <c r="L2573" s="65">
        <v>2567</v>
      </c>
      <c r="M2573" s="71">
        <f t="shared" ca="1" si="204"/>
        <v>0</v>
      </c>
      <c r="N2573" s="65"/>
    </row>
    <row r="2574" spans="1:14" x14ac:dyDescent="0.25">
      <c r="A2574" s="2">
        <v>2568</v>
      </c>
      <c r="B2574" s="11">
        <f t="shared" ca="1" si="201"/>
        <v>1</v>
      </c>
      <c r="C2574" s="26">
        <f t="shared" ca="1" si="205"/>
        <v>1.664830551945351E-2</v>
      </c>
      <c r="J2574">
        <f t="shared" ca="1" si="202"/>
        <v>0</v>
      </c>
      <c r="K2574">
        <f t="shared" ca="1" si="203"/>
        <v>0</v>
      </c>
      <c r="L2574" s="65">
        <v>2568</v>
      </c>
      <c r="M2574" s="71">
        <f t="shared" ca="1" si="204"/>
        <v>0.29119821280224012</v>
      </c>
      <c r="N2574" s="65"/>
    </row>
    <row r="2575" spans="1:14" x14ac:dyDescent="0.25">
      <c r="A2575" s="2">
        <v>2569</v>
      </c>
      <c r="B2575" s="11">
        <f t="shared" ca="1" si="201"/>
        <v>0</v>
      </c>
      <c r="C2575" s="26">
        <f t="shared" ca="1" si="205"/>
        <v>0.98457774898244366</v>
      </c>
      <c r="J2575">
        <f t="shared" ca="1" si="202"/>
        <v>0</v>
      </c>
      <c r="K2575">
        <f t="shared" ca="1" si="203"/>
        <v>0</v>
      </c>
      <c r="L2575" s="65">
        <v>2569</v>
      </c>
      <c r="M2575" s="71">
        <f t="shared" ca="1" si="204"/>
        <v>0</v>
      </c>
      <c r="N2575" s="65"/>
    </row>
    <row r="2576" spans="1:14" x14ac:dyDescent="0.25">
      <c r="A2576" s="2">
        <v>2570</v>
      </c>
      <c r="B2576" s="11">
        <f t="shared" ca="1" si="201"/>
        <v>1</v>
      </c>
      <c r="C2576" s="26">
        <f t="shared" ca="1" si="205"/>
        <v>0.5352727768933393</v>
      </c>
      <c r="J2576">
        <f t="shared" ca="1" si="202"/>
        <v>1</v>
      </c>
      <c r="K2576">
        <f t="shared" ca="1" si="203"/>
        <v>0</v>
      </c>
      <c r="L2576" s="65">
        <v>2570</v>
      </c>
      <c r="M2576" s="71">
        <f t="shared" ca="1" si="204"/>
        <v>2.0910409274711181</v>
      </c>
      <c r="N2576" s="65"/>
    </row>
    <row r="2577" spans="1:14" x14ac:dyDescent="0.25">
      <c r="A2577" s="2">
        <v>2571</v>
      </c>
      <c r="B2577" s="11">
        <f t="shared" ca="1" si="201"/>
        <v>1</v>
      </c>
      <c r="C2577" s="26">
        <f t="shared" ca="1" si="205"/>
        <v>0.44636307796543595</v>
      </c>
      <c r="J2577">
        <f t="shared" ca="1" si="202"/>
        <v>1</v>
      </c>
      <c r="K2577">
        <f t="shared" ca="1" si="203"/>
        <v>0</v>
      </c>
      <c r="L2577" s="65">
        <v>2571</v>
      </c>
      <c r="M2577" s="71">
        <f t="shared" ca="1" si="204"/>
        <v>0.2891686298865957</v>
      </c>
      <c r="N2577" s="65"/>
    </row>
    <row r="2578" spans="1:14" x14ac:dyDescent="0.25">
      <c r="A2578" s="2">
        <v>2572</v>
      </c>
      <c r="B2578" s="11">
        <f t="shared" ca="1" si="201"/>
        <v>1</v>
      </c>
      <c r="C2578" s="26">
        <f t="shared" ca="1" si="205"/>
        <v>0.67833867899856892</v>
      </c>
      <c r="J2578">
        <f t="shared" ca="1" si="202"/>
        <v>1</v>
      </c>
      <c r="K2578">
        <f t="shared" ca="1" si="203"/>
        <v>0</v>
      </c>
      <c r="L2578" s="65">
        <v>2572</v>
      </c>
      <c r="M2578" s="71">
        <f t="shared" ca="1" si="204"/>
        <v>9.0836812365421044E-2</v>
      </c>
      <c r="N2578" s="65"/>
    </row>
    <row r="2579" spans="1:14" x14ac:dyDescent="0.25">
      <c r="A2579" s="2">
        <v>2573</v>
      </c>
      <c r="B2579" s="11">
        <f t="shared" ca="1" si="201"/>
        <v>1</v>
      </c>
      <c r="C2579" s="26">
        <f t="shared" ca="1" si="205"/>
        <v>0.40648959653201255</v>
      </c>
      <c r="J2579">
        <f t="shared" ca="1" si="202"/>
        <v>1</v>
      </c>
      <c r="K2579">
        <f t="shared" ca="1" si="203"/>
        <v>0</v>
      </c>
      <c r="L2579" s="65">
        <v>2573</v>
      </c>
      <c r="M2579" s="71">
        <f t="shared" ca="1" si="204"/>
        <v>1.2082855308540179</v>
      </c>
      <c r="N2579" s="65"/>
    </row>
    <row r="2580" spans="1:14" x14ac:dyDescent="0.25">
      <c r="A2580" s="2">
        <v>2574</v>
      </c>
      <c r="B2580" s="11">
        <f t="shared" ca="1" si="201"/>
        <v>1</v>
      </c>
      <c r="C2580" s="26">
        <f t="shared" ca="1" si="205"/>
        <v>0.18215839363662023</v>
      </c>
      <c r="J2580">
        <f t="shared" ca="1" si="202"/>
        <v>0</v>
      </c>
      <c r="K2580">
        <f t="shared" ca="1" si="203"/>
        <v>0</v>
      </c>
      <c r="L2580" s="65">
        <v>2574</v>
      </c>
      <c r="M2580" s="71">
        <f t="shared" ca="1" si="204"/>
        <v>2.4031772184283877</v>
      </c>
      <c r="N2580" s="65"/>
    </row>
    <row r="2581" spans="1:14" x14ac:dyDescent="0.25">
      <c r="A2581" s="2">
        <v>2575</v>
      </c>
      <c r="B2581" s="11">
        <f t="shared" ca="1" si="201"/>
        <v>0</v>
      </c>
      <c r="C2581" s="26">
        <f t="shared" ca="1" si="205"/>
        <v>0.92221944893211016</v>
      </c>
      <c r="J2581">
        <f t="shared" ca="1" si="202"/>
        <v>0</v>
      </c>
      <c r="K2581">
        <f t="shared" ca="1" si="203"/>
        <v>0</v>
      </c>
      <c r="L2581" s="65">
        <v>2575</v>
      </c>
      <c r="M2581" s="71">
        <f t="shared" ca="1" si="204"/>
        <v>0</v>
      </c>
      <c r="N2581" s="65"/>
    </row>
    <row r="2582" spans="1:14" x14ac:dyDescent="0.25">
      <c r="A2582" s="2">
        <v>2576</v>
      </c>
      <c r="B2582" s="11">
        <f t="shared" ca="1" si="201"/>
        <v>1</v>
      </c>
      <c r="C2582" s="26">
        <f t="shared" ca="1" si="205"/>
        <v>0.45283662913055966</v>
      </c>
      <c r="J2582">
        <f t="shared" ca="1" si="202"/>
        <v>1</v>
      </c>
      <c r="K2582">
        <f t="shared" ca="1" si="203"/>
        <v>0</v>
      </c>
      <c r="L2582" s="65">
        <v>2576</v>
      </c>
      <c r="M2582" s="71">
        <f t="shared" ca="1" si="204"/>
        <v>3.0231045756261499</v>
      </c>
      <c r="N2582" s="65"/>
    </row>
    <row r="2583" spans="1:14" x14ac:dyDescent="0.25">
      <c r="A2583" s="2">
        <v>2577</v>
      </c>
      <c r="B2583" s="11">
        <f t="shared" ca="1" si="201"/>
        <v>1</v>
      </c>
      <c r="C2583" s="26">
        <f t="shared" ca="1" si="205"/>
        <v>0.26826537147816398</v>
      </c>
      <c r="J2583">
        <f t="shared" ca="1" si="202"/>
        <v>1</v>
      </c>
      <c r="K2583">
        <f t="shared" ca="1" si="203"/>
        <v>0</v>
      </c>
      <c r="L2583" s="65">
        <v>2577</v>
      </c>
      <c r="M2583" s="71">
        <f t="shared" ca="1" si="204"/>
        <v>3.0367500238581671</v>
      </c>
      <c r="N2583" s="65"/>
    </row>
    <row r="2584" spans="1:14" x14ac:dyDescent="0.25">
      <c r="A2584" s="2">
        <v>2578</v>
      </c>
      <c r="B2584" s="11">
        <f t="shared" ca="1" si="201"/>
        <v>1</v>
      </c>
      <c r="C2584" s="26">
        <f t="shared" ca="1" si="205"/>
        <v>0.33769300075419129</v>
      </c>
      <c r="J2584">
        <f t="shared" ca="1" si="202"/>
        <v>1</v>
      </c>
      <c r="K2584">
        <f t="shared" ca="1" si="203"/>
        <v>0</v>
      </c>
      <c r="L2584" s="65">
        <v>2578</v>
      </c>
      <c r="M2584" s="71">
        <f t="shared" ca="1" si="204"/>
        <v>0.83557881129739353</v>
      </c>
      <c r="N2584" s="65"/>
    </row>
    <row r="2585" spans="1:14" x14ac:dyDescent="0.25">
      <c r="A2585" s="2">
        <v>2579</v>
      </c>
      <c r="B2585" s="11">
        <f t="shared" ca="1" si="201"/>
        <v>1</v>
      </c>
      <c r="C2585" s="26">
        <f t="shared" ca="1" si="205"/>
        <v>0.58091078885555547</v>
      </c>
      <c r="J2585">
        <f t="shared" ca="1" si="202"/>
        <v>0</v>
      </c>
      <c r="K2585">
        <f t="shared" ca="1" si="203"/>
        <v>0</v>
      </c>
      <c r="L2585" s="65">
        <v>2579</v>
      </c>
      <c r="M2585" s="71">
        <f t="shared" ca="1" si="204"/>
        <v>6.6231422170351468</v>
      </c>
      <c r="N2585" s="65"/>
    </row>
    <row r="2586" spans="1:14" x14ac:dyDescent="0.25">
      <c r="A2586" s="2">
        <v>2580</v>
      </c>
      <c r="B2586" s="11">
        <f t="shared" ca="1" si="201"/>
        <v>0</v>
      </c>
      <c r="C2586" s="26">
        <f t="shared" ca="1" si="205"/>
        <v>0.88574424240560767</v>
      </c>
      <c r="J2586">
        <f t="shared" ca="1" si="202"/>
        <v>0</v>
      </c>
      <c r="K2586">
        <f t="shared" ca="1" si="203"/>
        <v>1</v>
      </c>
      <c r="L2586" s="65">
        <v>2580</v>
      </c>
      <c r="M2586" s="71">
        <f t="shared" ca="1" si="204"/>
        <v>0</v>
      </c>
      <c r="N2586" s="65"/>
    </row>
    <row r="2587" spans="1:14" x14ac:dyDescent="0.25">
      <c r="A2587" s="2">
        <v>2581</v>
      </c>
      <c r="B2587" s="11">
        <f t="shared" ca="1" si="201"/>
        <v>0</v>
      </c>
      <c r="C2587" s="26">
        <f t="shared" ca="1" si="205"/>
        <v>0.9659857609606266</v>
      </c>
      <c r="J2587">
        <f t="shared" ca="1" si="202"/>
        <v>0</v>
      </c>
      <c r="K2587">
        <f t="shared" ca="1" si="203"/>
        <v>0</v>
      </c>
      <c r="L2587" s="65">
        <v>2581</v>
      </c>
      <c r="M2587" s="71">
        <f t="shared" ca="1" si="204"/>
        <v>0</v>
      </c>
      <c r="N2587" s="65"/>
    </row>
    <row r="2588" spans="1:14" x14ac:dyDescent="0.25">
      <c r="A2588" s="2">
        <v>2582</v>
      </c>
      <c r="B2588" s="11">
        <f t="shared" ca="1" si="201"/>
        <v>1</v>
      </c>
      <c r="C2588" s="26">
        <f t="shared" ca="1" si="205"/>
        <v>0.13645767581241908</v>
      </c>
      <c r="J2588">
        <f t="shared" ca="1" si="202"/>
        <v>1</v>
      </c>
      <c r="K2588">
        <f t="shared" ca="1" si="203"/>
        <v>0</v>
      </c>
      <c r="L2588" s="65">
        <v>2582</v>
      </c>
      <c r="M2588" s="71">
        <f t="shared" ca="1" si="204"/>
        <v>4.2227610209889477</v>
      </c>
      <c r="N2588" s="65"/>
    </row>
    <row r="2589" spans="1:14" x14ac:dyDescent="0.25">
      <c r="A2589" s="2">
        <v>2583</v>
      </c>
      <c r="B2589" s="11">
        <f t="shared" ca="1" si="201"/>
        <v>1</v>
      </c>
      <c r="C2589" s="26">
        <f t="shared" ca="1" si="205"/>
        <v>7.7259366291783316E-2</v>
      </c>
      <c r="J2589">
        <f t="shared" ca="1" si="202"/>
        <v>0</v>
      </c>
      <c r="K2589">
        <f t="shared" ca="1" si="203"/>
        <v>0</v>
      </c>
      <c r="L2589" s="65">
        <v>2583</v>
      </c>
      <c r="M2589" s="71">
        <f t="shared" ca="1" si="204"/>
        <v>7.0352124596818637</v>
      </c>
      <c r="N2589" s="65"/>
    </row>
    <row r="2590" spans="1:14" x14ac:dyDescent="0.25">
      <c r="A2590" s="2">
        <v>2584</v>
      </c>
      <c r="B2590" s="11">
        <f t="shared" ca="1" si="201"/>
        <v>0</v>
      </c>
      <c r="C2590" s="26">
        <f t="shared" ca="1" si="205"/>
        <v>0.85603630219188331</v>
      </c>
      <c r="J2590">
        <f t="shared" ca="1" si="202"/>
        <v>0</v>
      </c>
      <c r="K2590">
        <f t="shared" ca="1" si="203"/>
        <v>0</v>
      </c>
      <c r="L2590" s="65">
        <v>2584</v>
      </c>
      <c r="M2590" s="71">
        <f t="shared" ca="1" si="204"/>
        <v>0</v>
      </c>
      <c r="N2590" s="65"/>
    </row>
    <row r="2591" spans="1:14" x14ac:dyDescent="0.25">
      <c r="A2591" s="2">
        <v>2585</v>
      </c>
      <c r="B2591" s="11">
        <f t="shared" ca="1" si="201"/>
        <v>1</v>
      </c>
      <c r="C2591" s="26">
        <f t="shared" ca="1" si="205"/>
        <v>0.20432422876847034</v>
      </c>
      <c r="J2591">
        <f t="shared" ca="1" si="202"/>
        <v>1</v>
      </c>
      <c r="K2591">
        <f t="shared" ca="1" si="203"/>
        <v>0</v>
      </c>
      <c r="L2591" s="65">
        <v>2585</v>
      </c>
      <c r="M2591" s="71">
        <f t="shared" ca="1" si="204"/>
        <v>1.1081040178907364</v>
      </c>
      <c r="N2591" s="65"/>
    </row>
    <row r="2592" spans="1:14" x14ac:dyDescent="0.25">
      <c r="A2592" s="2">
        <v>2586</v>
      </c>
      <c r="B2592" s="11">
        <f t="shared" ca="1" si="201"/>
        <v>1</v>
      </c>
      <c r="C2592" s="26">
        <f t="shared" ca="1" si="205"/>
        <v>0.74069431391559704</v>
      </c>
      <c r="J2592">
        <f t="shared" ca="1" si="202"/>
        <v>1</v>
      </c>
      <c r="K2592">
        <f t="shared" ca="1" si="203"/>
        <v>0</v>
      </c>
      <c r="L2592" s="65">
        <v>2586</v>
      </c>
      <c r="M2592" s="71">
        <f t="shared" ca="1" si="204"/>
        <v>7.4090690830281316</v>
      </c>
      <c r="N2592" s="65"/>
    </row>
    <row r="2593" spans="1:14" x14ac:dyDescent="0.25">
      <c r="A2593" s="2">
        <v>2587</v>
      </c>
      <c r="B2593" s="11">
        <f t="shared" ca="1" si="201"/>
        <v>1</v>
      </c>
      <c r="C2593" s="26">
        <f t="shared" ca="1" si="205"/>
        <v>0.47708178811597446</v>
      </c>
      <c r="J2593">
        <f t="shared" ca="1" si="202"/>
        <v>1</v>
      </c>
      <c r="K2593">
        <f t="shared" ca="1" si="203"/>
        <v>0</v>
      </c>
      <c r="L2593" s="65">
        <v>2587</v>
      </c>
      <c r="M2593" s="71">
        <f t="shared" ca="1" si="204"/>
        <v>11.253804033521787</v>
      </c>
      <c r="N2593" s="65"/>
    </row>
    <row r="2594" spans="1:14" x14ac:dyDescent="0.25">
      <c r="A2594" s="2">
        <v>2588</v>
      </c>
      <c r="B2594" s="11">
        <f t="shared" ca="1" si="201"/>
        <v>1</v>
      </c>
      <c r="C2594" s="26">
        <f t="shared" ca="1" si="205"/>
        <v>5.8036855830272294E-2</v>
      </c>
      <c r="J2594">
        <f t="shared" ca="1" si="202"/>
        <v>1</v>
      </c>
      <c r="K2594">
        <f t="shared" ca="1" si="203"/>
        <v>0</v>
      </c>
      <c r="L2594" s="65">
        <v>2588</v>
      </c>
      <c r="M2594" s="71">
        <f t="shared" ca="1" si="204"/>
        <v>3.4605427483245421</v>
      </c>
      <c r="N2594" s="65"/>
    </row>
    <row r="2595" spans="1:14" x14ac:dyDescent="0.25">
      <c r="A2595" s="2">
        <v>2589</v>
      </c>
      <c r="B2595" s="11">
        <f t="shared" ca="1" si="201"/>
        <v>1</v>
      </c>
      <c r="C2595" s="26">
        <f t="shared" ca="1" si="205"/>
        <v>3.6869694141177467E-2</v>
      </c>
      <c r="J2595">
        <f t="shared" ca="1" si="202"/>
        <v>0</v>
      </c>
      <c r="K2595">
        <f t="shared" ca="1" si="203"/>
        <v>0</v>
      </c>
      <c r="L2595" s="65">
        <v>2589</v>
      </c>
      <c r="M2595" s="71">
        <f t="shared" ca="1" si="204"/>
        <v>3.933141986678665</v>
      </c>
      <c r="N2595" s="65"/>
    </row>
    <row r="2596" spans="1:14" x14ac:dyDescent="0.25">
      <c r="A2596" s="2">
        <v>2590</v>
      </c>
      <c r="B2596" s="11">
        <f t="shared" ca="1" si="201"/>
        <v>0</v>
      </c>
      <c r="C2596" s="26">
        <f t="shared" ca="1" si="205"/>
        <v>0.92456205174541262</v>
      </c>
      <c r="J2596">
        <f t="shared" ca="1" si="202"/>
        <v>0</v>
      </c>
      <c r="K2596">
        <f t="shared" ca="1" si="203"/>
        <v>0</v>
      </c>
      <c r="L2596" s="65">
        <v>2590</v>
      </c>
      <c r="M2596" s="71">
        <f t="shared" ca="1" si="204"/>
        <v>0</v>
      </c>
      <c r="N2596" s="65"/>
    </row>
    <row r="2597" spans="1:14" x14ac:dyDescent="0.25">
      <c r="A2597" s="2">
        <v>2591</v>
      </c>
      <c r="B2597" s="11">
        <f t="shared" ca="1" si="201"/>
        <v>1</v>
      </c>
      <c r="C2597" s="26">
        <f t="shared" ca="1" si="205"/>
        <v>0.62240839407088955</v>
      </c>
      <c r="J2597">
        <f t="shared" ca="1" si="202"/>
        <v>0</v>
      </c>
      <c r="K2597">
        <f t="shared" ca="1" si="203"/>
        <v>0</v>
      </c>
      <c r="L2597" s="65">
        <v>2591</v>
      </c>
      <c r="M2597" s="71">
        <f t="shared" ca="1" si="204"/>
        <v>2.9829906600288743</v>
      </c>
      <c r="N2597" s="65"/>
    </row>
    <row r="2598" spans="1:14" x14ac:dyDescent="0.25">
      <c r="A2598" s="2">
        <v>2592</v>
      </c>
      <c r="B2598" s="11">
        <f t="shared" ca="1" si="201"/>
        <v>0</v>
      </c>
      <c r="C2598" s="26">
        <f t="shared" ca="1" si="205"/>
        <v>0.90651238483381591</v>
      </c>
      <c r="J2598">
        <f t="shared" ca="1" si="202"/>
        <v>0</v>
      </c>
      <c r="K2598">
        <f t="shared" ca="1" si="203"/>
        <v>0</v>
      </c>
      <c r="L2598" s="65">
        <v>2592</v>
      </c>
      <c r="M2598" s="71">
        <f t="shared" ca="1" si="204"/>
        <v>0</v>
      </c>
      <c r="N2598" s="65"/>
    </row>
    <row r="2599" spans="1:14" x14ac:dyDescent="0.25">
      <c r="A2599" s="2">
        <v>2593</v>
      </c>
      <c r="B2599" s="11">
        <f t="shared" ca="1" si="201"/>
        <v>1</v>
      </c>
      <c r="C2599" s="26">
        <f t="shared" ca="1" si="205"/>
        <v>0.22159983880657319</v>
      </c>
      <c r="J2599">
        <f t="shared" ca="1" si="202"/>
        <v>0</v>
      </c>
      <c r="K2599">
        <f t="shared" ca="1" si="203"/>
        <v>0</v>
      </c>
      <c r="L2599" s="65">
        <v>2593</v>
      </c>
      <c r="M2599" s="71">
        <f t="shared" ca="1" si="204"/>
        <v>1.8367636662580085</v>
      </c>
      <c r="N2599" s="65"/>
    </row>
    <row r="2600" spans="1:14" x14ac:dyDescent="0.25">
      <c r="A2600" s="2">
        <v>2594</v>
      </c>
      <c r="B2600" s="11">
        <f t="shared" ca="1" si="201"/>
        <v>0</v>
      </c>
      <c r="C2600" s="26">
        <f t="shared" ca="1" si="205"/>
        <v>0.99020500966041558</v>
      </c>
      <c r="J2600">
        <f t="shared" ca="1" si="202"/>
        <v>0</v>
      </c>
      <c r="K2600">
        <f t="shared" ca="1" si="203"/>
        <v>1</v>
      </c>
      <c r="L2600" s="65">
        <v>2594</v>
      </c>
      <c r="M2600" s="71">
        <f t="shared" ca="1" si="204"/>
        <v>0</v>
      </c>
      <c r="N2600" s="65"/>
    </row>
    <row r="2601" spans="1:14" x14ac:dyDescent="0.25">
      <c r="A2601" s="2">
        <v>2595</v>
      </c>
      <c r="B2601" s="11">
        <f t="shared" ca="1" si="201"/>
        <v>0</v>
      </c>
      <c r="C2601" s="26">
        <f t="shared" ca="1" si="205"/>
        <v>0.80803913296733199</v>
      </c>
      <c r="J2601">
        <f t="shared" ca="1" si="202"/>
        <v>0</v>
      </c>
      <c r="K2601">
        <f t="shared" ca="1" si="203"/>
        <v>1</v>
      </c>
      <c r="L2601" s="65">
        <v>2595</v>
      </c>
      <c r="M2601" s="71">
        <f t="shared" ca="1" si="204"/>
        <v>0</v>
      </c>
      <c r="N2601" s="65"/>
    </row>
    <row r="2602" spans="1:14" x14ac:dyDescent="0.25">
      <c r="A2602" s="2">
        <v>2596</v>
      </c>
      <c r="B2602" s="11">
        <f t="shared" ca="1" si="201"/>
        <v>0</v>
      </c>
      <c r="C2602" s="26">
        <f t="shared" ca="1" si="205"/>
        <v>0.76331010574976133</v>
      </c>
      <c r="J2602">
        <f t="shared" ca="1" si="202"/>
        <v>0</v>
      </c>
      <c r="K2602">
        <f t="shared" ca="1" si="203"/>
        <v>1</v>
      </c>
      <c r="L2602" s="65">
        <v>2596</v>
      </c>
      <c r="M2602" s="71">
        <f t="shared" ca="1" si="204"/>
        <v>0</v>
      </c>
      <c r="N2602" s="65"/>
    </row>
    <row r="2603" spans="1:14" x14ac:dyDescent="0.25">
      <c r="A2603" s="2">
        <v>2597</v>
      </c>
      <c r="B2603" s="11">
        <f t="shared" ca="1" si="201"/>
        <v>0</v>
      </c>
      <c r="C2603" s="26">
        <f t="shared" ca="1" si="205"/>
        <v>0.7896012900702376</v>
      </c>
      <c r="J2603">
        <f t="shared" ca="1" si="202"/>
        <v>0</v>
      </c>
      <c r="K2603">
        <f t="shared" ca="1" si="203"/>
        <v>0</v>
      </c>
      <c r="L2603" s="65">
        <v>2597</v>
      </c>
      <c r="M2603" s="71">
        <f t="shared" ca="1" si="204"/>
        <v>0</v>
      </c>
      <c r="N2603" s="65"/>
    </row>
    <row r="2604" spans="1:14" x14ac:dyDescent="0.25">
      <c r="A2604" s="2">
        <v>2598</v>
      </c>
      <c r="B2604" s="11">
        <f t="shared" ca="1" si="201"/>
        <v>1</v>
      </c>
      <c r="C2604" s="26">
        <f t="shared" ca="1" si="205"/>
        <v>0.55414279368330432</v>
      </c>
      <c r="J2604">
        <f t="shared" ca="1" si="202"/>
        <v>1</v>
      </c>
      <c r="K2604">
        <f t="shared" ca="1" si="203"/>
        <v>0</v>
      </c>
      <c r="L2604" s="65">
        <v>2598</v>
      </c>
      <c r="M2604" s="71">
        <f t="shared" ca="1" si="204"/>
        <v>17.972430111263915</v>
      </c>
      <c r="N2604" s="65"/>
    </row>
    <row r="2605" spans="1:14" x14ac:dyDescent="0.25">
      <c r="A2605" s="2">
        <v>2599</v>
      </c>
      <c r="B2605" s="11">
        <f t="shared" ca="1" si="201"/>
        <v>1</v>
      </c>
      <c r="C2605" s="26">
        <f t="shared" ca="1" si="205"/>
        <v>0.20734266181834859</v>
      </c>
      <c r="J2605">
        <f t="shared" ca="1" si="202"/>
        <v>1</v>
      </c>
      <c r="K2605">
        <f t="shared" ca="1" si="203"/>
        <v>0</v>
      </c>
      <c r="L2605" s="65">
        <v>2599</v>
      </c>
      <c r="M2605" s="71">
        <f t="shared" ca="1" si="204"/>
        <v>0.28853048318602614</v>
      </c>
      <c r="N2605" s="65"/>
    </row>
    <row r="2606" spans="1:14" x14ac:dyDescent="0.25">
      <c r="A2606" s="2">
        <v>2600</v>
      </c>
      <c r="B2606" s="11">
        <f t="shared" ca="1" si="201"/>
        <v>1</v>
      </c>
      <c r="C2606" s="26">
        <f t="shared" ca="1" si="205"/>
        <v>0.12788824217166073</v>
      </c>
      <c r="J2606">
        <f t="shared" ca="1" si="202"/>
        <v>1</v>
      </c>
      <c r="K2606">
        <f t="shared" ca="1" si="203"/>
        <v>0</v>
      </c>
      <c r="L2606" s="65">
        <v>2600</v>
      </c>
      <c r="M2606" s="71">
        <f t="shared" ca="1" si="204"/>
        <v>9.7087079314536986</v>
      </c>
      <c r="N2606" s="65"/>
    </row>
    <row r="2607" spans="1:14" x14ac:dyDescent="0.25">
      <c r="A2607" s="2">
        <v>2601</v>
      </c>
      <c r="B2607" s="11">
        <f t="shared" ref="B2607:B2670" ca="1" si="206">IF(B2606&gt;0,IF(C2607&lt;pww,1,0),IF(C2607&lt;pdw,1,0))</f>
        <v>1</v>
      </c>
      <c r="C2607" s="26">
        <f t="shared" ca="1" si="205"/>
        <v>0.4480975811007798</v>
      </c>
      <c r="J2607">
        <f t="shared" ref="J2607:J2670" ca="1" si="207">IF(AND(B2607,B2608),1,0)</f>
        <v>0</v>
      </c>
      <c r="K2607">
        <f t="shared" ref="K2607:K2670" ca="1" si="208">IF(AND(NOT(B2607),NOT(B2608)),1,0)</f>
        <v>0</v>
      </c>
      <c r="L2607" s="65">
        <v>2601</v>
      </c>
      <c r="M2607" s="71">
        <f t="shared" ca="1" si="204"/>
        <v>9.2598376734707379</v>
      </c>
      <c r="N2607" s="65"/>
    </row>
    <row r="2608" spans="1:14" x14ac:dyDescent="0.25">
      <c r="A2608" s="2">
        <v>2602</v>
      </c>
      <c r="B2608" s="11">
        <f t="shared" ca="1" si="206"/>
        <v>0</v>
      </c>
      <c r="C2608" s="26">
        <f t="shared" ca="1" si="205"/>
        <v>0.88280405138456475</v>
      </c>
      <c r="J2608">
        <f t="shared" ca="1" si="207"/>
        <v>0</v>
      </c>
      <c r="K2608">
        <f t="shared" ca="1" si="208"/>
        <v>0</v>
      </c>
      <c r="L2608" s="65">
        <v>2602</v>
      </c>
      <c r="M2608" s="71">
        <f t="shared" ca="1" si="204"/>
        <v>0</v>
      </c>
      <c r="N2608" s="65"/>
    </row>
    <row r="2609" spans="1:14" x14ac:dyDescent="0.25">
      <c r="A2609" s="2">
        <v>2603</v>
      </c>
      <c r="B2609" s="11">
        <f t="shared" ca="1" si="206"/>
        <v>1</v>
      </c>
      <c r="C2609" s="26">
        <f t="shared" ca="1" si="205"/>
        <v>0.68887745665748989</v>
      </c>
      <c r="J2609">
        <f t="shared" ca="1" si="207"/>
        <v>1</v>
      </c>
      <c r="K2609">
        <f t="shared" ca="1" si="208"/>
        <v>0</v>
      </c>
      <c r="L2609" s="65">
        <v>2603</v>
      </c>
      <c r="M2609" s="71">
        <f t="shared" ca="1" si="204"/>
        <v>12.096010540166102</v>
      </c>
      <c r="N2609" s="65"/>
    </row>
    <row r="2610" spans="1:14" x14ac:dyDescent="0.25">
      <c r="A2610" s="2">
        <v>2604</v>
      </c>
      <c r="B2610" s="11">
        <f t="shared" ca="1" si="206"/>
        <v>1</v>
      </c>
      <c r="C2610" s="26">
        <f t="shared" ca="1" si="205"/>
        <v>0.52974660963191456</v>
      </c>
      <c r="J2610">
        <f t="shared" ca="1" si="207"/>
        <v>1</v>
      </c>
      <c r="K2610">
        <f t="shared" ca="1" si="208"/>
        <v>0</v>
      </c>
      <c r="L2610" s="65">
        <v>2604</v>
      </c>
      <c r="M2610" s="71">
        <f t="shared" ca="1" si="204"/>
        <v>0.98698042138614983</v>
      </c>
      <c r="N2610" s="65"/>
    </row>
    <row r="2611" spans="1:14" x14ac:dyDescent="0.25">
      <c r="A2611" s="2">
        <v>2605</v>
      </c>
      <c r="B2611" s="11">
        <f t="shared" ca="1" si="206"/>
        <v>1</v>
      </c>
      <c r="C2611" s="26">
        <f t="shared" ca="1" si="205"/>
        <v>0.49506258846964535</v>
      </c>
      <c r="J2611">
        <f t="shared" ca="1" si="207"/>
        <v>1</v>
      </c>
      <c r="K2611">
        <f t="shared" ca="1" si="208"/>
        <v>0</v>
      </c>
      <c r="L2611" s="65">
        <v>2605</v>
      </c>
      <c r="M2611" s="71">
        <f t="shared" ca="1" si="204"/>
        <v>0.66525931764639479</v>
      </c>
      <c r="N2611" s="65"/>
    </row>
    <row r="2612" spans="1:14" x14ac:dyDescent="0.25">
      <c r="A2612" s="2">
        <v>2606</v>
      </c>
      <c r="B2612" s="11">
        <f t="shared" ca="1" si="206"/>
        <v>1</v>
      </c>
      <c r="C2612" s="26">
        <f t="shared" ca="1" si="205"/>
        <v>0.1034603433516692</v>
      </c>
      <c r="J2612">
        <f t="shared" ca="1" si="207"/>
        <v>1</v>
      </c>
      <c r="K2612">
        <f t="shared" ca="1" si="208"/>
        <v>0</v>
      </c>
      <c r="L2612" s="65">
        <v>2606</v>
      </c>
      <c r="M2612" s="71">
        <f t="shared" ca="1" si="204"/>
        <v>10.459648668217653</v>
      </c>
      <c r="N2612" s="65"/>
    </row>
    <row r="2613" spans="1:14" x14ac:dyDescent="0.25">
      <c r="A2613" s="2">
        <v>2607</v>
      </c>
      <c r="B2613" s="11">
        <f t="shared" ca="1" si="206"/>
        <v>1</v>
      </c>
      <c r="C2613" s="26">
        <f t="shared" ca="1" si="205"/>
        <v>0.26945118250006683</v>
      </c>
      <c r="J2613">
        <f t="shared" ca="1" si="207"/>
        <v>1</v>
      </c>
      <c r="K2613">
        <f t="shared" ca="1" si="208"/>
        <v>0</v>
      </c>
      <c r="L2613" s="65">
        <v>2607</v>
      </c>
      <c r="M2613" s="71">
        <f t="shared" ca="1" si="204"/>
        <v>1.8717178685693141</v>
      </c>
      <c r="N2613" s="65"/>
    </row>
    <row r="2614" spans="1:14" x14ac:dyDescent="0.25">
      <c r="A2614" s="2">
        <v>2608</v>
      </c>
      <c r="B2614" s="11">
        <f t="shared" ca="1" si="206"/>
        <v>1</v>
      </c>
      <c r="C2614" s="26">
        <f t="shared" ca="1" si="205"/>
        <v>0.17555866308342127</v>
      </c>
      <c r="J2614">
        <f t="shared" ca="1" si="207"/>
        <v>1</v>
      </c>
      <c r="K2614">
        <f t="shared" ca="1" si="208"/>
        <v>0</v>
      </c>
      <c r="L2614" s="65">
        <v>2608</v>
      </c>
      <c r="M2614" s="71">
        <f t="shared" ca="1" si="204"/>
        <v>1.1134704870895105</v>
      </c>
      <c r="N2614" s="65"/>
    </row>
    <row r="2615" spans="1:14" x14ac:dyDescent="0.25">
      <c r="A2615" s="2">
        <v>2609</v>
      </c>
      <c r="B2615" s="11">
        <f t="shared" ca="1" si="206"/>
        <v>1</v>
      </c>
      <c r="C2615" s="26">
        <f t="shared" ca="1" si="205"/>
        <v>0.61808548032454091</v>
      </c>
      <c r="J2615">
        <f t="shared" ca="1" si="207"/>
        <v>0</v>
      </c>
      <c r="K2615">
        <f t="shared" ca="1" si="208"/>
        <v>0</v>
      </c>
      <c r="L2615" s="65">
        <v>2609</v>
      </c>
      <c r="M2615" s="71">
        <f t="shared" ca="1" si="204"/>
        <v>2.9156602422309583</v>
      </c>
      <c r="N2615" s="65"/>
    </row>
    <row r="2616" spans="1:14" x14ac:dyDescent="0.25">
      <c r="A2616" s="2">
        <v>2610</v>
      </c>
      <c r="B2616" s="11">
        <f t="shared" ca="1" si="206"/>
        <v>0</v>
      </c>
      <c r="C2616" s="26">
        <f t="shared" ca="1" si="205"/>
        <v>0.99336955297057561</v>
      </c>
      <c r="J2616">
        <f t="shared" ca="1" si="207"/>
        <v>0</v>
      </c>
      <c r="K2616">
        <f t="shared" ca="1" si="208"/>
        <v>1</v>
      </c>
      <c r="L2616" s="65">
        <v>2610</v>
      </c>
      <c r="M2616" s="71">
        <f t="shared" ca="1" si="204"/>
        <v>0</v>
      </c>
      <c r="N2616" s="65"/>
    </row>
    <row r="2617" spans="1:14" x14ac:dyDescent="0.25">
      <c r="A2617" s="2">
        <v>2611</v>
      </c>
      <c r="B2617" s="11">
        <f t="shared" ca="1" si="206"/>
        <v>0</v>
      </c>
      <c r="C2617" s="26">
        <f t="shared" ca="1" si="205"/>
        <v>0.98900817368265859</v>
      </c>
      <c r="J2617">
        <f t="shared" ca="1" si="207"/>
        <v>0</v>
      </c>
      <c r="K2617">
        <f t="shared" ca="1" si="208"/>
        <v>1</v>
      </c>
      <c r="L2617" s="65">
        <v>2611</v>
      </c>
      <c r="M2617" s="71">
        <f t="shared" ca="1" si="204"/>
        <v>0</v>
      </c>
      <c r="N2617" s="65"/>
    </row>
    <row r="2618" spans="1:14" x14ac:dyDescent="0.25">
      <c r="A2618" s="2">
        <v>2612</v>
      </c>
      <c r="B2618" s="11">
        <f t="shared" ca="1" si="206"/>
        <v>0</v>
      </c>
      <c r="C2618" s="26">
        <f t="shared" ca="1" si="205"/>
        <v>0.77294921355728408</v>
      </c>
      <c r="J2618">
        <f t="shared" ca="1" si="207"/>
        <v>0</v>
      </c>
      <c r="K2618">
        <f t="shared" ca="1" si="208"/>
        <v>1</v>
      </c>
      <c r="L2618" s="65">
        <v>2612</v>
      </c>
      <c r="M2618" s="71">
        <f t="shared" ca="1" si="204"/>
        <v>0</v>
      </c>
      <c r="N2618" s="65"/>
    </row>
    <row r="2619" spans="1:14" x14ac:dyDescent="0.25">
      <c r="A2619" s="2">
        <v>2613</v>
      </c>
      <c r="B2619" s="11">
        <f t="shared" ca="1" si="206"/>
        <v>0</v>
      </c>
      <c r="C2619" s="26">
        <f t="shared" ca="1" si="205"/>
        <v>0.745506006004651</v>
      </c>
      <c r="J2619">
        <f t="shared" ca="1" si="207"/>
        <v>0</v>
      </c>
      <c r="K2619">
        <f t="shared" ca="1" si="208"/>
        <v>0</v>
      </c>
      <c r="L2619" s="65">
        <v>2613</v>
      </c>
      <c r="M2619" s="71">
        <f t="shared" ca="1" si="204"/>
        <v>0</v>
      </c>
      <c r="N2619" s="65"/>
    </row>
    <row r="2620" spans="1:14" x14ac:dyDescent="0.25">
      <c r="A2620" s="2">
        <v>2614</v>
      </c>
      <c r="B2620" s="11">
        <f t="shared" ca="1" si="206"/>
        <v>1</v>
      </c>
      <c r="C2620" s="26">
        <f t="shared" ca="1" si="205"/>
        <v>0.44030744744625405</v>
      </c>
      <c r="J2620">
        <f t="shared" ca="1" si="207"/>
        <v>0</v>
      </c>
      <c r="K2620">
        <f t="shared" ca="1" si="208"/>
        <v>0</v>
      </c>
      <c r="L2620" s="65">
        <v>2614</v>
      </c>
      <c r="M2620" s="71">
        <f t="shared" ca="1" si="204"/>
        <v>8.5449754184508038</v>
      </c>
      <c r="N2620" s="65"/>
    </row>
    <row r="2621" spans="1:14" x14ac:dyDescent="0.25">
      <c r="A2621" s="2">
        <v>2615</v>
      </c>
      <c r="B2621" s="11">
        <f t="shared" ca="1" si="206"/>
        <v>0</v>
      </c>
      <c r="C2621" s="26">
        <f t="shared" ca="1" si="205"/>
        <v>0.88830881776259352</v>
      </c>
      <c r="J2621">
        <f t="shared" ca="1" si="207"/>
        <v>0</v>
      </c>
      <c r="K2621">
        <f t="shared" ca="1" si="208"/>
        <v>0</v>
      </c>
      <c r="L2621" s="65">
        <v>2615</v>
      </c>
      <c r="M2621" s="71">
        <f t="shared" ca="1" si="204"/>
        <v>0</v>
      </c>
      <c r="N2621" s="65"/>
    </row>
    <row r="2622" spans="1:14" x14ac:dyDescent="0.25">
      <c r="A2622" s="2">
        <v>2616</v>
      </c>
      <c r="B2622" s="11">
        <f t="shared" ca="1" si="206"/>
        <v>1</v>
      </c>
      <c r="C2622" s="26">
        <f t="shared" ca="1" si="205"/>
        <v>0.13950478151875567</v>
      </c>
      <c r="J2622">
        <f t="shared" ca="1" si="207"/>
        <v>1</v>
      </c>
      <c r="K2622">
        <f t="shared" ca="1" si="208"/>
        <v>0</v>
      </c>
      <c r="L2622" s="65">
        <v>2616</v>
      </c>
      <c r="M2622" s="71">
        <f t="shared" ca="1" si="204"/>
        <v>0.2136652524940387</v>
      </c>
      <c r="N2622" s="65"/>
    </row>
    <row r="2623" spans="1:14" x14ac:dyDescent="0.25">
      <c r="A2623" s="2">
        <v>2617</v>
      </c>
      <c r="B2623" s="11">
        <f t="shared" ca="1" si="206"/>
        <v>1</v>
      </c>
      <c r="C2623" s="26">
        <f t="shared" ca="1" si="205"/>
        <v>0.73289942819204068</v>
      </c>
      <c r="J2623">
        <f t="shared" ca="1" si="207"/>
        <v>1</v>
      </c>
      <c r="K2623">
        <f t="shared" ca="1" si="208"/>
        <v>0</v>
      </c>
      <c r="L2623" s="65">
        <v>2617</v>
      </c>
      <c r="M2623" s="71">
        <f t="shared" ca="1" si="204"/>
        <v>1.0386188805766137</v>
      </c>
      <c r="N2623" s="65"/>
    </row>
    <row r="2624" spans="1:14" x14ac:dyDescent="0.25">
      <c r="A2624" s="2">
        <v>2618</v>
      </c>
      <c r="B2624" s="11">
        <f t="shared" ca="1" si="206"/>
        <v>1</v>
      </c>
      <c r="C2624" s="26">
        <f t="shared" ca="1" si="205"/>
        <v>0.38772652557801401</v>
      </c>
      <c r="J2624">
        <f t="shared" ca="1" si="207"/>
        <v>1</v>
      </c>
      <c r="K2624">
        <f t="shared" ca="1" si="208"/>
        <v>0</v>
      </c>
      <c r="L2624" s="65">
        <v>2618</v>
      </c>
      <c r="M2624" s="71">
        <f t="shared" ca="1" si="204"/>
        <v>1.9752330243239671</v>
      </c>
      <c r="N2624" s="65"/>
    </row>
    <row r="2625" spans="1:14" x14ac:dyDescent="0.25">
      <c r="A2625" s="2">
        <v>2619</v>
      </c>
      <c r="B2625" s="11">
        <f t="shared" ca="1" si="206"/>
        <v>1</v>
      </c>
      <c r="C2625" s="26">
        <f t="shared" ca="1" si="205"/>
        <v>0.56397765567832281</v>
      </c>
      <c r="J2625">
        <f t="shared" ca="1" si="207"/>
        <v>1</v>
      </c>
      <c r="K2625">
        <f t="shared" ca="1" si="208"/>
        <v>0</v>
      </c>
      <c r="L2625" s="65">
        <v>2619</v>
      </c>
      <c r="M2625" s="71">
        <f t="shared" ca="1" si="204"/>
        <v>1.1754384290655928</v>
      </c>
      <c r="N2625" s="65"/>
    </row>
    <row r="2626" spans="1:14" x14ac:dyDescent="0.25">
      <c r="A2626" s="2">
        <v>2620</v>
      </c>
      <c r="B2626" s="11">
        <f t="shared" ca="1" si="206"/>
        <v>1</v>
      </c>
      <c r="C2626" s="26">
        <f t="shared" ca="1" si="205"/>
        <v>0.72328978357432183</v>
      </c>
      <c r="J2626">
        <f t="shared" ca="1" si="207"/>
        <v>1</v>
      </c>
      <c r="K2626">
        <f t="shared" ca="1" si="208"/>
        <v>0</v>
      </c>
      <c r="L2626" s="65">
        <v>2620</v>
      </c>
      <c r="M2626" s="71">
        <f t="shared" ca="1" si="204"/>
        <v>6.8101558291934774</v>
      </c>
      <c r="N2626" s="65"/>
    </row>
    <row r="2627" spans="1:14" x14ac:dyDescent="0.25">
      <c r="A2627" s="2">
        <v>2621</v>
      </c>
      <c r="B2627" s="11">
        <f t="shared" ca="1" si="206"/>
        <v>1</v>
      </c>
      <c r="C2627" s="26">
        <f t="shared" ca="1" si="205"/>
        <v>0.11318702435216743</v>
      </c>
      <c r="J2627">
        <f t="shared" ca="1" si="207"/>
        <v>1</v>
      </c>
      <c r="K2627">
        <f t="shared" ca="1" si="208"/>
        <v>0</v>
      </c>
      <c r="L2627" s="65">
        <v>2621</v>
      </c>
      <c r="M2627" s="71">
        <f t="shared" ca="1" si="204"/>
        <v>11.080454076177858</v>
      </c>
      <c r="N2627" s="65"/>
    </row>
    <row r="2628" spans="1:14" x14ac:dyDescent="0.25">
      <c r="A2628" s="2">
        <v>2622</v>
      </c>
      <c r="B2628" s="11">
        <f t="shared" ca="1" si="206"/>
        <v>1</v>
      </c>
      <c r="C2628" s="26">
        <f t="shared" ca="1" si="205"/>
        <v>0.60110262180251073</v>
      </c>
      <c r="J2628">
        <f t="shared" ca="1" si="207"/>
        <v>0</v>
      </c>
      <c r="K2628">
        <f t="shared" ca="1" si="208"/>
        <v>0</v>
      </c>
      <c r="L2628" s="65">
        <v>2622</v>
      </c>
      <c r="M2628" s="71">
        <f t="shared" ca="1" si="204"/>
        <v>2.8363723328424384</v>
      </c>
      <c r="N2628" s="65"/>
    </row>
    <row r="2629" spans="1:14" x14ac:dyDescent="0.25">
      <c r="A2629" s="2">
        <v>2623</v>
      </c>
      <c r="B2629" s="11">
        <f t="shared" ca="1" si="206"/>
        <v>0</v>
      </c>
      <c r="C2629" s="26">
        <f t="shared" ca="1" si="205"/>
        <v>0.97133078019904928</v>
      </c>
      <c r="J2629">
        <f t="shared" ca="1" si="207"/>
        <v>0</v>
      </c>
      <c r="K2629">
        <f t="shared" ca="1" si="208"/>
        <v>0</v>
      </c>
      <c r="L2629" s="65">
        <v>2623</v>
      </c>
      <c r="M2629" s="71">
        <f t="shared" ca="1" si="204"/>
        <v>0</v>
      </c>
      <c r="N2629" s="65"/>
    </row>
    <row r="2630" spans="1:14" x14ac:dyDescent="0.25">
      <c r="A2630" s="2">
        <v>2624</v>
      </c>
      <c r="B2630" s="11">
        <f t="shared" ca="1" si="206"/>
        <v>1</v>
      </c>
      <c r="C2630" s="26">
        <f t="shared" ca="1" si="205"/>
        <v>0.64222226127878734</v>
      </c>
      <c r="J2630">
        <f t="shared" ca="1" si="207"/>
        <v>1</v>
      </c>
      <c r="K2630">
        <f t="shared" ca="1" si="208"/>
        <v>0</v>
      </c>
      <c r="L2630" s="65">
        <v>2624</v>
      </c>
      <c r="M2630" s="71">
        <f t="shared" ca="1" si="204"/>
        <v>1.4988919640502343</v>
      </c>
      <c r="N2630" s="65"/>
    </row>
    <row r="2631" spans="1:14" x14ac:dyDescent="0.25">
      <c r="A2631" s="2">
        <v>2625</v>
      </c>
      <c r="B2631" s="11">
        <f t="shared" ca="1" si="206"/>
        <v>1</v>
      </c>
      <c r="C2631" s="26">
        <f t="shared" ca="1" si="205"/>
        <v>0.2456482534747918</v>
      </c>
      <c r="J2631">
        <f t="shared" ca="1" si="207"/>
        <v>0</v>
      </c>
      <c r="K2631">
        <f t="shared" ca="1" si="208"/>
        <v>0</v>
      </c>
      <c r="L2631" s="65">
        <v>2625</v>
      </c>
      <c r="M2631" s="71">
        <f t="shared" ref="M2631:M2694" ca="1" si="209">IF(B2631&gt;0,-LN(1-(RAND()))/lambda,0)</f>
        <v>3.3682502238156848</v>
      </c>
      <c r="N2631" s="65"/>
    </row>
    <row r="2632" spans="1:14" x14ac:dyDescent="0.25">
      <c r="A2632" s="2">
        <v>2626</v>
      </c>
      <c r="B2632" s="11">
        <f t="shared" ca="1" si="206"/>
        <v>0</v>
      </c>
      <c r="C2632" s="26">
        <f t="shared" ref="C2632:C2695" ca="1" si="210">RAND()</f>
        <v>0.90783370671410946</v>
      </c>
      <c r="J2632">
        <f t="shared" ca="1" si="207"/>
        <v>0</v>
      </c>
      <c r="K2632">
        <f t="shared" ca="1" si="208"/>
        <v>0</v>
      </c>
      <c r="L2632" s="65">
        <v>2626</v>
      </c>
      <c r="M2632" s="71">
        <f t="shared" ca="1" si="209"/>
        <v>0</v>
      </c>
      <c r="N2632" s="65"/>
    </row>
    <row r="2633" spans="1:14" x14ac:dyDescent="0.25">
      <c r="A2633" s="2">
        <v>2627</v>
      </c>
      <c r="B2633" s="11">
        <f t="shared" ca="1" si="206"/>
        <v>1</v>
      </c>
      <c r="C2633" s="26">
        <f t="shared" ca="1" si="210"/>
        <v>0.64689506372362304</v>
      </c>
      <c r="J2633">
        <f t="shared" ca="1" si="207"/>
        <v>1</v>
      </c>
      <c r="K2633">
        <f t="shared" ca="1" si="208"/>
        <v>0</v>
      </c>
      <c r="L2633" s="65">
        <v>2627</v>
      </c>
      <c r="M2633" s="71">
        <f t="shared" ca="1" si="209"/>
        <v>0.27014359474435568</v>
      </c>
      <c r="N2633" s="65"/>
    </row>
    <row r="2634" spans="1:14" x14ac:dyDescent="0.25">
      <c r="A2634" s="2">
        <v>2628</v>
      </c>
      <c r="B2634" s="11">
        <f t="shared" ca="1" si="206"/>
        <v>1</v>
      </c>
      <c r="C2634" s="26">
        <f t="shared" ca="1" si="210"/>
        <v>0.14688247915677</v>
      </c>
      <c r="J2634">
        <f t="shared" ca="1" si="207"/>
        <v>1</v>
      </c>
      <c r="K2634">
        <f t="shared" ca="1" si="208"/>
        <v>0</v>
      </c>
      <c r="L2634" s="65">
        <v>2628</v>
      </c>
      <c r="M2634" s="71">
        <f t="shared" ca="1" si="209"/>
        <v>2.441096234675117</v>
      </c>
      <c r="N2634" s="65"/>
    </row>
    <row r="2635" spans="1:14" x14ac:dyDescent="0.25">
      <c r="A2635" s="2">
        <v>2629</v>
      </c>
      <c r="B2635" s="11">
        <f t="shared" ca="1" si="206"/>
        <v>1</v>
      </c>
      <c r="C2635" s="26">
        <f t="shared" ca="1" si="210"/>
        <v>0.5061718940607669</v>
      </c>
      <c r="J2635">
        <f t="shared" ca="1" si="207"/>
        <v>1</v>
      </c>
      <c r="K2635">
        <f t="shared" ca="1" si="208"/>
        <v>0</v>
      </c>
      <c r="L2635" s="65">
        <v>2629</v>
      </c>
      <c r="M2635" s="71">
        <f t="shared" ca="1" si="209"/>
        <v>0.17500042515105893</v>
      </c>
      <c r="N2635" s="65"/>
    </row>
    <row r="2636" spans="1:14" x14ac:dyDescent="0.25">
      <c r="A2636" s="2">
        <v>2630</v>
      </c>
      <c r="B2636" s="11">
        <f t="shared" ca="1" si="206"/>
        <v>1</v>
      </c>
      <c r="C2636" s="26">
        <f t="shared" ca="1" si="210"/>
        <v>0.76272262358180731</v>
      </c>
      <c r="J2636">
        <f t="shared" ca="1" si="207"/>
        <v>0</v>
      </c>
      <c r="K2636">
        <f t="shared" ca="1" si="208"/>
        <v>0</v>
      </c>
      <c r="L2636" s="65">
        <v>2630</v>
      </c>
      <c r="M2636" s="71">
        <f t="shared" ca="1" si="209"/>
        <v>4.4805137107266111</v>
      </c>
      <c r="N2636" s="65"/>
    </row>
    <row r="2637" spans="1:14" x14ac:dyDescent="0.25">
      <c r="A2637" s="2">
        <v>2631</v>
      </c>
      <c r="B2637" s="11">
        <f t="shared" ca="1" si="206"/>
        <v>0</v>
      </c>
      <c r="C2637" s="26">
        <f t="shared" ca="1" si="210"/>
        <v>0.8804966534790114</v>
      </c>
      <c r="J2637">
        <f t="shared" ca="1" si="207"/>
        <v>0</v>
      </c>
      <c r="K2637">
        <f t="shared" ca="1" si="208"/>
        <v>0</v>
      </c>
      <c r="L2637" s="65">
        <v>2631</v>
      </c>
      <c r="M2637" s="71">
        <f t="shared" ca="1" si="209"/>
        <v>0</v>
      </c>
      <c r="N2637" s="65"/>
    </row>
    <row r="2638" spans="1:14" x14ac:dyDescent="0.25">
      <c r="A2638" s="2">
        <v>2632</v>
      </c>
      <c r="B2638" s="11">
        <f t="shared" ca="1" si="206"/>
        <v>1</v>
      </c>
      <c r="C2638" s="26">
        <f t="shared" ca="1" si="210"/>
        <v>0.25114540627872839</v>
      </c>
      <c r="J2638">
        <f t="shared" ca="1" si="207"/>
        <v>1</v>
      </c>
      <c r="K2638">
        <f t="shared" ca="1" si="208"/>
        <v>0</v>
      </c>
      <c r="L2638" s="65">
        <v>2632</v>
      </c>
      <c r="M2638" s="71">
        <f t="shared" ca="1" si="209"/>
        <v>0.37553172702067228</v>
      </c>
      <c r="N2638" s="65"/>
    </row>
    <row r="2639" spans="1:14" x14ac:dyDescent="0.25">
      <c r="A2639" s="2">
        <v>2633</v>
      </c>
      <c r="B2639" s="11">
        <f t="shared" ca="1" si="206"/>
        <v>1</v>
      </c>
      <c r="C2639" s="26">
        <f t="shared" ca="1" si="210"/>
        <v>0.5936744649839012</v>
      </c>
      <c r="J2639">
        <f t="shared" ca="1" si="207"/>
        <v>1</v>
      </c>
      <c r="K2639">
        <f t="shared" ca="1" si="208"/>
        <v>0</v>
      </c>
      <c r="L2639" s="65">
        <v>2633</v>
      </c>
      <c r="M2639" s="71">
        <f t="shared" ca="1" si="209"/>
        <v>3.1918881572603333</v>
      </c>
      <c r="N2639" s="65"/>
    </row>
    <row r="2640" spans="1:14" x14ac:dyDescent="0.25">
      <c r="A2640" s="2">
        <v>2634</v>
      </c>
      <c r="B2640" s="11">
        <f t="shared" ca="1" si="206"/>
        <v>1</v>
      </c>
      <c r="C2640" s="26">
        <f t="shared" ca="1" si="210"/>
        <v>0.14887856372458275</v>
      </c>
      <c r="J2640">
        <f t="shared" ca="1" si="207"/>
        <v>1</v>
      </c>
      <c r="K2640">
        <f t="shared" ca="1" si="208"/>
        <v>0</v>
      </c>
      <c r="L2640" s="65">
        <v>2634</v>
      </c>
      <c r="M2640" s="71">
        <f t="shared" ca="1" si="209"/>
        <v>0.14742744346669409</v>
      </c>
      <c r="N2640" s="65"/>
    </row>
    <row r="2641" spans="1:14" x14ac:dyDescent="0.25">
      <c r="A2641" s="2">
        <v>2635</v>
      </c>
      <c r="B2641" s="11">
        <f t="shared" ca="1" si="206"/>
        <v>1</v>
      </c>
      <c r="C2641" s="26">
        <f t="shared" ca="1" si="210"/>
        <v>0.21901457133134716</v>
      </c>
      <c r="J2641">
        <f t="shared" ca="1" si="207"/>
        <v>1</v>
      </c>
      <c r="K2641">
        <f t="shared" ca="1" si="208"/>
        <v>0</v>
      </c>
      <c r="L2641" s="65">
        <v>2635</v>
      </c>
      <c r="M2641" s="71">
        <f t="shared" ca="1" si="209"/>
        <v>4.4816695464358025</v>
      </c>
      <c r="N2641" s="65"/>
    </row>
    <row r="2642" spans="1:14" x14ac:dyDescent="0.25">
      <c r="A2642" s="2">
        <v>2636</v>
      </c>
      <c r="B2642" s="11">
        <f t="shared" ca="1" si="206"/>
        <v>1</v>
      </c>
      <c r="C2642" s="26">
        <f t="shared" ca="1" si="210"/>
        <v>0.64493390441453757</v>
      </c>
      <c r="J2642">
        <f t="shared" ca="1" si="207"/>
        <v>0</v>
      </c>
      <c r="K2642">
        <f t="shared" ca="1" si="208"/>
        <v>0</v>
      </c>
      <c r="L2642" s="65">
        <v>2636</v>
      </c>
      <c r="M2642" s="71">
        <f t="shared" ca="1" si="209"/>
        <v>1.5704088968792169</v>
      </c>
      <c r="N2642" s="65"/>
    </row>
    <row r="2643" spans="1:14" x14ac:dyDescent="0.25">
      <c r="A2643" s="2">
        <v>2637</v>
      </c>
      <c r="B2643" s="11">
        <f t="shared" ca="1" si="206"/>
        <v>0</v>
      </c>
      <c r="C2643" s="26">
        <f t="shared" ca="1" si="210"/>
        <v>0.83569607503621646</v>
      </c>
      <c r="J2643">
        <f t="shared" ca="1" si="207"/>
        <v>0</v>
      </c>
      <c r="K2643">
        <f t="shared" ca="1" si="208"/>
        <v>0</v>
      </c>
      <c r="L2643" s="65">
        <v>2637</v>
      </c>
      <c r="M2643" s="71">
        <f t="shared" ca="1" si="209"/>
        <v>0</v>
      </c>
      <c r="N2643" s="65"/>
    </row>
    <row r="2644" spans="1:14" x14ac:dyDescent="0.25">
      <c r="A2644" s="2">
        <v>2638</v>
      </c>
      <c r="B2644" s="11">
        <f t="shared" ca="1" si="206"/>
        <v>1</v>
      </c>
      <c r="C2644" s="26">
        <f t="shared" ca="1" si="210"/>
        <v>0.65274156314926146</v>
      </c>
      <c r="J2644">
        <f t="shared" ca="1" si="207"/>
        <v>1</v>
      </c>
      <c r="K2644">
        <f t="shared" ca="1" si="208"/>
        <v>0</v>
      </c>
      <c r="L2644" s="65">
        <v>2638</v>
      </c>
      <c r="M2644" s="71">
        <f t="shared" ca="1" si="209"/>
        <v>0.23090140090659972</v>
      </c>
      <c r="N2644" s="65"/>
    </row>
    <row r="2645" spans="1:14" x14ac:dyDescent="0.25">
      <c r="A2645" s="2">
        <v>2639</v>
      </c>
      <c r="B2645" s="11">
        <f t="shared" ca="1" si="206"/>
        <v>1</v>
      </c>
      <c r="C2645" s="26">
        <f t="shared" ca="1" si="210"/>
        <v>0.41583996721151661</v>
      </c>
      <c r="J2645">
        <f t="shared" ca="1" si="207"/>
        <v>0</v>
      </c>
      <c r="K2645">
        <f t="shared" ca="1" si="208"/>
        <v>0</v>
      </c>
      <c r="L2645" s="65">
        <v>2639</v>
      </c>
      <c r="M2645" s="71">
        <f t="shared" ca="1" si="209"/>
        <v>2.4015100621144718</v>
      </c>
      <c r="N2645" s="65"/>
    </row>
    <row r="2646" spans="1:14" x14ac:dyDescent="0.25">
      <c r="A2646" s="2">
        <v>2640</v>
      </c>
      <c r="B2646" s="11">
        <f t="shared" ca="1" si="206"/>
        <v>0</v>
      </c>
      <c r="C2646" s="26">
        <f t="shared" ca="1" si="210"/>
        <v>0.99857906020522746</v>
      </c>
      <c r="J2646">
        <f t="shared" ca="1" si="207"/>
        <v>0</v>
      </c>
      <c r="K2646">
        <f t="shared" ca="1" si="208"/>
        <v>0</v>
      </c>
      <c r="L2646" s="65">
        <v>2640</v>
      </c>
      <c r="M2646" s="71">
        <f t="shared" ca="1" si="209"/>
        <v>0</v>
      </c>
      <c r="N2646" s="65"/>
    </row>
    <row r="2647" spans="1:14" x14ac:dyDescent="0.25">
      <c r="A2647" s="2">
        <v>2641</v>
      </c>
      <c r="B2647" s="11">
        <f t="shared" ca="1" si="206"/>
        <v>1</v>
      </c>
      <c r="C2647" s="26">
        <f t="shared" ca="1" si="210"/>
        <v>0.49824767088261623</v>
      </c>
      <c r="J2647">
        <f t="shared" ca="1" si="207"/>
        <v>1</v>
      </c>
      <c r="K2647">
        <f t="shared" ca="1" si="208"/>
        <v>0</v>
      </c>
      <c r="L2647" s="65">
        <v>2641</v>
      </c>
      <c r="M2647" s="71">
        <f t="shared" ca="1" si="209"/>
        <v>9.5154876951023049</v>
      </c>
      <c r="N2647" s="65"/>
    </row>
    <row r="2648" spans="1:14" x14ac:dyDescent="0.25">
      <c r="A2648" s="2">
        <v>2642</v>
      </c>
      <c r="B2648" s="11">
        <f t="shared" ca="1" si="206"/>
        <v>1</v>
      </c>
      <c r="C2648" s="26">
        <f t="shared" ca="1" si="210"/>
        <v>0.19898781161511092</v>
      </c>
      <c r="J2648">
        <f t="shared" ca="1" si="207"/>
        <v>1</v>
      </c>
      <c r="K2648">
        <f t="shared" ca="1" si="208"/>
        <v>0</v>
      </c>
      <c r="L2648" s="65">
        <v>2642</v>
      </c>
      <c r="M2648" s="71">
        <f t="shared" ca="1" si="209"/>
        <v>2.0506400358409049</v>
      </c>
      <c r="N2648" s="65"/>
    </row>
    <row r="2649" spans="1:14" x14ac:dyDescent="0.25">
      <c r="A2649" s="2">
        <v>2643</v>
      </c>
      <c r="B2649" s="11">
        <f t="shared" ca="1" si="206"/>
        <v>1</v>
      </c>
      <c r="C2649" s="26">
        <f t="shared" ca="1" si="210"/>
        <v>0.15380204399185082</v>
      </c>
      <c r="J2649">
        <f t="shared" ca="1" si="207"/>
        <v>1</v>
      </c>
      <c r="K2649">
        <f t="shared" ca="1" si="208"/>
        <v>0</v>
      </c>
      <c r="L2649" s="65">
        <v>2643</v>
      </c>
      <c r="M2649" s="71">
        <f t="shared" ca="1" si="209"/>
        <v>7.1250438003741365</v>
      </c>
      <c r="N2649" s="65"/>
    </row>
    <row r="2650" spans="1:14" x14ac:dyDescent="0.25">
      <c r="A2650" s="2">
        <v>2644</v>
      </c>
      <c r="B2650" s="11">
        <f t="shared" ca="1" si="206"/>
        <v>1</v>
      </c>
      <c r="C2650" s="26">
        <f t="shared" ca="1" si="210"/>
        <v>0.26633011512295357</v>
      </c>
      <c r="J2650">
        <f t="shared" ca="1" si="207"/>
        <v>0</v>
      </c>
      <c r="K2650">
        <f t="shared" ca="1" si="208"/>
        <v>0</v>
      </c>
      <c r="L2650" s="65">
        <v>2644</v>
      </c>
      <c r="M2650" s="71">
        <f t="shared" ca="1" si="209"/>
        <v>11.919176400400413</v>
      </c>
      <c r="N2650" s="65"/>
    </row>
    <row r="2651" spans="1:14" x14ac:dyDescent="0.25">
      <c r="A2651" s="2">
        <v>2645</v>
      </c>
      <c r="B2651" s="11">
        <f t="shared" ca="1" si="206"/>
        <v>0</v>
      </c>
      <c r="C2651" s="26">
        <f t="shared" ca="1" si="210"/>
        <v>0.86720271224019585</v>
      </c>
      <c r="J2651">
        <f t="shared" ca="1" si="207"/>
        <v>0</v>
      </c>
      <c r="K2651">
        <f t="shared" ca="1" si="208"/>
        <v>0</v>
      </c>
      <c r="L2651" s="65">
        <v>2645</v>
      </c>
      <c r="M2651" s="71">
        <f t="shared" ca="1" si="209"/>
        <v>0</v>
      </c>
      <c r="N2651" s="65"/>
    </row>
    <row r="2652" spans="1:14" x14ac:dyDescent="0.25">
      <c r="A2652" s="2">
        <v>2646</v>
      </c>
      <c r="B2652" s="11">
        <f t="shared" ca="1" si="206"/>
        <v>1</v>
      </c>
      <c r="C2652" s="26">
        <f t="shared" ca="1" si="210"/>
        <v>9.2357029682609948E-2</v>
      </c>
      <c r="J2652">
        <f t="shared" ca="1" si="207"/>
        <v>1</v>
      </c>
      <c r="K2652">
        <f t="shared" ca="1" si="208"/>
        <v>0</v>
      </c>
      <c r="L2652" s="65">
        <v>2646</v>
      </c>
      <c r="M2652" s="71">
        <f t="shared" ca="1" si="209"/>
        <v>1.9773789313488821</v>
      </c>
      <c r="N2652" s="65"/>
    </row>
    <row r="2653" spans="1:14" x14ac:dyDescent="0.25">
      <c r="A2653" s="2">
        <v>2647</v>
      </c>
      <c r="B2653" s="11">
        <f t="shared" ca="1" si="206"/>
        <v>1</v>
      </c>
      <c r="C2653" s="26">
        <f t="shared" ca="1" si="210"/>
        <v>0.41965277296052239</v>
      </c>
      <c r="J2653">
        <f t="shared" ca="1" si="207"/>
        <v>1</v>
      </c>
      <c r="K2653">
        <f t="shared" ca="1" si="208"/>
        <v>0</v>
      </c>
      <c r="L2653" s="65">
        <v>2647</v>
      </c>
      <c r="M2653" s="71">
        <f t="shared" ca="1" si="209"/>
        <v>1.649578803217667</v>
      </c>
      <c r="N2653" s="65"/>
    </row>
    <row r="2654" spans="1:14" x14ac:dyDescent="0.25">
      <c r="A2654" s="2">
        <v>2648</v>
      </c>
      <c r="B2654" s="11">
        <f t="shared" ca="1" si="206"/>
        <v>1</v>
      </c>
      <c r="C2654" s="26">
        <f t="shared" ca="1" si="210"/>
        <v>0.47847154269018322</v>
      </c>
      <c r="J2654">
        <f t="shared" ca="1" si="207"/>
        <v>0</v>
      </c>
      <c r="K2654">
        <f t="shared" ca="1" si="208"/>
        <v>0</v>
      </c>
      <c r="L2654" s="65">
        <v>2648</v>
      </c>
      <c r="M2654" s="71">
        <f t="shared" ca="1" si="209"/>
        <v>4.3275650096831528</v>
      </c>
      <c r="N2654" s="65"/>
    </row>
    <row r="2655" spans="1:14" x14ac:dyDescent="0.25">
      <c r="A2655" s="2">
        <v>2649</v>
      </c>
      <c r="B2655" s="11">
        <f t="shared" ca="1" si="206"/>
        <v>0</v>
      </c>
      <c r="C2655" s="26">
        <f t="shared" ca="1" si="210"/>
        <v>0.81548448018830622</v>
      </c>
      <c r="J2655">
        <f t="shared" ca="1" si="207"/>
        <v>0</v>
      </c>
      <c r="K2655">
        <f t="shared" ca="1" si="208"/>
        <v>0</v>
      </c>
      <c r="L2655" s="65">
        <v>2649</v>
      </c>
      <c r="M2655" s="71">
        <f t="shared" ca="1" si="209"/>
        <v>0</v>
      </c>
      <c r="N2655" s="65"/>
    </row>
    <row r="2656" spans="1:14" x14ac:dyDescent="0.25">
      <c r="A2656" s="2">
        <v>2650</v>
      </c>
      <c r="B2656" s="11">
        <f t="shared" ca="1" si="206"/>
        <v>1</v>
      </c>
      <c r="C2656" s="26">
        <f t="shared" ca="1" si="210"/>
        <v>0.23965836097284665</v>
      </c>
      <c r="J2656">
        <f t="shared" ca="1" si="207"/>
        <v>1</v>
      </c>
      <c r="K2656">
        <f t="shared" ca="1" si="208"/>
        <v>0</v>
      </c>
      <c r="L2656" s="65">
        <v>2650</v>
      </c>
      <c r="M2656" s="71">
        <f t="shared" ca="1" si="209"/>
        <v>2.4878010897429603</v>
      </c>
      <c r="N2656" s="65"/>
    </row>
    <row r="2657" spans="1:14" x14ac:dyDescent="0.25">
      <c r="A2657" s="2">
        <v>2651</v>
      </c>
      <c r="B2657" s="11">
        <f t="shared" ca="1" si="206"/>
        <v>1</v>
      </c>
      <c r="C2657" s="26">
        <f t="shared" ca="1" si="210"/>
        <v>0.37994298639215218</v>
      </c>
      <c r="J2657">
        <f t="shared" ca="1" si="207"/>
        <v>1</v>
      </c>
      <c r="K2657">
        <f t="shared" ca="1" si="208"/>
        <v>0</v>
      </c>
      <c r="L2657" s="65">
        <v>2651</v>
      </c>
      <c r="M2657" s="71">
        <f t="shared" ca="1" si="209"/>
        <v>2.742373762182766</v>
      </c>
      <c r="N2657" s="65"/>
    </row>
    <row r="2658" spans="1:14" x14ac:dyDescent="0.25">
      <c r="A2658" s="2">
        <v>2652</v>
      </c>
      <c r="B2658" s="11">
        <f t="shared" ca="1" si="206"/>
        <v>1</v>
      </c>
      <c r="C2658" s="26">
        <f t="shared" ca="1" si="210"/>
        <v>0.33564411907854719</v>
      </c>
      <c r="J2658">
        <f t="shared" ca="1" si="207"/>
        <v>1</v>
      </c>
      <c r="K2658">
        <f t="shared" ca="1" si="208"/>
        <v>0</v>
      </c>
      <c r="L2658" s="65">
        <v>2652</v>
      </c>
      <c r="M2658" s="71">
        <f t="shared" ca="1" si="209"/>
        <v>2.6548934154695312</v>
      </c>
      <c r="N2658" s="65"/>
    </row>
    <row r="2659" spans="1:14" x14ac:dyDescent="0.25">
      <c r="A2659" s="2">
        <v>2653</v>
      </c>
      <c r="B2659" s="11">
        <f t="shared" ca="1" si="206"/>
        <v>1</v>
      </c>
      <c r="C2659" s="26">
        <f t="shared" ca="1" si="210"/>
        <v>0.13026484634026814</v>
      </c>
      <c r="J2659">
        <f t="shared" ca="1" si="207"/>
        <v>1</v>
      </c>
      <c r="K2659">
        <f t="shared" ca="1" si="208"/>
        <v>0</v>
      </c>
      <c r="L2659" s="65">
        <v>2653</v>
      </c>
      <c r="M2659" s="71">
        <f t="shared" ca="1" si="209"/>
        <v>0.74416559480192668</v>
      </c>
      <c r="N2659" s="65"/>
    </row>
    <row r="2660" spans="1:14" x14ac:dyDescent="0.25">
      <c r="A2660" s="2">
        <v>2654</v>
      </c>
      <c r="B2660" s="11">
        <f t="shared" ca="1" si="206"/>
        <v>1</v>
      </c>
      <c r="C2660" s="26">
        <f t="shared" ca="1" si="210"/>
        <v>0.63610447356495214</v>
      </c>
      <c r="J2660">
        <f t="shared" ca="1" si="207"/>
        <v>1</v>
      </c>
      <c r="K2660">
        <f t="shared" ca="1" si="208"/>
        <v>0</v>
      </c>
      <c r="L2660" s="65">
        <v>2654</v>
      </c>
      <c r="M2660" s="71">
        <f t="shared" ca="1" si="209"/>
        <v>3.1537301671484737</v>
      </c>
      <c r="N2660" s="65"/>
    </row>
    <row r="2661" spans="1:14" x14ac:dyDescent="0.25">
      <c r="A2661" s="2">
        <v>2655</v>
      </c>
      <c r="B2661" s="11">
        <f t="shared" ca="1" si="206"/>
        <v>1</v>
      </c>
      <c r="C2661" s="26">
        <f t="shared" ca="1" si="210"/>
        <v>0.77615446979628433</v>
      </c>
      <c r="J2661">
        <f t="shared" ca="1" si="207"/>
        <v>1</v>
      </c>
      <c r="K2661">
        <f t="shared" ca="1" si="208"/>
        <v>0</v>
      </c>
      <c r="L2661" s="65">
        <v>2655</v>
      </c>
      <c r="M2661" s="71">
        <f t="shared" ca="1" si="209"/>
        <v>3.4941060600110507</v>
      </c>
      <c r="N2661" s="65"/>
    </row>
    <row r="2662" spans="1:14" x14ac:dyDescent="0.25">
      <c r="A2662" s="2">
        <v>2656</v>
      </c>
      <c r="B2662" s="11">
        <f t="shared" ca="1" si="206"/>
        <v>1</v>
      </c>
      <c r="C2662" s="26">
        <f t="shared" ca="1" si="210"/>
        <v>8.5953258378915542E-2</v>
      </c>
      <c r="J2662">
        <f t="shared" ca="1" si="207"/>
        <v>1</v>
      </c>
      <c r="K2662">
        <f t="shared" ca="1" si="208"/>
        <v>0</v>
      </c>
      <c r="L2662" s="65">
        <v>2656</v>
      </c>
      <c r="M2662" s="71">
        <f t="shared" ca="1" si="209"/>
        <v>0.94236067756429953</v>
      </c>
      <c r="N2662" s="65"/>
    </row>
    <row r="2663" spans="1:14" x14ac:dyDescent="0.25">
      <c r="A2663" s="2">
        <v>2657</v>
      </c>
      <c r="B2663" s="11">
        <f t="shared" ca="1" si="206"/>
        <v>1</v>
      </c>
      <c r="C2663" s="26">
        <f t="shared" ca="1" si="210"/>
        <v>0.20052895444925511</v>
      </c>
      <c r="J2663">
        <f t="shared" ca="1" si="207"/>
        <v>1</v>
      </c>
      <c r="K2663">
        <f t="shared" ca="1" si="208"/>
        <v>0</v>
      </c>
      <c r="L2663" s="65">
        <v>2657</v>
      </c>
      <c r="M2663" s="71">
        <f t="shared" ca="1" si="209"/>
        <v>0.36174249703763822</v>
      </c>
      <c r="N2663" s="65"/>
    </row>
    <row r="2664" spans="1:14" x14ac:dyDescent="0.25">
      <c r="A2664" s="2">
        <v>2658</v>
      </c>
      <c r="B2664" s="11">
        <f t="shared" ca="1" si="206"/>
        <v>1</v>
      </c>
      <c r="C2664" s="26">
        <f t="shared" ca="1" si="210"/>
        <v>7.1798125716097783E-2</v>
      </c>
      <c r="J2664">
        <f t="shared" ca="1" si="207"/>
        <v>1</v>
      </c>
      <c r="K2664">
        <f t="shared" ca="1" si="208"/>
        <v>0</v>
      </c>
      <c r="L2664" s="65">
        <v>2658</v>
      </c>
      <c r="M2664" s="71">
        <f t="shared" ca="1" si="209"/>
        <v>1.6991859731589027</v>
      </c>
      <c r="N2664" s="65"/>
    </row>
    <row r="2665" spans="1:14" x14ac:dyDescent="0.25">
      <c r="A2665" s="2">
        <v>2659</v>
      </c>
      <c r="B2665" s="11">
        <f t="shared" ca="1" si="206"/>
        <v>1</v>
      </c>
      <c r="C2665" s="26">
        <f t="shared" ca="1" si="210"/>
        <v>0.19459339437077416</v>
      </c>
      <c r="J2665">
        <f t="shared" ca="1" si="207"/>
        <v>1</v>
      </c>
      <c r="K2665">
        <f t="shared" ca="1" si="208"/>
        <v>0</v>
      </c>
      <c r="L2665" s="65">
        <v>2659</v>
      </c>
      <c r="M2665" s="71">
        <f t="shared" ca="1" si="209"/>
        <v>2.8653271644377534</v>
      </c>
      <c r="N2665" s="65"/>
    </row>
    <row r="2666" spans="1:14" x14ac:dyDescent="0.25">
      <c r="A2666" s="2">
        <v>2660</v>
      </c>
      <c r="B2666" s="11">
        <f t="shared" ca="1" si="206"/>
        <v>1</v>
      </c>
      <c r="C2666" s="26">
        <f t="shared" ca="1" si="210"/>
        <v>0.61246296353818874</v>
      </c>
      <c r="J2666">
        <f t="shared" ca="1" si="207"/>
        <v>1</v>
      </c>
      <c r="K2666">
        <f t="shared" ca="1" si="208"/>
        <v>0</v>
      </c>
      <c r="L2666" s="65">
        <v>2660</v>
      </c>
      <c r="M2666" s="71">
        <f t="shared" ca="1" si="209"/>
        <v>1.0623899789779521</v>
      </c>
      <c r="N2666" s="65"/>
    </row>
    <row r="2667" spans="1:14" x14ac:dyDescent="0.25">
      <c r="A2667" s="2">
        <v>2661</v>
      </c>
      <c r="B2667" s="11">
        <f t="shared" ca="1" si="206"/>
        <v>1</v>
      </c>
      <c r="C2667" s="26">
        <f t="shared" ca="1" si="210"/>
        <v>0.5158617598169315</v>
      </c>
      <c r="J2667">
        <f t="shared" ca="1" si="207"/>
        <v>1</v>
      </c>
      <c r="K2667">
        <f t="shared" ca="1" si="208"/>
        <v>0</v>
      </c>
      <c r="L2667" s="65">
        <v>2661</v>
      </c>
      <c r="M2667" s="71">
        <f t="shared" ca="1" si="209"/>
        <v>3.5161348258040657</v>
      </c>
      <c r="N2667" s="65"/>
    </row>
    <row r="2668" spans="1:14" x14ac:dyDescent="0.25">
      <c r="A2668" s="2">
        <v>2662</v>
      </c>
      <c r="B2668" s="11">
        <f t="shared" ca="1" si="206"/>
        <v>1</v>
      </c>
      <c r="C2668" s="26">
        <f t="shared" ca="1" si="210"/>
        <v>0.43788005174624789</v>
      </c>
      <c r="J2668">
        <f t="shared" ca="1" si="207"/>
        <v>1</v>
      </c>
      <c r="K2668">
        <f t="shared" ca="1" si="208"/>
        <v>0</v>
      </c>
      <c r="L2668" s="65">
        <v>2662</v>
      </c>
      <c r="M2668" s="71">
        <f t="shared" ca="1" si="209"/>
        <v>1.5148060221136723</v>
      </c>
      <c r="N2668" s="65"/>
    </row>
    <row r="2669" spans="1:14" x14ac:dyDescent="0.25">
      <c r="A2669" s="2">
        <v>2663</v>
      </c>
      <c r="B2669" s="11">
        <f t="shared" ca="1" si="206"/>
        <v>1</v>
      </c>
      <c r="C2669" s="26">
        <f t="shared" ca="1" si="210"/>
        <v>0.36542120552852997</v>
      </c>
      <c r="J2669">
        <f t="shared" ca="1" si="207"/>
        <v>1</v>
      </c>
      <c r="K2669">
        <f t="shared" ca="1" si="208"/>
        <v>0</v>
      </c>
      <c r="L2669" s="65">
        <v>2663</v>
      </c>
      <c r="M2669" s="71">
        <f t="shared" ca="1" si="209"/>
        <v>2.1177033897974389</v>
      </c>
      <c r="N2669" s="65"/>
    </row>
    <row r="2670" spans="1:14" x14ac:dyDescent="0.25">
      <c r="A2670" s="2">
        <v>2664</v>
      </c>
      <c r="B2670" s="11">
        <f t="shared" ca="1" si="206"/>
        <v>1</v>
      </c>
      <c r="C2670" s="26">
        <f t="shared" ca="1" si="210"/>
        <v>0.54081904374202205</v>
      </c>
      <c r="J2670">
        <f t="shared" ca="1" si="207"/>
        <v>1</v>
      </c>
      <c r="K2670">
        <f t="shared" ca="1" si="208"/>
        <v>0</v>
      </c>
      <c r="L2670" s="65">
        <v>2664</v>
      </c>
      <c r="M2670" s="71">
        <f t="shared" ca="1" si="209"/>
        <v>1.2945343173033896</v>
      </c>
      <c r="N2670" s="65"/>
    </row>
    <row r="2671" spans="1:14" x14ac:dyDescent="0.25">
      <c r="A2671" s="2">
        <v>2665</v>
      </c>
      <c r="B2671" s="11">
        <f t="shared" ref="B2671:B2734" ca="1" si="211">IF(B2670&gt;0,IF(C2671&lt;pww,1,0),IF(C2671&lt;pdw,1,0))</f>
        <v>1</v>
      </c>
      <c r="C2671" s="26">
        <f t="shared" ca="1" si="210"/>
        <v>0.45832762869683463</v>
      </c>
      <c r="J2671">
        <f t="shared" ref="J2671:J2734" ca="1" si="212">IF(AND(B2671,B2672),1,0)</f>
        <v>1</v>
      </c>
      <c r="K2671">
        <f t="shared" ref="K2671:K2734" ca="1" si="213">IF(AND(NOT(B2671),NOT(B2672)),1,0)</f>
        <v>0</v>
      </c>
      <c r="L2671" s="65">
        <v>2665</v>
      </c>
      <c r="M2671" s="71">
        <f t="shared" ca="1" si="209"/>
        <v>15.476963617767455</v>
      </c>
      <c r="N2671" s="65"/>
    </row>
    <row r="2672" spans="1:14" x14ac:dyDescent="0.25">
      <c r="A2672" s="2">
        <v>2666</v>
      </c>
      <c r="B2672" s="11">
        <f t="shared" ca="1" si="211"/>
        <v>1</v>
      </c>
      <c r="C2672" s="26">
        <f t="shared" ca="1" si="210"/>
        <v>0.2243185326899737</v>
      </c>
      <c r="J2672">
        <f t="shared" ca="1" si="212"/>
        <v>1</v>
      </c>
      <c r="K2672">
        <f t="shared" ca="1" si="213"/>
        <v>0</v>
      </c>
      <c r="L2672" s="65">
        <v>2666</v>
      </c>
      <c r="M2672" s="71">
        <f t="shared" ca="1" si="209"/>
        <v>0.13215597573368487</v>
      </c>
      <c r="N2672" s="65"/>
    </row>
    <row r="2673" spans="1:14" x14ac:dyDescent="0.25">
      <c r="A2673" s="2">
        <v>2667</v>
      </c>
      <c r="B2673" s="11">
        <f t="shared" ca="1" si="211"/>
        <v>1</v>
      </c>
      <c r="C2673" s="26">
        <f t="shared" ca="1" si="210"/>
        <v>0.36922537120310528</v>
      </c>
      <c r="J2673">
        <f t="shared" ca="1" si="212"/>
        <v>1</v>
      </c>
      <c r="K2673">
        <f t="shared" ca="1" si="213"/>
        <v>0</v>
      </c>
      <c r="L2673" s="65">
        <v>2667</v>
      </c>
      <c r="M2673" s="71">
        <f t="shared" ca="1" si="209"/>
        <v>4.1697512171602087</v>
      </c>
      <c r="N2673" s="65"/>
    </row>
    <row r="2674" spans="1:14" x14ac:dyDescent="0.25">
      <c r="A2674" s="2">
        <v>2668</v>
      </c>
      <c r="B2674" s="11">
        <f t="shared" ca="1" si="211"/>
        <v>1</v>
      </c>
      <c r="C2674" s="26">
        <f t="shared" ca="1" si="210"/>
        <v>0.62491715004799997</v>
      </c>
      <c r="J2674">
        <f t="shared" ca="1" si="212"/>
        <v>1</v>
      </c>
      <c r="K2674">
        <f t="shared" ca="1" si="213"/>
        <v>0</v>
      </c>
      <c r="L2674" s="65">
        <v>2668</v>
      </c>
      <c r="M2674" s="71">
        <f t="shared" ca="1" si="209"/>
        <v>3.7376738377945773</v>
      </c>
      <c r="N2674" s="65"/>
    </row>
    <row r="2675" spans="1:14" x14ac:dyDescent="0.25">
      <c r="A2675" s="2">
        <v>2669</v>
      </c>
      <c r="B2675" s="11">
        <f t="shared" ca="1" si="211"/>
        <v>1</v>
      </c>
      <c r="C2675" s="26">
        <f t="shared" ca="1" si="210"/>
        <v>0.67070844445376498</v>
      </c>
      <c r="J2675">
        <f t="shared" ca="1" si="212"/>
        <v>0</v>
      </c>
      <c r="K2675">
        <f t="shared" ca="1" si="213"/>
        <v>0</v>
      </c>
      <c r="L2675" s="65">
        <v>2669</v>
      </c>
      <c r="M2675" s="71">
        <f t="shared" ca="1" si="209"/>
        <v>1.9980800724544303</v>
      </c>
      <c r="N2675" s="65"/>
    </row>
    <row r="2676" spans="1:14" x14ac:dyDescent="0.25">
      <c r="A2676" s="2">
        <v>2670</v>
      </c>
      <c r="B2676" s="11">
        <f t="shared" ca="1" si="211"/>
        <v>0</v>
      </c>
      <c r="C2676" s="26">
        <f t="shared" ca="1" si="210"/>
        <v>0.87259361265993718</v>
      </c>
      <c r="J2676">
        <f t="shared" ca="1" si="212"/>
        <v>0</v>
      </c>
      <c r="K2676">
        <f t="shared" ca="1" si="213"/>
        <v>1</v>
      </c>
      <c r="L2676" s="65">
        <v>2670</v>
      </c>
      <c r="M2676" s="71">
        <f t="shared" ca="1" si="209"/>
        <v>0</v>
      </c>
      <c r="N2676" s="65"/>
    </row>
    <row r="2677" spans="1:14" x14ac:dyDescent="0.25">
      <c r="A2677" s="2">
        <v>2671</v>
      </c>
      <c r="B2677" s="11">
        <f t="shared" ca="1" si="211"/>
        <v>0</v>
      </c>
      <c r="C2677" s="26">
        <f t="shared" ca="1" si="210"/>
        <v>0.83770751620519723</v>
      </c>
      <c r="J2677">
        <f t="shared" ca="1" si="212"/>
        <v>0</v>
      </c>
      <c r="K2677">
        <f t="shared" ca="1" si="213"/>
        <v>0</v>
      </c>
      <c r="L2677" s="65">
        <v>2671</v>
      </c>
      <c r="M2677" s="71">
        <f t="shared" ca="1" si="209"/>
        <v>0</v>
      </c>
      <c r="N2677" s="65"/>
    </row>
    <row r="2678" spans="1:14" x14ac:dyDescent="0.25">
      <c r="A2678" s="2">
        <v>2672</v>
      </c>
      <c r="B2678" s="11">
        <f t="shared" ca="1" si="211"/>
        <v>1</v>
      </c>
      <c r="C2678" s="26">
        <f t="shared" ca="1" si="210"/>
        <v>0.1650597562081334</v>
      </c>
      <c r="J2678">
        <f t="shared" ca="1" si="212"/>
        <v>1</v>
      </c>
      <c r="K2678">
        <f t="shared" ca="1" si="213"/>
        <v>0</v>
      </c>
      <c r="L2678" s="65">
        <v>2672</v>
      </c>
      <c r="M2678" s="71">
        <f t="shared" ca="1" si="209"/>
        <v>0.39031237236564054</v>
      </c>
      <c r="N2678" s="65"/>
    </row>
    <row r="2679" spans="1:14" x14ac:dyDescent="0.25">
      <c r="A2679" s="2">
        <v>2673</v>
      </c>
      <c r="B2679" s="11">
        <f t="shared" ca="1" si="211"/>
        <v>1</v>
      </c>
      <c r="C2679" s="26">
        <f t="shared" ca="1" si="210"/>
        <v>0.67141213448719317</v>
      </c>
      <c r="J2679">
        <f t="shared" ca="1" si="212"/>
        <v>1</v>
      </c>
      <c r="K2679">
        <f t="shared" ca="1" si="213"/>
        <v>0</v>
      </c>
      <c r="L2679" s="65">
        <v>2673</v>
      </c>
      <c r="M2679" s="71">
        <f t="shared" ca="1" si="209"/>
        <v>2.4354430967387897</v>
      </c>
      <c r="N2679" s="65"/>
    </row>
    <row r="2680" spans="1:14" x14ac:dyDescent="0.25">
      <c r="A2680" s="2">
        <v>2674</v>
      </c>
      <c r="B2680" s="11">
        <f t="shared" ca="1" si="211"/>
        <v>1</v>
      </c>
      <c r="C2680" s="26">
        <f t="shared" ca="1" si="210"/>
        <v>0.77242846691735845</v>
      </c>
      <c r="J2680">
        <f t="shared" ca="1" si="212"/>
        <v>1</v>
      </c>
      <c r="K2680">
        <f t="shared" ca="1" si="213"/>
        <v>0</v>
      </c>
      <c r="L2680" s="65">
        <v>2674</v>
      </c>
      <c r="M2680" s="71">
        <f t="shared" ca="1" si="209"/>
        <v>4.2449862850958668</v>
      </c>
      <c r="N2680" s="65"/>
    </row>
    <row r="2681" spans="1:14" x14ac:dyDescent="0.25">
      <c r="A2681" s="2">
        <v>2675</v>
      </c>
      <c r="B2681" s="11">
        <f t="shared" ca="1" si="211"/>
        <v>1</v>
      </c>
      <c r="C2681" s="26">
        <f t="shared" ca="1" si="210"/>
        <v>0.79072087166659233</v>
      </c>
      <c r="J2681">
        <f t="shared" ca="1" si="212"/>
        <v>1</v>
      </c>
      <c r="K2681">
        <f t="shared" ca="1" si="213"/>
        <v>0</v>
      </c>
      <c r="L2681" s="65">
        <v>2675</v>
      </c>
      <c r="M2681" s="71">
        <f t="shared" ca="1" si="209"/>
        <v>3.4440428957497344</v>
      </c>
      <c r="N2681" s="65"/>
    </row>
    <row r="2682" spans="1:14" x14ac:dyDescent="0.25">
      <c r="A2682" s="2">
        <v>2676</v>
      </c>
      <c r="B2682" s="11">
        <f t="shared" ca="1" si="211"/>
        <v>1</v>
      </c>
      <c r="C2682" s="26">
        <f t="shared" ca="1" si="210"/>
        <v>0.38757385293359925</v>
      </c>
      <c r="J2682">
        <f t="shared" ca="1" si="212"/>
        <v>1</v>
      </c>
      <c r="K2682">
        <f t="shared" ca="1" si="213"/>
        <v>0</v>
      </c>
      <c r="L2682" s="65">
        <v>2676</v>
      </c>
      <c r="M2682" s="71">
        <f t="shared" ca="1" si="209"/>
        <v>1.1709629016694867</v>
      </c>
      <c r="N2682" s="65"/>
    </row>
    <row r="2683" spans="1:14" x14ac:dyDescent="0.25">
      <c r="A2683" s="2">
        <v>2677</v>
      </c>
      <c r="B2683" s="11">
        <f t="shared" ca="1" si="211"/>
        <v>1</v>
      </c>
      <c r="C2683" s="26">
        <f t="shared" ca="1" si="210"/>
        <v>0.17800503572719029</v>
      </c>
      <c r="J2683">
        <f t="shared" ca="1" si="212"/>
        <v>1</v>
      </c>
      <c r="K2683">
        <f t="shared" ca="1" si="213"/>
        <v>0</v>
      </c>
      <c r="L2683" s="65">
        <v>2677</v>
      </c>
      <c r="M2683" s="71">
        <f t="shared" ca="1" si="209"/>
        <v>1.056157049709987</v>
      </c>
      <c r="N2683" s="65"/>
    </row>
    <row r="2684" spans="1:14" x14ac:dyDescent="0.25">
      <c r="A2684" s="2">
        <v>2678</v>
      </c>
      <c r="B2684" s="11">
        <f t="shared" ca="1" si="211"/>
        <v>1</v>
      </c>
      <c r="C2684" s="26">
        <f t="shared" ca="1" si="210"/>
        <v>0.2704063596648385</v>
      </c>
      <c r="J2684">
        <f t="shared" ca="1" si="212"/>
        <v>1</v>
      </c>
      <c r="K2684">
        <f t="shared" ca="1" si="213"/>
        <v>0</v>
      </c>
      <c r="L2684" s="65">
        <v>2678</v>
      </c>
      <c r="M2684" s="71">
        <f t="shared" ca="1" si="209"/>
        <v>3.8735085244581233</v>
      </c>
      <c r="N2684" s="65"/>
    </row>
    <row r="2685" spans="1:14" x14ac:dyDescent="0.25">
      <c r="A2685" s="2">
        <v>2679</v>
      </c>
      <c r="B2685" s="11">
        <f t="shared" ca="1" si="211"/>
        <v>1</v>
      </c>
      <c r="C2685" s="26">
        <f t="shared" ca="1" si="210"/>
        <v>0.32045846876247785</v>
      </c>
      <c r="J2685">
        <f t="shared" ca="1" si="212"/>
        <v>0</v>
      </c>
      <c r="K2685">
        <f t="shared" ca="1" si="213"/>
        <v>0</v>
      </c>
      <c r="L2685" s="65">
        <v>2679</v>
      </c>
      <c r="M2685" s="71">
        <f t="shared" ca="1" si="209"/>
        <v>10.000873917971633</v>
      </c>
      <c r="N2685" s="65"/>
    </row>
    <row r="2686" spans="1:14" x14ac:dyDescent="0.25">
      <c r="A2686" s="2">
        <v>2680</v>
      </c>
      <c r="B2686" s="11">
        <f t="shared" ca="1" si="211"/>
        <v>0</v>
      </c>
      <c r="C2686" s="26">
        <f t="shared" ca="1" si="210"/>
        <v>0.95098213577499835</v>
      </c>
      <c r="J2686">
        <f t="shared" ca="1" si="212"/>
        <v>0</v>
      </c>
      <c r="K2686">
        <f t="shared" ca="1" si="213"/>
        <v>0</v>
      </c>
      <c r="L2686" s="65">
        <v>2680</v>
      </c>
      <c r="M2686" s="71">
        <f t="shared" ca="1" si="209"/>
        <v>0</v>
      </c>
      <c r="N2686" s="65"/>
    </row>
    <row r="2687" spans="1:14" x14ac:dyDescent="0.25">
      <c r="A2687" s="2">
        <v>2681</v>
      </c>
      <c r="B2687" s="11">
        <f t="shared" ca="1" si="211"/>
        <v>1</v>
      </c>
      <c r="C2687" s="26">
        <f t="shared" ca="1" si="210"/>
        <v>0.41353631021367321</v>
      </c>
      <c r="J2687">
        <f t="shared" ca="1" si="212"/>
        <v>0</v>
      </c>
      <c r="K2687">
        <f t="shared" ca="1" si="213"/>
        <v>0</v>
      </c>
      <c r="L2687" s="65">
        <v>2681</v>
      </c>
      <c r="M2687" s="71">
        <f t="shared" ca="1" si="209"/>
        <v>3.2536280872808003</v>
      </c>
      <c r="N2687" s="65"/>
    </row>
    <row r="2688" spans="1:14" x14ac:dyDescent="0.25">
      <c r="A2688" s="2">
        <v>2682</v>
      </c>
      <c r="B2688" s="11">
        <f t="shared" ca="1" si="211"/>
        <v>0</v>
      </c>
      <c r="C2688" s="26">
        <f t="shared" ca="1" si="210"/>
        <v>0.96791251190604954</v>
      </c>
      <c r="J2688">
        <f t="shared" ca="1" si="212"/>
        <v>0</v>
      </c>
      <c r="K2688">
        <f t="shared" ca="1" si="213"/>
        <v>1</v>
      </c>
      <c r="L2688" s="65">
        <v>2682</v>
      </c>
      <c r="M2688" s="71">
        <f t="shared" ca="1" si="209"/>
        <v>0</v>
      </c>
      <c r="N2688" s="65"/>
    </row>
    <row r="2689" spans="1:14" x14ac:dyDescent="0.25">
      <c r="A2689" s="2">
        <v>2683</v>
      </c>
      <c r="B2689" s="11">
        <f t="shared" ca="1" si="211"/>
        <v>0</v>
      </c>
      <c r="C2689" s="26">
        <f t="shared" ca="1" si="210"/>
        <v>0.95780286781348423</v>
      </c>
      <c r="J2689">
        <f t="shared" ca="1" si="212"/>
        <v>0</v>
      </c>
      <c r="K2689">
        <f t="shared" ca="1" si="213"/>
        <v>0</v>
      </c>
      <c r="L2689" s="65">
        <v>2683</v>
      </c>
      <c r="M2689" s="71">
        <f t="shared" ca="1" si="209"/>
        <v>0</v>
      </c>
      <c r="N2689" s="65"/>
    </row>
    <row r="2690" spans="1:14" x14ac:dyDescent="0.25">
      <c r="A2690" s="2">
        <v>2684</v>
      </c>
      <c r="B2690" s="11">
        <f t="shared" ca="1" si="211"/>
        <v>1</v>
      </c>
      <c r="C2690" s="26">
        <f t="shared" ca="1" si="210"/>
        <v>0.6358381590718305</v>
      </c>
      <c r="J2690">
        <f t="shared" ca="1" si="212"/>
        <v>1</v>
      </c>
      <c r="K2690">
        <f t="shared" ca="1" si="213"/>
        <v>0</v>
      </c>
      <c r="L2690" s="65">
        <v>2684</v>
      </c>
      <c r="M2690" s="71">
        <f t="shared" ca="1" si="209"/>
        <v>0.42841438670248416</v>
      </c>
      <c r="N2690" s="65"/>
    </row>
    <row r="2691" spans="1:14" x14ac:dyDescent="0.25">
      <c r="A2691" s="2">
        <v>2685</v>
      </c>
      <c r="B2691" s="11">
        <f t="shared" ca="1" si="211"/>
        <v>1</v>
      </c>
      <c r="C2691" s="26">
        <f t="shared" ca="1" si="210"/>
        <v>0.47813387411603492</v>
      </c>
      <c r="J2691">
        <f t="shared" ca="1" si="212"/>
        <v>1</v>
      </c>
      <c r="K2691">
        <f t="shared" ca="1" si="213"/>
        <v>0</v>
      </c>
      <c r="L2691" s="65">
        <v>2685</v>
      </c>
      <c r="M2691" s="71">
        <f t="shared" ca="1" si="209"/>
        <v>0.17118337963495145</v>
      </c>
      <c r="N2691" s="65"/>
    </row>
    <row r="2692" spans="1:14" x14ac:dyDescent="0.25">
      <c r="A2692" s="2">
        <v>2686</v>
      </c>
      <c r="B2692" s="11">
        <f t="shared" ca="1" si="211"/>
        <v>1</v>
      </c>
      <c r="C2692" s="26">
        <f t="shared" ca="1" si="210"/>
        <v>0.16850470394288619</v>
      </c>
      <c r="J2692">
        <f t="shared" ca="1" si="212"/>
        <v>1</v>
      </c>
      <c r="K2692">
        <f t="shared" ca="1" si="213"/>
        <v>0</v>
      </c>
      <c r="L2692" s="65">
        <v>2686</v>
      </c>
      <c r="M2692" s="71">
        <f t="shared" ca="1" si="209"/>
        <v>2.7333007406374614</v>
      </c>
      <c r="N2692" s="65"/>
    </row>
    <row r="2693" spans="1:14" x14ac:dyDescent="0.25">
      <c r="A2693" s="2">
        <v>2687</v>
      </c>
      <c r="B2693" s="11">
        <f t="shared" ca="1" si="211"/>
        <v>1</v>
      </c>
      <c r="C2693" s="26">
        <f t="shared" ca="1" si="210"/>
        <v>0.15088884911508016</v>
      </c>
      <c r="J2693">
        <f t="shared" ca="1" si="212"/>
        <v>1</v>
      </c>
      <c r="K2693">
        <f t="shared" ca="1" si="213"/>
        <v>0</v>
      </c>
      <c r="L2693" s="65">
        <v>2687</v>
      </c>
      <c r="M2693" s="71">
        <f t="shared" ca="1" si="209"/>
        <v>0.19549602898269697</v>
      </c>
      <c r="N2693" s="65"/>
    </row>
    <row r="2694" spans="1:14" x14ac:dyDescent="0.25">
      <c r="A2694" s="2">
        <v>2688</v>
      </c>
      <c r="B2694" s="11">
        <f t="shared" ca="1" si="211"/>
        <v>1</v>
      </c>
      <c r="C2694" s="26">
        <f t="shared" ca="1" si="210"/>
        <v>0.56246984287019064</v>
      </c>
      <c r="J2694">
        <f t="shared" ca="1" si="212"/>
        <v>1</v>
      </c>
      <c r="K2694">
        <f t="shared" ca="1" si="213"/>
        <v>0</v>
      </c>
      <c r="L2694" s="65">
        <v>2688</v>
      </c>
      <c r="M2694" s="71">
        <f t="shared" ca="1" si="209"/>
        <v>3.2650151740360882</v>
      </c>
      <c r="N2694" s="65"/>
    </row>
    <row r="2695" spans="1:14" x14ac:dyDescent="0.25">
      <c r="A2695" s="2">
        <v>2689</v>
      </c>
      <c r="B2695" s="11">
        <f t="shared" ca="1" si="211"/>
        <v>1</v>
      </c>
      <c r="C2695" s="26">
        <f t="shared" ca="1" si="210"/>
        <v>0.75681407557133096</v>
      </c>
      <c r="J2695">
        <f t="shared" ca="1" si="212"/>
        <v>1</v>
      </c>
      <c r="K2695">
        <f t="shared" ca="1" si="213"/>
        <v>0</v>
      </c>
      <c r="L2695" s="65">
        <v>2689</v>
      </c>
      <c r="M2695" s="71">
        <f t="shared" ref="M2695:M2758" ca="1" si="214">IF(B2695&gt;0,-LN(1-(RAND()))/lambda,0)</f>
        <v>3.4414309009918163</v>
      </c>
      <c r="N2695" s="65"/>
    </row>
    <row r="2696" spans="1:14" x14ac:dyDescent="0.25">
      <c r="A2696" s="2">
        <v>2690</v>
      </c>
      <c r="B2696" s="11">
        <f t="shared" ca="1" si="211"/>
        <v>1</v>
      </c>
      <c r="C2696" s="26">
        <f t="shared" ref="C2696:C2759" ca="1" si="215">RAND()</f>
        <v>0.73762545925884504</v>
      </c>
      <c r="J2696">
        <f t="shared" ca="1" si="212"/>
        <v>1</v>
      </c>
      <c r="K2696">
        <f t="shared" ca="1" si="213"/>
        <v>0</v>
      </c>
      <c r="L2696" s="65">
        <v>2690</v>
      </c>
      <c r="M2696" s="71">
        <f t="shared" ca="1" si="214"/>
        <v>0.59312794815048409</v>
      </c>
      <c r="N2696" s="65"/>
    </row>
    <row r="2697" spans="1:14" x14ac:dyDescent="0.25">
      <c r="A2697" s="2">
        <v>2691</v>
      </c>
      <c r="B2697" s="11">
        <f t="shared" ca="1" si="211"/>
        <v>1</v>
      </c>
      <c r="C2697" s="26">
        <f t="shared" ca="1" si="215"/>
        <v>0.52309284489000252</v>
      </c>
      <c r="J2697">
        <f t="shared" ca="1" si="212"/>
        <v>1</v>
      </c>
      <c r="K2697">
        <f t="shared" ca="1" si="213"/>
        <v>0</v>
      </c>
      <c r="L2697" s="65">
        <v>2691</v>
      </c>
      <c r="M2697" s="71">
        <f t="shared" ca="1" si="214"/>
        <v>1.4640762208647919</v>
      </c>
      <c r="N2697" s="65"/>
    </row>
    <row r="2698" spans="1:14" x14ac:dyDescent="0.25">
      <c r="A2698" s="2">
        <v>2692</v>
      </c>
      <c r="B2698" s="11">
        <f t="shared" ca="1" si="211"/>
        <v>1</v>
      </c>
      <c r="C2698" s="26">
        <f t="shared" ca="1" si="215"/>
        <v>0.29104093070454806</v>
      </c>
      <c r="J2698">
        <f t="shared" ca="1" si="212"/>
        <v>0</v>
      </c>
      <c r="K2698">
        <f t="shared" ca="1" si="213"/>
        <v>0</v>
      </c>
      <c r="L2698" s="65">
        <v>2692</v>
      </c>
      <c r="M2698" s="71">
        <f t="shared" ca="1" si="214"/>
        <v>8.606050310604223</v>
      </c>
      <c r="N2698" s="65"/>
    </row>
    <row r="2699" spans="1:14" x14ac:dyDescent="0.25">
      <c r="A2699" s="2">
        <v>2693</v>
      </c>
      <c r="B2699" s="11">
        <f t="shared" ca="1" si="211"/>
        <v>0</v>
      </c>
      <c r="C2699" s="26">
        <f t="shared" ca="1" si="215"/>
        <v>0.85428241199440691</v>
      </c>
      <c r="J2699">
        <f t="shared" ca="1" si="212"/>
        <v>0</v>
      </c>
      <c r="K2699">
        <f t="shared" ca="1" si="213"/>
        <v>1</v>
      </c>
      <c r="L2699" s="65">
        <v>2693</v>
      </c>
      <c r="M2699" s="71">
        <f t="shared" ca="1" si="214"/>
        <v>0</v>
      </c>
      <c r="N2699" s="65"/>
    </row>
    <row r="2700" spans="1:14" x14ac:dyDescent="0.25">
      <c r="A2700" s="2">
        <v>2694</v>
      </c>
      <c r="B2700" s="11">
        <f t="shared" ca="1" si="211"/>
        <v>0</v>
      </c>
      <c r="C2700" s="26">
        <f t="shared" ca="1" si="215"/>
        <v>0.92183263161929785</v>
      </c>
      <c r="J2700">
        <f t="shared" ca="1" si="212"/>
        <v>0</v>
      </c>
      <c r="K2700">
        <f t="shared" ca="1" si="213"/>
        <v>0</v>
      </c>
      <c r="L2700" s="65">
        <v>2694</v>
      </c>
      <c r="M2700" s="71">
        <f t="shared" ca="1" si="214"/>
        <v>0</v>
      </c>
      <c r="N2700" s="65"/>
    </row>
    <row r="2701" spans="1:14" x14ac:dyDescent="0.25">
      <c r="A2701" s="2">
        <v>2695</v>
      </c>
      <c r="B2701" s="11">
        <f t="shared" ca="1" si="211"/>
        <v>1</v>
      </c>
      <c r="C2701" s="26">
        <f t="shared" ca="1" si="215"/>
        <v>0.25253679920122118</v>
      </c>
      <c r="J2701">
        <f t="shared" ca="1" si="212"/>
        <v>1</v>
      </c>
      <c r="K2701">
        <f t="shared" ca="1" si="213"/>
        <v>0</v>
      </c>
      <c r="L2701" s="65">
        <v>2695</v>
      </c>
      <c r="M2701" s="71">
        <f t="shared" ca="1" si="214"/>
        <v>0.54919352396963816</v>
      </c>
      <c r="N2701" s="65"/>
    </row>
    <row r="2702" spans="1:14" x14ac:dyDescent="0.25">
      <c r="A2702" s="2">
        <v>2696</v>
      </c>
      <c r="B2702" s="11">
        <f t="shared" ca="1" si="211"/>
        <v>1</v>
      </c>
      <c r="C2702" s="26">
        <f t="shared" ca="1" si="215"/>
        <v>4.5968281309252124E-2</v>
      </c>
      <c r="J2702">
        <f t="shared" ca="1" si="212"/>
        <v>1</v>
      </c>
      <c r="K2702">
        <f t="shared" ca="1" si="213"/>
        <v>0</v>
      </c>
      <c r="L2702" s="65">
        <v>2696</v>
      </c>
      <c r="M2702" s="71">
        <f t="shared" ca="1" si="214"/>
        <v>7.9375567879311735</v>
      </c>
      <c r="N2702" s="65"/>
    </row>
    <row r="2703" spans="1:14" x14ac:dyDescent="0.25">
      <c r="A2703" s="2">
        <v>2697</v>
      </c>
      <c r="B2703" s="11">
        <f t="shared" ca="1" si="211"/>
        <v>1</v>
      </c>
      <c r="C2703" s="26">
        <f t="shared" ca="1" si="215"/>
        <v>0.30034460243126981</v>
      </c>
      <c r="J2703">
        <f t="shared" ca="1" si="212"/>
        <v>1</v>
      </c>
      <c r="K2703">
        <f t="shared" ca="1" si="213"/>
        <v>0</v>
      </c>
      <c r="L2703" s="65">
        <v>2697</v>
      </c>
      <c r="M2703" s="71">
        <f t="shared" ca="1" si="214"/>
        <v>4.6771558488318377</v>
      </c>
      <c r="N2703" s="65"/>
    </row>
    <row r="2704" spans="1:14" x14ac:dyDescent="0.25">
      <c r="A2704" s="2">
        <v>2698</v>
      </c>
      <c r="B2704" s="11">
        <f t="shared" ca="1" si="211"/>
        <v>1</v>
      </c>
      <c r="C2704" s="26">
        <f t="shared" ca="1" si="215"/>
        <v>0.60991204067083848</v>
      </c>
      <c r="J2704">
        <f t="shared" ca="1" si="212"/>
        <v>1</v>
      </c>
      <c r="K2704">
        <f t="shared" ca="1" si="213"/>
        <v>0</v>
      </c>
      <c r="L2704" s="65">
        <v>2698</v>
      </c>
      <c r="M2704" s="71">
        <f t="shared" ca="1" si="214"/>
        <v>1.572944773361004</v>
      </c>
      <c r="N2704" s="65"/>
    </row>
    <row r="2705" spans="1:14" x14ac:dyDescent="0.25">
      <c r="A2705" s="2">
        <v>2699</v>
      </c>
      <c r="B2705" s="11">
        <f t="shared" ca="1" si="211"/>
        <v>1</v>
      </c>
      <c r="C2705" s="26">
        <f t="shared" ca="1" si="215"/>
        <v>0.24728783994903025</v>
      </c>
      <c r="J2705">
        <f t="shared" ca="1" si="212"/>
        <v>0</v>
      </c>
      <c r="K2705">
        <f t="shared" ca="1" si="213"/>
        <v>0</v>
      </c>
      <c r="L2705" s="65">
        <v>2699</v>
      </c>
      <c r="M2705" s="71">
        <f t="shared" ca="1" si="214"/>
        <v>9.0746612053673008</v>
      </c>
      <c r="N2705" s="65"/>
    </row>
    <row r="2706" spans="1:14" x14ac:dyDescent="0.25">
      <c r="A2706" s="2">
        <v>2700</v>
      </c>
      <c r="B2706" s="11">
        <f t="shared" ca="1" si="211"/>
        <v>0</v>
      </c>
      <c r="C2706" s="26">
        <f t="shared" ca="1" si="215"/>
        <v>0.94712002180621979</v>
      </c>
      <c r="J2706">
        <f t="shared" ca="1" si="212"/>
        <v>0</v>
      </c>
      <c r="K2706">
        <f t="shared" ca="1" si="213"/>
        <v>0</v>
      </c>
      <c r="L2706" s="65">
        <v>2700</v>
      </c>
      <c r="M2706" s="71">
        <f t="shared" ca="1" si="214"/>
        <v>0</v>
      </c>
      <c r="N2706" s="65"/>
    </row>
    <row r="2707" spans="1:14" x14ac:dyDescent="0.25">
      <c r="A2707" s="2">
        <v>2701</v>
      </c>
      <c r="B2707" s="11">
        <f t="shared" ca="1" si="211"/>
        <v>1</v>
      </c>
      <c r="C2707" s="26">
        <f t="shared" ca="1" si="215"/>
        <v>4.6538385506717073E-2</v>
      </c>
      <c r="J2707">
        <f t="shared" ca="1" si="212"/>
        <v>0</v>
      </c>
      <c r="K2707">
        <f t="shared" ca="1" si="213"/>
        <v>0</v>
      </c>
      <c r="L2707" s="65">
        <v>2701</v>
      </c>
      <c r="M2707" s="71">
        <f t="shared" ca="1" si="214"/>
        <v>5.7631735765999226</v>
      </c>
      <c r="N2707" s="65"/>
    </row>
    <row r="2708" spans="1:14" x14ac:dyDescent="0.25">
      <c r="A2708" s="2">
        <v>2702</v>
      </c>
      <c r="B2708" s="11">
        <f t="shared" ca="1" si="211"/>
        <v>0</v>
      </c>
      <c r="C2708" s="26">
        <f t="shared" ca="1" si="215"/>
        <v>0.83166891697171474</v>
      </c>
      <c r="J2708">
        <f t="shared" ca="1" si="212"/>
        <v>0</v>
      </c>
      <c r="K2708">
        <f t="shared" ca="1" si="213"/>
        <v>0</v>
      </c>
      <c r="L2708" s="65">
        <v>2702</v>
      </c>
      <c r="M2708" s="71">
        <f t="shared" ca="1" si="214"/>
        <v>0</v>
      </c>
      <c r="N2708" s="65"/>
    </row>
    <row r="2709" spans="1:14" x14ac:dyDescent="0.25">
      <c r="A2709" s="2">
        <v>2703</v>
      </c>
      <c r="B2709" s="11">
        <f t="shared" ca="1" si="211"/>
        <v>1</v>
      </c>
      <c r="C2709" s="26">
        <f t="shared" ca="1" si="215"/>
        <v>0.67156173634519201</v>
      </c>
      <c r="J2709">
        <f t="shared" ca="1" si="212"/>
        <v>1</v>
      </c>
      <c r="K2709">
        <f t="shared" ca="1" si="213"/>
        <v>0</v>
      </c>
      <c r="L2709" s="65">
        <v>2703</v>
      </c>
      <c r="M2709" s="71">
        <f t="shared" ca="1" si="214"/>
        <v>1.4475628015346267</v>
      </c>
      <c r="N2709" s="65"/>
    </row>
    <row r="2710" spans="1:14" x14ac:dyDescent="0.25">
      <c r="A2710" s="2">
        <v>2704</v>
      </c>
      <c r="B2710" s="11">
        <f t="shared" ca="1" si="211"/>
        <v>1</v>
      </c>
      <c r="C2710" s="26">
        <f t="shared" ca="1" si="215"/>
        <v>0.49513029973533074</v>
      </c>
      <c r="J2710">
        <f t="shared" ca="1" si="212"/>
        <v>1</v>
      </c>
      <c r="K2710">
        <f t="shared" ca="1" si="213"/>
        <v>0</v>
      </c>
      <c r="L2710" s="65">
        <v>2704</v>
      </c>
      <c r="M2710" s="71">
        <f t="shared" ca="1" si="214"/>
        <v>7.3054858772284334E-2</v>
      </c>
      <c r="N2710" s="65"/>
    </row>
    <row r="2711" spans="1:14" x14ac:dyDescent="0.25">
      <c r="A2711" s="2">
        <v>2705</v>
      </c>
      <c r="B2711" s="11">
        <f t="shared" ca="1" si="211"/>
        <v>1</v>
      </c>
      <c r="C2711" s="26">
        <f t="shared" ca="1" si="215"/>
        <v>2.9807631912627808E-2</v>
      </c>
      <c r="J2711">
        <f t="shared" ca="1" si="212"/>
        <v>1</v>
      </c>
      <c r="K2711">
        <f t="shared" ca="1" si="213"/>
        <v>0</v>
      </c>
      <c r="L2711" s="65">
        <v>2705</v>
      </c>
      <c r="M2711" s="71">
        <f t="shared" ca="1" si="214"/>
        <v>0.15027173560894255</v>
      </c>
      <c r="N2711" s="65"/>
    </row>
    <row r="2712" spans="1:14" x14ac:dyDescent="0.25">
      <c r="A2712" s="2">
        <v>2706</v>
      </c>
      <c r="B2712" s="11">
        <f t="shared" ca="1" si="211"/>
        <v>1</v>
      </c>
      <c r="C2712" s="26">
        <f t="shared" ca="1" si="215"/>
        <v>9.6821013928438782E-2</v>
      </c>
      <c r="J2712">
        <f t="shared" ca="1" si="212"/>
        <v>0</v>
      </c>
      <c r="K2712">
        <f t="shared" ca="1" si="213"/>
        <v>0</v>
      </c>
      <c r="L2712" s="65">
        <v>2706</v>
      </c>
      <c r="M2712" s="71">
        <f t="shared" ca="1" si="214"/>
        <v>4.056808204692671</v>
      </c>
      <c r="N2712" s="65"/>
    </row>
    <row r="2713" spans="1:14" x14ac:dyDescent="0.25">
      <c r="A2713" s="2">
        <v>2707</v>
      </c>
      <c r="B2713" s="11">
        <f t="shared" ca="1" si="211"/>
        <v>0</v>
      </c>
      <c r="C2713" s="26">
        <f t="shared" ca="1" si="215"/>
        <v>0.89415116899256109</v>
      </c>
      <c r="J2713">
        <f t="shared" ca="1" si="212"/>
        <v>0</v>
      </c>
      <c r="K2713">
        <f t="shared" ca="1" si="213"/>
        <v>0</v>
      </c>
      <c r="L2713" s="65">
        <v>2707</v>
      </c>
      <c r="M2713" s="71">
        <f t="shared" ca="1" si="214"/>
        <v>0</v>
      </c>
      <c r="N2713" s="65"/>
    </row>
    <row r="2714" spans="1:14" x14ac:dyDescent="0.25">
      <c r="A2714" s="2">
        <v>2708</v>
      </c>
      <c r="B2714" s="11">
        <f t="shared" ca="1" si="211"/>
        <v>1</v>
      </c>
      <c r="C2714" s="26">
        <f t="shared" ca="1" si="215"/>
        <v>0.28065195570310597</v>
      </c>
      <c r="J2714">
        <f t="shared" ca="1" si="212"/>
        <v>1</v>
      </c>
      <c r="K2714">
        <f t="shared" ca="1" si="213"/>
        <v>0</v>
      </c>
      <c r="L2714" s="65">
        <v>2708</v>
      </c>
      <c r="M2714" s="71">
        <f t="shared" ca="1" si="214"/>
        <v>3.0805625615939087</v>
      </c>
      <c r="N2714" s="65"/>
    </row>
    <row r="2715" spans="1:14" x14ac:dyDescent="0.25">
      <c r="A2715" s="2">
        <v>2709</v>
      </c>
      <c r="B2715" s="11">
        <f t="shared" ca="1" si="211"/>
        <v>1</v>
      </c>
      <c r="C2715" s="26">
        <f t="shared" ca="1" si="215"/>
        <v>0.62554071917271514</v>
      </c>
      <c r="J2715">
        <f t="shared" ca="1" si="212"/>
        <v>0</v>
      </c>
      <c r="K2715">
        <f t="shared" ca="1" si="213"/>
        <v>0</v>
      </c>
      <c r="L2715" s="65">
        <v>2709</v>
      </c>
      <c r="M2715" s="71">
        <f t="shared" ca="1" si="214"/>
        <v>3.9122759861938432</v>
      </c>
      <c r="N2715" s="65"/>
    </row>
    <row r="2716" spans="1:14" x14ac:dyDescent="0.25">
      <c r="A2716" s="2">
        <v>2710</v>
      </c>
      <c r="B2716" s="11">
        <f t="shared" ca="1" si="211"/>
        <v>0</v>
      </c>
      <c r="C2716" s="26">
        <f t="shared" ca="1" si="215"/>
        <v>0.9451800073150487</v>
      </c>
      <c r="J2716">
        <f t="shared" ca="1" si="212"/>
        <v>0</v>
      </c>
      <c r="K2716">
        <f t="shared" ca="1" si="213"/>
        <v>0</v>
      </c>
      <c r="L2716" s="65">
        <v>2710</v>
      </c>
      <c r="M2716" s="71">
        <f t="shared" ca="1" si="214"/>
        <v>0</v>
      </c>
      <c r="N2716" s="65"/>
    </row>
    <row r="2717" spans="1:14" x14ac:dyDescent="0.25">
      <c r="A2717" s="2">
        <v>2711</v>
      </c>
      <c r="B2717" s="11">
        <f t="shared" ca="1" si="211"/>
        <v>1</v>
      </c>
      <c r="C2717" s="26">
        <f t="shared" ca="1" si="215"/>
        <v>0.53744125665898135</v>
      </c>
      <c r="J2717">
        <f t="shared" ca="1" si="212"/>
        <v>1</v>
      </c>
      <c r="K2717">
        <f t="shared" ca="1" si="213"/>
        <v>0</v>
      </c>
      <c r="L2717" s="65">
        <v>2711</v>
      </c>
      <c r="M2717" s="71">
        <f t="shared" ca="1" si="214"/>
        <v>6.9319691426249248</v>
      </c>
      <c r="N2717" s="65"/>
    </row>
    <row r="2718" spans="1:14" x14ac:dyDescent="0.25">
      <c r="A2718" s="2">
        <v>2712</v>
      </c>
      <c r="B2718" s="11">
        <f t="shared" ca="1" si="211"/>
        <v>1</v>
      </c>
      <c r="C2718" s="26">
        <f t="shared" ca="1" si="215"/>
        <v>0.15500480844905085</v>
      </c>
      <c r="J2718">
        <f t="shared" ca="1" si="212"/>
        <v>0</v>
      </c>
      <c r="K2718">
        <f t="shared" ca="1" si="213"/>
        <v>0</v>
      </c>
      <c r="L2718" s="65">
        <v>2712</v>
      </c>
      <c r="M2718" s="71">
        <f t="shared" ca="1" si="214"/>
        <v>0.42188265676906056</v>
      </c>
      <c r="N2718" s="65"/>
    </row>
    <row r="2719" spans="1:14" x14ac:dyDescent="0.25">
      <c r="A2719" s="2">
        <v>2713</v>
      </c>
      <c r="B2719" s="11">
        <f t="shared" ca="1" si="211"/>
        <v>0</v>
      </c>
      <c r="C2719" s="26">
        <f t="shared" ca="1" si="215"/>
        <v>0.91721064318033685</v>
      </c>
      <c r="J2719">
        <f t="shared" ca="1" si="212"/>
        <v>0</v>
      </c>
      <c r="K2719">
        <f t="shared" ca="1" si="213"/>
        <v>0</v>
      </c>
      <c r="L2719" s="65">
        <v>2713</v>
      </c>
      <c r="M2719" s="71">
        <f t="shared" ca="1" si="214"/>
        <v>0</v>
      </c>
      <c r="N2719" s="65"/>
    </row>
    <row r="2720" spans="1:14" x14ac:dyDescent="0.25">
      <c r="A2720" s="2">
        <v>2714</v>
      </c>
      <c r="B2720" s="11">
        <f t="shared" ca="1" si="211"/>
        <v>1</v>
      </c>
      <c r="C2720" s="26">
        <f t="shared" ca="1" si="215"/>
        <v>0.49144633128492521</v>
      </c>
      <c r="J2720">
        <f t="shared" ca="1" si="212"/>
        <v>0</v>
      </c>
      <c r="K2720">
        <f t="shared" ca="1" si="213"/>
        <v>0</v>
      </c>
      <c r="L2720" s="65">
        <v>2714</v>
      </c>
      <c r="M2720" s="71">
        <f t="shared" ca="1" si="214"/>
        <v>0.9472177990667805</v>
      </c>
      <c r="N2720" s="65"/>
    </row>
    <row r="2721" spans="1:14" x14ac:dyDescent="0.25">
      <c r="A2721" s="2">
        <v>2715</v>
      </c>
      <c r="B2721" s="11">
        <f t="shared" ca="1" si="211"/>
        <v>0</v>
      </c>
      <c r="C2721" s="26">
        <f t="shared" ca="1" si="215"/>
        <v>0.9964816985837639</v>
      </c>
      <c r="J2721">
        <f t="shared" ca="1" si="212"/>
        <v>0</v>
      </c>
      <c r="K2721">
        <f t="shared" ca="1" si="213"/>
        <v>0</v>
      </c>
      <c r="L2721" s="65">
        <v>2715</v>
      </c>
      <c r="M2721" s="71">
        <f t="shared" ca="1" si="214"/>
        <v>0</v>
      </c>
      <c r="N2721" s="65"/>
    </row>
    <row r="2722" spans="1:14" x14ac:dyDescent="0.25">
      <c r="A2722" s="2">
        <v>2716</v>
      </c>
      <c r="B2722" s="11">
        <f t="shared" ca="1" si="211"/>
        <v>1</v>
      </c>
      <c r="C2722" s="26">
        <f t="shared" ca="1" si="215"/>
        <v>0.30506192518168418</v>
      </c>
      <c r="J2722">
        <f t="shared" ca="1" si="212"/>
        <v>1</v>
      </c>
      <c r="K2722">
        <f t="shared" ca="1" si="213"/>
        <v>0</v>
      </c>
      <c r="L2722" s="65">
        <v>2716</v>
      </c>
      <c r="M2722" s="71">
        <f t="shared" ca="1" si="214"/>
        <v>0.12680870375317824</v>
      </c>
      <c r="N2722" s="65"/>
    </row>
    <row r="2723" spans="1:14" x14ac:dyDescent="0.25">
      <c r="A2723" s="2">
        <v>2717</v>
      </c>
      <c r="B2723" s="11">
        <f t="shared" ca="1" si="211"/>
        <v>1</v>
      </c>
      <c r="C2723" s="26">
        <f t="shared" ca="1" si="215"/>
        <v>0.39442424937757448</v>
      </c>
      <c r="J2723">
        <f t="shared" ca="1" si="212"/>
        <v>1</v>
      </c>
      <c r="K2723">
        <f t="shared" ca="1" si="213"/>
        <v>0</v>
      </c>
      <c r="L2723" s="65">
        <v>2717</v>
      </c>
      <c r="M2723" s="71">
        <f t="shared" ca="1" si="214"/>
        <v>0.33065059386638235</v>
      </c>
      <c r="N2723" s="65"/>
    </row>
    <row r="2724" spans="1:14" x14ac:dyDescent="0.25">
      <c r="A2724" s="2">
        <v>2718</v>
      </c>
      <c r="B2724" s="11">
        <f t="shared" ca="1" si="211"/>
        <v>1</v>
      </c>
      <c r="C2724" s="26">
        <f t="shared" ca="1" si="215"/>
        <v>0.64413832601619003</v>
      </c>
      <c r="J2724">
        <f t="shared" ca="1" si="212"/>
        <v>1</v>
      </c>
      <c r="K2724">
        <f t="shared" ca="1" si="213"/>
        <v>0</v>
      </c>
      <c r="L2724" s="65">
        <v>2718</v>
      </c>
      <c r="M2724" s="71">
        <f t="shared" ca="1" si="214"/>
        <v>4.6930942041609747</v>
      </c>
      <c r="N2724" s="65"/>
    </row>
    <row r="2725" spans="1:14" x14ac:dyDescent="0.25">
      <c r="A2725" s="2">
        <v>2719</v>
      </c>
      <c r="B2725" s="11">
        <f t="shared" ca="1" si="211"/>
        <v>1</v>
      </c>
      <c r="C2725" s="26">
        <f t="shared" ca="1" si="215"/>
        <v>0.20519447867673479</v>
      </c>
      <c r="J2725">
        <f t="shared" ca="1" si="212"/>
        <v>1</v>
      </c>
      <c r="K2725">
        <f t="shared" ca="1" si="213"/>
        <v>0</v>
      </c>
      <c r="L2725" s="65">
        <v>2719</v>
      </c>
      <c r="M2725" s="71">
        <f t="shared" ca="1" si="214"/>
        <v>0.97925814563154379</v>
      </c>
      <c r="N2725" s="65"/>
    </row>
    <row r="2726" spans="1:14" x14ac:dyDescent="0.25">
      <c r="A2726" s="2">
        <v>2720</v>
      </c>
      <c r="B2726" s="11">
        <f t="shared" ca="1" si="211"/>
        <v>1</v>
      </c>
      <c r="C2726" s="26">
        <f t="shared" ca="1" si="215"/>
        <v>0.44873894410400028</v>
      </c>
      <c r="J2726">
        <f t="shared" ca="1" si="212"/>
        <v>1</v>
      </c>
      <c r="K2726">
        <f t="shared" ca="1" si="213"/>
        <v>0</v>
      </c>
      <c r="L2726" s="65">
        <v>2720</v>
      </c>
      <c r="M2726" s="71">
        <f t="shared" ca="1" si="214"/>
        <v>1.6982677412904434</v>
      </c>
      <c r="N2726" s="65"/>
    </row>
    <row r="2727" spans="1:14" x14ac:dyDescent="0.25">
      <c r="A2727" s="2">
        <v>2721</v>
      </c>
      <c r="B2727" s="11">
        <f t="shared" ca="1" si="211"/>
        <v>1</v>
      </c>
      <c r="C2727" s="26">
        <f t="shared" ca="1" si="215"/>
        <v>1.6172730633528198E-2</v>
      </c>
      <c r="J2727">
        <f t="shared" ca="1" si="212"/>
        <v>1</v>
      </c>
      <c r="K2727">
        <f t="shared" ca="1" si="213"/>
        <v>0</v>
      </c>
      <c r="L2727" s="65">
        <v>2721</v>
      </c>
      <c r="M2727" s="71">
        <f t="shared" ca="1" si="214"/>
        <v>4.2336126587685712</v>
      </c>
      <c r="N2727" s="65"/>
    </row>
    <row r="2728" spans="1:14" x14ac:dyDescent="0.25">
      <c r="A2728" s="2">
        <v>2722</v>
      </c>
      <c r="B2728" s="11">
        <f t="shared" ca="1" si="211"/>
        <v>1</v>
      </c>
      <c r="C2728" s="26">
        <f t="shared" ca="1" si="215"/>
        <v>0.77335220982498243</v>
      </c>
      <c r="J2728">
        <f t="shared" ca="1" si="212"/>
        <v>1</v>
      </c>
      <c r="K2728">
        <f t="shared" ca="1" si="213"/>
        <v>0</v>
      </c>
      <c r="L2728" s="65">
        <v>2722</v>
      </c>
      <c r="M2728" s="71">
        <f t="shared" ca="1" si="214"/>
        <v>2.5057711331834689</v>
      </c>
      <c r="N2728" s="65"/>
    </row>
    <row r="2729" spans="1:14" x14ac:dyDescent="0.25">
      <c r="A2729" s="2">
        <v>2723</v>
      </c>
      <c r="B2729" s="11">
        <f t="shared" ca="1" si="211"/>
        <v>1</v>
      </c>
      <c r="C2729" s="26">
        <f t="shared" ca="1" si="215"/>
        <v>0.78857161700792511</v>
      </c>
      <c r="J2729">
        <f t="shared" ca="1" si="212"/>
        <v>1</v>
      </c>
      <c r="K2729">
        <f t="shared" ca="1" si="213"/>
        <v>0</v>
      </c>
      <c r="L2729" s="65">
        <v>2723</v>
      </c>
      <c r="M2729" s="71">
        <f t="shared" ca="1" si="214"/>
        <v>10.262389142515952</v>
      </c>
      <c r="N2729" s="65"/>
    </row>
    <row r="2730" spans="1:14" x14ac:dyDescent="0.25">
      <c r="A2730" s="2">
        <v>2724</v>
      </c>
      <c r="B2730" s="11">
        <f t="shared" ca="1" si="211"/>
        <v>1</v>
      </c>
      <c r="C2730" s="26">
        <f t="shared" ca="1" si="215"/>
        <v>0.48964507695861514</v>
      </c>
      <c r="J2730">
        <f t="shared" ca="1" si="212"/>
        <v>1</v>
      </c>
      <c r="K2730">
        <f t="shared" ca="1" si="213"/>
        <v>0</v>
      </c>
      <c r="L2730" s="65">
        <v>2724</v>
      </c>
      <c r="M2730" s="71">
        <f t="shared" ca="1" si="214"/>
        <v>4.8857939604081323E-2</v>
      </c>
      <c r="N2730" s="65"/>
    </row>
    <row r="2731" spans="1:14" x14ac:dyDescent="0.25">
      <c r="A2731" s="2">
        <v>2725</v>
      </c>
      <c r="B2731" s="11">
        <f t="shared" ca="1" si="211"/>
        <v>1</v>
      </c>
      <c r="C2731" s="26">
        <f t="shared" ca="1" si="215"/>
        <v>0.4649822792744438</v>
      </c>
      <c r="J2731">
        <f t="shared" ca="1" si="212"/>
        <v>1</v>
      </c>
      <c r="K2731">
        <f t="shared" ca="1" si="213"/>
        <v>0</v>
      </c>
      <c r="L2731" s="65">
        <v>2725</v>
      </c>
      <c r="M2731" s="71">
        <f t="shared" ca="1" si="214"/>
        <v>0.86321785110133176</v>
      </c>
      <c r="N2731" s="65"/>
    </row>
    <row r="2732" spans="1:14" x14ac:dyDescent="0.25">
      <c r="A2732" s="2">
        <v>2726</v>
      </c>
      <c r="B2732" s="11">
        <f t="shared" ca="1" si="211"/>
        <v>1</v>
      </c>
      <c r="C2732" s="26">
        <f t="shared" ca="1" si="215"/>
        <v>0.71547891013738429</v>
      </c>
      <c r="J2732">
        <f t="shared" ca="1" si="212"/>
        <v>1</v>
      </c>
      <c r="K2732">
        <f t="shared" ca="1" si="213"/>
        <v>0</v>
      </c>
      <c r="L2732" s="65">
        <v>2726</v>
      </c>
      <c r="M2732" s="71">
        <f t="shared" ca="1" si="214"/>
        <v>1.5977385153510328</v>
      </c>
      <c r="N2732" s="65"/>
    </row>
    <row r="2733" spans="1:14" x14ac:dyDescent="0.25">
      <c r="A2733" s="2">
        <v>2727</v>
      </c>
      <c r="B2733" s="11">
        <f t="shared" ca="1" si="211"/>
        <v>1</v>
      </c>
      <c r="C2733" s="26">
        <f t="shared" ca="1" si="215"/>
        <v>0.65586303336455132</v>
      </c>
      <c r="J2733">
        <f t="shared" ca="1" si="212"/>
        <v>1</v>
      </c>
      <c r="K2733">
        <f t="shared" ca="1" si="213"/>
        <v>0</v>
      </c>
      <c r="L2733" s="65">
        <v>2727</v>
      </c>
      <c r="M2733" s="71">
        <f t="shared" ca="1" si="214"/>
        <v>10.510265251533458</v>
      </c>
      <c r="N2733" s="65"/>
    </row>
    <row r="2734" spans="1:14" x14ac:dyDescent="0.25">
      <c r="A2734" s="2">
        <v>2728</v>
      </c>
      <c r="B2734" s="11">
        <f t="shared" ca="1" si="211"/>
        <v>1</v>
      </c>
      <c r="C2734" s="26">
        <f t="shared" ca="1" si="215"/>
        <v>0.5530914341148303</v>
      </c>
      <c r="J2734">
        <f t="shared" ca="1" si="212"/>
        <v>1</v>
      </c>
      <c r="K2734">
        <f t="shared" ca="1" si="213"/>
        <v>0</v>
      </c>
      <c r="L2734" s="65">
        <v>2728</v>
      </c>
      <c r="M2734" s="71">
        <f t="shared" ca="1" si="214"/>
        <v>2.6311360699463884</v>
      </c>
      <c r="N2734" s="65"/>
    </row>
    <row r="2735" spans="1:14" x14ac:dyDescent="0.25">
      <c r="A2735" s="2">
        <v>2729</v>
      </c>
      <c r="B2735" s="11">
        <f t="shared" ref="B2735:B2798" ca="1" si="216">IF(B2734&gt;0,IF(C2735&lt;pww,1,0),IF(C2735&lt;pdw,1,0))</f>
        <v>1</v>
      </c>
      <c r="C2735" s="26">
        <f t="shared" ca="1" si="215"/>
        <v>0.57542623989176833</v>
      </c>
      <c r="J2735">
        <f t="shared" ref="J2735:J2798" ca="1" si="217">IF(AND(B2735,B2736),1,0)</f>
        <v>0</v>
      </c>
      <c r="K2735">
        <f t="shared" ref="K2735:K2798" ca="1" si="218">IF(AND(NOT(B2735),NOT(B2736)),1,0)</f>
        <v>0</v>
      </c>
      <c r="L2735" s="65">
        <v>2729</v>
      </c>
      <c r="M2735" s="71">
        <f t="shared" ca="1" si="214"/>
        <v>0.21705833946975339</v>
      </c>
      <c r="N2735" s="65"/>
    </row>
    <row r="2736" spans="1:14" x14ac:dyDescent="0.25">
      <c r="A2736" s="2">
        <v>2730</v>
      </c>
      <c r="B2736" s="11">
        <f t="shared" ca="1" si="216"/>
        <v>0</v>
      </c>
      <c r="C2736" s="26">
        <f t="shared" ca="1" si="215"/>
        <v>0.94031558624232103</v>
      </c>
      <c r="J2736">
        <f t="shared" ca="1" si="217"/>
        <v>0</v>
      </c>
      <c r="K2736">
        <f t="shared" ca="1" si="218"/>
        <v>0</v>
      </c>
      <c r="L2736" s="65">
        <v>2730</v>
      </c>
      <c r="M2736" s="71">
        <f t="shared" ca="1" si="214"/>
        <v>0</v>
      </c>
      <c r="N2736" s="65"/>
    </row>
    <row r="2737" spans="1:14" x14ac:dyDescent="0.25">
      <c r="A2737" s="2">
        <v>2731</v>
      </c>
      <c r="B2737" s="11">
        <f t="shared" ca="1" si="216"/>
        <v>1</v>
      </c>
      <c r="C2737" s="26">
        <f t="shared" ca="1" si="215"/>
        <v>0.11549930201862224</v>
      </c>
      <c r="J2737">
        <f t="shared" ca="1" si="217"/>
        <v>1</v>
      </c>
      <c r="K2737">
        <f t="shared" ca="1" si="218"/>
        <v>0</v>
      </c>
      <c r="L2737" s="65">
        <v>2731</v>
      </c>
      <c r="M2737" s="71">
        <f t="shared" ca="1" si="214"/>
        <v>7.018052284331362</v>
      </c>
      <c r="N2737" s="65"/>
    </row>
    <row r="2738" spans="1:14" x14ac:dyDescent="0.25">
      <c r="A2738" s="2">
        <v>2732</v>
      </c>
      <c r="B2738" s="11">
        <f t="shared" ca="1" si="216"/>
        <v>1</v>
      </c>
      <c r="C2738" s="26">
        <f t="shared" ca="1" si="215"/>
        <v>0.48005546647934183</v>
      </c>
      <c r="J2738">
        <f t="shared" ca="1" si="217"/>
        <v>0</v>
      </c>
      <c r="K2738">
        <f t="shared" ca="1" si="218"/>
        <v>0</v>
      </c>
      <c r="L2738" s="65">
        <v>2732</v>
      </c>
      <c r="M2738" s="71">
        <f t="shared" ca="1" si="214"/>
        <v>1.4181309224019719E-4</v>
      </c>
      <c r="N2738" s="65"/>
    </row>
    <row r="2739" spans="1:14" x14ac:dyDescent="0.25">
      <c r="A2739" s="2">
        <v>2733</v>
      </c>
      <c r="B2739" s="11">
        <f t="shared" ca="1" si="216"/>
        <v>0</v>
      </c>
      <c r="C2739" s="26">
        <f t="shared" ca="1" si="215"/>
        <v>0.93297683830252887</v>
      </c>
      <c r="J2739">
        <f t="shared" ca="1" si="217"/>
        <v>0</v>
      </c>
      <c r="K2739">
        <f t="shared" ca="1" si="218"/>
        <v>0</v>
      </c>
      <c r="L2739" s="65">
        <v>2733</v>
      </c>
      <c r="M2739" s="71">
        <f t="shared" ca="1" si="214"/>
        <v>0</v>
      </c>
      <c r="N2739" s="65"/>
    </row>
    <row r="2740" spans="1:14" x14ac:dyDescent="0.25">
      <c r="A2740" s="2">
        <v>2734</v>
      </c>
      <c r="B2740" s="11">
        <f t="shared" ca="1" si="216"/>
        <v>1</v>
      </c>
      <c r="C2740" s="26">
        <f t="shared" ca="1" si="215"/>
        <v>0.63265339266838982</v>
      </c>
      <c r="J2740">
        <f t="shared" ca="1" si="217"/>
        <v>1</v>
      </c>
      <c r="K2740">
        <f t="shared" ca="1" si="218"/>
        <v>0</v>
      </c>
      <c r="L2740" s="65">
        <v>2734</v>
      </c>
      <c r="M2740" s="71">
        <f t="shared" ca="1" si="214"/>
        <v>1.2230257516851972</v>
      </c>
      <c r="N2740" s="65"/>
    </row>
    <row r="2741" spans="1:14" x14ac:dyDescent="0.25">
      <c r="A2741" s="2">
        <v>2735</v>
      </c>
      <c r="B2741" s="11">
        <f t="shared" ca="1" si="216"/>
        <v>1</v>
      </c>
      <c r="C2741" s="26">
        <f t="shared" ca="1" si="215"/>
        <v>0.74839183838939749</v>
      </c>
      <c r="J2741">
        <f t="shared" ca="1" si="217"/>
        <v>1</v>
      </c>
      <c r="K2741">
        <f t="shared" ca="1" si="218"/>
        <v>0</v>
      </c>
      <c r="L2741" s="65">
        <v>2735</v>
      </c>
      <c r="M2741" s="71">
        <f t="shared" ca="1" si="214"/>
        <v>11.713030295190299</v>
      </c>
      <c r="N2741" s="65"/>
    </row>
    <row r="2742" spans="1:14" x14ac:dyDescent="0.25">
      <c r="A2742" s="2">
        <v>2736</v>
      </c>
      <c r="B2742" s="11">
        <f t="shared" ca="1" si="216"/>
        <v>1</v>
      </c>
      <c r="C2742" s="26">
        <f t="shared" ca="1" si="215"/>
        <v>0.46897614406139798</v>
      </c>
      <c r="J2742">
        <f t="shared" ca="1" si="217"/>
        <v>1</v>
      </c>
      <c r="K2742">
        <f t="shared" ca="1" si="218"/>
        <v>0</v>
      </c>
      <c r="L2742" s="65">
        <v>2736</v>
      </c>
      <c r="M2742" s="71">
        <f t="shared" ca="1" si="214"/>
        <v>5.1057539030862475</v>
      </c>
      <c r="N2742" s="65"/>
    </row>
    <row r="2743" spans="1:14" x14ac:dyDescent="0.25">
      <c r="A2743" s="2">
        <v>2737</v>
      </c>
      <c r="B2743" s="11">
        <f t="shared" ca="1" si="216"/>
        <v>1</v>
      </c>
      <c r="C2743" s="26">
        <f t="shared" ca="1" si="215"/>
        <v>0.33975720346573612</v>
      </c>
      <c r="J2743">
        <f t="shared" ca="1" si="217"/>
        <v>1</v>
      </c>
      <c r="K2743">
        <f t="shared" ca="1" si="218"/>
        <v>0</v>
      </c>
      <c r="L2743" s="65">
        <v>2737</v>
      </c>
      <c r="M2743" s="71">
        <f t="shared" ca="1" si="214"/>
        <v>6.5871930151852416</v>
      </c>
      <c r="N2743" s="65"/>
    </row>
    <row r="2744" spans="1:14" x14ac:dyDescent="0.25">
      <c r="A2744" s="2">
        <v>2738</v>
      </c>
      <c r="B2744" s="11">
        <f t="shared" ca="1" si="216"/>
        <v>1</v>
      </c>
      <c r="C2744" s="26">
        <f t="shared" ca="1" si="215"/>
        <v>5.9392066824630829E-2</v>
      </c>
      <c r="J2744">
        <f t="shared" ca="1" si="217"/>
        <v>1</v>
      </c>
      <c r="K2744">
        <f t="shared" ca="1" si="218"/>
        <v>0</v>
      </c>
      <c r="L2744" s="65">
        <v>2738</v>
      </c>
      <c r="M2744" s="71">
        <f t="shared" ca="1" si="214"/>
        <v>0.89077288579639469</v>
      </c>
      <c r="N2744" s="65"/>
    </row>
    <row r="2745" spans="1:14" x14ac:dyDescent="0.25">
      <c r="A2745" s="2">
        <v>2739</v>
      </c>
      <c r="B2745" s="11">
        <f t="shared" ca="1" si="216"/>
        <v>1</v>
      </c>
      <c r="C2745" s="26">
        <f t="shared" ca="1" si="215"/>
        <v>0.77058081344654739</v>
      </c>
      <c r="J2745">
        <f t="shared" ca="1" si="217"/>
        <v>1</v>
      </c>
      <c r="K2745">
        <f t="shared" ca="1" si="218"/>
        <v>0</v>
      </c>
      <c r="L2745" s="65">
        <v>2739</v>
      </c>
      <c r="M2745" s="71">
        <f t="shared" ca="1" si="214"/>
        <v>6.2480690699452213</v>
      </c>
      <c r="N2745" s="65"/>
    </row>
    <row r="2746" spans="1:14" x14ac:dyDescent="0.25">
      <c r="A2746" s="2">
        <v>2740</v>
      </c>
      <c r="B2746" s="11">
        <f t="shared" ca="1" si="216"/>
        <v>1</v>
      </c>
      <c r="C2746" s="26">
        <f t="shared" ca="1" si="215"/>
        <v>0.7915073498086409</v>
      </c>
      <c r="J2746">
        <f t="shared" ca="1" si="217"/>
        <v>1</v>
      </c>
      <c r="K2746">
        <f t="shared" ca="1" si="218"/>
        <v>0</v>
      </c>
      <c r="L2746" s="65">
        <v>2740</v>
      </c>
      <c r="M2746" s="71">
        <f t="shared" ca="1" si="214"/>
        <v>1.416664099376874</v>
      </c>
      <c r="N2746" s="65"/>
    </row>
    <row r="2747" spans="1:14" x14ac:dyDescent="0.25">
      <c r="A2747" s="2">
        <v>2741</v>
      </c>
      <c r="B2747" s="11">
        <f t="shared" ca="1" si="216"/>
        <v>1</v>
      </c>
      <c r="C2747" s="26">
        <f t="shared" ca="1" si="215"/>
        <v>0.10534332984842176</v>
      </c>
      <c r="J2747">
        <f t="shared" ca="1" si="217"/>
        <v>1</v>
      </c>
      <c r="K2747">
        <f t="shared" ca="1" si="218"/>
        <v>0</v>
      </c>
      <c r="L2747" s="65">
        <v>2741</v>
      </c>
      <c r="M2747" s="71">
        <f t="shared" ca="1" si="214"/>
        <v>1.6249273358253971</v>
      </c>
      <c r="N2747" s="65"/>
    </row>
    <row r="2748" spans="1:14" x14ac:dyDescent="0.25">
      <c r="A2748" s="2">
        <v>2742</v>
      </c>
      <c r="B2748" s="11">
        <f t="shared" ca="1" si="216"/>
        <v>1</v>
      </c>
      <c r="C2748" s="26">
        <f t="shared" ca="1" si="215"/>
        <v>0.15136333408762259</v>
      </c>
      <c r="J2748">
        <f t="shared" ca="1" si="217"/>
        <v>1</v>
      </c>
      <c r="K2748">
        <f t="shared" ca="1" si="218"/>
        <v>0</v>
      </c>
      <c r="L2748" s="65">
        <v>2742</v>
      </c>
      <c r="M2748" s="71">
        <f t="shared" ca="1" si="214"/>
        <v>7.9198844539527844</v>
      </c>
      <c r="N2748" s="65"/>
    </row>
    <row r="2749" spans="1:14" x14ac:dyDescent="0.25">
      <c r="A2749" s="2">
        <v>2743</v>
      </c>
      <c r="B2749" s="11">
        <f t="shared" ca="1" si="216"/>
        <v>1</v>
      </c>
      <c r="C2749" s="26">
        <f t="shared" ca="1" si="215"/>
        <v>0.58445188296185446</v>
      </c>
      <c r="J2749">
        <f t="shared" ca="1" si="217"/>
        <v>1</v>
      </c>
      <c r="K2749">
        <f t="shared" ca="1" si="218"/>
        <v>0</v>
      </c>
      <c r="L2749" s="65">
        <v>2743</v>
      </c>
      <c r="M2749" s="71">
        <f t="shared" ca="1" si="214"/>
        <v>2.6820263064937064</v>
      </c>
      <c r="N2749" s="65"/>
    </row>
    <row r="2750" spans="1:14" x14ac:dyDescent="0.25">
      <c r="A2750" s="2">
        <v>2744</v>
      </c>
      <c r="B2750" s="11">
        <f t="shared" ca="1" si="216"/>
        <v>1</v>
      </c>
      <c r="C2750" s="26">
        <f t="shared" ca="1" si="215"/>
        <v>0.40993023925346816</v>
      </c>
      <c r="J2750">
        <f t="shared" ca="1" si="217"/>
        <v>0</v>
      </c>
      <c r="K2750">
        <f t="shared" ca="1" si="218"/>
        <v>0</v>
      </c>
      <c r="L2750" s="65">
        <v>2744</v>
      </c>
      <c r="M2750" s="71">
        <f t="shared" ca="1" si="214"/>
        <v>13.112175696742465</v>
      </c>
      <c r="N2750" s="65"/>
    </row>
    <row r="2751" spans="1:14" x14ac:dyDescent="0.25">
      <c r="A2751" s="2">
        <v>2745</v>
      </c>
      <c r="B2751" s="11">
        <f t="shared" ca="1" si="216"/>
        <v>0</v>
      </c>
      <c r="C2751" s="26">
        <f t="shared" ca="1" si="215"/>
        <v>0.99097992574161453</v>
      </c>
      <c r="J2751">
        <f t="shared" ca="1" si="217"/>
        <v>0</v>
      </c>
      <c r="K2751">
        <f t="shared" ca="1" si="218"/>
        <v>0</v>
      </c>
      <c r="L2751" s="65">
        <v>2745</v>
      </c>
      <c r="M2751" s="71">
        <f t="shared" ca="1" si="214"/>
        <v>0</v>
      </c>
      <c r="N2751" s="65"/>
    </row>
    <row r="2752" spans="1:14" x14ac:dyDescent="0.25">
      <c r="A2752" s="2">
        <v>2746</v>
      </c>
      <c r="B2752" s="11">
        <f t="shared" ca="1" si="216"/>
        <v>1</v>
      </c>
      <c r="C2752" s="26">
        <f t="shared" ca="1" si="215"/>
        <v>0.12840328784710042</v>
      </c>
      <c r="J2752">
        <f t="shared" ca="1" si="217"/>
        <v>1</v>
      </c>
      <c r="K2752">
        <f t="shared" ca="1" si="218"/>
        <v>0</v>
      </c>
      <c r="L2752" s="65">
        <v>2746</v>
      </c>
      <c r="M2752" s="71">
        <f t="shared" ca="1" si="214"/>
        <v>9.2500496692991163</v>
      </c>
      <c r="N2752" s="65"/>
    </row>
    <row r="2753" spans="1:14" x14ac:dyDescent="0.25">
      <c r="A2753" s="2">
        <v>2747</v>
      </c>
      <c r="B2753" s="11">
        <f t="shared" ca="1" si="216"/>
        <v>1</v>
      </c>
      <c r="C2753" s="26">
        <f t="shared" ca="1" si="215"/>
        <v>0.73160776192248222</v>
      </c>
      <c r="J2753">
        <f t="shared" ca="1" si="217"/>
        <v>1</v>
      </c>
      <c r="K2753">
        <f t="shared" ca="1" si="218"/>
        <v>0</v>
      </c>
      <c r="L2753" s="65">
        <v>2747</v>
      </c>
      <c r="M2753" s="71">
        <f t="shared" ca="1" si="214"/>
        <v>2.1280153806336739</v>
      </c>
      <c r="N2753" s="65"/>
    </row>
    <row r="2754" spans="1:14" x14ac:dyDescent="0.25">
      <c r="A2754" s="2">
        <v>2748</v>
      </c>
      <c r="B2754" s="11">
        <f t="shared" ca="1" si="216"/>
        <v>1</v>
      </c>
      <c r="C2754" s="26">
        <f t="shared" ca="1" si="215"/>
        <v>0.70866485675613444</v>
      </c>
      <c r="J2754">
        <f t="shared" ca="1" si="217"/>
        <v>0</v>
      </c>
      <c r="K2754">
        <f t="shared" ca="1" si="218"/>
        <v>0</v>
      </c>
      <c r="L2754" s="65">
        <v>2748</v>
      </c>
      <c r="M2754" s="71">
        <f t="shared" ca="1" si="214"/>
        <v>1.143595793581458</v>
      </c>
      <c r="N2754" s="65"/>
    </row>
    <row r="2755" spans="1:14" x14ac:dyDescent="0.25">
      <c r="A2755" s="2">
        <v>2749</v>
      </c>
      <c r="B2755" s="11">
        <f t="shared" ca="1" si="216"/>
        <v>0</v>
      </c>
      <c r="C2755" s="26">
        <f t="shared" ca="1" si="215"/>
        <v>0.91564593266095828</v>
      </c>
      <c r="J2755">
        <f t="shared" ca="1" si="217"/>
        <v>0</v>
      </c>
      <c r="K2755">
        <f t="shared" ca="1" si="218"/>
        <v>0</v>
      </c>
      <c r="L2755" s="65">
        <v>2749</v>
      </c>
      <c r="M2755" s="71">
        <f t="shared" ca="1" si="214"/>
        <v>0</v>
      </c>
      <c r="N2755" s="65"/>
    </row>
    <row r="2756" spans="1:14" x14ac:dyDescent="0.25">
      <c r="A2756" s="2">
        <v>2750</v>
      </c>
      <c r="B2756" s="11">
        <f t="shared" ca="1" si="216"/>
        <v>1</v>
      </c>
      <c r="C2756" s="26">
        <f t="shared" ca="1" si="215"/>
        <v>0.58643887651394722</v>
      </c>
      <c r="J2756">
        <f t="shared" ca="1" si="217"/>
        <v>1</v>
      </c>
      <c r="K2756">
        <f t="shared" ca="1" si="218"/>
        <v>0</v>
      </c>
      <c r="L2756" s="65">
        <v>2750</v>
      </c>
      <c r="M2756" s="71">
        <f t="shared" ca="1" si="214"/>
        <v>0.29065343443937874</v>
      </c>
      <c r="N2756" s="65"/>
    </row>
    <row r="2757" spans="1:14" x14ac:dyDescent="0.25">
      <c r="A2757" s="2">
        <v>2751</v>
      </c>
      <c r="B2757" s="11">
        <f t="shared" ca="1" si="216"/>
        <v>1</v>
      </c>
      <c r="C2757" s="26">
        <f t="shared" ca="1" si="215"/>
        <v>0.74950212970317642</v>
      </c>
      <c r="J2757">
        <f t="shared" ca="1" si="217"/>
        <v>0</v>
      </c>
      <c r="K2757">
        <f t="shared" ca="1" si="218"/>
        <v>0</v>
      </c>
      <c r="L2757" s="65">
        <v>2751</v>
      </c>
      <c r="M2757" s="71">
        <f t="shared" ca="1" si="214"/>
        <v>3.5051354525093865</v>
      </c>
      <c r="N2757" s="65"/>
    </row>
    <row r="2758" spans="1:14" x14ac:dyDescent="0.25">
      <c r="A2758" s="2">
        <v>2752</v>
      </c>
      <c r="B2758" s="11">
        <f t="shared" ca="1" si="216"/>
        <v>0</v>
      </c>
      <c r="C2758" s="26">
        <f t="shared" ca="1" si="215"/>
        <v>0.8136288609457516</v>
      </c>
      <c r="J2758">
        <f t="shared" ca="1" si="217"/>
        <v>0</v>
      </c>
      <c r="K2758">
        <f t="shared" ca="1" si="218"/>
        <v>0</v>
      </c>
      <c r="L2758" s="65">
        <v>2752</v>
      </c>
      <c r="M2758" s="71">
        <f t="shared" ca="1" si="214"/>
        <v>0</v>
      </c>
      <c r="N2758" s="65"/>
    </row>
    <row r="2759" spans="1:14" x14ac:dyDescent="0.25">
      <c r="A2759" s="2">
        <v>2753</v>
      </c>
      <c r="B2759" s="11">
        <f t="shared" ca="1" si="216"/>
        <v>1</v>
      </c>
      <c r="C2759" s="26">
        <f t="shared" ca="1" si="215"/>
        <v>1.8976002592155372E-2</v>
      </c>
      <c r="J2759">
        <f t="shared" ca="1" si="217"/>
        <v>1</v>
      </c>
      <c r="K2759">
        <f t="shared" ca="1" si="218"/>
        <v>0</v>
      </c>
      <c r="L2759" s="65">
        <v>2753</v>
      </c>
      <c r="M2759" s="71">
        <f t="shared" ref="M2759:M2822" ca="1" si="219">IF(B2759&gt;0,-LN(1-(RAND()))/lambda,0)</f>
        <v>6.3251409607821945</v>
      </c>
      <c r="N2759" s="65"/>
    </row>
    <row r="2760" spans="1:14" x14ac:dyDescent="0.25">
      <c r="A2760" s="2">
        <v>2754</v>
      </c>
      <c r="B2760" s="11">
        <f t="shared" ca="1" si="216"/>
        <v>1</v>
      </c>
      <c r="C2760" s="26">
        <f t="shared" ref="C2760:C2823" ca="1" si="220">RAND()</f>
        <v>0.15853826139608596</v>
      </c>
      <c r="J2760">
        <f t="shared" ca="1" si="217"/>
        <v>1</v>
      </c>
      <c r="K2760">
        <f t="shared" ca="1" si="218"/>
        <v>0</v>
      </c>
      <c r="L2760" s="65">
        <v>2754</v>
      </c>
      <c r="M2760" s="71">
        <f t="shared" ca="1" si="219"/>
        <v>6.4167440440962551</v>
      </c>
      <c r="N2760" s="65"/>
    </row>
    <row r="2761" spans="1:14" x14ac:dyDescent="0.25">
      <c r="A2761" s="2">
        <v>2755</v>
      </c>
      <c r="B2761" s="11">
        <f t="shared" ca="1" si="216"/>
        <v>1</v>
      </c>
      <c r="C2761" s="26">
        <f t="shared" ca="1" si="220"/>
        <v>0.35717336196300065</v>
      </c>
      <c r="J2761">
        <f t="shared" ca="1" si="217"/>
        <v>1</v>
      </c>
      <c r="K2761">
        <f t="shared" ca="1" si="218"/>
        <v>0</v>
      </c>
      <c r="L2761" s="65">
        <v>2755</v>
      </c>
      <c r="M2761" s="71">
        <f t="shared" ca="1" si="219"/>
        <v>8.1952054543906456</v>
      </c>
      <c r="N2761" s="65"/>
    </row>
    <row r="2762" spans="1:14" x14ac:dyDescent="0.25">
      <c r="A2762" s="2">
        <v>2756</v>
      </c>
      <c r="B2762" s="11">
        <f t="shared" ca="1" si="216"/>
        <v>1</v>
      </c>
      <c r="C2762" s="26">
        <f t="shared" ca="1" si="220"/>
        <v>0.79376496236245186</v>
      </c>
      <c r="J2762">
        <f t="shared" ca="1" si="217"/>
        <v>1</v>
      </c>
      <c r="K2762">
        <f t="shared" ca="1" si="218"/>
        <v>0</v>
      </c>
      <c r="L2762" s="65">
        <v>2756</v>
      </c>
      <c r="M2762" s="71">
        <f t="shared" ca="1" si="219"/>
        <v>1.5111592043992694</v>
      </c>
      <c r="N2762" s="65"/>
    </row>
    <row r="2763" spans="1:14" x14ac:dyDescent="0.25">
      <c r="A2763" s="2">
        <v>2757</v>
      </c>
      <c r="B2763" s="11">
        <f t="shared" ca="1" si="216"/>
        <v>1</v>
      </c>
      <c r="C2763" s="26">
        <f t="shared" ca="1" si="220"/>
        <v>0.64379628320742077</v>
      </c>
      <c r="J2763">
        <f t="shared" ca="1" si="217"/>
        <v>1</v>
      </c>
      <c r="K2763">
        <f t="shared" ca="1" si="218"/>
        <v>0</v>
      </c>
      <c r="L2763" s="65">
        <v>2757</v>
      </c>
      <c r="M2763" s="71">
        <f t="shared" ca="1" si="219"/>
        <v>0.58793250885937431</v>
      </c>
      <c r="N2763" s="65"/>
    </row>
    <row r="2764" spans="1:14" x14ac:dyDescent="0.25">
      <c r="A2764" s="2">
        <v>2758</v>
      </c>
      <c r="B2764" s="11">
        <f t="shared" ca="1" si="216"/>
        <v>1</v>
      </c>
      <c r="C2764" s="26">
        <f t="shared" ca="1" si="220"/>
        <v>0.3543492221326433</v>
      </c>
      <c r="J2764">
        <f t="shared" ca="1" si="217"/>
        <v>1</v>
      </c>
      <c r="K2764">
        <f t="shared" ca="1" si="218"/>
        <v>0</v>
      </c>
      <c r="L2764" s="65">
        <v>2758</v>
      </c>
      <c r="M2764" s="71">
        <f t="shared" ca="1" si="219"/>
        <v>4.0260712644878547</v>
      </c>
      <c r="N2764" s="65"/>
    </row>
    <row r="2765" spans="1:14" x14ac:dyDescent="0.25">
      <c r="A2765" s="2">
        <v>2759</v>
      </c>
      <c r="B2765" s="11">
        <f t="shared" ca="1" si="216"/>
        <v>1</v>
      </c>
      <c r="C2765" s="26">
        <f t="shared" ca="1" si="220"/>
        <v>0.21201912093922004</v>
      </c>
      <c r="J2765">
        <f t="shared" ca="1" si="217"/>
        <v>1</v>
      </c>
      <c r="K2765">
        <f t="shared" ca="1" si="218"/>
        <v>0</v>
      </c>
      <c r="L2765" s="65">
        <v>2759</v>
      </c>
      <c r="M2765" s="71">
        <f t="shared" ca="1" si="219"/>
        <v>2.084590834782984</v>
      </c>
      <c r="N2765" s="65"/>
    </row>
    <row r="2766" spans="1:14" x14ac:dyDescent="0.25">
      <c r="A2766" s="2">
        <v>2760</v>
      </c>
      <c r="B2766" s="11">
        <f t="shared" ca="1" si="216"/>
        <v>1</v>
      </c>
      <c r="C2766" s="26">
        <f t="shared" ca="1" si="220"/>
        <v>9.2908117780146071E-3</v>
      </c>
      <c r="J2766">
        <f t="shared" ca="1" si="217"/>
        <v>1</v>
      </c>
      <c r="K2766">
        <f t="shared" ca="1" si="218"/>
        <v>0</v>
      </c>
      <c r="L2766" s="65">
        <v>2760</v>
      </c>
      <c r="M2766" s="71">
        <f t="shared" ca="1" si="219"/>
        <v>3.5437559021133729</v>
      </c>
      <c r="N2766" s="65"/>
    </row>
    <row r="2767" spans="1:14" x14ac:dyDescent="0.25">
      <c r="A2767" s="2">
        <v>2761</v>
      </c>
      <c r="B2767" s="11">
        <f t="shared" ca="1" si="216"/>
        <v>1</v>
      </c>
      <c r="C2767" s="26">
        <f t="shared" ca="1" si="220"/>
        <v>0.61014926281648707</v>
      </c>
      <c r="J2767">
        <f t="shared" ca="1" si="217"/>
        <v>1</v>
      </c>
      <c r="K2767">
        <f t="shared" ca="1" si="218"/>
        <v>0</v>
      </c>
      <c r="L2767" s="65">
        <v>2761</v>
      </c>
      <c r="M2767" s="71">
        <f t="shared" ca="1" si="219"/>
        <v>5.3508181851664297E-2</v>
      </c>
      <c r="N2767" s="65"/>
    </row>
    <row r="2768" spans="1:14" x14ac:dyDescent="0.25">
      <c r="A2768" s="2">
        <v>2762</v>
      </c>
      <c r="B2768" s="11">
        <f t="shared" ca="1" si="216"/>
        <v>1</v>
      </c>
      <c r="C2768" s="26">
        <f t="shared" ca="1" si="220"/>
        <v>0.46825637620526694</v>
      </c>
      <c r="J2768">
        <f t="shared" ca="1" si="217"/>
        <v>1</v>
      </c>
      <c r="K2768">
        <f t="shared" ca="1" si="218"/>
        <v>0</v>
      </c>
      <c r="L2768" s="65">
        <v>2762</v>
      </c>
      <c r="M2768" s="71">
        <f t="shared" ca="1" si="219"/>
        <v>0.76263580342888682</v>
      </c>
      <c r="N2768" s="65"/>
    </row>
    <row r="2769" spans="1:14" x14ac:dyDescent="0.25">
      <c r="A2769" s="2">
        <v>2763</v>
      </c>
      <c r="B2769" s="11">
        <f t="shared" ca="1" si="216"/>
        <v>1</v>
      </c>
      <c r="C2769" s="26">
        <f t="shared" ca="1" si="220"/>
        <v>0.39352008712606168</v>
      </c>
      <c r="J2769">
        <f t="shared" ca="1" si="217"/>
        <v>1</v>
      </c>
      <c r="K2769">
        <f t="shared" ca="1" si="218"/>
        <v>0</v>
      </c>
      <c r="L2769" s="65">
        <v>2763</v>
      </c>
      <c r="M2769" s="71">
        <f t="shared" ca="1" si="219"/>
        <v>1.6241328336641734</v>
      </c>
      <c r="N2769" s="65"/>
    </row>
    <row r="2770" spans="1:14" x14ac:dyDescent="0.25">
      <c r="A2770" s="2">
        <v>2764</v>
      </c>
      <c r="B2770" s="11">
        <f t="shared" ca="1" si="216"/>
        <v>1</v>
      </c>
      <c r="C2770" s="26">
        <f t="shared" ca="1" si="220"/>
        <v>0.51863205433795811</v>
      </c>
      <c r="J2770">
        <f t="shared" ca="1" si="217"/>
        <v>1</v>
      </c>
      <c r="K2770">
        <f t="shared" ca="1" si="218"/>
        <v>0</v>
      </c>
      <c r="L2770" s="65">
        <v>2764</v>
      </c>
      <c r="M2770" s="71">
        <f t="shared" ca="1" si="219"/>
        <v>1.9298988049076657</v>
      </c>
      <c r="N2770" s="65"/>
    </row>
    <row r="2771" spans="1:14" x14ac:dyDescent="0.25">
      <c r="A2771" s="2">
        <v>2765</v>
      </c>
      <c r="B2771" s="11">
        <f t="shared" ca="1" si="216"/>
        <v>1</v>
      </c>
      <c r="C2771" s="26">
        <f t="shared" ca="1" si="220"/>
        <v>0.56825484005522042</v>
      </c>
      <c r="J2771">
        <f t="shared" ca="1" si="217"/>
        <v>1</v>
      </c>
      <c r="K2771">
        <f t="shared" ca="1" si="218"/>
        <v>0</v>
      </c>
      <c r="L2771" s="65">
        <v>2765</v>
      </c>
      <c r="M2771" s="71">
        <f t="shared" ca="1" si="219"/>
        <v>7.1777064324222692</v>
      </c>
      <c r="N2771" s="65"/>
    </row>
    <row r="2772" spans="1:14" x14ac:dyDescent="0.25">
      <c r="A2772" s="2">
        <v>2766</v>
      </c>
      <c r="B2772" s="11">
        <f t="shared" ca="1" si="216"/>
        <v>1</v>
      </c>
      <c r="C2772" s="26">
        <f t="shared" ca="1" si="220"/>
        <v>6.6214175302167555E-2</v>
      </c>
      <c r="J2772">
        <f t="shared" ca="1" si="217"/>
        <v>1</v>
      </c>
      <c r="K2772">
        <f t="shared" ca="1" si="218"/>
        <v>0</v>
      </c>
      <c r="L2772" s="65">
        <v>2766</v>
      </c>
      <c r="M2772" s="71">
        <f t="shared" ca="1" si="219"/>
        <v>2.844829301903022</v>
      </c>
      <c r="N2772" s="65"/>
    </row>
    <row r="2773" spans="1:14" x14ac:dyDescent="0.25">
      <c r="A2773" s="2">
        <v>2767</v>
      </c>
      <c r="B2773" s="11">
        <f t="shared" ca="1" si="216"/>
        <v>1</v>
      </c>
      <c r="C2773" s="26">
        <f t="shared" ca="1" si="220"/>
        <v>0.36225795608170297</v>
      </c>
      <c r="J2773">
        <f t="shared" ca="1" si="217"/>
        <v>0</v>
      </c>
      <c r="K2773">
        <f t="shared" ca="1" si="218"/>
        <v>0</v>
      </c>
      <c r="L2773" s="65">
        <v>2767</v>
      </c>
      <c r="M2773" s="71">
        <f t="shared" ca="1" si="219"/>
        <v>5.7115388822801275E-2</v>
      </c>
      <c r="N2773" s="65"/>
    </row>
    <row r="2774" spans="1:14" x14ac:dyDescent="0.25">
      <c r="A2774" s="2">
        <v>2768</v>
      </c>
      <c r="B2774" s="11">
        <f t="shared" ca="1" si="216"/>
        <v>0</v>
      </c>
      <c r="C2774" s="26">
        <f t="shared" ca="1" si="220"/>
        <v>0.84682529775145921</v>
      </c>
      <c r="J2774">
        <f t="shared" ca="1" si="217"/>
        <v>0</v>
      </c>
      <c r="K2774">
        <f t="shared" ca="1" si="218"/>
        <v>0</v>
      </c>
      <c r="L2774" s="65">
        <v>2768</v>
      </c>
      <c r="M2774" s="71">
        <f t="shared" ca="1" si="219"/>
        <v>0</v>
      </c>
      <c r="N2774" s="65"/>
    </row>
    <row r="2775" spans="1:14" x14ac:dyDescent="0.25">
      <c r="A2775" s="2">
        <v>2769</v>
      </c>
      <c r="B2775" s="11">
        <f t="shared" ca="1" si="216"/>
        <v>1</v>
      </c>
      <c r="C2775" s="26">
        <f t="shared" ca="1" si="220"/>
        <v>0.68147057566351021</v>
      </c>
      <c r="J2775">
        <f t="shared" ca="1" si="217"/>
        <v>1</v>
      </c>
      <c r="K2775">
        <f t="shared" ca="1" si="218"/>
        <v>0</v>
      </c>
      <c r="L2775" s="65">
        <v>2769</v>
      </c>
      <c r="M2775" s="71">
        <f t="shared" ca="1" si="219"/>
        <v>6.3727264748731569</v>
      </c>
      <c r="N2775" s="65"/>
    </row>
    <row r="2776" spans="1:14" x14ac:dyDescent="0.25">
      <c r="A2776" s="2">
        <v>2770</v>
      </c>
      <c r="B2776" s="11">
        <f t="shared" ca="1" si="216"/>
        <v>1</v>
      </c>
      <c r="C2776" s="26">
        <f t="shared" ca="1" si="220"/>
        <v>0.24686620677362003</v>
      </c>
      <c r="J2776">
        <f t="shared" ca="1" si="217"/>
        <v>1</v>
      </c>
      <c r="K2776">
        <f t="shared" ca="1" si="218"/>
        <v>0</v>
      </c>
      <c r="L2776" s="65">
        <v>2770</v>
      </c>
      <c r="M2776" s="71">
        <f t="shared" ca="1" si="219"/>
        <v>1.8049605841977283E-2</v>
      </c>
      <c r="N2776" s="65"/>
    </row>
    <row r="2777" spans="1:14" x14ac:dyDescent="0.25">
      <c r="A2777" s="2">
        <v>2771</v>
      </c>
      <c r="B2777" s="11">
        <f t="shared" ca="1" si="216"/>
        <v>1</v>
      </c>
      <c r="C2777" s="26">
        <f t="shared" ca="1" si="220"/>
        <v>0.20634134332552756</v>
      </c>
      <c r="J2777">
        <f t="shared" ca="1" si="217"/>
        <v>0</v>
      </c>
      <c r="K2777">
        <f t="shared" ca="1" si="218"/>
        <v>0</v>
      </c>
      <c r="L2777" s="65">
        <v>2771</v>
      </c>
      <c r="M2777" s="71">
        <f t="shared" ca="1" si="219"/>
        <v>1.1321492030514126</v>
      </c>
      <c r="N2777" s="65"/>
    </row>
    <row r="2778" spans="1:14" x14ac:dyDescent="0.25">
      <c r="A2778" s="2">
        <v>2772</v>
      </c>
      <c r="B2778" s="11">
        <f t="shared" ca="1" si="216"/>
        <v>0</v>
      </c>
      <c r="C2778" s="26">
        <f t="shared" ca="1" si="220"/>
        <v>0.871828032586074</v>
      </c>
      <c r="J2778">
        <f t="shared" ca="1" si="217"/>
        <v>0</v>
      </c>
      <c r="K2778">
        <f t="shared" ca="1" si="218"/>
        <v>1</v>
      </c>
      <c r="L2778" s="65">
        <v>2772</v>
      </c>
      <c r="M2778" s="71">
        <f t="shared" ca="1" si="219"/>
        <v>0</v>
      </c>
      <c r="N2778" s="65"/>
    </row>
    <row r="2779" spans="1:14" x14ac:dyDescent="0.25">
      <c r="A2779" s="2">
        <v>2773</v>
      </c>
      <c r="B2779" s="11">
        <f t="shared" ca="1" si="216"/>
        <v>0</v>
      </c>
      <c r="C2779" s="26">
        <f t="shared" ca="1" si="220"/>
        <v>0.88200320413049715</v>
      </c>
      <c r="J2779">
        <f t="shared" ca="1" si="217"/>
        <v>0</v>
      </c>
      <c r="K2779">
        <f t="shared" ca="1" si="218"/>
        <v>0</v>
      </c>
      <c r="L2779" s="65">
        <v>2773</v>
      </c>
      <c r="M2779" s="71">
        <f t="shared" ca="1" si="219"/>
        <v>0</v>
      </c>
      <c r="N2779" s="65"/>
    </row>
    <row r="2780" spans="1:14" x14ac:dyDescent="0.25">
      <c r="A2780" s="2">
        <v>2774</v>
      </c>
      <c r="B2780" s="11">
        <f t="shared" ca="1" si="216"/>
        <v>1</v>
      </c>
      <c r="C2780" s="26">
        <f t="shared" ca="1" si="220"/>
        <v>0.7047975466115326</v>
      </c>
      <c r="J2780">
        <f t="shared" ca="1" si="217"/>
        <v>1</v>
      </c>
      <c r="K2780">
        <f t="shared" ca="1" si="218"/>
        <v>0</v>
      </c>
      <c r="L2780" s="65">
        <v>2774</v>
      </c>
      <c r="M2780" s="71">
        <f t="shared" ca="1" si="219"/>
        <v>0.6237737909936204</v>
      </c>
      <c r="N2780" s="65"/>
    </row>
    <row r="2781" spans="1:14" x14ac:dyDescent="0.25">
      <c r="A2781" s="2">
        <v>2775</v>
      </c>
      <c r="B2781" s="11">
        <f t="shared" ca="1" si="216"/>
        <v>1</v>
      </c>
      <c r="C2781" s="26">
        <f t="shared" ca="1" si="220"/>
        <v>0.64256353054360116</v>
      </c>
      <c r="J2781">
        <f t="shared" ca="1" si="217"/>
        <v>1</v>
      </c>
      <c r="K2781">
        <f t="shared" ca="1" si="218"/>
        <v>0</v>
      </c>
      <c r="L2781" s="65">
        <v>2775</v>
      </c>
      <c r="M2781" s="71">
        <f t="shared" ca="1" si="219"/>
        <v>0.85684780989564513</v>
      </c>
      <c r="N2781" s="65"/>
    </row>
    <row r="2782" spans="1:14" x14ac:dyDescent="0.25">
      <c r="A2782" s="2">
        <v>2776</v>
      </c>
      <c r="B2782" s="11">
        <f t="shared" ca="1" si="216"/>
        <v>1</v>
      </c>
      <c r="C2782" s="26">
        <f t="shared" ca="1" si="220"/>
        <v>0.7469620928847297</v>
      </c>
      <c r="J2782">
        <f t="shared" ca="1" si="217"/>
        <v>1</v>
      </c>
      <c r="K2782">
        <f t="shared" ca="1" si="218"/>
        <v>0</v>
      </c>
      <c r="L2782" s="65">
        <v>2776</v>
      </c>
      <c r="M2782" s="71">
        <f t="shared" ca="1" si="219"/>
        <v>16.749933802294855</v>
      </c>
      <c r="N2782" s="65"/>
    </row>
    <row r="2783" spans="1:14" x14ac:dyDescent="0.25">
      <c r="A2783" s="2">
        <v>2777</v>
      </c>
      <c r="B2783" s="11">
        <f t="shared" ca="1" si="216"/>
        <v>1</v>
      </c>
      <c r="C2783" s="26">
        <f t="shared" ca="1" si="220"/>
        <v>0.52670312156750454</v>
      </c>
      <c r="J2783">
        <f t="shared" ca="1" si="217"/>
        <v>1</v>
      </c>
      <c r="K2783">
        <f t="shared" ca="1" si="218"/>
        <v>0</v>
      </c>
      <c r="L2783" s="65">
        <v>2777</v>
      </c>
      <c r="M2783" s="71">
        <f t="shared" ca="1" si="219"/>
        <v>2.8168488352887122</v>
      </c>
      <c r="N2783" s="65"/>
    </row>
    <row r="2784" spans="1:14" x14ac:dyDescent="0.25">
      <c r="A2784" s="2">
        <v>2778</v>
      </c>
      <c r="B2784" s="11">
        <f t="shared" ca="1" si="216"/>
        <v>1</v>
      </c>
      <c r="C2784" s="26">
        <f t="shared" ca="1" si="220"/>
        <v>0.650052994646795</v>
      </c>
      <c r="J2784">
        <f t="shared" ca="1" si="217"/>
        <v>1</v>
      </c>
      <c r="K2784">
        <f t="shared" ca="1" si="218"/>
        <v>0</v>
      </c>
      <c r="L2784" s="65">
        <v>2778</v>
      </c>
      <c r="M2784" s="71">
        <f t="shared" ca="1" si="219"/>
        <v>0.7312122547060399</v>
      </c>
      <c r="N2784" s="65"/>
    </row>
    <row r="2785" spans="1:14" x14ac:dyDescent="0.25">
      <c r="A2785" s="2">
        <v>2779</v>
      </c>
      <c r="B2785" s="11">
        <f t="shared" ca="1" si="216"/>
        <v>1</v>
      </c>
      <c r="C2785" s="26">
        <f t="shared" ca="1" si="220"/>
        <v>0.33886457093586098</v>
      </c>
      <c r="J2785">
        <f t="shared" ca="1" si="217"/>
        <v>1</v>
      </c>
      <c r="K2785">
        <f t="shared" ca="1" si="218"/>
        <v>0</v>
      </c>
      <c r="L2785" s="65">
        <v>2779</v>
      </c>
      <c r="M2785" s="71">
        <f t="shared" ca="1" si="219"/>
        <v>10.986376109422313</v>
      </c>
      <c r="N2785" s="65"/>
    </row>
    <row r="2786" spans="1:14" x14ac:dyDescent="0.25">
      <c r="A2786" s="2">
        <v>2780</v>
      </c>
      <c r="B2786" s="11">
        <f t="shared" ca="1" si="216"/>
        <v>1</v>
      </c>
      <c r="C2786" s="26">
        <f t="shared" ca="1" si="220"/>
        <v>0.62996915431520162</v>
      </c>
      <c r="J2786">
        <f t="shared" ca="1" si="217"/>
        <v>0</v>
      </c>
      <c r="K2786">
        <f t="shared" ca="1" si="218"/>
        <v>0</v>
      </c>
      <c r="L2786" s="65">
        <v>2780</v>
      </c>
      <c r="M2786" s="71">
        <f t="shared" ca="1" si="219"/>
        <v>8.7438426646960785</v>
      </c>
      <c r="N2786" s="65"/>
    </row>
    <row r="2787" spans="1:14" x14ac:dyDescent="0.25">
      <c r="A2787" s="2">
        <v>2781</v>
      </c>
      <c r="B2787" s="11">
        <f t="shared" ca="1" si="216"/>
        <v>0</v>
      </c>
      <c r="C2787" s="26">
        <f t="shared" ca="1" si="220"/>
        <v>0.95127240462744089</v>
      </c>
      <c r="J2787">
        <f t="shared" ca="1" si="217"/>
        <v>0</v>
      </c>
      <c r="K2787">
        <f t="shared" ca="1" si="218"/>
        <v>1</v>
      </c>
      <c r="L2787" s="65">
        <v>2781</v>
      </c>
      <c r="M2787" s="71">
        <f t="shared" ca="1" si="219"/>
        <v>0</v>
      </c>
      <c r="N2787" s="65"/>
    </row>
    <row r="2788" spans="1:14" x14ac:dyDescent="0.25">
      <c r="A2788" s="2">
        <v>2782</v>
      </c>
      <c r="B2788" s="11">
        <f t="shared" ca="1" si="216"/>
        <v>0</v>
      </c>
      <c r="C2788" s="26">
        <f t="shared" ca="1" si="220"/>
        <v>0.84918685645151204</v>
      </c>
      <c r="J2788">
        <f t="shared" ca="1" si="217"/>
        <v>0</v>
      </c>
      <c r="K2788">
        <f t="shared" ca="1" si="218"/>
        <v>0</v>
      </c>
      <c r="L2788" s="65">
        <v>2782</v>
      </c>
      <c r="M2788" s="71">
        <f t="shared" ca="1" si="219"/>
        <v>0</v>
      </c>
      <c r="N2788" s="65"/>
    </row>
    <row r="2789" spans="1:14" x14ac:dyDescent="0.25">
      <c r="A2789" s="2">
        <v>2783</v>
      </c>
      <c r="B2789" s="11">
        <f t="shared" ca="1" si="216"/>
        <v>1</v>
      </c>
      <c r="C2789" s="26">
        <f t="shared" ca="1" si="220"/>
        <v>0.38480572387543099</v>
      </c>
      <c r="J2789">
        <f t="shared" ca="1" si="217"/>
        <v>1</v>
      </c>
      <c r="K2789">
        <f t="shared" ca="1" si="218"/>
        <v>0</v>
      </c>
      <c r="L2789" s="65">
        <v>2783</v>
      </c>
      <c r="M2789" s="71">
        <f t="shared" ca="1" si="219"/>
        <v>4.6628490177188029</v>
      </c>
      <c r="N2789" s="65"/>
    </row>
    <row r="2790" spans="1:14" x14ac:dyDescent="0.25">
      <c r="A2790" s="2">
        <v>2784</v>
      </c>
      <c r="B2790" s="11">
        <f t="shared" ca="1" si="216"/>
        <v>1</v>
      </c>
      <c r="C2790" s="26">
        <f t="shared" ca="1" si="220"/>
        <v>0.78137250919564871</v>
      </c>
      <c r="J2790">
        <f t="shared" ca="1" si="217"/>
        <v>1</v>
      </c>
      <c r="K2790">
        <f t="shared" ca="1" si="218"/>
        <v>0</v>
      </c>
      <c r="L2790" s="65">
        <v>2784</v>
      </c>
      <c r="M2790" s="71">
        <f t="shared" ca="1" si="219"/>
        <v>6.0957101163317864</v>
      </c>
      <c r="N2790" s="65"/>
    </row>
    <row r="2791" spans="1:14" x14ac:dyDescent="0.25">
      <c r="A2791" s="2">
        <v>2785</v>
      </c>
      <c r="B2791" s="11">
        <f t="shared" ca="1" si="216"/>
        <v>1</v>
      </c>
      <c r="C2791" s="26">
        <f t="shared" ca="1" si="220"/>
        <v>0.59402449971607907</v>
      </c>
      <c r="J2791">
        <f t="shared" ca="1" si="217"/>
        <v>1</v>
      </c>
      <c r="K2791">
        <f t="shared" ca="1" si="218"/>
        <v>0</v>
      </c>
      <c r="L2791" s="65">
        <v>2785</v>
      </c>
      <c r="M2791" s="71">
        <f t="shared" ca="1" si="219"/>
        <v>4.9477656780827024</v>
      </c>
      <c r="N2791" s="65"/>
    </row>
    <row r="2792" spans="1:14" x14ac:dyDescent="0.25">
      <c r="A2792" s="2">
        <v>2786</v>
      </c>
      <c r="B2792" s="11">
        <f t="shared" ca="1" si="216"/>
        <v>1</v>
      </c>
      <c r="C2792" s="26">
        <f t="shared" ca="1" si="220"/>
        <v>0.42215927658520114</v>
      </c>
      <c r="J2792">
        <f t="shared" ca="1" si="217"/>
        <v>1</v>
      </c>
      <c r="K2792">
        <f t="shared" ca="1" si="218"/>
        <v>0</v>
      </c>
      <c r="L2792" s="65">
        <v>2786</v>
      </c>
      <c r="M2792" s="71">
        <f t="shared" ca="1" si="219"/>
        <v>5.3187269542916447</v>
      </c>
      <c r="N2792" s="65"/>
    </row>
    <row r="2793" spans="1:14" x14ac:dyDescent="0.25">
      <c r="A2793" s="2">
        <v>2787</v>
      </c>
      <c r="B2793" s="11">
        <f t="shared" ca="1" si="216"/>
        <v>1</v>
      </c>
      <c r="C2793" s="26">
        <f t="shared" ca="1" si="220"/>
        <v>0.6176843119995522</v>
      </c>
      <c r="J2793">
        <f t="shared" ca="1" si="217"/>
        <v>1</v>
      </c>
      <c r="K2793">
        <f t="shared" ca="1" si="218"/>
        <v>0</v>
      </c>
      <c r="L2793" s="65">
        <v>2787</v>
      </c>
      <c r="M2793" s="71">
        <f t="shared" ca="1" si="219"/>
        <v>6.1912164038417332</v>
      </c>
      <c r="N2793" s="65"/>
    </row>
    <row r="2794" spans="1:14" x14ac:dyDescent="0.25">
      <c r="A2794" s="2">
        <v>2788</v>
      </c>
      <c r="B2794" s="11">
        <f t="shared" ca="1" si="216"/>
        <v>1</v>
      </c>
      <c r="C2794" s="26">
        <f t="shared" ca="1" si="220"/>
        <v>0.56119420275423859</v>
      </c>
      <c r="J2794">
        <f t="shared" ca="1" si="217"/>
        <v>1</v>
      </c>
      <c r="K2794">
        <f t="shared" ca="1" si="218"/>
        <v>0</v>
      </c>
      <c r="L2794" s="65">
        <v>2788</v>
      </c>
      <c r="M2794" s="71">
        <f t="shared" ca="1" si="219"/>
        <v>1.2925693062752057</v>
      </c>
      <c r="N2794" s="65"/>
    </row>
    <row r="2795" spans="1:14" x14ac:dyDescent="0.25">
      <c r="A2795" s="2">
        <v>2789</v>
      </c>
      <c r="B2795" s="11">
        <f t="shared" ca="1" si="216"/>
        <v>1</v>
      </c>
      <c r="C2795" s="26">
        <f t="shared" ca="1" si="220"/>
        <v>0.37773264443327403</v>
      </c>
      <c r="J2795">
        <f t="shared" ca="1" si="217"/>
        <v>1</v>
      </c>
      <c r="K2795">
        <f t="shared" ca="1" si="218"/>
        <v>0</v>
      </c>
      <c r="L2795" s="65">
        <v>2789</v>
      </c>
      <c r="M2795" s="71">
        <f t="shared" ca="1" si="219"/>
        <v>4.1703009743854134</v>
      </c>
      <c r="N2795" s="65"/>
    </row>
    <row r="2796" spans="1:14" x14ac:dyDescent="0.25">
      <c r="A2796" s="2">
        <v>2790</v>
      </c>
      <c r="B2796" s="11">
        <f t="shared" ca="1" si="216"/>
        <v>1</v>
      </c>
      <c r="C2796" s="26">
        <f t="shared" ca="1" si="220"/>
        <v>0.65182091305429957</v>
      </c>
      <c r="J2796">
        <f t="shared" ca="1" si="217"/>
        <v>1</v>
      </c>
      <c r="K2796">
        <f t="shared" ca="1" si="218"/>
        <v>0</v>
      </c>
      <c r="L2796" s="65">
        <v>2790</v>
      </c>
      <c r="M2796" s="71">
        <f t="shared" ca="1" si="219"/>
        <v>4.1193025124397389</v>
      </c>
      <c r="N2796" s="65"/>
    </row>
    <row r="2797" spans="1:14" x14ac:dyDescent="0.25">
      <c r="A2797" s="2">
        <v>2791</v>
      </c>
      <c r="B2797" s="11">
        <f t="shared" ca="1" si="216"/>
        <v>1</v>
      </c>
      <c r="C2797" s="26">
        <f t="shared" ca="1" si="220"/>
        <v>0.12694546517980987</v>
      </c>
      <c r="J2797">
        <f t="shared" ca="1" si="217"/>
        <v>1</v>
      </c>
      <c r="K2797">
        <f t="shared" ca="1" si="218"/>
        <v>0</v>
      </c>
      <c r="L2797" s="65">
        <v>2791</v>
      </c>
      <c r="M2797" s="71">
        <f t="shared" ca="1" si="219"/>
        <v>0.98530681205769599</v>
      </c>
      <c r="N2797" s="65"/>
    </row>
    <row r="2798" spans="1:14" x14ac:dyDescent="0.25">
      <c r="A2798" s="2">
        <v>2792</v>
      </c>
      <c r="B2798" s="11">
        <f t="shared" ca="1" si="216"/>
        <v>1</v>
      </c>
      <c r="C2798" s="26">
        <f t="shared" ca="1" si="220"/>
        <v>0.70122945138653958</v>
      </c>
      <c r="J2798">
        <f t="shared" ca="1" si="217"/>
        <v>1</v>
      </c>
      <c r="K2798">
        <f t="shared" ca="1" si="218"/>
        <v>0</v>
      </c>
      <c r="L2798" s="65">
        <v>2792</v>
      </c>
      <c r="M2798" s="71">
        <f t="shared" ca="1" si="219"/>
        <v>2.5081087340987533</v>
      </c>
      <c r="N2798" s="65"/>
    </row>
    <row r="2799" spans="1:14" x14ac:dyDescent="0.25">
      <c r="A2799" s="2">
        <v>2793</v>
      </c>
      <c r="B2799" s="11">
        <f t="shared" ref="B2799:B2862" ca="1" si="221">IF(B2798&gt;0,IF(C2799&lt;pww,1,0),IF(C2799&lt;pdw,1,0))</f>
        <v>1</v>
      </c>
      <c r="C2799" s="26">
        <f t="shared" ca="1" si="220"/>
        <v>0.76383017819699095</v>
      </c>
      <c r="J2799">
        <f t="shared" ref="J2799:J2862" ca="1" si="222">IF(AND(B2799,B2800),1,0)</f>
        <v>1</v>
      </c>
      <c r="K2799">
        <f t="shared" ref="K2799:K2862" ca="1" si="223">IF(AND(NOT(B2799),NOT(B2800)),1,0)</f>
        <v>0</v>
      </c>
      <c r="L2799" s="65">
        <v>2793</v>
      </c>
      <c r="M2799" s="71">
        <f t="shared" ca="1" si="219"/>
        <v>0.66001115888462314</v>
      </c>
      <c r="N2799" s="65"/>
    </row>
    <row r="2800" spans="1:14" x14ac:dyDescent="0.25">
      <c r="A2800" s="2">
        <v>2794</v>
      </c>
      <c r="B2800" s="11">
        <f t="shared" ca="1" si="221"/>
        <v>1</v>
      </c>
      <c r="C2800" s="26">
        <f t="shared" ca="1" si="220"/>
        <v>6.2635281469588522E-3</v>
      </c>
      <c r="J2800">
        <f t="shared" ca="1" si="222"/>
        <v>0</v>
      </c>
      <c r="K2800">
        <f t="shared" ca="1" si="223"/>
        <v>0</v>
      </c>
      <c r="L2800" s="65">
        <v>2794</v>
      </c>
      <c r="M2800" s="71">
        <f t="shared" ca="1" si="219"/>
        <v>6.0600998218690715E-2</v>
      </c>
      <c r="N2800" s="65"/>
    </row>
    <row r="2801" spans="1:14" x14ac:dyDescent="0.25">
      <c r="A2801" s="2">
        <v>2795</v>
      </c>
      <c r="B2801" s="11">
        <f t="shared" ca="1" si="221"/>
        <v>0</v>
      </c>
      <c r="C2801" s="26">
        <f t="shared" ca="1" si="220"/>
        <v>0.88561818727216346</v>
      </c>
      <c r="J2801">
        <f t="shared" ca="1" si="222"/>
        <v>0</v>
      </c>
      <c r="K2801">
        <f t="shared" ca="1" si="223"/>
        <v>0</v>
      </c>
      <c r="L2801" s="65">
        <v>2795</v>
      </c>
      <c r="M2801" s="71">
        <f t="shared" ca="1" si="219"/>
        <v>0</v>
      </c>
      <c r="N2801" s="65"/>
    </row>
    <row r="2802" spans="1:14" x14ac:dyDescent="0.25">
      <c r="A2802" s="2">
        <v>2796</v>
      </c>
      <c r="B2802" s="11">
        <f t="shared" ca="1" si="221"/>
        <v>1</v>
      </c>
      <c r="C2802" s="26">
        <f t="shared" ca="1" si="220"/>
        <v>0.27431253500176256</v>
      </c>
      <c r="J2802">
        <f t="shared" ca="1" si="222"/>
        <v>0</v>
      </c>
      <c r="K2802">
        <f t="shared" ca="1" si="223"/>
        <v>0</v>
      </c>
      <c r="L2802" s="65">
        <v>2796</v>
      </c>
      <c r="M2802" s="71">
        <f t="shared" ca="1" si="219"/>
        <v>0.46677134195971909</v>
      </c>
      <c r="N2802" s="65"/>
    </row>
    <row r="2803" spans="1:14" x14ac:dyDescent="0.25">
      <c r="A2803" s="2">
        <v>2797</v>
      </c>
      <c r="B2803" s="11">
        <f t="shared" ca="1" si="221"/>
        <v>0</v>
      </c>
      <c r="C2803" s="26">
        <f t="shared" ca="1" si="220"/>
        <v>0.84468630070942707</v>
      </c>
      <c r="J2803">
        <f t="shared" ca="1" si="222"/>
        <v>0</v>
      </c>
      <c r="K2803">
        <f t="shared" ca="1" si="223"/>
        <v>0</v>
      </c>
      <c r="L2803" s="65">
        <v>2797</v>
      </c>
      <c r="M2803" s="71">
        <f t="shared" ca="1" si="219"/>
        <v>0</v>
      </c>
      <c r="N2803" s="65"/>
    </row>
    <row r="2804" spans="1:14" x14ac:dyDescent="0.25">
      <c r="A2804" s="2">
        <v>2798</v>
      </c>
      <c r="B2804" s="11">
        <f t="shared" ca="1" si="221"/>
        <v>1</v>
      </c>
      <c r="C2804" s="26">
        <f t="shared" ca="1" si="220"/>
        <v>0.68462839246463802</v>
      </c>
      <c r="J2804">
        <f t="shared" ca="1" si="222"/>
        <v>0</v>
      </c>
      <c r="K2804">
        <f t="shared" ca="1" si="223"/>
        <v>0</v>
      </c>
      <c r="L2804" s="65">
        <v>2798</v>
      </c>
      <c r="M2804" s="71">
        <f t="shared" ca="1" si="219"/>
        <v>11.159200662865382</v>
      </c>
      <c r="N2804" s="65"/>
    </row>
    <row r="2805" spans="1:14" x14ac:dyDescent="0.25">
      <c r="A2805" s="2">
        <v>2799</v>
      </c>
      <c r="B2805" s="11">
        <f t="shared" ca="1" si="221"/>
        <v>0</v>
      </c>
      <c r="C2805" s="26">
        <f t="shared" ca="1" si="220"/>
        <v>0.91275178544249336</v>
      </c>
      <c r="J2805">
        <f t="shared" ca="1" si="222"/>
        <v>0</v>
      </c>
      <c r="K2805">
        <f t="shared" ca="1" si="223"/>
        <v>1</v>
      </c>
      <c r="L2805" s="65">
        <v>2799</v>
      </c>
      <c r="M2805" s="71">
        <f t="shared" ca="1" si="219"/>
        <v>0</v>
      </c>
      <c r="N2805" s="65"/>
    </row>
    <row r="2806" spans="1:14" x14ac:dyDescent="0.25">
      <c r="A2806" s="2">
        <v>2800</v>
      </c>
      <c r="B2806" s="11">
        <f t="shared" ca="1" si="221"/>
        <v>0</v>
      </c>
      <c r="C2806" s="26">
        <f t="shared" ca="1" si="220"/>
        <v>0.89913353758016923</v>
      </c>
      <c r="J2806">
        <f t="shared" ca="1" si="222"/>
        <v>0</v>
      </c>
      <c r="K2806">
        <f t="shared" ca="1" si="223"/>
        <v>0</v>
      </c>
      <c r="L2806" s="65">
        <v>2800</v>
      </c>
      <c r="M2806" s="71">
        <f t="shared" ca="1" si="219"/>
        <v>0</v>
      </c>
      <c r="N2806" s="65"/>
    </row>
    <row r="2807" spans="1:14" x14ac:dyDescent="0.25">
      <c r="A2807" s="2">
        <v>2801</v>
      </c>
      <c r="B2807" s="11">
        <f t="shared" ca="1" si="221"/>
        <v>1</v>
      </c>
      <c r="C2807" s="26">
        <f t="shared" ca="1" si="220"/>
        <v>0.65484907322838792</v>
      </c>
      <c r="J2807">
        <f t="shared" ca="1" si="222"/>
        <v>1</v>
      </c>
      <c r="K2807">
        <f t="shared" ca="1" si="223"/>
        <v>0</v>
      </c>
      <c r="L2807" s="65">
        <v>2801</v>
      </c>
      <c r="M2807" s="71">
        <f t="shared" ca="1" si="219"/>
        <v>11.608478252487805</v>
      </c>
      <c r="N2807" s="65"/>
    </row>
    <row r="2808" spans="1:14" x14ac:dyDescent="0.25">
      <c r="A2808" s="2">
        <v>2802</v>
      </c>
      <c r="B2808" s="11">
        <f t="shared" ca="1" si="221"/>
        <v>1</v>
      </c>
      <c r="C2808" s="26">
        <f t="shared" ca="1" si="220"/>
        <v>0.74696932800848392</v>
      </c>
      <c r="J2808">
        <f t="shared" ca="1" si="222"/>
        <v>1</v>
      </c>
      <c r="K2808">
        <f t="shared" ca="1" si="223"/>
        <v>0</v>
      </c>
      <c r="L2808" s="65">
        <v>2802</v>
      </c>
      <c r="M2808" s="71">
        <f t="shared" ca="1" si="219"/>
        <v>5.8750129551443573</v>
      </c>
      <c r="N2808" s="65"/>
    </row>
    <row r="2809" spans="1:14" x14ac:dyDescent="0.25">
      <c r="A2809" s="2">
        <v>2803</v>
      </c>
      <c r="B2809" s="11">
        <f t="shared" ca="1" si="221"/>
        <v>1</v>
      </c>
      <c r="C2809" s="26">
        <f t="shared" ca="1" si="220"/>
        <v>0.34865084787754763</v>
      </c>
      <c r="J2809">
        <f t="shared" ca="1" si="222"/>
        <v>1</v>
      </c>
      <c r="K2809">
        <f t="shared" ca="1" si="223"/>
        <v>0</v>
      </c>
      <c r="L2809" s="65">
        <v>2803</v>
      </c>
      <c r="M2809" s="71">
        <f t="shared" ca="1" si="219"/>
        <v>4.5069212388629944</v>
      </c>
      <c r="N2809" s="65"/>
    </row>
    <row r="2810" spans="1:14" x14ac:dyDescent="0.25">
      <c r="A2810" s="2">
        <v>2804</v>
      </c>
      <c r="B2810" s="11">
        <f t="shared" ca="1" si="221"/>
        <v>1</v>
      </c>
      <c r="C2810" s="26">
        <f t="shared" ca="1" si="220"/>
        <v>0.14314508149039107</v>
      </c>
      <c r="J2810">
        <f t="shared" ca="1" si="222"/>
        <v>1</v>
      </c>
      <c r="K2810">
        <f t="shared" ca="1" si="223"/>
        <v>0</v>
      </c>
      <c r="L2810" s="65">
        <v>2804</v>
      </c>
      <c r="M2810" s="71">
        <f t="shared" ca="1" si="219"/>
        <v>5.1026797430331894E-2</v>
      </c>
      <c r="N2810" s="65"/>
    </row>
    <row r="2811" spans="1:14" x14ac:dyDescent="0.25">
      <c r="A2811" s="2">
        <v>2805</v>
      </c>
      <c r="B2811" s="11">
        <f t="shared" ca="1" si="221"/>
        <v>1</v>
      </c>
      <c r="C2811" s="26">
        <f t="shared" ca="1" si="220"/>
        <v>0.6757275041035361</v>
      </c>
      <c r="J2811">
        <f t="shared" ca="1" si="222"/>
        <v>1</v>
      </c>
      <c r="K2811">
        <f t="shared" ca="1" si="223"/>
        <v>0</v>
      </c>
      <c r="L2811" s="65">
        <v>2805</v>
      </c>
      <c r="M2811" s="71">
        <f t="shared" ca="1" si="219"/>
        <v>2.1183260645955926</v>
      </c>
      <c r="N2811" s="65"/>
    </row>
    <row r="2812" spans="1:14" x14ac:dyDescent="0.25">
      <c r="A2812" s="2">
        <v>2806</v>
      </c>
      <c r="B2812" s="11">
        <f t="shared" ca="1" si="221"/>
        <v>1</v>
      </c>
      <c r="C2812" s="26">
        <f t="shared" ca="1" si="220"/>
        <v>0.60078150914514372</v>
      </c>
      <c r="J2812">
        <f t="shared" ca="1" si="222"/>
        <v>1</v>
      </c>
      <c r="K2812">
        <f t="shared" ca="1" si="223"/>
        <v>0</v>
      </c>
      <c r="L2812" s="65">
        <v>2806</v>
      </c>
      <c r="M2812" s="71">
        <f t="shared" ca="1" si="219"/>
        <v>13.410882790825282</v>
      </c>
      <c r="N2812" s="65"/>
    </row>
    <row r="2813" spans="1:14" x14ac:dyDescent="0.25">
      <c r="A2813" s="2">
        <v>2807</v>
      </c>
      <c r="B2813" s="11">
        <f t="shared" ca="1" si="221"/>
        <v>1</v>
      </c>
      <c r="C2813" s="26">
        <f t="shared" ca="1" si="220"/>
        <v>0.39610241878962982</v>
      </c>
      <c r="J2813">
        <f t="shared" ca="1" si="222"/>
        <v>1</v>
      </c>
      <c r="K2813">
        <f t="shared" ca="1" si="223"/>
        <v>0</v>
      </c>
      <c r="L2813" s="65">
        <v>2807</v>
      </c>
      <c r="M2813" s="71">
        <f t="shared" ca="1" si="219"/>
        <v>4.3382673198937818</v>
      </c>
      <c r="N2813" s="65"/>
    </row>
    <row r="2814" spans="1:14" x14ac:dyDescent="0.25">
      <c r="A2814" s="2">
        <v>2808</v>
      </c>
      <c r="B2814" s="11">
        <f t="shared" ca="1" si="221"/>
        <v>1</v>
      </c>
      <c r="C2814" s="26">
        <f t="shared" ca="1" si="220"/>
        <v>0.56381128531018287</v>
      </c>
      <c r="J2814">
        <f t="shared" ca="1" si="222"/>
        <v>1</v>
      </c>
      <c r="K2814">
        <f t="shared" ca="1" si="223"/>
        <v>0</v>
      </c>
      <c r="L2814" s="65">
        <v>2808</v>
      </c>
      <c r="M2814" s="71">
        <f t="shared" ca="1" si="219"/>
        <v>2.0563435375310122</v>
      </c>
      <c r="N2814" s="65"/>
    </row>
    <row r="2815" spans="1:14" x14ac:dyDescent="0.25">
      <c r="A2815" s="2">
        <v>2809</v>
      </c>
      <c r="B2815" s="11">
        <f t="shared" ca="1" si="221"/>
        <v>1</v>
      </c>
      <c r="C2815" s="26">
        <f t="shared" ca="1" si="220"/>
        <v>0.2287468940619517</v>
      </c>
      <c r="J2815">
        <f t="shared" ca="1" si="222"/>
        <v>1</v>
      </c>
      <c r="K2815">
        <f t="shared" ca="1" si="223"/>
        <v>0</v>
      </c>
      <c r="L2815" s="65">
        <v>2809</v>
      </c>
      <c r="M2815" s="71">
        <f t="shared" ca="1" si="219"/>
        <v>5.5284639358320318</v>
      </c>
      <c r="N2815" s="65"/>
    </row>
    <row r="2816" spans="1:14" x14ac:dyDescent="0.25">
      <c r="A2816" s="2">
        <v>2810</v>
      </c>
      <c r="B2816" s="11">
        <f t="shared" ca="1" si="221"/>
        <v>1</v>
      </c>
      <c r="C2816" s="26">
        <f t="shared" ca="1" si="220"/>
        <v>2.4238853880182987E-2</v>
      </c>
      <c r="J2816">
        <f t="shared" ca="1" si="222"/>
        <v>0</v>
      </c>
      <c r="K2816">
        <f t="shared" ca="1" si="223"/>
        <v>0</v>
      </c>
      <c r="L2816" s="65">
        <v>2810</v>
      </c>
      <c r="M2816" s="71">
        <f t="shared" ca="1" si="219"/>
        <v>5.2779221344099616</v>
      </c>
      <c r="N2816" s="65"/>
    </row>
    <row r="2817" spans="1:14" x14ac:dyDescent="0.25">
      <c r="A2817" s="2">
        <v>2811</v>
      </c>
      <c r="B2817" s="11">
        <f t="shared" ca="1" si="221"/>
        <v>0</v>
      </c>
      <c r="C2817" s="26">
        <f t="shared" ca="1" si="220"/>
        <v>0.9109452631732291</v>
      </c>
      <c r="J2817">
        <f t="shared" ca="1" si="222"/>
        <v>0</v>
      </c>
      <c r="K2817">
        <f t="shared" ca="1" si="223"/>
        <v>0</v>
      </c>
      <c r="L2817" s="65">
        <v>2811</v>
      </c>
      <c r="M2817" s="71">
        <f t="shared" ca="1" si="219"/>
        <v>0</v>
      </c>
      <c r="N2817" s="65"/>
    </row>
    <row r="2818" spans="1:14" x14ac:dyDescent="0.25">
      <c r="A2818" s="2">
        <v>2812</v>
      </c>
      <c r="B2818" s="11">
        <f t="shared" ca="1" si="221"/>
        <v>1</v>
      </c>
      <c r="C2818" s="26">
        <f t="shared" ca="1" si="220"/>
        <v>0.55059551985854505</v>
      </c>
      <c r="J2818">
        <f t="shared" ca="1" si="222"/>
        <v>1</v>
      </c>
      <c r="K2818">
        <f t="shared" ca="1" si="223"/>
        <v>0</v>
      </c>
      <c r="L2818" s="65">
        <v>2812</v>
      </c>
      <c r="M2818" s="71">
        <f t="shared" ca="1" si="219"/>
        <v>11.274589295094486</v>
      </c>
      <c r="N2818" s="65"/>
    </row>
    <row r="2819" spans="1:14" x14ac:dyDescent="0.25">
      <c r="A2819" s="2">
        <v>2813</v>
      </c>
      <c r="B2819" s="11">
        <f t="shared" ca="1" si="221"/>
        <v>1</v>
      </c>
      <c r="C2819" s="26">
        <f t="shared" ca="1" si="220"/>
        <v>0.35512430282363339</v>
      </c>
      <c r="J2819">
        <f t="shared" ca="1" si="222"/>
        <v>1</v>
      </c>
      <c r="K2819">
        <f t="shared" ca="1" si="223"/>
        <v>0</v>
      </c>
      <c r="L2819" s="65">
        <v>2813</v>
      </c>
      <c r="M2819" s="71">
        <f t="shared" ca="1" si="219"/>
        <v>5.2651665501366836</v>
      </c>
      <c r="N2819" s="65"/>
    </row>
    <row r="2820" spans="1:14" x14ac:dyDescent="0.25">
      <c r="A2820" s="2">
        <v>2814</v>
      </c>
      <c r="B2820" s="11">
        <f t="shared" ca="1" si="221"/>
        <v>1</v>
      </c>
      <c r="C2820" s="26">
        <f t="shared" ca="1" si="220"/>
        <v>0.39037944168723027</v>
      </c>
      <c r="J2820">
        <f t="shared" ca="1" si="222"/>
        <v>1</v>
      </c>
      <c r="K2820">
        <f t="shared" ca="1" si="223"/>
        <v>0</v>
      </c>
      <c r="L2820" s="65">
        <v>2814</v>
      </c>
      <c r="M2820" s="71">
        <f t="shared" ca="1" si="219"/>
        <v>1.4280264546499633</v>
      </c>
      <c r="N2820" s="65"/>
    </row>
    <row r="2821" spans="1:14" x14ac:dyDescent="0.25">
      <c r="A2821" s="2">
        <v>2815</v>
      </c>
      <c r="B2821" s="11">
        <f t="shared" ca="1" si="221"/>
        <v>1</v>
      </c>
      <c r="C2821" s="26">
        <f t="shared" ca="1" si="220"/>
        <v>0.74414631582236612</v>
      </c>
      <c r="J2821">
        <f t="shared" ca="1" si="222"/>
        <v>1</v>
      </c>
      <c r="K2821">
        <f t="shared" ca="1" si="223"/>
        <v>0</v>
      </c>
      <c r="L2821" s="65">
        <v>2815</v>
      </c>
      <c r="M2821" s="71">
        <f t="shared" ca="1" si="219"/>
        <v>3.8865329276846334</v>
      </c>
      <c r="N2821" s="65"/>
    </row>
    <row r="2822" spans="1:14" x14ac:dyDescent="0.25">
      <c r="A2822" s="2">
        <v>2816</v>
      </c>
      <c r="B2822" s="11">
        <f t="shared" ca="1" si="221"/>
        <v>1</v>
      </c>
      <c r="C2822" s="26">
        <f t="shared" ca="1" si="220"/>
        <v>0.2443638679628739</v>
      </c>
      <c r="J2822">
        <f t="shared" ca="1" si="222"/>
        <v>1</v>
      </c>
      <c r="K2822">
        <f t="shared" ca="1" si="223"/>
        <v>0</v>
      </c>
      <c r="L2822" s="65">
        <v>2816</v>
      </c>
      <c r="M2822" s="71">
        <f t="shared" ca="1" si="219"/>
        <v>2.1406235757619738</v>
      </c>
      <c r="N2822" s="65"/>
    </row>
    <row r="2823" spans="1:14" x14ac:dyDescent="0.25">
      <c r="A2823" s="2">
        <v>2817</v>
      </c>
      <c r="B2823" s="11">
        <f t="shared" ca="1" si="221"/>
        <v>1</v>
      </c>
      <c r="C2823" s="26">
        <f t="shared" ca="1" si="220"/>
        <v>0.13340034749555663</v>
      </c>
      <c r="J2823">
        <f t="shared" ca="1" si="222"/>
        <v>1</v>
      </c>
      <c r="K2823">
        <f t="shared" ca="1" si="223"/>
        <v>0</v>
      </c>
      <c r="L2823" s="65">
        <v>2817</v>
      </c>
      <c r="M2823" s="71">
        <f t="shared" ref="M2823:M2886" ca="1" si="224">IF(B2823&gt;0,-LN(1-(RAND()))/lambda,0)</f>
        <v>5.704597439397042</v>
      </c>
      <c r="N2823" s="65"/>
    </row>
    <row r="2824" spans="1:14" x14ac:dyDescent="0.25">
      <c r="A2824" s="2">
        <v>2818</v>
      </c>
      <c r="B2824" s="11">
        <f t="shared" ca="1" si="221"/>
        <v>1</v>
      </c>
      <c r="C2824" s="26">
        <f t="shared" ref="C2824:C2887" ca="1" si="225">RAND()</f>
        <v>0.40268312872705603</v>
      </c>
      <c r="J2824">
        <f t="shared" ca="1" si="222"/>
        <v>1</v>
      </c>
      <c r="K2824">
        <f t="shared" ca="1" si="223"/>
        <v>0</v>
      </c>
      <c r="L2824" s="65">
        <v>2818</v>
      </c>
      <c r="M2824" s="71">
        <f t="shared" ca="1" si="224"/>
        <v>0.67961247831695526</v>
      </c>
      <c r="N2824" s="65"/>
    </row>
    <row r="2825" spans="1:14" x14ac:dyDescent="0.25">
      <c r="A2825" s="2">
        <v>2819</v>
      </c>
      <c r="B2825" s="11">
        <f t="shared" ca="1" si="221"/>
        <v>1</v>
      </c>
      <c r="C2825" s="26">
        <f t="shared" ca="1" si="225"/>
        <v>0.49179564243053597</v>
      </c>
      <c r="J2825">
        <f t="shared" ca="1" si="222"/>
        <v>1</v>
      </c>
      <c r="K2825">
        <f t="shared" ca="1" si="223"/>
        <v>0</v>
      </c>
      <c r="L2825" s="65">
        <v>2819</v>
      </c>
      <c r="M2825" s="71">
        <f t="shared" ca="1" si="224"/>
        <v>1.0502530056575408</v>
      </c>
      <c r="N2825" s="65"/>
    </row>
    <row r="2826" spans="1:14" x14ac:dyDescent="0.25">
      <c r="A2826" s="2">
        <v>2820</v>
      </c>
      <c r="B2826" s="11">
        <f t="shared" ca="1" si="221"/>
        <v>1</v>
      </c>
      <c r="C2826" s="26">
        <f t="shared" ca="1" si="225"/>
        <v>0.67948969849616159</v>
      </c>
      <c r="J2826">
        <f t="shared" ca="1" si="222"/>
        <v>1</v>
      </c>
      <c r="K2826">
        <f t="shared" ca="1" si="223"/>
        <v>0</v>
      </c>
      <c r="L2826" s="65">
        <v>2820</v>
      </c>
      <c r="M2826" s="71">
        <f t="shared" ca="1" si="224"/>
        <v>2.8256904512212855</v>
      </c>
      <c r="N2826" s="65"/>
    </row>
    <row r="2827" spans="1:14" x14ac:dyDescent="0.25">
      <c r="A2827" s="2">
        <v>2821</v>
      </c>
      <c r="B2827" s="11">
        <f t="shared" ca="1" si="221"/>
        <v>1</v>
      </c>
      <c r="C2827" s="26">
        <f t="shared" ca="1" si="225"/>
        <v>0.37558901041896664</v>
      </c>
      <c r="J2827">
        <f t="shared" ca="1" si="222"/>
        <v>1</v>
      </c>
      <c r="K2827">
        <f t="shared" ca="1" si="223"/>
        <v>0</v>
      </c>
      <c r="L2827" s="65">
        <v>2821</v>
      </c>
      <c r="M2827" s="71">
        <f t="shared" ca="1" si="224"/>
        <v>6.3626242590696434</v>
      </c>
      <c r="N2827" s="65"/>
    </row>
    <row r="2828" spans="1:14" x14ac:dyDescent="0.25">
      <c r="A2828" s="2">
        <v>2822</v>
      </c>
      <c r="B2828" s="11">
        <f t="shared" ca="1" si="221"/>
        <v>1</v>
      </c>
      <c r="C2828" s="26">
        <f t="shared" ca="1" si="225"/>
        <v>0.44049400142515083</v>
      </c>
      <c r="J2828">
        <f t="shared" ca="1" si="222"/>
        <v>0</v>
      </c>
      <c r="K2828">
        <f t="shared" ca="1" si="223"/>
        <v>0</v>
      </c>
      <c r="L2828" s="65">
        <v>2822</v>
      </c>
      <c r="M2828" s="71">
        <f t="shared" ca="1" si="224"/>
        <v>6.7079522814011421</v>
      </c>
      <c r="N2828" s="65"/>
    </row>
    <row r="2829" spans="1:14" x14ac:dyDescent="0.25">
      <c r="A2829" s="2">
        <v>2823</v>
      </c>
      <c r="B2829" s="11">
        <f t="shared" ca="1" si="221"/>
        <v>0</v>
      </c>
      <c r="C2829" s="26">
        <f t="shared" ca="1" si="225"/>
        <v>0.89852904277203138</v>
      </c>
      <c r="J2829">
        <f t="shared" ca="1" si="222"/>
        <v>0</v>
      </c>
      <c r="K2829">
        <f t="shared" ca="1" si="223"/>
        <v>0</v>
      </c>
      <c r="L2829" s="65">
        <v>2823</v>
      </c>
      <c r="M2829" s="71">
        <f t="shared" ca="1" si="224"/>
        <v>0</v>
      </c>
      <c r="N2829" s="65"/>
    </row>
    <row r="2830" spans="1:14" x14ac:dyDescent="0.25">
      <c r="A2830" s="2">
        <v>2824</v>
      </c>
      <c r="B2830" s="11">
        <f t="shared" ca="1" si="221"/>
        <v>1</v>
      </c>
      <c r="C2830" s="26">
        <f t="shared" ca="1" si="225"/>
        <v>0.1836176158522882</v>
      </c>
      <c r="J2830">
        <f t="shared" ca="1" si="222"/>
        <v>0</v>
      </c>
      <c r="K2830">
        <f t="shared" ca="1" si="223"/>
        <v>0</v>
      </c>
      <c r="L2830" s="65">
        <v>2824</v>
      </c>
      <c r="M2830" s="71">
        <f t="shared" ca="1" si="224"/>
        <v>9.627236464833242</v>
      </c>
      <c r="N2830" s="65"/>
    </row>
    <row r="2831" spans="1:14" x14ac:dyDescent="0.25">
      <c r="A2831" s="2">
        <v>2825</v>
      </c>
      <c r="B2831" s="11">
        <f t="shared" ca="1" si="221"/>
        <v>0</v>
      </c>
      <c r="C2831" s="26">
        <f t="shared" ca="1" si="225"/>
        <v>0.9808052515641541</v>
      </c>
      <c r="J2831">
        <f t="shared" ca="1" si="222"/>
        <v>0</v>
      </c>
      <c r="K2831">
        <f t="shared" ca="1" si="223"/>
        <v>1</v>
      </c>
      <c r="L2831" s="65">
        <v>2825</v>
      </c>
      <c r="M2831" s="71">
        <f t="shared" ca="1" si="224"/>
        <v>0</v>
      </c>
      <c r="N2831" s="65"/>
    </row>
    <row r="2832" spans="1:14" x14ac:dyDescent="0.25">
      <c r="A2832" s="2">
        <v>2826</v>
      </c>
      <c r="B2832" s="11">
        <f t="shared" ca="1" si="221"/>
        <v>0</v>
      </c>
      <c r="C2832" s="26">
        <f t="shared" ca="1" si="225"/>
        <v>0.88902079064467654</v>
      </c>
      <c r="J2832">
        <f t="shared" ca="1" si="222"/>
        <v>0</v>
      </c>
      <c r="K2832">
        <f t="shared" ca="1" si="223"/>
        <v>0</v>
      </c>
      <c r="L2832" s="65">
        <v>2826</v>
      </c>
      <c r="M2832" s="71">
        <f t="shared" ca="1" si="224"/>
        <v>0</v>
      </c>
      <c r="N2832" s="65"/>
    </row>
    <row r="2833" spans="1:14" x14ac:dyDescent="0.25">
      <c r="A2833" s="2">
        <v>2827</v>
      </c>
      <c r="B2833" s="11">
        <f t="shared" ca="1" si="221"/>
        <v>1</v>
      </c>
      <c r="C2833" s="26">
        <f t="shared" ca="1" si="225"/>
        <v>0.24767427589056989</v>
      </c>
      <c r="J2833">
        <f t="shared" ca="1" si="222"/>
        <v>0</v>
      </c>
      <c r="K2833">
        <f t="shared" ca="1" si="223"/>
        <v>0</v>
      </c>
      <c r="L2833" s="65">
        <v>2827</v>
      </c>
      <c r="M2833" s="71">
        <f t="shared" ca="1" si="224"/>
        <v>5.0893799966385762</v>
      </c>
      <c r="N2833" s="65"/>
    </row>
    <row r="2834" spans="1:14" x14ac:dyDescent="0.25">
      <c r="A2834" s="2">
        <v>2828</v>
      </c>
      <c r="B2834" s="11">
        <f t="shared" ca="1" si="221"/>
        <v>0</v>
      </c>
      <c r="C2834" s="26">
        <f t="shared" ca="1" si="225"/>
        <v>0.9951264044834166</v>
      </c>
      <c r="J2834">
        <f t="shared" ca="1" si="222"/>
        <v>0</v>
      </c>
      <c r="K2834">
        <f t="shared" ca="1" si="223"/>
        <v>1</v>
      </c>
      <c r="L2834" s="65">
        <v>2828</v>
      </c>
      <c r="M2834" s="71">
        <f t="shared" ca="1" si="224"/>
        <v>0</v>
      </c>
      <c r="N2834" s="65"/>
    </row>
    <row r="2835" spans="1:14" x14ac:dyDescent="0.25">
      <c r="A2835" s="2">
        <v>2829</v>
      </c>
      <c r="B2835" s="11">
        <f t="shared" ca="1" si="221"/>
        <v>0</v>
      </c>
      <c r="C2835" s="26">
        <f t="shared" ca="1" si="225"/>
        <v>0.99132077160393184</v>
      </c>
      <c r="J2835">
        <f t="shared" ca="1" si="222"/>
        <v>0</v>
      </c>
      <c r="K2835">
        <f t="shared" ca="1" si="223"/>
        <v>0</v>
      </c>
      <c r="L2835" s="65">
        <v>2829</v>
      </c>
      <c r="M2835" s="71">
        <f t="shared" ca="1" si="224"/>
        <v>0</v>
      </c>
      <c r="N2835" s="65"/>
    </row>
    <row r="2836" spans="1:14" x14ac:dyDescent="0.25">
      <c r="A2836" s="2">
        <v>2830</v>
      </c>
      <c r="B2836" s="11">
        <f t="shared" ca="1" si="221"/>
        <v>1</v>
      </c>
      <c r="C2836" s="26">
        <f t="shared" ca="1" si="225"/>
        <v>0.36876726190578069</v>
      </c>
      <c r="J2836">
        <f t="shared" ca="1" si="222"/>
        <v>1</v>
      </c>
      <c r="K2836">
        <f t="shared" ca="1" si="223"/>
        <v>0</v>
      </c>
      <c r="L2836" s="65">
        <v>2830</v>
      </c>
      <c r="M2836" s="71">
        <f t="shared" ca="1" si="224"/>
        <v>0.48955960572705892</v>
      </c>
      <c r="N2836" s="65"/>
    </row>
    <row r="2837" spans="1:14" x14ac:dyDescent="0.25">
      <c r="A2837" s="2">
        <v>2831</v>
      </c>
      <c r="B2837" s="11">
        <f t="shared" ca="1" si="221"/>
        <v>1</v>
      </c>
      <c r="C2837" s="26">
        <f t="shared" ca="1" si="225"/>
        <v>0.21972654213386766</v>
      </c>
      <c r="J2837">
        <f t="shared" ca="1" si="222"/>
        <v>0</v>
      </c>
      <c r="K2837">
        <f t="shared" ca="1" si="223"/>
        <v>0</v>
      </c>
      <c r="L2837" s="65">
        <v>2831</v>
      </c>
      <c r="M2837" s="71">
        <f t="shared" ca="1" si="224"/>
        <v>14.225581499429458</v>
      </c>
      <c r="N2837" s="65"/>
    </row>
    <row r="2838" spans="1:14" x14ac:dyDescent="0.25">
      <c r="A2838" s="2">
        <v>2832</v>
      </c>
      <c r="B2838" s="11">
        <f t="shared" ca="1" si="221"/>
        <v>0</v>
      </c>
      <c r="C2838" s="26">
        <f t="shared" ca="1" si="225"/>
        <v>0.88810687267345023</v>
      </c>
      <c r="J2838">
        <f t="shared" ca="1" si="222"/>
        <v>0</v>
      </c>
      <c r="K2838">
        <f t="shared" ca="1" si="223"/>
        <v>0</v>
      </c>
      <c r="L2838" s="65">
        <v>2832</v>
      </c>
      <c r="M2838" s="71">
        <f t="shared" ca="1" si="224"/>
        <v>0</v>
      </c>
      <c r="N2838" s="65"/>
    </row>
    <row r="2839" spans="1:14" x14ac:dyDescent="0.25">
      <c r="A2839" s="2">
        <v>2833</v>
      </c>
      <c r="B2839" s="11">
        <f t="shared" ca="1" si="221"/>
        <v>1</v>
      </c>
      <c r="C2839" s="26">
        <f t="shared" ca="1" si="225"/>
        <v>0.50288498773277246</v>
      </c>
      <c r="J2839">
        <f t="shared" ca="1" si="222"/>
        <v>1</v>
      </c>
      <c r="K2839">
        <f t="shared" ca="1" si="223"/>
        <v>0</v>
      </c>
      <c r="L2839" s="65">
        <v>2833</v>
      </c>
      <c r="M2839" s="71">
        <f t="shared" ca="1" si="224"/>
        <v>8.5520267795329357</v>
      </c>
      <c r="N2839" s="65"/>
    </row>
    <row r="2840" spans="1:14" x14ac:dyDescent="0.25">
      <c r="A2840" s="2">
        <v>2834</v>
      </c>
      <c r="B2840" s="11">
        <f t="shared" ca="1" si="221"/>
        <v>1</v>
      </c>
      <c r="C2840" s="26">
        <f t="shared" ca="1" si="225"/>
        <v>0.27208975376121247</v>
      </c>
      <c r="J2840">
        <f t="shared" ca="1" si="222"/>
        <v>1</v>
      </c>
      <c r="K2840">
        <f t="shared" ca="1" si="223"/>
        <v>0</v>
      </c>
      <c r="L2840" s="65">
        <v>2834</v>
      </c>
      <c r="M2840" s="71">
        <f t="shared" ca="1" si="224"/>
        <v>1.4118293781063196</v>
      </c>
      <c r="N2840" s="65"/>
    </row>
    <row r="2841" spans="1:14" x14ac:dyDescent="0.25">
      <c r="A2841" s="2">
        <v>2835</v>
      </c>
      <c r="B2841" s="11">
        <f t="shared" ca="1" si="221"/>
        <v>1</v>
      </c>
      <c r="C2841" s="26">
        <f t="shared" ca="1" si="225"/>
        <v>7.1656987527905169E-2</v>
      </c>
      <c r="J2841">
        <f t="shared" ca="1" si="222"/>
        <v>1</v>
      </c>
      <c r="K2841">
        <f t="shared" ca="1" si="223"/>
        <v>0</v>
      </c>
      <c r="L2841" s="65">
        <v>2835</v>
      </c>
      <c r="M2841" s="71">
        <f t="shared" ca="1" si="224"/>
        <v>2.2051688398483953</v>
      </c>
      <c r="N2841" s="65"/>
    </row>
    <row r="2842" spans="1:14" x14ac:dyDescent="0.25">
      <c r="A2842" s="2">
        <v>2836</v>
      </c>
      <c r="B2842" s="11">
        <f t="shared" ca="1" si="221"/>
        <v>1</v>
      </c>
      <c r="C2842" s="26">
        <f t="shared" ca="1" si="225"/>
        <v>0.5969615734205197</v>
      </c>
      <c r="J2842">
        <f t="shared" ca="1" si="222"/>
        <v>1</v>
      </c>
      <c r="K2842">
        <f t="shared" ca="1" si="223"/>
        <v>0</v>
      </c>
      <c r="L2842" s="65">
        <v>2836</v>
      </c>
      <c r="M2842" s="71">
        <f t="shared" ca="1" si="224"/>
        <v>1.5348453022237603</v>
      </c>
      <c r="N2842" s="65"/>
    </row>
    <row r="2843" spans="1:14" x14ac:dyDescent="0.25">
      <c r="A2843" s="2">
        <v>2837</v>
      </c>
      <c r="B2843" s="11">
        <f t="shared" ca="1" si="221"/>
        <v>1</v>
      </c>
      <c r="C2843" s="26">
        <f t="shared" ca="1" si="225"/>
        <v>0.56388702041647176</v>
      </c>
      <c r="J2843">
        <f t="shared" ca="1" si="222"/>
        <v>1</v>
      </c>
      <c r="K2843">
        <f t="shared" ca="1" si="223"/>
        <v>0</v>
      </c>
      <c r="L2843" s="65">
        <v>2837</v>
      </c>
      <c r="M2843" s="71">
        <f t="shared" ca="1" si="224"/>
        <v>1.4858607111488613</v>
      </c>
      <c r="N2843" s="65"/>
    </row>
    <row r="2844" spans="1:14" x14ac:dyDescent="0.25">
      <c r="A2844" s="2">
        <v>2838</v>
      </c>
      <c r="B2844" s="11">
        <f t="shared" ca="1" si="221"/>
        <v>1</v>
      </c>
      <c r="C2844" s="26">
        <f t="shared" ca="1" si="225"/>
        <v>0.20110042900823888</v>
      </c>
      <c r="J2844">
        <f t="shared" ca="1" si="222"/>
        <v>1</v>
      </c>
      <c r="K2844">
        <f t="shared" ca="1" si="223"/>
        <v>0</v>
      </c>
      <c r="L2844" s="65">
        <v>2838</v>
      </c>
      <c r="M2844" s="71">
        <f t="shared" ca="1" si="224"/>
        <v>7.5437532384858281</v>
      </c>
      <c r="N2844" s="65"/>
    </row>
    <row r="2845" spans="1:14" x14ac:dyDescent="0.25">
      <c r="A2845" s="2">
        <v>2839</v>
      </c>
      <c r="B2845" s="11">
        <f t="shared" ca="1" si="221"/>
        <v>1</v>
      </c>
      <c r="C2845" s="26">
        <f t="shared" ca="1" si="225"/>
        <v>0.17401890750002247</v>
      </c>
      <c r="J2845">
        <f t="shared" ca="1" si="222"/>
        <v>1</v>
      </c>
      <c r="K2845">
        <f t="shared" ca="1" si="223"/>
        <v>0</v>
      </c>
      <c r="L2845" s="65">
        <v>2839</v>
      </c>
      <c r="M2845" s="71">
        <f t="shared" ca="1" si="224"/>
        <v>4.0825176687349662</v>
      </c>
      <c r="N2845" s="65"/>
    </row>
    <row r="2846" spans="1:14" x14ac:dyDescent="0.25">
      <c r="A2846" s="2">
        <v>2840</v>
      </c>
      <c r="B2846" s="11">
        <f t="shared" ca="1" si="221"/>
        <v>1</v>
      </c>
      <c r="C2846" s="26">
        <f t="shared" ca="1" si="225"/>
        <v>0.27156508456088047</v>
      </c>
      <c r="J2846">
        <f t="shared" ca="1" si="222"/>
        <v>1</v>
      </c>
      <c r="K2846">
        <f t="shared" ca="1" si="223"/>
        <v>0</v>
      </c>
      <c r="L2846" s="65">
        <v>2840</v>
      </c>
      <c r="M2846" s="71">
        <f t="shared" ca="1" si="224"/>
        <v>1.0460679088089908</v>
      </c>
      <c r="N2846" s="65"/>
    </row>
    <row r="2847" spans="1:14" x14ac:dyDescent="0.25">
      <c r="A2847" s="2">
        <v>2841</v>
      </c>
      <c r="B2847" s="11">
        <f t="shared" ca="1" si="221"/>
        <v>1</v>
      </c>
      <c r="C2847" s="26">
        <f t="shared" ca="1" si="225"/>
        <v>0.32549170132326699</v>
      </c>
      <c r="J2847">
        <f t="shared" ca="1" si="222"/>
        <v>1</v>
      </c>
      <c r="K2847">
        <f t="shared" ca="1" si="223"/>
        <v>0</v>
      </c>
      <c r="L2847" s="65">
        <v>2841</v>
      </c>
      <c r="M2847" s="71">
        <f t="shared" ca="1" si="224"/>
        <v>1.725184736854398</v>
      </c>
      <c r="N2847" s="65"/>
    </row>
    <row r="2848" spans="1:14" x14ac:dyDescent="0.25">
      <c r="A2848" s="2">
        <v>2842</v>
      </c>
      <c r="B2848" s="11">
        <f t="shared" ca="1" si="221"/>
        <v>1</v>
      </c>
      <c r="C2848" s="26">
        <f t="shared" ca="1" si="225"/>
        <v>0.23156581835655698</v>
      </c>
      <c r="J2848">
        <f t="shared" ca="1" si="222"/>
        <v>1</v>
      </c>
      <c r="K2848">
        <f t="shared" ca="1" si="223"/>
        <v>0</v>
      </c>
      <c r="L2848" s="65">
        <v>2842</v>
      </c>
      <c r="M2848" s="71">
        <f t="shared" ca="1" si="224"/>
        <v>4.8483136354759662</v>
      </c>
      <c r="N2848" s="65"/>
    </row>
    <row r="2849" spans="1:14" x14ac:dyDescent="0.25">
      <c r="A2849" s="2">
        <v>2843</v>
      </c>
      <c r="B2849" s="11">
        <f t="shared" ca="1" si="221"/>
        <v>1</v>
      </c>
      <c r="C2849" s="26">
        <f t="shared" ca="1" si="225"/>
        <v>0.6893810901544194</v>
      </c>
      <c r="J2849">
        <f t="shared" ca="1" si="222"/>
        <v>0</v>
      </c>
      <c r="K2849">
        <f t="shared" ca="1" si="223"/>
        <v>0</v>
      </c>
      <c r="L2849" s="65">
        <v>2843</v>
      </c>
      <c r="M2849" s="71">
        <f t="shared" ca="1" si="224"/>
        <v>4.6662649167294985</v>
      </c>
      <c r="N2849" s="65"/>
    </row>
    <row r="2850" spans="1:14" x14ac:dyDescent="0.25">
      <c r="A2850" s="2">
        <v>2844</v>
      </c>
      <c r="B2850" s="11">
        <f t="shared" ca="1" si="221"/>
        <v>0</v>
      </c>
      <c r="C2850" s="26">
        <f t="shared" ca="1" si="225"/>
        <v>0.9893445101509406</v>
      </c>
      <c r="J2850">
        <f t="shared" ca="1" si="222"/>
        <v>0</v>
      </c>
      <c r="K2850">
        <f t="shared" ca="1" si="223"/>
        <v>0</v>
      </c>
      <c r="L2850" s="65">
        <v>2844</v>
      </c>
      <c r="M2850" s="71">
        <f t="shared" ca="1" si="224"/>
        <v>0</v>
      </c>
      <c r="N2850" s="65"/>
    </row>
    <row r="2851" spans="1:14" x14ac:dyDescent="0.25">
      <c r="A2851" s="2">
        <v>2845</v>
      </c>
      <c r="B2851" s="11">
        <f t="shared" ca="1" si="221"/>
        <v>1</v>
      </c>
      <c r="C2851" s="26">
        <f t="shared" ca="1" si="225"/>
        <v>0.47674634753672096</v>
      </c>
      <c r="J2851">
        <f t="shared" ca="1" si="222"/>
        <v>1</v>
      </c>
      <c r="K2851">
        <f t="shared" ca="1" si="223"/>
        <v>0</v>
      </c>
      <c r="L2851" s="65">
        <v>2845</v>
      </c>
      <c r="M2851" s="71">
        <f t="shared" ca="1" si="224"/>
        <v>1.2650326113637487</v>
      </c>
      <c r="N2851" s="65"/>
    </row>
    <row r="2852" spans="1:14" x14ac:dyDescent="0.25">
      <c r="A2852" s="2">
        <v>2846</v>
      </c>
      <c r="B2852" s="11">
        <f t="shared" ca="1" si="221"/>
        <v>1</v>
      </c>
      <c r="C2852" s="26">
        <f t="shared" ca="1" si="225"/>
        <v>0.49531038614000744</v>
      </c>
      <c r="J2852">
        <f t="shared" ca="1" si="222"/>
        <v>1</v>
      </c>
      <c r="K2852">
        <f t="shared" ca="1" si="223"/>
        <v>0</v>
      </c>
      <c r="L2852" s="65">
        <v>2846</v>
      </c>
      <c r="M2852" s="71">
        <f t="shared" ca="1" si="224"/>
        <v>3.6854639342428857</v>
      </c>
      <c r="N2852" s="65"/>
    </row>
    <row r="2853" spans="1:14" x14ac:dyDescent="0.25">
      <c r="A2853" s="2">
        <v>2847</v>
      </c>
      <c r="B2853" s="11">
        <f t="shared" ca="1" si="221"/>
        <v>1</v>
      </c>
      <c r="C2853" s="26">
        <f t="shared" ca="1" si="225"/>
        <v>0.37213781531898105</v>
      </c>
      <c r="J2853">
        <f t="shared" ca="1" si="222"/>
        <v>1</v>
      </c>
      <c r="K2853">
        <f t="shared" ca="1" si="223"/>
        <v>0</v>
      </c>
      <c r="L2853" s="65">
        <v>2847</v>
      </c>
      <c r="M2853" s="71">
        <f t="shared" ca="1" si="224"/>
        <v>1.7203068362113902</v>
      </c>
      <c r="N2853" s="65"/>
    </row>
    <row r="2854" spans="1:14" x14ac:dyDescent="0.25">
      <c r="A2854" s="2">
        <v>2848</v>
      </c>
      <c r="B2854" s="11">
        <f t="shared" ca="1" si="221"/>
        <v>1</v>
      </c>
      <c r="C2854" s="26">
        <f t="shared" ca="1" si="225"/>
        <v>0.51489576298946327</v>
      </c>
      <c r="J2854">
        <f t="shared" ca="1" si="222"/>
        <v>1</v>
      </c>
      <c r="K2854">
        <f t="shared" ca="1" si="223"/>
        <v>0</v>
      </c>
      <c r="L2854" s="65">
        <v>2848</v>
      </c>
      <c r="M2854" s="71">
        <f t="shared" ca="1" si="224"/>
        <v>4.0218046848701174</v>
      </c>
      <c r="N2854" s="65"/>
    </row>
    <row r="2855" spans="1:14" x14ac:dyDescent="0.25">
      <c r="A2855" s="2">
        <v>2849</v>
      </c>
      <c r="B2855" s="11">
        <f t="shared" ca="1" si="221"/>
        <v>1</v>
      </c>
      <c r="C2855" s="26">
        <f t="shared" ca="1" si="225"/>
        <v>0.37056276040905189</v>
      </c>
      <c r="J2855">
        <f t="shared" ca="1" si="222"/>
        <v>1</v>
      </c>
      <c r="K2855">
        <f t="shared" ca="1" si="223"/>
        <v>0</v>
      </c>
      <c r="L2855" s="65">
        <v>2849</v>
      </c>
      <c r="M2855" s="71">
        <f t="shared" ca="1" si="224"/>
        <v>4.7383797648049804</v>
      </c>
      <c r="N2855" s="65"/>
    </row>
    <row r="2856" spans="1:14" x14ac:dyDescent="0.25">
      <c r="A2856" s="2">
        <v>2850</v>
      </c>
      <c r="B2856" s="11">
        <f t="shared" ca="1" si="221"/>
        <v>1</v>
      </c>
      <c r="C2856" s="26">
        <f t="shared" ca="1" si="225"/>
        <v>0.7846399672783716</v>
      </c>
      <c r="J2856">
        <f t="shared" ca="1" si="222"/>
        <v>1</v>
      </c>
      <c r="K2856">
        <f t="shared" ca="1" si="223"/>
        <v>0</v>
      </c>
      <c r="L2856" s="65">
        <v>2850</v>
      </c>
      <c r="M2856" s="71">
        <f t="shared" ca="1" si="224"/>
        <v>3.4358199309798483</v>
      </c>
      <c r="N2856" s="65"/>
    </row>
    <row r="2857" spans="1:14" x14ac:dyDescent="0.25">
      <c r="A2857" s="2">
        <v>2851</v>
      </c>
      <c r="B2857" s="11">
        <f t="shared" ca="1" si="221"/>
        <v>1</v>
      </c>
      <c r="C2857" s="26">
        <f t="shared" ca="1" si="225"/>
        <v>0.6556715302437448</v>
      </c>
      <c r="J2857">
        <f t="shared" ca="1" si="222"/>
        <v>1</v>
      </c>
      <c r="K2857">
        <f t="shared" ca="1" si="223"/>
        <v>0</v>
      </c>
      <c r="L2857" s="65">
        <v>2851</v>
      </c>
      <c r="M2857" s="71">
        <f t="shared" ca="1" si="224"/>
        <v>0.42632279569130771</v>
      </c>
      <c r="N2857" s="65"/>
    </row>
    <row r="2858" spans="1:14" x14ac:dyDescent="0.25">
      <c r="A2858" s="2">
        <v>2852</v>
      </c>
      <c r="B2858" s="11">
        <f t="shared" ca="1" si="221"/>
        <v>1</v>
      </c>
      <c r="C2858" s="26">
        <f t="shared" ca="1" si="225"/>
        <v>8.4055749078155828E-2</v>
      </c>
      <c r="J2858">
        <f t="shared" ca="1" si="222"/>
        <v>0</v>
      </c>
      <c r="K2858">
        <f t="shared" ca="1" si="223"/>
        <v>0</v>
      </c>
      <c r="L2858" s="65">
        <v>2852</v>
      </c>
      <c r="M2858" s="71">
        <f t="shared" ca="1" si="224"/>
        <v>1.8615790353818391</v>
      </c>
      <c r="N2858" s="65"/>
    </row>
    <row r="2859" spans="1:14" x14ac:dyDescent="0.25">
      <c r="A2859" s="2">
        <v>2853</v>
      </c>
      <c r="B2859" s="11">
        <f t="shared" ca="1" si="221"/>
        <v>0</v>
      </c>
      <c r="C2859" s="26">
        <f t="shared" ca="1" si="225"/>
        <v>0.93902937374085527</v>
      </c>
      <c r="J2859">
        <f t="shared" ca="1" si="222"/>
        <v>0</v>
      </c>
      <c r="K2859">
        <f t="shared" ca="1" si="223"/>
        <v>0</v>
      </c>
      <c r="L2859" s="65">
        <v>2853</v>
      </c>
      <c r="M2859" s="71">
        <f t="shared" ca="1" si="224"/>
        <v>0</v>
      </c>
      <c r="N2859" s="65"/>
    </row>
    <row r="2860" spans="1:14" x14ac:dyDescent="0.25">
      <c r="A2860" s="2">
        <v>2854</v>
      </c>
      <c r="B2860" s="11">
        <f t="shared" ca="1" si="221"/>
        <v>1</v>
      </c>
      <c r="C2860" s="26">
        <f t="shared" ca="1" si="225"/>
        <v>0.18681791642051493</v>
      </c>
      <c r="J2860">
        <f t="shared" ca="1" si="222"/>
        <v>0</v>
      </c>
      <c r="K2860">
        <f t="shared" ca="1" si="223"/>
        <v>0</v>
      </c>
      <c r="L2860" s="65">
        <v>2854</v>
      </c>
      <c r="M2860" s="71">
        <f t="shared" ca="1" si="224"/>
        <v>11.770780628018853</v>
      </c>
      <c r="N2860" s="65"/>
    </row>
    <row r="2861" spans="1:14" x14ac:dyDescent="0.25">
      <c r="A2861" s="2">
        <v>2855</v>
      </c>
      <c r="B2861" s="11">
        <f t="shared" ca="1" si="221"/>
        <v>0</v>
      </c>
      <c r="C2861" s="26">
        <f t="shared" ca="1" si="225"/>
        <v>0.81444158066726058</v>
      </c>
      <c r="J2861">
        <f t="shared" ca="1" si="222"/>
        <v>0</v>
      </c>
      <c r="K2861">
        <f t="shared" ca="1" si="223"/>
        <v>0</v>
      </c>
      <c r="L2861" s="65">
        <v>2855</v>
      </c>
      <c r="M2861" s="71">
        <f t="shared" ca="1" si="224"/>
        <v>0</v>
      </c>
      <c r="N2861" s="65"/>
    </row>
    <row r="2862" spans="1:14" x14ac:dyDescent="0.25">
      <c r="A2862" s="2">
        <v>2856</v>
      </c>
      <c r="B2862" s="11">
        <f t="shared" ca="1" si="221"/>
        <v>1</v>
      </c>
      <c r="C2862" s="26">
        <f t="shared" ca="1" si="225"/>
        <v>0.71167814901532711</v>
      </c>
      <c r="J2862">
        <f t="shared" ca="1" si="222"/>
        <v>1</v>
      </c>
      <c r="K2862">
        <f t="shared" ca="1" si="223"/>
        <v>0</v>
      </c>
      <c r="L2862" s="65">
        <v>2856</v>
      </c>
      <c r="M2862" s="71">
        <f t="shared" ca="1" si="224"/>
        <v>14.218879100102027</v>
      </c>
      <c r="N2862" s="65"/>
    </row>
    <row r="2863" spans="1:14" x14ac:dyDescent="0.25">
      <c r="A2863" s="2">
        <v>2857</v>
      </c>
      <c r="B2863" s="11">
        <f t="shared" ref="B2863:B2926" ca="1" si="226">IF(B2862&gt;0,IF(C2863&lt;pww,1,0),IF(C2863&lt;pdw,1,0))</f>
        <v>1</v>
      </c>
      <c r="C2863" s="26">
        <f t="shared" ca="1" si="225"/>
        <v>5.0636819871981986E-3</v>
      </c>
      <c r="J2863">
        <f t="shared" ref="J2863:J2926" ca="1" si="227">IF(AND(B2863,B2864),1,0)</f>
        <v>1</v>
      </c>
      <c r="K2863">
        <f t="shared" ref="K2863:K2926" ca="1" si="228">IF(AND(NOT(B2863),NOT(B2864)),1,0)</f>
        <v>0</v>
      </c>
      <c r="L2863" s="65">
        <v>2857</v>
      </c>
      <c r="M2863" s="71">
        <f t="shared" ca="1" si="224"/>
        <v>0.26599466171595909</v>
      </c>
      <c r="N2863" s="65"/>
    </row>
    <row r="2864" spans="1:14" x14ac:dyDescent="0.25">
      <c r="A2864" s="2">
        <v>2858</v>
      </c>
      <c r="B2864" s="11">
        <f t="shared" ca="1" si="226"/>
        <v>1</v>
      </c>
      <c r="C2864" s="26">
        <f t="shared" ca="1" si="225"/>
        <v>0.44498032392401565</v>
      </c>
      <c r="J2864">
        <f t="shared" ca="1" si="227"/>
        <v>1</v>
      </c>
      <c r="K2864">
        <f t="shared" ca="1" si="228"/>
        <v>0</v>
      </c>
      <c r="L2864" s="65">
        <v>2858</v>
      </c>
      <c r="M2864" s="71">
        <f t="shared" ca="1" si="224"/>
        <v>3.3038005757672448</v>
      </c>
      <c r="N2864" s="65"/>
    </row>
    <row r="2865" spans="1:14" x14ac:dyDescent="0.25">
      <c r="A2865" s="2">
        <v>2859</v>
      </c>
      <c r="B2865" s="11">
        <f t="shared" ca="1" si="226"/>
        <v>1</v>
      </c>
      <c r="C2865" s="26">
        <f t="shared" ca="1" si="225"/>
        <v>9.2356073312572895E-2</v>
      </c>
      <c r="J2865">
        <f t="shared" ca="1" si="227"/>
        <v>1</v>
      </c>
      <c r="K2865">
        <f t="shared" ca="1" si="228"/>
        <v>0</v>
      </c>
      <c r="L2865" s="65">
        <v>2859</v>
      </c>
      <c r="M2865" s="71">
        <f t="shared" ca="1" si="224"/>
        <v>0.95780312188019912</v>
      </c>
      <c r="N2865" s="65"/>
    </row>
    <row r="2866" spans="1:14" x14ac:dyDescent="0.25">
      <c r="A2866" s="2">
        <v>2860</v>
      </c>
      <c r="B2866" s="11">
        <f t="shared" ca="1" si="226"/>
        <v>1</v>
      </c>
      <c r="C2866" s="26">
        <f t="shared" ca="1" si="225"/>
        <v>9.0708198961305331E-2</v>
      </c>
      <c r="J2866">
        <f t="shared" ca="1" si="227"/>
        <v>0</v>
      </c>
      <c r="K2866">
        <f t="shared" ca="1" si="228"/>
        <v>0</v>
      </c>
      <c r="L2866" s="65">
        <v>2860</v>
      </c>
      <c r="M2866" s="71">
        <f t="shared" ca="1" si="224"/>
        <v>6.8554543838163227</v>
      </c>
      <c r="N2866" s="65"/>
    </row>
    <row r="2867" spans="1:14" x14ac:dyDescent="0.25">
      <c r="A2867" s="2">
        <v>2861</v>
      </c>
      <c r="B2867" s="11">
        <f t="shared" ca="1" si="226"/>
        <v>0</v>
      </c>
      <c r="C2867" s="26">
        <f t="shared" ca="1" si="225"/>
        <v>0.8796092860344934</v>
      </c>
      <c r="J2867">
        <f t="shared" ca="1" si="227"/>
        <v>0</v>
      </c>
      <c r="K2867">
        <f t="shared" ca="1" si="228"/>
        <v>0</v>
      </c>
      <c r="L2867" s="65">
        <v>2861</v>
      </c>
      <c r="M2867" s="71">
        <f t="shared" ca="1" si="224"/>
        <v>0</v>
      </c>
      <c r="N2867" s="65"/>
    </row>
    <row r="2868" spans="1:14" x14ac:dyDescent="0.25">
      <c r="A2868" s="2">
        <v>2862</v>
      </c>
      <c r="B2868" s="11">
        <f t="shared" ca="1" si="226"/>
        <v>1</v>
      </c>
      <c r="C2868" s="26">
        <f t="shared" ca="1" si="225"/>
        <v>6.4445753127507888E-2</v>
      </c>
      <c r="J2868">
        <f t="shared" ca="1" si="227"/>
        <v>1</v>
      </c>
      <c r="K2868">
        <f t="shared" ca="1" si="228"/>
        <v>0</v>
      </c>
      <c r="L2868" s="65">
        <v>2862</v>
      </c>
      <c r="M2868" s="71">
        <f t="shared" ca="1" si="224"/>
        <v>5.5712200593978549</v>
      </c>
      <c r="N2868" s="65"/>
    </row>
    <row r="2869" spans="1:14" x14ac:dyDescent="0.25">
      <c r="A2869" s="2">
        <v>2863</v>
      </c>
      <c r="B2869" s="11">
        <f t="shared" ca="1" si="226"/>
        <v>1</v>
      </c>
      <c r="C2869" s="26">
        <f t="shared" ca="1" si="225"/>
        <v>0.54042081004579745</v>
      </c>
      <c r="J2869">
        <f t="shared" ca="1" si="227"/>
        <v>1</v>
      </c>
      <c r="K2869">
        <f t="shared" ca="1" si="228"/>
        <v>0</v>
      </c>
      <c r="L2869" s="65">
        <v>2863</v>
      </c>
      <c r="M2869" s="71">
        <f t="shared" ca="1" si="224"/>
        <v>5.2340293445361734</v>
      </c>
      <c r="N2869" s="65"/>
    </row>
    <row r="2870" spans="1:14" x14ac:dyDescent="0.25">
      <c r="A2870" s="2">
        <v>2864</v>
      </c>
      <c r="B2870" s="11">
        <f t="shared" ca="1" si="226"/>
        <v>1</v>
      </c>
      <c r="C2870" s="26">
        <f t="shared" ca="1" si="225"/>
        <v>0.16649965855695759</v>
      </c>
      <c r="J2870">
        <f t="shared" ca="1" si="227"/>
        <v>1</v>
      </c>
      <c r="K2870">
        <f t="shared" ca="1" si="228"/>
        <v>0</v>
      </c>
      <c r="L2870" s="65">
        <v>2864</v>
      </c>
      <c r="M2870" s="71">
        <f t="shared" ca="1" si="224"/>
        <v>9.0521803309034201</v>
      </c>
      <c r="N2870" s="65"/>
    </row>
    <row r="2871" spans="1:14" x14ac:dyDescent="0.25">
      <c r="A2871" s="2">
        <v>2865</v>
      </c>
      <c r="B2871" s="11">
        <f t="shared" ca="1" si="226"/>
        <v>1</v>
      </c>
      <c r="C2871" s="26">
        <f t="shared" ca="1" si="225"/>
        <v>0.2732442167408865</v>
      </c>
      <c r="J2871">
        <f t="shared" ca="1" si="227"/>
        <v>1</v>
      </c>
      <c r="K2871">
        <f t="shared" ca="1" si="228"/>
        <v>0</v>
      </c>
      <c r="L2871" s="65">
        <v>2865</v>
      </c>
      <c r="M2871" s="71">
        <f t="shared" ca="1" si="224"/>
        <v>10.320573671780476</v>
      </c>
      <c r="N2871" s="65"/>
    </row>
    <row r="2872" spans="1:14" x14ac:dyDescent="0.25">
      <c r="A2872" s="2">
        <v>2866</v>
      </c>
      <c r="B2872" s="11">
        <f t="shared" ca="1" si="226"/>
        <v>1</v>
      </c>
      <c r="C2872" s="26">
        <f t="shared" ca="1" si="225"/>
        <v>0.31386760405007497</v>
      </c>
      <c r="J2872">
        <f t="shared" ca="1" si="227"/>
        <v>1</v>
      </c>
      <c r="K2872">
        <f t="shared" ca="1" si="228"/>
        <v>0</v>
      </c>
      <c r="L2872" s="65">
        <v>2866</v>
      </c>
      <c r="M2872" s="71">
        <f t="shared" ca="1" si="224"/>
        <v>2.4980767820527476</v>
      </c>
      <c r="N2872" s="65"/>
    </row>
    <row r="2873" spans="1:14" x14ac:dyDescent="0.25">
      <c r="A2873" s="2">
        <v>2867</v>
      </c>
      <c r="B2873" s="11">
        <f t="shared" ca="1" si="226"/>
        <v>1</v>
      </c>
      <c r="C2873" s="26">
        <f t="shared" ca="1" si="225"/>
        <v>0.50858084205141785</v>
      </c>
      <c r="J2873">
        <f t="shared" ca="1" si="227"/>
        <v>1</v>
      </c>
      <c r="K2873">
        <f t="shared" ca="1" si="228"/>
        <v>0</v>
      </c>
      <c r="L2873" s="65">
        <v>2867</v>
      </c>
      <c r="M2873" s="71">
        <f t="shared" ca="1" si="224"/>
        <v>8.9864137285655623</v>
      </c>
      <c r="N2873" s="65"/>
    </row>
    <row r="2874" spans="1:14" x14ac:dyDescent="0.25">
      <c r="A2874" s="2">
        <v>2868</v>
      </c>
      <c r="B2874" s="11">
        <f t="shared" ca="1" si="226"/>
        <v>1</v>
      </c>
      <c r="C2874" s="26">
        <f t="shared" ca="1" si="225"/>
        <v>0.67602057908159263</v>
      </c>
      <c r="J2874">
        <f t="shared" ca="1" si="227"/>
        <v>0</v>
      </c>
      <c r="K2874">
        <f t="shared" ca="1" si="228"/>
        <v>0</v>
      </c>
      <c r="L2874" s="65">
        <v>2868</v>
      </c>
      <c r="M2874" s="71">
        <f t="shared" ca="1" si="224"/>
        <v>7.3510867083603824</v>
      </c>
      <c r="N2874" s="65"/>
    </row>
    <row r="2875" spans="1:14" x14ac:dyDescent="0.25">
      <c r="A2875" s="2">
        <v>2869</v>
      </c>
      <c r="B2875" s="11">
        <f t="shared" ca="1" si="226"/>
        <v>0</v>
      </c>
      <c r="C2875" s="26">
        <f t="shared" ca="1" si="225"/>
        <v>0.97521570027148674</v>
      </c>
      <c r="J2875">
        <f t="shared" ca="1" si="227"/>
        <v>0</v>
      </c>
      <c r="K2875">
        <f t="shared" ca="1" si="228"/>
        <v>1</v>
      </c>
      <c r="L2875" s="65">
        <v>2869</v>
      </c>
      <c r="M2875" s="71">
        <f t="shared" ca="1" si="224"/>
        <v>0</v>
      </c>
      <c r="N2875" s="65"/>
    </row>
    <row r="2876" spans="1:14" x14ac:dyDescent="0.25">
      <c r="A2876" s="2">
        <v>2870</v>
      </c>
      <c r="B2876" s="11">
        <f t="shared" ca="1" si="226"/>
        <v>0</v>
      </c>
      <c r="C2876" s="26">
        <f t="shared" ca="1" si="225"/>
        <v>0.95532479567054518</v>
      </c>
      <c r="J2876">
        <f t="shared" ca="1" si="227"/>
        <v>0</v>
      </c>
      <c r="K2876">
        <f t="shared" ca="1" si="228"/>
        <v>1</v>
      </c>
      <c r="L2876" s="65">
        <v>2870</v>
      </c>
      <c r="M2876" s="71">
        <f t="shared" ca="1" si="224"/>
        <v>0</v>
      </c>
      <c r="N2876" s="65"/>
    </row>
    <row r="2877" spans="1:14" x14ac:dyDescent="0.25">
      <c r="A2877" s="2">
        <v>2871</v>
      </c>
      <c r="B2877" s="11">
        <f t="shared" ca="1" si="226"/>
        <v>0</v>
      </c>
      <c r="C2877" s="26">
        <f t="shared" ca="1" si="225"/>
        <v>0.96238716922549905</v>
      </c>
      <c r="J2877">
        <f t="shared" ca="1" si="227"/>
        <v>0</v>
      </c>
      <c r="K2877">
        <f t="shared" ca="1" si="228"/>
        <v>0</v>
      </c>
      <c r="L2877" s="65">
        <v>2871</v>
      </c>
      <c r="M2877" s="71">
        <f t="shared" ca="1" si="224"/>
        <v>0</v>
      </c>
      <c r="N2877" s="65"/>
    </row>
    <row r="2878" spans="1:14" x14ac:dyDescent="0.25">
      <c r="A2878" s="2">
        <v>2872</v>
      </c>
      <c r="B2878" s="11">
        <f t="shared" ca="1" si="226"/>
        <v>1</v>
      </c>
      <c r="C2878" s="26">
        <f t="shared" ca="1" si="225"/>
        <v>0.33236975854069306</v>
      </c>
      <c r="J2878">
        <f t="shared" ca="1" si="227"/>
        <v>1</v>
      </c>
      <c r="K2878">
        <f t="shared" ca="1" si="228"/>
        <v>0</v>
      </c>
      <c r="L2878" s="65">
        <v>2872</v>
      </c>
      <c r="M2878" s="71">
        <f t="shared" ca="1" si="224"/>
        <v>2.3579448197029746</v>
      </c>
      <c r="N2878" s="65"/>
    </row>
    <row r="2879" spans="1:14" x14ac:dyDescent="0.25">
      <c r="A2879" s="2">
        <v>2873</v>
      </c>
      <c r="B2879" s="11">
        <f t="shared" ca="1" si="226"/>
        <v>1</v>
      </c>
      <c r="C2879" s="26">
        <f t="shared" ca="1" si="225"/>
        <v>6.3259772137228998E-2</v>
      </c>
      <c r="J2879">
        <f t="shared" ca="1" si="227"/>
        <v>0</v>
      </c>
      <c r="K2879">
        <f t="shared" ca="1" si="228"/>
        <v>0</v>
      </c>
      <c r="L2879" s="65">
        <v>2873</v>
      </c>
      <c r="M2879" s="71">
        <f t="shared" ca="1" si="224"/>
        <v>0.17148323875878049</v>
      </c>
      <c r="N2879" s="65"/>
    </row>
    <row r="2880" spans="1:14" x14ac:dyDescent="0.25">
      <c r="A2880" s="2">
        <v>2874</v>
      </c>
      <c r="B2880" s="11">
        <f t="shared" ca="1" si="226"/>
        <v>0</v>
      </c>
      <c r="C2880" s="26">
        <f t="shared" ca="1" si="225"/>
        <v>0.92973405645360885</v>
      </c>
      <c r="J2880">
        <f t="shared" ca="1" si="227"/>
        <v>0</v>
      </c>
      <c r="K2880">
        <f t="shared" ca="1" si="228"/>
        <v>0</v>
      </c>
      <c r="L2880" s="65">
        <v>2874</v>
      </c>
      <c r="M2880" s="71">
        <f t="shared" ca="1" si="224"/>
        <v>0</v>
      </c>
      <c r="N2880" s="65"/>
    </row>
    <row r="2881" spans="1:14" x14ac:dyDescent="0.25">
      <c r="A2881" s="2">
        <v>2875</v>
      </c>
      <c r="B2881" s="11">
        <f t="shared" ca="1" si="226"/>
        <v>1</v>
      </c>
      <c r="C2881" s="26">
        <f t="shared" ca="1" si="225"/>
        <v>0.12926760842707985</v>
      </c>
      <c r="J2881">
        <f t="shared" ca="1" si="227"/>
        <v>1</v>
      </c>
      <c r="K2881">
        <f t="shared" ca="1" si="228"/>
        <v>0</v>
      </c>
      <c r="L2881" s="65">
        <v>2875</v>
      </c>
      <c r="M2881" s="71">
        <f t="shared" ca="1" si="224"/>
        <v>3.1150929206429754</v>
      </c>
      <c r="N2881" s="65"/>
    </row>
    <row r="2882" spans="1:14" x14ac:dyDescent="0.25">
      <c r="A2882" s="2">
        <v>2876</v>
      </c>
      <c r="B2882" s="11">
        <f t="shared" ca="1" si="226"/>
        <v>1</v>
      </c>
      <c r="C2882" s="26">
        <f t="shared" ca="1" si="225"/>
        <v>3.2747017947473256E-2</v>
      </c>
      <c r="J2882">
        <f t="shared" ca="1" si="227"/>
        <v>1</v>
      </c>
      <c r="K2882">
        <f t="shared" ca="1" si="228"/>
        <v>0</v>
      </c>
      <c r="L2882" s="65">
        <v>2876</v>
      </c>
      <c r="M2882" s="71">
        <f t="shared" ca="1" si="224"/>
        <v>3.2377401486439794</v>
      </c>
      <c r="N2882" s="65"/>
    </row>
    <row r="2883" spans="1:14" x14ac:dyDescent="0.25">
      <c r="A2883" s="2">
        <v>2877</v>
      </c>
      <c r="B2883" s="11">
        <f t="shared" ca="1" si="226"/>
        <v>1</v>
      </c>
      <c r="C2883" s="26">
        <f t="shared" ca="1" si="225"/>
        <v>0.51306178603877184</v>
      </c>
      <c r="J2883">
        <f t="shared" ca="1" si="227"/>
        <v>1</v>
      </c>
      <c r="K2883">
        <f t="shared" ca="1" si="228"/>
        <v>0</v>
      </c>
      <c r="L2883" s="65">
        <v>2877</v>
      </c>
      <c r="M2883" s="71">
        <f t="shared" ca="1" si="224"/>
        <v>8.1930949444371084</v>
      </c>
      <c r="N2883" s="65"/>
    </row>
    <row r="2884" spans="1:14" x14ac:dyDescent="0.25">
      <c r="A2884" s="2">
        <v>2878</v>
      </c>
      <c r="B2884" s="11">
        <f t="shared" ca="1" si="226"/>
        <v>1</v>
      </c>
      <c r="C2884" s="26">
        <f t="shared" ca="1" si="225"/>
        <v>0.78247286866616472</v>
      </c>
      <c r="J2884">
        <f t="shared" ca="1" si="227"/>
        <v>1</v>
      </c>
      <c r="K2884">
        <f t="shared" ca="1" si="228"/>
        <v>0</v>
      </c>
      <c r="L2884" s="65">
        <v>2878</v>
      </c>
      <c r="M2884" s="71">
        <f t="shared" ca="1" si="224"/>
        <v>2.907623980387736</v>
      </c>
      <c r="N2884" s="65"/>
    </row>
    <row r="2885" spans="1:14" x14ac:dyDescent="0.25">
      <c r="A2885" s="2">
        <v>2879</v>
      </c>
      <c r="B2885" s="11">
        <f t="shared" ca="1" si="226"/>
        <v>1</v>
      </c>
      <c r="C2885" s="26">
        <f t="shared" ca="1" si="225"/>
        <v>0.16653663105796801</v>
      </c>
      <c r="J2885">
        <f t="shared" ca="1" si="227"/>
        <v>1</v>
      </c>
      <c r="K2885">
        <f t="shared" ca="1" si="228"/>
        <v>0</v>
      </c>
      <c r="L2885" s="65">
        <v>2879</v>
      </c>
      <c r="M2885" s="71">
        <f t="shared" ca="1" si="224"/>
        <v>2.6435219318208114</v>
      </c>
      <c r="N2885" s="65"/>
    </row>
    <row r="2886" spans="1:14" x14ac:dyDescent="0.25">
      <c r="A2886" s="2">
        <v>2880</v>
      </c>
      <c r="B2886" s="11">
        <f t="shared" ca="1" si="226"/>
        <v>1</v>
      </c>
      <c r="C2886" s="26">
        <f t="shared" ca="1" si="225"/>
        <v>7.1293601190292044E-3</v>
      </c>
      <c r="J2886">
        <f t="shared" ca="1" si="227"/>
        <v>0</v>
      </c>
      <c r="K2886">
        <f t="shared" ca="1" si="228"/>
        <v>0</v>
      </c>
      <c r="L2886" s="65">
        <v>2880</v>
      </c>
      <c r="M2886" s="71">
        <f t="shared" ca="1" si="224"/>
        <v>2.6074858643273391</v>
      </c>
      <c r="N2886" s="65"/>
    </row>
    <row r="2887" spans="1:14" x14ac:dyDescent="0.25">
      <c r="A2887" s="2">
        <v>2881</v>
      </c>
      <c r="B2887" s="11">
        <f t="shared" ca="1" si="226"/>
        <v>0</v>
      </c>
      <c r="C2887" s="26">
        <f t="shared" ca="1" si="225"/>
        <v>0.92919366900705291</v>
      </c>
      <c r="J2887">
        <f t="shared" ca="1" si="227"/>
        <v>0</v>
      </c>
      <c r="K2887">
        <f t="shared" ca="1" si="228"/>
        <v>0</v>
      </c>
      <c r="L2887" s="65">
        <v>2881</v>
      </c>
      <c r="M2887" s="71">
        <f t="shared" ref="M2887:M2950" ca="1" si="229">IF(B2887&gt;0,-LN(1-(RAND()))/lambda,0)</f>
        <v>0</v>
      </c>
      <c r="N2887" s="65"/>
    </row>
    <row r="2888" spans="1:14" x14ac:dyDescent="0.25">
      <c r="A2888" s="2">
        <v>2882</v>
      </c>
      <c r="B2888" s="11">
        <f t="shared" ca="1" si="226"/>
        <v>1</v>
      </c>
      <c r="C2888" s="26">
        <f t="shared" ref="C2888:C2951" ca="1" si="230">RAND()</f>
        <v>7.7810775782607089E-2</v>
      </c>
      <c r="J2888">
        <f t="shared" ca="1" si="227"/>
        <v>1</v>
      </c>
      <c r="K2888">
        <f t="shared" ca="1" si="228"/>
        <v>0</v>
      </c>
      <c r="L2888" s="65">
        <v>2882</v>
      </c>
      <c r="M2888" s="71">
        <f t="shared" ca="1" si="229"/>
        <v>1.4907385106813811</v>
      </c>
      <c r="N2888" s="65"/>
    </row>
    <row r="2889" spans="1:14" x14ac:dyDescent="0.25">
      <c r="A2889" s="2">
        <v>2883</v>
      </c>
      <c r="B2889" s="11">
        <f t="shared" ca="1" si="226"/>
        <v>1</v>
      </c>
      <c r="C2889" s="26">
        <f t="shared" ca="1" si="230"/>
        <v>6.1731107749727565E-2</v>
      </c>
      <c r="J2889">
        <f t="shared" ca="1" si="227"/>
        <v>1</v>
      </c>
      <c r="K2889">
        <f t="shared" ca="1" si="228"/>
        <v>0</v>
      </c>
      <c r="L2889" s="65">
        <v>2883</v>
      </c>
      <c r="M2889" s="71">
        <f t="shared" ca="1" si="229"/>
        <v>4.1378517311325016</v>
      </c>
      <c r="N2889" s="65"/>
    </row>
    <row r="2890" spans="1:14" x14ac:dyDescent="0.25">
      <c r="A2890" s="2">
        <v>2884</v>
      </c>
      <c r="B2890" s="11">
        <f t="shared" ca="1" si="226"/>
        <v>1</v>
      </c>
      <c r="C2890" s="26">
        <f t="shared" ca="1" si="230"/>
        <v>0.35434197372773135</v>
      </c>
      <c r="J2890">
        <f t="shared" ca="1" si="227"/>
        <v>1</v>
      </c>
      <c r="K2890">
        <f t="shared" ca="1" si="228"/>
        <v>0</v>
      </c>
      <c r="L2890" s="65">
        <v>2884</v>
      </c>
      <c r="M2890" s="71">
        <f t="shared" ca="1" si="229"/>
        <v>2.5284464557330555</v>
      </c>
      <c r="N2890" s="65"/>
    </row>
    <row r="2891" spans="1:14" x14ac:dyDescent="0.25">
      <c r="A2891" s="2">
        <v>2885</v>
      </c>
      <c r="B2891" s="11">
        <f t="shared" ca="1" si="226"/>
        <v>1</v>
      </c>
      <c r="C2891" s="26">
        <f t="shared" ca="1" si="230"/>
        <v>4.8129688694277584E-2</v>
      </c>
      <c r="J2891">
        <f t="shared" ca="1" si="227"/>
        <v>1</v>
      </c>
      <c r="K2891">
        <f t="shared" ca="1" si="228"/>
        <v>0</v>
      </c>
      <c r="L2891" s="65">
        <v>2885</v>
      </c>
      <c r="M2891" s="71">
        <f t="shared" ca="1" si="229"/>
        <v>3.9062851832513052</v>
      </c>
      <c r="N2891" s="65"/>
    </row>
    <row r="2892" spans="1:14" x14ac:dyDescent="0.25">
      <c r="A2892" s="2">
        <v>2886</v>
      </c>
      <c r="B2892" s="11">
        <f t="shared" ca="1" si="226"/>
        <v>1</v>
      </c>
      <c r="C2892" s="26">
        <f t="shared" ca="1" si="230"/>
        <v>0.52386775612812442</v>
      </c>
      <c r="J2892">
        <f t="shared" ca="1" si="227"/>
        <v>0</v>
      </c>
      <c r="K2892">
        <f t="shared" ca="1" si="228"/>
        <v>0</v>
      </c>
      <c r="L2892" s="65">
        <v>2886</v>
      </c>
      <c r="M2892" s="71">
        <f t="shared" ca="1" si="229"/>
        <v>0.50910520706996343</v>
      </c>
      <c r="N2892" s="65"/>
    </row>
    <row r="2893" spans="1:14" x14ac:dyDescent="0.25">
      <c r="A2893" s="2">
        <v>2887</v>
      </c>
      <c r="B2893" s="11">
        <f t="shared" ca="1" si="226"/>
        <v>0</v>
      </c>
      <c r="C2893" s="26">
        <f t="shared" ca="1" si="230"/>
        <v>0.86081721871644368</v>
      </c>
      <c r="J2893">
        <f t="shared" ca="1" si="227"/>
        <v>0</v>
      </c>
      <c r="K2893">
        <f t="shared" ca="1" si="228"/>
        <v>0</v>
      </c>
      <c r="L2893" s="65">
        <v>2887</v>
      </c>
      <c r="M2893" s="71">
        <f t="shared" ca="1" si="229"/>
        <v>0</v>
      </c>
      <c r="N2893" s="65"/>
    </row>
    <row r="2894" spans="1:14" x14ac:dyDescent="0.25">
      <c r="A2894" s="2">
        <v>2888</v>
      </c>
      <c r="B2894" s="11">
        <f t="shared" ca="1" si="226"/>
        <v>1</v>
      </c>
      <c r="C2894" s="26">
        <f t="shared" ca="1" si="230"/>
        <v>0.30829656662531968</v>
      </c>
      <c r="J2894">
        <f t="shared" ca="1" si="227"/>
        <v>1</v>
      </c>
      <c r="K2894">
        <f t="shared" ca="1" si="228"/>
        <v>0</v>
      </c>
      <c r="L2894" s="65">
        <v>2888</v>
      </c>
      <c r="M2894" s="71">
        <f t="shared" ca="1" si="229"/>
        <v>0.98851037499828165</v>
      </c>
      <c r="N2894" s="65"/>
    </row>
    <row r="2895" spans="1:14" x14ac:dyDescent="0.25">
      <c r="A2895" s="2">
        <v>2889</v>
      </c>
      <c r="B2895" s="11">
        <f t="shared" ca="1" si="226"/>
        <v>1</v>
      </c>
      <c r="C2895" s="26">
        <f t="shared" ca="1" si="230"/>
        <v>0.2337568255799306</v>
      </c>
      <c r="J2895">
        <f t="shared" ca="1" si="227"/>
        <v>1</v>
      </c>
      <c r="K2895">
        <f t="shared" ca="1" si="228"/>
        <v>0</v>
      </c>
      <c r="L2895" s="65">
        <v>2889</v>
      </c>
      <c r="M2895" s="71">
        <f t="shared" ca="1" si="229"/>
        <v>8.2701606000433241</v>
      </c>
      <c r="N2895" s="65"/>
    </row>
    <row r="2896" spans="1:14" x14ac:dyDescent="0.25">
      <c r="A2896" s="2">
        <v>2890</v>
      </c>
      <c r="B2896" s="11">
        <f t="shared" ca="1" si="226"/>
        <v>1</v>
      </c>
      <c r="C2896" s="26">
        <f t="shared" ca="1" si="230"/>
        <v>0.17511578100943404</v>
      </c>
      <c r="J2896">
        <f t="shared" ca="1" si="227"/>
        <v>1</v>
      </c>
      <c r="K2896">
        <f t="shared" ca="1" si="228"/>
        <v>0</v>
      </c>
      <c r="L2896" s="65">
        <v>2890</v>
      </c>
      <c r="M2896" s="71">
        <f t="shared" ca="1" si="229"/>
        <v>5.3311570481804846</v>
      </c>
      <c r="N2896" s="65"/>
    </row>
    <row r="2897" spans="1:14" x14ac:dyDescent="0.25">
      <c r="A2897" s="2">
        <v>2891</v>
      </c>
      <c r="B2897" s="11">
        <f t="shared" ca="1" si="226"/>
        <v>1</v>
      </c>
      <c r="C2897" s="26">
        <f t="shared" ca="1" si="230"/>
        <v>0.61728730798175702</v>
      </c>
      <c r="J2897">
        <f t="shared" ca="1" si="227"/>
        <v>1</v>
      </c>
      <c r="K2897">
        <f t="shared" ca="1" si="228"/>
        <v>0</v>
      </c>
      <c r="L2897" s="65">
        <v>2891</v>
      </c>
      <c r="M2897" s="71">
        <f t="shared" ca="1" si="229"/>
        <v>0.49184361169603641</v>
      </c>
      <c r="N2897" s="65"/>
    </row>
    <row r="2898" spans="1:14" x14ac:dyDescent="0.25">
      <c r="A2898" s="2">
        <v>2892</v>
      </c>
      <c r="B2898" s="11">
        <f t="shared" ca="1" si="226"/>
        <v>1</v>
      </c>
      <c r="C2898" s="26">
        <f t="shared" ca="1" si="230"/>
        <v>0.655407612272081</v>
      </c>
      <c r="J2898">
        <f t="shared" ca="1" si="227"/>
        <v>1</v>
      </c>
      <c r="K2898">
        <f t="shared" ca="1" si="228"/>
        <v>0</v>
      </c>
      <c r="L2898" s="65">
        <v>2892</v>
      </c>
      <c r="M2898" s="71">
        <f t="shared" ca="1" si="229"/>
        <v>0.92914598587586494</v>
      </c>
      <c r="N2898" s="65"/>
    </row>
    <row r="2899" spans="1:14" x14ac:dyDescent="0.25">
      <c r="A2899" s="2">
        <v>2893</v>
      </c>
      <c r="B2899" s="11">
        <f t="shared" ca="1" si="226"/>
        <v>1</v>
      </c>
      <c r="C2899" s="26">
        <f t="shared" ca="1" si="230"/>
        <v>0.78457592026658474</v>
      </c>
      <c r="J2899">
        <f t="shared" ca="1" si="227"/>
        <v>1</v>
      </c>
      <c r="K2899">
        <f t="shared" ca="1" si="228"/>
        <v>0</v>
      </c>
      <c r="L2899" s="65">
        <v>2893</v>
      </c>
      <c r="M2899" s="71">
        <f t="shared" ca="1" si="229"/>
        <v>0.5626865713871172</v>
      </c>
      <c r="N2899" s="65"/>
    </row>
    <row r="2900" spans="1:14" x14ac:dyDescent="0.25">
      <c r="A2900" s="2">
        <v>2894</v>
      </c>
      <c r="B2900" s="11">
        <f t="shared" ca="1" si="226"/>
        <v>1</v>
      </c>
      <c r="C2900" s="26">
        <f t="shared" ca="1" si="230"/>
        <v>0.1036082337019909</v>
      </c>
      <c r="J2900">
        <f t="shared" ca="1" si="227"/>
        <v>1</v>
      </c>
      <c r="K2900">
        <f t="shared" ca="1" si="228"/>
        <v>0</v>
      </c>
      <c r="L2900" s="65">
        <v>2894</v>
      </c>
      <c r="M2900" s="71">
        <f t="shared" ca="1" si="229"/>
        <v>0.84467492026031821</v>
      </c>
      <c r="N2900" s="65"/>
    </row>
    <row r="2901" spans="1:14" x14ac:dyDescent="0.25">
      <c r="A2901" s="2">
        <v>2895</v>
      </c>
      <c r="B2901" s="11">
        <f t="shared" ca="1" si="226"/>
        <v>1</v>
      </c>
      <c r="C2901" s="26">
        <f t="shared" ca="1" si="230"/>
        <v>0.58491023493877947</v>
      </c>
      <c r="J2901">
        <f t="shared" ca="1" si="227"/>
        <v>1</v>
      </c>
      <c r="K2901">
        <f t="shared" ca="1" si="228"/>
        <v>0</v>
      </c>
      <c r="L2901" s="65">
        <v>2895</v>
      </c>
      <c r="M2901" s="71">
        <f t="shared" ca="1" si="229"/>
        <v>5.7746822649648371</v>
      </c>
      <c r="N2901" s="65"/>
    </row>
    <row r="2902" spans="1:14" x14ac:dyDescent="0.25">
      <c r="A2902" s="2">
        <v>2896</v>
      </c>
      <c r="B2902" s="11">
        <f t="shared" ca="1" si="226"/>
        <v>1</v>
      </c>
      <c r="C2902" s="26">
        <f t="shared" ca="1" si="230"/>
        <v>0.70194566031207151</v>
      </c>
      <c r="J2902">
        <f t="shared" ca="1" si="227"/>
        <v>1</v>
      </c>
      <c r="K2902">
        <f t="shared" ca="1" si="228"/>
        <v>0</v>
      </c>
      <c r="L2902" s="65">
        <v>2896</v>
      </c>
      <c r="M2902" s="71">
        <f t="shared" ca="1" si="229"/>
        <v>10.363306513551358</v>
      </c>
      <c r="N2902" s="65"/>
    </row>
    <row r="2903" spans="1:14" x14ac:dyDescent="0.25">
      <c r="A2903" s="2">
        <v>2897</v>
      </c>
      <c r="B2903" s="11">
        <f t="shared" ca="1" si="226"/>
        <v>1</v>
      </c>
      <c r="C2903" s="26">
        <f t="shared" ca="1" si="230"/>
        <v>0.27841701239212224</v>
      </c>
      <c r="J2903">
        <f t="shared" ca="1" si="227"/>
        <v>0</v>
      </c>
      <c r="K2903">
        <f t="shared" ca="1" si="228"/>
        <v>0</v>
      </c>
      <c r="L2903" s="65">
        <v>2897</v>
      </c>
      <c r="M2903" s="71">
        <f t="shared" ca="1" si="229"/>
        <v>2.434690176981539</v>
      </c>
      <c r="N2903" s="65"/>
    </row>
    <row r="2904" spans="1:14" x14ac:dyDescent="0.25">
      <c r="A2904" s="2">
        <v>2898</v>
      </c>
      <c r="B2904" s="11">
        <f t="shared" ca="1" si="226"/>
        <v>0</v>
      </c>
      <c r="C2904" s="26">
        <f t="shared" ca="1" si="230"/>
        <v>0.81383251585108474</v>
      </c>
      <c r="J2904">
        <f t="shared" ca="1" si="227"/>
        <v>0</v>
      </c>
      <c r="K2904">
        <f t="shared" ca="1" si="228"/>
        <v>0</v>
      </c>
      <c r="L2904" s="65">
        <v>2898</v>
      </c>
      <c r="M2904" s="71">
        <f t="shared" ca="1" si="229"/>
        <v>0</v>
      </c>
      <c r="N2904" s="65"/>
    </row>
    <row r="2905" spans="1:14" x14ac:dyDescent="0.25">
      <c r="A2905" s="2">
        <v>2899</v>
      </c>
      <c r="B2905" s="11">
        <f t="shared" ca="1" si="226"/>
        <v>1</v>
      </c>
      <c r="C2905" s="26">
        <f t="shared" ca="1" si="230"/>
        <v>0.20289726438653322</v>
      </c>
      <c r="J2905">
        <f t="shared" ca="1" si="227"/>
        <v>1</v>
      </c>
      <c r="K2905">
        <f t="shared" ca="1" si="228"/>
        <v>0</v>
      </c>
      <c r="L2905" s="65">
        <v>2899</v>
      </c>
      <c r="M2905" s="71">
        <f t="shared" ca="1" si="229"/>
        <v>0.68516191910761881</v>
      </c>
      <c r="N2905" s="65"/>
    </row>
    <row r="2906" spans="1:14" x14ac:dyDescent="0.25">
      <c r="A2906" s="2">
        <v>2900</v>
      </c>
      <c r="B2906" s="11">
        <f t="shared" ca="1" si="226"/>
        <v>1</v>
      </c>
      <c r="C2906" s="26">
        <f t="shared" ca="1" si="230"/>
        <v>0.52526512326794972</v>
      </c>
      <c r="J2906">
        <f t="shared" ca="1" si="227"/>
        <v>1</v>
      </c>
      <c r="K2906">
        <f t="shared" ca="1" si="228"/>
        <v>0</v>
      </c>
      <c r="L2906" s="65">
        <v>2900</v>
      </c>
      <c r="M2906" s="71">
        <f t="shared" ca="1" si="229"/>
        <v>2.6166336227840663</v>
      </c>
      <c r="N2906" s="65"/>
    </row>
    <row r="2907" spans="1:14" x14ac:dyDescent="0.25">
      <c r="A2907" s="2">
        <v>2901</v>
      </c>
      <c r="B2907" s="11">
        <f t="shared" ca="1" si="226"/>
        <v>1</v>
      </c>
      <c r="C2907" s="26">
        <f t="shared" ca="1" si="230"/>
        <v>0.66403868365796281</v>
      </c>
      <c r="J2907">
        <f t="shared" ca="1" si="227"/>
        <v>1</v>
      </c>
      <c r="K2907">
        <f t="shared" ca="1" si="228"/>
        <v>0</v>
      </c>
      <c r="L2907" s="65">
        <v>2901</v>
      </c>
      <c r="M2907" s="71">
        <f t="shared" ca="1" si="229"/>
        <v>4.7174391146817953</v>
      </c>
      <c r="N2907" s="65"/>
    </row>
    <row r="2908" spans="1:14" x14ac:dyDescent="0.25">
      <c r="A2908" s="2">
        <v>2902</v>
      </c>
      <c r="B2908" s="11">
        <f t="shared" ca="1" si="226"/>
        <v>1</v>
      </c>
      <c r="C2908" s="26">
        <f t="shared" ca="1" si="230"/>
        <v>0.67654989830192935</v>
      </c>
      <c r="J2908">
        <f t="shared" ca="1" si="227"/>
        <v>1</v>
      </c>
      <c r="K2908">
        <f t="shared" ca="1" si="228"/>
        <v>0</v>
      </c>
      <c r="L2908" s="65">
        <v>2902</v>
      </c>
      <c r="M2908" s="71">
        <f t="shared" ca="1" si="229"/>
        <v>4.9270767150217445</v>
      </c>
      <c r="N2908" s="65"/>
    </row>
    <row r="2909" spans="1:14" x14ac:dyDescent="0.25">
      <c r="A2909" s="2">
        <v>2903</v>
      </c>
      <c r="B2909" s="11">
        <f t="shared" ca="1" si="226"/>
        <v>1</v>
      </c>
      <c r="C2909" s="26">
        <f t="shared" ca="1" si="230"/>
        <v>0.73285816810884363</v>
      </c>
      <c r="J2909">
        <f t="shared" ca="1" si="227"/>
        <v>1</v>
      </c>
      <c r="K2909">
        <f t="shared" ca="1" si="228"/>
        <v>0</v>
      </c>
      <c r="L2909" s="65">
        <v>2903</v>
      </c>
      <c r="M2909" s="71">
        <f t="shared" ca="1" si="229"/>
        <v>0.17031402351683284</v>
      </c>
      <c r="N2909" s="65"/>
    </row>
    <row r="2910" spans="1:14" x14ac:dyDescent="0.25">
      <c r="A2910" s="2">
        <v>2904</v>
      </c>
      <c r="B2910" s="11">
        <f t="shared" ca="1" si="226"/>
        <v>1</v>
      </c>
      <c r="C2910" s="26">
        <f t="shared" ca="1" si="230"/>
        <v>0.31609119090386562</v>
      </c>
      <c r="J2910">
        <f t="shared" ca="1" si="227"/>
        <v>1</v>
      </c>
      <c r="K2910">
        <f t="shared" ca="1" si="228"/>
        <v>0</v>
      </c>
      <c r="L2910" s="65">
        <v>2904</v>
      </c>
      <c r="M2910" s="71">
        <f t="shared" ca="1" si="229"/>
        <v>4.2491307650376191</v>
      </c>
      <c r="N2910" s="65"/>
    </row>
    <row r="2911" spans="1:14" x14ac:dyDescent="0.25">
      <c r="A2911" s="2">
        <v>2905</v>
      </c>
      <c r="B2911" s="11">
        <f t="shared" ca="1" si="226"/>
        <v>1</v>
      </c>
      <c r="C2911" s="26">
        <f t="shared" ca="1" si="230"/>
        <v>0.71312642023933748</v>
      </c>
      <c r="J2911">
        <f t="shared" ca="1" si="227"/>
        <v>1</v>
      </c>
      <c r="K2911">
        <f t="shared" ca="1" si="228"/>
        <v>0</v>
      </c>
      <c r="L2911" s="65">
        <v>2905</v>
      </c>
      <c r="M2911" s="71">
        <f t="shared" ca="1" si="229"/>
        <v>4.4240003400019985</v>
      </c>
      <c r="N2911" s="65"/>
    </row>
    <row r="2912" spans="1:14" x14ac:dyDescent="0.25">
      <c r="A2912" s="2">
        <v>2906</v>
      </c>
      <c r="B2912" s="11">
        <f t="shared" ca="1" si="226"/>
        <v>1</v>
      </c>
      <c r="C2912" s="26">
        <f t="shared" ca="1" si="230"/>
        <v>0.77791643798190468</v>
      </c>
      <c r="J2912">
        <f t="shared" ca="1" si="227"/>
        <v>1</v>
      </c>
      <c r="K2912">
        <f t="shared" ca="1" si="228"/>
        <v>0</v>
      </c>
      <c r="L2912" s="65">
        <v>2906</v>
      </c>
      <c r="M2912" s="71">
        <f t="shared" ca="1" si="229"/>
        <v>0.93405941489788114</v>
      </c>
      <c r="N2912" s="65"/>
    </row>
    <row r="2913" spans="1:14" x14ac:dyDescent="0.25">
      <c r="A2913" s="2">
        <v>2907</v>
      </c>
      <c r="B2913" s="11">
        <f t="shared" ca="1" si="226"/>
        <v>1</v>
      </c>
      <c r="C2913" s="26">
        <f t="shared" ca="1" si="230"/>
        <v>2.6210193156270822E-2</v>
      </c>
      <c r="J2913">
        <f t="shared" ca="1" si="227"/>
        <v>1</v>
      </c>
      <c r="K2913">
        <f t="shared" ca="1" si="228"/>
        <v>0</v>
      </c>
      <c r="L2913" s="65">
        <v>2907</v>
      </c>
      <c r="M2913" s="71">
        <f t="shared" ca="1" si="229"/>
        <v>1.5877180529125674</v>
      </c>
      <c r="N2913" s="65"/>
    </row>
    <row r="2914" spans="1:14" x14ac:dyDescent="0.25">
      <c r="A2914" s="2">
        <v>2908</v>
      </c>
      <c r="B2914" s="11">
        <f t="shared" ca="1" si="226"/>
        <v>1</v>
      </c>
      <c r="C2914" s="26">
        <f t="shared" ca="1" si="230"/>
        <v>6.5842151447427333E-2</v>
      </c>
      <c r="J2914">
        <f t="shared" ca="1" si="227"/>
        <v>1</v>
      </c>
      <c r="K2914">
        <f t="shared" ca="1" si="228"/>
        <v>0</v>
      </c>
      <c r="L2914" s="65">
        <v>2908</v>
      </c>
      <c r="M2914" s="71">
        <f t="shared" ca="1" si="229"/>
        <v>2.5151880097481105</v>
      </c>
      <c r="N2914" s="65"/>
    </row>
    <row r="2915" spans="1:14" x14ac:dyDescent="0.25">
      <c r="A2915" s="2">
        <v>2909</v>
      </c>
      <c r="B2915" s="11">
        <f t="shared" ca="1" si="226"/>
        <v>1</v>
      </c>
      <c r="C2915" s="26">
        <f t="shared" ca="1" si="230"/>
        <v>3.6017910638284856E-2</v>
      </c>
      <c r="J2915">
        <f t="shared" ca="1" si="227"/>
        <v>1</v>
      </c>
      <c r="K2915">
        <f t="shared" ca="1" si="228"/>
        <v>0</v>
      </c>
      <c r="L2915" s="65">
        <v>2909</v>
      </c>
      <c r="M2915" s="71">
        <f t="shared" ca="1" si="229"/>
        <v>3.6046449357920838</v>
      </c>
      <c r="N2915" s="65"/>
    </row>
    <row r="2916" spans="1:14" x14ac:dyDescent="0.25">
      <c r="A2916" s="2">
        <v>2910</v>
      </c>
      <c r="B2916" s="11">
        <f t="shared" ca="1" si="226"/>
        <v>1</v>
      </c>
      <c r="C2916" s="26">
        <f t="shared" ca="1" si="230"/>
        <v>0.60800065730512554</v>
      </c>
      <c r="J2916">
        <f t="shared" ca="1" si="227"/>
        <v>1</v>
      </c>
      <c r="K2916">
        <f t="shared" ca="1" si="228"/>
        <v>0</v>
      </c>
      <c r="L2916" s="65">
        <v>2910</v>
      </c>
      <c r="M2916" s="71">
        <f t="shared" ca="1" si="229"/>
        <v>5.265663799261139</v>
      </c>
      <c r="N2916" s="65"/>
    </row>
    <row r="2917" spans="1:14" x14ac:dyDescent="0.25">
      <c r="A2917" s="2">
        <v>2911</v>
      </c>
      <c r="B2917" s="11">
        <f t="shared" ca="1" si="226"/>
        <v>1</v>
      </c>
      <c r="C2917" s="26">
        <f t="shared" ca="1" si="230"/>
        <v>0.48311037680749103</v>
      </c>
      <c r="J2917">
        <f t="shared" ca="1" si="227"/>
        <v>0</v>
      </c>
      <c r="K2917">
        <f t="shared" ca="1" si="228"/>
        <v>0</v>
      </c>
      <c r="L2917" s="65">
        <v>2911</v>
      </c>
      <c r="M2917" s="71">
        <f t="shared" ca="1" si="229"/>
        <v>0.83388119338330169</v>
      </c>
      <c r="N2917" s="65"/>
    </row>
    <row r="2918" spans="1:14" x14ac:dyDescent="0.25">
      <c r="A2918" s="2">
        <v>2912</v>
      </c>
      <c r="B2918" s="11">
        <f t="shared" ca="1" si="226"/>
        <v>0</v>
      </c>
      <c r="C2918" s="26">
        <f t="shared" ca="1" si="230"/>
        <v>0.89222463153149711</v>
      </c>
      <c r="J2918">
        <f t="shared" ca="1" si="227"/>
        <v>0</v>
      </c>
      <c r="K2918">
        <f t="shared" ca="1" si="228"/>
        <v>1</v>
      </c>
      <c r="L2918" s="65">
        <v>2912</v>
      </c>
      <c r="M2918" s="71">
        <f t="shared" ca="1" si="229"/>
        <v>0</v>
      </c>
      <c r="N2918" s="65"/>
    </row>
    <row r="2919" spans="1:14" x14ac:dyDescent="0.25">
      <c r="A2919" s="2">
        <v>2913</v>
      </c>
      <c r="B2919" s="11">
        <f t="shared" ca="1" si="226"/>
        <v>0</v>
      </c>
      <c r="C2919" s="26">
        <f t="shared" ca="1" si="230"/>
        <v>0.88391102451346648</v>
      </c>
      <c r="J2919">
        <f t="shared" ca="1" si="227"/>
        <v>0</v>
      </c>
      <c r="K2919">
        <f t="shared" ca="1" si="228"/>
        <v>0</v>
      </c>
      <c r="L2919" s="65">
        <v>2913</v>
      </c>
      <c r="M2919" s="71">
        <f t="shared" ca="1" si="229"/>
        <v>0</v>
      </c>
      <c r="N2919" s="65"/>
    </row>
    <row r="2920" spans="1:14" x14ac:dyDescent="0.25">
      <c r="A2920" s="2">
        <v>2914</v>
      </c>
      <c r="B2920" s="11">
        <f t="shared" ca="1" si="226"/>
        <v>1</v>
      </c>
      <c r="C2920" s="26">
        <f t="shared" ca="1" si="230"/>
        <v>0.59157380425549033</v>
      </c>
      <c r="J2920">
        <f t="shared" ca="1" si="227"/>
        <v>1</v>
      </c>
      <c r="K2920">
        <f t="shared" ca="1" si="228"/>
        <v>0</v>
      </c>
      <c r="L2920" s="65">
        <v>2914</v>
      </c>
      <c r="M2920" s="71">
        <f t="shared" ca="1" si="229"/>
        <v>3.8469728438687252</v>
      </c>
      <c r="N2920" s="65"/>
    </row>
    <row r="2921" spans="1:14" x14ac:dyDescent="0.25">
      <c r="A2921" s="2">
        <v>2915</v>
      </c>
      <c r="B2921" s="11">
        <f t="shared" ca="1" si="226"/>
        <v>1</v>
      </c>
      <c r="C2921" s="26">
        <f t="shared" ca="1" si="230"/>
        <v>0.4931993424630351</v>
      </c>
      <c r="J2921">
        <f t="shared" ca="1" si="227"/>
        <v>1</v>
      </c>
      <c r="K2921">
        <f t="shared" ca="1" si="228"/>
        <v>0</v>
      </c>
      <c r="L2921" s="65">
        <v>2915</v>
      </c>
      <c r="M2921" s="71">
        <f t="shared" ca="1" si="229"/>
        <v>6.5585294574776842</v>
      </c>
      <c r="N2921" s="65"/>
    </row>
    <row r="2922" spans="1:14" x14ac:dyDescent="0.25">
      <c r="A2922" s="2">
        <v>2916</v>
      </c>
      <c r="B2922" s="11">
        <f t="shared" ca="1" si="226"/>
        <v>1</v>
      </c>
      <c r="C2922" s="26">
        <f t="shared" ca="1" si="230"/>
        <v>9.786843739058626E-2</v>
      </c>
      <c r="J2922">
        <f t="shared" ca="1" si="227"/>
        <v>0</v>
      </c>
      <c r="K2922">
        <f t="shared" ca="1" si="228"/>
        <v>0</v>
      </c>
      <c r="L2922" s="65">
        <v>2916</v>
      </c>
      <c r="M2922" s="71">
        <f t="shared" ca="1" si="229"/>
        <v>13.09080220976138</v>
      </c>
      <c r="N2922" s="65"/>
    </row>
    <row r="2923" spans="1:14" x14ac:dyDescent="0.25">
      <c r="A2923" s="2">
        <v>2917</v>
      </c>
      <c r="B2923" s="11">
        <f t="shared" ca="1" si="226"/>
        <v>0</v>
      </c>
      <c r="C2923" s="26">
        <f t="shared" ca="1" si="230"/>
        <v>0.86604185042516757</v>
      </c>
      <c r="J2923">
        <f t="shared" ca="1" si="227"/>
        <v>0</v>
      </c>
      <c r="K2923">
        <f t="shared" ca="1" si="228"/>
        <v>0</v>
      </c>
      <c r="L2923" s="65">
        <v>2917</v>
      </c>
      <c r="M2923" s="71">
        <f t="shared" ca="1" si="229"/>
        <v>0</v>
      </c>
      <c r="N2923" s="65"/>
    </row>
    <row r="2924" spans="1:14" x14ac:dyDescent="0.25">
      <c r="A2924" s="2">
        <v>2918</v>
      </c>
      <c r="B2924" s="11">
        <f t="shared" ca="1" si="226"/>
        <v>1</v>
      </c>
      <c r="C2924" s="26">
        <f t="shared" ca="1" si="230"/>
        <v>0.18225606957720675</v>
      </c>
      <c r="J2924">
        <f t="shared" ca="1" si="227"/>
        <v>1</v>
      </c>
      <c r="K2924">
        <f t="shared" ca="1" si="228"/>
        <v>0</v>
      </c>
      <c r="L2924" s="65">
        <v>2918</v>
      </c>
      <c r="M2924" s="71">
        <f t="shared" ca="1" si="229"/>
        <v>2.2666554955768334</v>
      </c>
      <c r="N2924" s="65"/>
    </row>
    <row r="2925" spans="1:14" x14ac:dyDescent="0.25">
      <c r="A2925" s="2">
        <v>2919</v>
      </c>
      <c r="B2925" s="11">
        <f t="shared" ca="1" si="226"/>
        <v>1</v>
      </c>
      <c r="C2925" s="26">
        <f t="shared" ca="1" si="230"/>
        <v>0.76770670588422207</v>
      </c>
      <c r="J2925">
        <f t="shared" ca="1" si="227"/>
        <v>1</v>
      </c>
      <c r="K2925">
        <f t="shared" ca="1" si="228"/>
        <v>0</v>
      </c>
      <c r="L2925" s="65">
        <v>2919</v>
      </c>
      <c r="M2925" s="71">
        <f t="shared" ca="1" si="229"/>
        <v>3.4258488420295627</v>
      </c>
      <c r="N2925" s="65"/>
    </row>
    <row r="2926" spans="1:14" x14ac:dyDescent="0.25">
      <c r="A2926" s="2">
        <v>2920</v>
      </c>
      <c r="B2926" s="11">
        <f t="shared" ca="1" si="226"/>
        <v>1</v>
      </c>
      <c r="C2926" s="26">
        <f t="shared" ca="1" si="230"/>
        <v>7.4613869376127795E-2</v>
      </c>
      <c r="J2926">
        <f t="shared" ca="1" si="227"/>
        <v>1</v>
      </c>
      <c r="K2926">
        <f t="shared" ca="1" si="228"/>
        <v>0</v>
      </c>
      <c r="L2926" s="65">
        <v>2920</v>
      </c>
      <c r="M2926" s="71">
        <f t="shared" ca="1" si="229"/>
        <v>11.148562974028822</v>
      </c>
      <c r="N2926" s="65"/>
    </row>
    <row r="2927" spans="1:14" x14ac:dyDescent="0.25">
      <c r="A2927" s="2">
        <v>2921</v>
      </c>
      <c r="B2927" s="11">
        <f t="shared" ref="B2927:B2990" ca="1" si="231">IF(B2926&gt;0,IF(C2927&lt;pww,1,0),IF(C2927&lt;pdw,1,0))</f>
        <v>1</v>
      </c>
      <c r="C2927" s="26">
        <f t="shared" ca="1" si="230"/>
        <v>6.8138486882298732E-3</v>
      </c>
      <c r="J2927">
        <f t="shared" ref="J2927:J2990" ca="1" si="232">IF(AND(B2927,B2928),1,0)</f>
        <v>1</v>
      </c>
      <c r="K2927">
        <f t="shared" ref="K2927:K2990" ca="1" si="233">IF(AND(NOT(B2927),NOT(B2928)),1,0)</f>
        <v>0</v>
      </c>
      <c r="L2927" s="65">
        <v>2921</v>
      </c>
      <c r="M2927" s="71">
        <f t="shared" ca="1" si="229"/>
        <v>2.2904320652063008</v>
      </c>
      <c r="N2927" s="65"/>
    </row>
    <row r="2928" spans="1:14" x14ac:dyDescent="0.25">
      <c r="A2928" s="2">
        <v>2922</v>
      </c>
      <c r="B2928" s="11">
        <f t="shared" ca="1" si="231"/>
        <v>1</v>
      </c>
      <c r="C2928" s="26">
        <f t="shared" ca="1" si="230"/>
        <v>8.3356115379633833E-2</v>
      </c>
      <c r="J2928">
        <f t="shared" ca="1" si="232"/>
        <v>1</v>
      </c>
      <c r="K2928">
        <f t="shared" ca="1" si="233"/>
        <v>0</v>
      </c>
      <c r="L2928" s="65">
        <v>2922</v>
      </c>
      <c r="M2928" s="71">
        <f t="shared" ca="1" si="229"/>
        <v>5.2461441789662562</v>
      </c>
      <c r="N2928" s="65"/>
    </row>
    <row r="2929" spans="1:14" x14ac:dyDescent="0.25">
      <c r="A2929" s="2">
        <v>2923</v>
      </c>
      <c r="B2929" s="11">
        <f t="shared" ca="1" si="231"/>
        <v>1</v>
      </c>
      <c r="C2929" s="26">
        <f t="shared" ca="1" si="230"/>
        <v>3.3501607793283927E-2</v>
      </c>
      <c r="J2929">
        <f t="shared" ca="1" si="232"/>
        <v>0</v>
      </c>
      <c r="K2929">
        <f t="shared" ca="1" si="233"/>
        <v>0</v>
      </c>
      <c r="L2929" s="65">
        <v>2923</v>
      </c>
      <c r="M2929" s="71">
        <f t="shared" ca="1" si="229"/>
        <v>2.8561917061415558</v>
      </c>
      <c r="N2929" s="65"/>
    </row>
    <row r="2930" spans="1:14" x14ac:dyDescent="0.25">
      <c r="A2930" s="2">
        <v>2924</v>
      </c>
      <c r="B2930" s="11">
        <f t="shared" ca="1" si="231"/>
        <v>0</v>
      </c>
      <c r="C2930" s="26">
        <f t="shared" ca="1" si="230"/>
        <v>0.87067444960819951</v>
      </c>
      <c r="J2930">
        <f t="shared" ca="1" si="232"/>
        <v>0</v>
      </c>
      <c r="K2930">
        <f t="shared" ca="1" si="233"/>
        <v>0</v>
      </c>
      <c r="L2930" s="65">
        <v>2924</v>
      </c>
      <c r="M2930" s="71">
        <f t="shared" ca="1" si="229"/>
        <v>0</v>
      </c>
      <c r="N2930" s="65"/>
    </row>
    <row r="2931" spans="1:14" x14ac:dyDescent="0.25">
      <c r="A2931" s="2">
        <v>2925</v>
      </c>
      <c r="B2931" s="11">
        <f t="shared" ca="1" si="231"/>
        <v>1</v>
      </c>
      <c r="C2931" s="26">
        <f t="shared" ca="1" si="230"/>
        <v>0.13002006164285684</v>
      </c>
      <c r="J2931">
        <f t="shared" ca="1" si="232"/>
        <v>1</v>
      </c>
      <c r="K2931">
        <f t="shared" ca="1" si="233"/>
        <v>0</v>
      </c>
      <c r="L2931" s="65">
        <v>2925</v>
      </c>
      <c r="M2931" s="71">
        <f t="shared" ca="1" si="229"/>
        <v>0.90880965692129523</v>
      </c>
      <c r="N2931" s="65"/>
    </row>
    <row r="2932" spans="1:14" x14ac:dyDescent="0.25">
      <c r="A2932" s="2">
        <v>2926</v>
      </c>
      <c r="B2932" s="11">
        <f t="shared" ca="1" si="231"/>
        <v>1</v>
      </c>
      <c r="C2932" s="26">
        <f t="shared" ca="1" si="230"/>
        <v>4.4804338449698666E-2</v>
      </c>
      <c r="J2932">
        <f t="shared" ca="1" si="232"/>
        <v>0</v>
      </c>
      <c r="K2932">
        <f t="shared" ca="1" si="233"/>
        <v>0</v>
      </c>
      <c r="L2932" s="65">
        <v>2926</v>
      </c>
      <c r="M2932" s="71">
        <f t="shared" ca="1" si="229"/>
        <v>9.0600462110463482</v>
      </c>
      <c r="N2932" s="65"/>
    </row>
    <row r="2933" spans="1:14" x14ac:dyDescent="0.25">
      <c r="A2933" s="2">
        <v>2927</v>
      </c>
      <c r="B2933" s="11">
        <f t="shared" ca="1" si="231"/>
        <v>0</v>
      </c>
      <c r="C2933" s="26">
        <f t="shared" ca="1" si="230"/>
        <v>0.99999913100191329</v>
      </c>
      <c r="J2933">
        <f t="shared" ca="1" si="232"/>
        <v>0</v>
      </c>
      <c r="K2933">
        <f t="shared" ca="1" si="233"/>
        <v>0</v>
      </c>
      <c r="L2933" s="65">
        <v>2927</v>
      </c>
      <c r="M2933" s="71">
        <f t="shared" ca="1" si="229"/>
        <v>0</v>
      </c>
      <c r="N2933" s="65"/>
    </row>
    <row r="2934" spans="1:14" x14ac:dyDescent="0.25">
      <c r="A2934" s="2">
        <v>2928</v>
      </c>
      <c r="B2934" s="11">
        <f t="shared" ca="1" si="231"/>
        <v>1</v>
      </c>
      <c r="C2934" s="26">
        <f t="shared" ca="1" si="230"/>
        <v>1.0192926015165638E-2</v>
      </c>
      <c r="J2934">
        <f t="shared" ca="1" si="232"/>
        <v>1</v>
      </c>
      <c r="K2934">
        <f t="shared" ca="1" si="233"/>
        <v>0</v>
      </c>
      <c r="L2934" s="65">
        <v>2928</v>
      </c>
      <c r="M2934" s="71">
        <f t="shared" ca="1" si="229"/>
        <v>12.005959767129243</v>
      </c>
      <c r="N2934" s="65"/>
    </row>
    <row r="2935" spans="1:14" x14ac:dyDescent="0.25">
      <c r="A2935" s="2">
        <v>2929</v>
      </c>
      <c r="B2935" s="11">
        <f t="shared" ca="1" si="231"/>
        <v>1</v>
      </c>
      <c r="C2935" s="26">
        <f t="shared" ca="1" si="230"/>
        <v>5.3081002506411012E-3</v>
      </c>
      <c r="J2935">
        <f t="shared" ca="1" si="232"/>
        <v>1</v>
      </c>
      <c r="K2935">
        <f t="shared" ca="1" si="233"/>
        <v>0</v>
      </c>
      <c r="L2935" s="65">
        <v>2929</v>
      </c>
      <c r="M2935" s="71">
        <f t="shared" ca="1" si="229"/>
        <v>9.4860752866834517</v>
      </c>
      <c r="N2935" s="65"/>
    </row>
    <row r="2936" spans="1:14" x14ac:dyDescent="0.25">
      <c r="A2936" s="2">
        <v>2930</v>
      </c>
      <c r="B2936" s="11">
        <f t="shared" ca="1" si="231"/>
        <v>1</v>
      </c>
      <c r="C2936" s="26">
        <f t="shared" ca="1" si="230"/>
        <v>0.13938333979650064</v>
      </c>
      <c r="J2936">
        <f t="shared" ca="1" si="232"/>
        <v>1</v>
      </c>
      <c r="K2936">
        <f t="shared" ca="1" si="233"/>
        <v>0</v>
      </c>
      <c r="L2936" s="65">
        <v>2930</v>
      </c>
      <c r="M2936" s="71">
        <f t="shared" ca="1" si="229"/>
        <v>10.855759999163354</v>
      </c>
      <c r="N2936" s="65"/>
    </row>
    <row r="2937" spans="1:14" x14ac:dyDescent="0.25">
      <c r="A2937" s="2">
        <v>2931</v>
      </c>
      <c r="B2937" s="11">
        <f t="shared" ca="1" si="231"/>
        <v>1</v>
      </c>
      <c r="C2937" s="26">
        <f t="shared" ca="1" si="230"/>
        <v>0.38646425616072988</v>
      </c>
      <c r="J2937">
        <f t="shared" ca="1" si="232"/>
        <v>1</v>
      </c>
      <c r="K2937">
        <f t="shared" ca="1" si="233"/>
        <v>0</v>
      </c>
      <c r="L2937" s="65">
        <v>2931</v>
      </c>
      <c r="M2937" s="71">
        <f t="shared" ca="1" si="229"/>
        <v>1.655151067676139</v>
      </c>
      <c r="N2937" s="65"/>
    </row>
    <row r="2938" spans="1:14" x14ac:dyDescent="0.25">
      <c r="A2938" s="2">
        <v>2932</v>
      </c>
      <c r="B2938" s="11">
        <f t="shared" ca="1" si="231"/>
        <v>1</v>
      </c>
      <c r="C2938" s="26">
        <f t="shared" ca="1" si="230"/>
        <v>0.27256920413855112</v>
      </c>
      <c r="J2938">
        <f t="shared" ca="1" si="232"/>
        <v>1</v>
      </c>
      <c r="K2938">
        <f t="shared" ca="1" si="233"/>
        <v>0</v>
      </c>
      <c r="L2938" s="65">
        <v>2932</v>
      </c>
      <c r="M2938" s="71">
        <f t="shared" ca="1" si="229"/>
        <v>1.6514804146357573</v>
      </c>
      <c r="N2938" s="65"/>
    </row>
    <row r="2939" spans="1:14" x14ac:dyDescent="0.25">
      <c r="A2939" s="2">
        <v>2933</v>
      </c>
      <c r="B2939" s="11">
        <f t="shared" ca="1" si="231"/>
        <v>1</v>
      </c>
      <c r="C2939" s="26">
        <f t="shared" ca="1" si="230"/>
        <v>0.14086939769696816</v>
      </c>
      <c r="J2939">
        <f t="shared" ca="1" si="232"/>
        <v>0</v>
      </c>
      <c r="K2939">
        <f t="shared" ca="1" si="233"/>
        <v>0</v>
      </c>
      <c r="L2939" s="65">
        <v>2933</v>
      </c>
      <c r="M2939" s="71">
        <f t="shared" ca="1" si="229"/>
        <v>1.5620190916436265</v>
      </c>
      <c r="N2939" s="65"/>
    </row>
    <row r="2940" spans="1:14" x14ac:dyDescent="0.25">
      <c r="A2940" s="2">
        <v>2934</v>
      </c>
      <c r="B2940" s="11">
        <f t="shared" ca="1" si="231"/>
        <v>0</v>
      </c>
      <c r="C2940" s="26">
        <f t="shared" ca="1" si="230"/>
        <v>0.825365513603323</v>
      </c>
      <c r="J2940">
        <f t="shared" ca="1" si="232"/>
        <v>0</v>
      </c>
      <c r="K2940">
        <f t="shared" ca="1" si="233"/>
        <v>0</v>
      </c>
      <c r="L2940" s="65">
        <v>2934</v>
      </c>
      <c r="M2940" s="71">
        <f t="shared" ca="1" si="229"/>
        <v>0</v>
      </c>
      <c r="N2940" s="65"/>
    </row>
    <row r="2941" spans="1:14" x14ac:dyDescent="0.25">
      <c r="A2941" s="2">
        <v>2935</v>
      </c>
      <c r="B2941" s="11">
        <f t="shared" ca="1" si="231"/>
        <v>1</v>
      </c>
      <c r="C2941" s="26">
        <f t="shared" ca="1" si="230"/>
        <v>0.27296217892824925</v>
      </c>
      <c r="J2941">
        <f t="shared" ca="1" si="232"/>
        <v>1</v>
      </c>
      <c r="K2941">
        <f t="shared" ca="1" si="233"/>
        <v>0</v>
      </c>
      <c r="L2941" s="65">
        <v>2935</v>
      </c>
      <c r="M2941" s="71">
        <f t="shared" ca="1" si="229"/>
        <v>9.3368227158412438</v>
      </c>
      <c r="N2941" s="65"/>
    </row>
    <row r="2942" spans="1:14" x14ac:dyDescent="0.25">
      <c r="A2942" s="2">
        <v>2936</v>
      </c>
      <c r="B2942" s="11">
        <f t="shared" ca="1" si="231"/>
        <v>1</v>
      </c>
      <c r="C2942" s="26">
        <f t="shared" ca="1" si="230"/>
        <v>0.69635717793777241</v>
      </c>
      <c r="J2942">
        <f t="shared" ca="1" si="232"/>
        <v>1</v>
      </c>
      <c r="K2942">
        <f t="shared" ca="1" si="233"/>
        <v>0</v>
      </c>
      <c r="L2942" s="65">
        <v>2936</v>
      </c>
      <c r="M2942" s="71">
        <f t="shared" ca="1" si="229"/>
        <v>0.93035788300114208</v>
      </c>
      <c r="N2942" s="65"/>
    </row>
    <row r="2943" spans="1:14" x14ac:dyDescent="0.25">
      <c r="A2943" s="2">
        <v>2937</v>
      </c>
      <c r="B2943" s="11">
        <f t="shared" ca="1" si="231"/>
        <v>1</v>
      </c>
      <c r="C2943" s="26">
        <f t="shared" ca="1" si="230"/>
        <v>0.56505684518696397</v>
      </c>
      <c r="J2943">
        <f t="shared" ca="1" si="232"/>
        <v>1</v>
      </c>
      <c r="K2943">
        <f t="shared" ca="1" si="233"/>
        <v>0</v>
      </c>
      <c r="L2943" s="65">
        <v>2937</v>
      </c>
      <c r="M2943" s="71">
        <f t="shared" ca="1" si="229"/>
        <v>8.390135822719806</v>
      </c>
      <c r="N2943" s="65"/>
    </row>
    <row r="2944" spans="1:14" x14ac:dyDescent="0.25">
      <c r="A2944" s="2">
        <v>2938</v>
      </c>
      <c r="B2944" s="11">
        <f t="shared" ca="1" si="231"/>
        <v>1</v>
      </c>
      <c r="C2944" s="26">
        <f t="shared" ca="1" si="230"/>
        <v>0.29209714230762363</v>
      </c>
      <c r="J2944">
        <f t="shared" ca="1" si="232"/>
        <v>1</v>
      </c>
      <c r="K2944">
        <f t="shared" ca="1" si="233"/>
        <v>0</v>
      </c>
      <c r="L2944" s="65">
        <v>2938</v>
      </c>
      <c r="M2944" s="71">
        <f t="shared" ca="1" si="229"/>
        <v>0.68201739565157093</v>
      </c>
      <c r="N2944" s="65"/>
    </row>
    <row r="2945" spans="1:14" x14ac:dyDescent="0.25">
      <c r="A2945" s="2">
        <v>2939</v>
      </c>
      <c r="B2945" s="11">
        <f t="shared" ca="1" si="231"/>
        <v>1</v>
      </c>
      <c r="C2945" s="26">
        <f t="shared" ca="1" si="230"/>
        <v>0.494580765668588</v>
      </c>
      <c r="J2945">
        <f t="shared" ca="1" si="232"/>
        <v>0</v>
      </c>
      <c r="K2945">
        <f t="shared" ca="1" si="233"/>
        <v>0</v>
      </c>
      <c r="L2945" s="65">
        <v>2939</v>
      </c>
      <c r="M2945" s="71">
        <f t="shared" ca="1" si="229"/>
        <v>6.2217431127536607</v>
      </c>
      <c r="N2945" s="65"/>
    </row>
    <row r="2946" spans="1:14" x14ac:dyDescent="0.25">
      <c r="A2946" s="2">
        <v>2940</v>
      </c>
      <c r="B2946" s="11">
        <f t="shared" ca="1" si="231"/>
        <v>0</v>
      </c>
      <c r="C2946" s="26">
        <f t="shared" ca="1" si="230"/>
        <v>0.90285176680758217</v>
      </c>
      <c r="J2946">
        <f t="shared" ca="1" si="232"/>
        <v>0</v>
      </c>
      <c r="K2946">
        <f t="shared" ca="1" si="233"/>
        <v>0</v>
      </c>
      <c r="L2946" s="65">
        <v>2940</v>
      </c>
      <c r="M2946" s="71">
        <f t="shared" ca="1" si="229"/>
        <v>0</v>
      </c>
      <c r="N2946" s="65"/>
    </row>
    <row r="2947" spans="1:14" x14ac:dyDescent="0.25">
      <c r="A2947" s="2">
        <v>2941</v>
      </c>
      <c r="B2947" s="11">
        <f t="shared" ca="1" si="231"/>
        <v>1</v>
      </c>
      <c r="C2947" s="26">
        <f t="shared" ca="1" si="230"/>
        <v>0.51494954243183833</v>
      </c>
      <c r="J2947">
        <f t="shared" ca="1" si="232"/>
        <v>1</v>
      </c>
      <c r="K2947">
        <f t="shared" ca="1" si="233"/>
        <v>0</v>
      </c>
      <c r="L2947" s="65">
        <v>2941</v>
      </c>
      <c r="M2947" s="71">
        <f t="shared" ca="1" si="229"/>
        <v>2.401869392580934</v>
      </c>
      <c r="N2947" s="65"/>
    </row>
    <row r="2948" spans="1:14" x14ac:dyDescent="0.25">
      <c r="A2948" s="2">
        <v>2942</v>
      </c>
      <c r="B2948" s="11">
        <f t="shared" ca="1" si="231"/>
        <v>1</v>
      </c>
      <c r="C2948" s="26">
        <f t="shared" ca="1" si="230"/>
        <v>0.47812984568895722</v>
      </c>
      <c r="J2948">
        <f t="shared" ca="1" si="232"/>
        <v>1</v>
      </c>
      <c r="K2948">
        <f t="shared" ca="1" si="233"/>
        <v>0</v>
      </c>
      <c r="L2948" s="65">
        <v>2942</v>
      </c>
      <c r="M2948" s="71">
        <f t="shared" ca="1" si="229"/>
        <v>2.0492945653388541</v>
      </c>
      <c r="N2948" s="65"/>
    </row>
    <row r="2949" spans="1:14" x14ac:dyDescent="0.25">
      <c r="A2949" s="2">
        <v>2943</v>
      </c>
      <c r="B2949" s="11">
        <f t="shared" ca="1" si="231"/>
        <v>1</v>
      </c>
      <c r="C2949" s="26">
        <f t="shared" ca="1" si="230"/>
        <v>7.0936695272197925E-2</v>
      </c>
      <c r="J2949">
        <f t="shared" ca="1" si="232"/>
        <v>1</v>
      </c>
      <c r="K2949">
        <f t="shared" ca="1" si="233"/>
        <v>0</v>
      </c>
      <c r="L2949" s="65">
        <v>2943</v>
      </c>
      <c r="M2949" s="71">
        <f t="shared" ca="1" si="229"/>
        <v>2.2850875465527047</v>
      </c>
      <c r="N2949" s="65"/>
    </row>
    <row r="2950" spans="1:14" x14ac:dyDescent="0.25">
      <c r="A2950" s="2">
        <v>2944</v>
      </c>
      <c r="B2950" s="11">
        <f t="shared" ca="1" si="231"/>
        <v>1</v>
      </c>
      <c r="C2950" s="26">
        <f t="shared" ca="1" si="230"/>
        <v>0.45258701947698332</v>
      </c>
      <c r="J2950">
        <f t="shared" ca="1" si="232"/>
        <v>1</v>
      </c>
      <c r="K2950">
        <f t="shared" ca="1" si="233"/>
        <v>0</v>
      </c>
      <c r="L2950" s="65">
        <v>2944</v>
      </c>
      <c r="M2950" s="71">
        <f t="shared" ca="1" si="229"/>
        <v>8.0376894148357594E-2</v>
      </c>
      <c r="N2950" s="65"/>
    </row>
    <row r="2951" spans="1:14" x14ac:dyDescent="0.25">
      <c r="A2951" s="2">
        <v>2945</v>
      </c>
      <c r="B2951" s="11">
        <f t="shared" ca="1" si="231"/>
        <v>1</v>
      </c>
      <c r="C2951" s="26">
        <f t="shared" ca="1" si="230"/>
        <v>0.56306771561196123</v>
      </c>
      <c r="J2951">
        <f t="shared" ca="1" si="232"/>
        <v>0</v>
      </c>
      <c r="K2951">
        <f t="shared" ca="1" si="233"/>
        <v>0</v>
      </c>
      <c r="L2951" s="65">
        <v>2945</v>
      </c>
      <c r="M2951" s="71">
        <f t="shared" ref="M2951:M3014" ca="1" si="234">IF(B2951&gt;0,-LN(1-(RAND()))/lambda,0)</f>
        <v>5.5424209023022861</v>
      </c>
      <c r="N2951" s="65"/>
    </row>
    <row r="2952" spans="1:14" x14ac:dyDescent="0.25">
      <c r="A2952" s="2">
        <v>2946</v>
      </c>
      <c r="B2952" s="11">
        <f t="shared" ca="1" si="231"/>
        <v>0</v>
      </c>
      <c r="C2952" s="26">
        <f t="shared" ref="C2952:C3015" ca="1" si="235">RAND()</f>
        <v>0.95860775474763404</v>
      </c>
      <c r="J2952">
        <f t="shared" ca="1" si="232"/>
        <v>0</v>
      </c>
      <c r="K2952">
        <f t="shared" ca="1" si="233"/>
        <v>0</v>
      </c>
      <c r="L2952" s="65">
        <v>2946</v>
      </c>
      <c r="M2952" s="71">
        <f t="shared" ca="1" si="234"/>
        <v>0</v>
      </c>
      <c r="N2952" s="65"/>
    </row>
    <row r="2953" spans="1:14" x14ac:dyDescent="0.25">
      <c r="A2953" s="2">
        <v>2947</v>
      </c>
      <c r="B2953" s="11">
        <f t="shared" ca="1" si="231"/>
        <v>1</v>
      </c>
      <c r="C2953" s="26">
        <f t="shared" ca="1" si="235"/>
        <v>4.7923211021665857E-2</v>
      </c>
      <c r="J2953">
        <f t="shared" ca="1" si="232"/>
        <v>1</v>
      </c>
      <c r="K2953">
        <f t="shared" ca="1" si="233"/>
        <v>0</v>
      </c>
      <c r="L2953" s="65">
        <v>2947</v>
      </c>
      <c r="M2953" s="71">
        <f t="shared" ca="1" si="234"/>
        <v>1.7768836022936503</v>
      </c>
      <c r="N2953" s="65"/>
    </row>
    <row r="2954" spans="1:14" x14ac:dyDescent="0.25">
      <c r="A2954" s="2">
        <v>2948</v>
      </c>
      <c r="B2954" s="11">
        <f t="shared" ca="1" si="231"/>
        <v>1</v>
      </c>
      <c r="C2954" s="26">
        <f t="shared" ca="1" si="235"/>
        <v>0.20131717557622741</v>
      </c>
      <c r="J2954">
        <f t="shared" ca="1" si="232"/>
        <v>1</v>
      </c>
      <c r="K2954">
        <f t="shared" ca="1" si="233"/>
        <v>0</v>
      </c>
      <c r="L2954" s="65">
        <v>2948</v>
      </c>
      <c r="M2954" s="71">
        <f t="shared" ca="1" si="234"/>
        <v>3.264715430686405</v>
      </c>
      <c r="N2954" s="65"/>
    </row>
    <row r="2955" spans="1:14" x14ac:dyDescent="0.25">
      <c r="A2955" s="2">
        <v>2949</v>
      </c>
      <c r="B2955" s="11">
        <f t="shared" ca="1" si="231"/>
        <v>1</v>
      </c>
      <c r="C2955" s="26">
        <f t="shared" ca="1" si="235"/>
        <v>0.34664177052091572</v>
      </c>
      <c r="J2955">
        <f t="shared" ca="1" si="232"/>
        <v>1</v>
      </c>
      <c r="K2955">
        <f t="shared" ca="1" si="233"/>
        <v>0</v>
      </c>
      <c r="L2955" s="65">
        <v>2949</v>
      </c>
      <c r="M2955" s="71">
        <f t="shared" ca="1" si="234"/>
        <v>8.4645932661485315</v>
      </c>
      <c r="N2955" s="65"/>
    </row>
    <row r="2956" spans="1:14" x14ac:dyDescent="0.25">
      <c r="A2956" s="2">
        <v>2950</v>
      </c>
      <c r="B2956" s="11">
        <f t="shared" ca="1" si="231"/>
        <v>1</v>
      </c>
      <c r="C2956" s="26">
        <f t="shared" ca="1" si="235"/>
        <v>0.48837077351085678</v>
      </c>
      <c r="J2956">
        <f t="shared" ca="1" si="232"/>
        <v>1</v>
      </c>
      <c r="K2956">
        <f t="shared" ca="1" si="233"/>
        <v>0</v>
      </c>
      <c r="L2956" s="65">
        <v>2950</v>
      </c>
      <c r="M2956" s="71">
        <f t="shared" ca="1" si="234"/>
        <v>5.6775499145316211</v>
      </c>
      <c r="N2956" s="65"/>
    </row>
    <row r="2957" spans="1:14" x14ac:dyDescent="0.25">
      <c r="A2957" s="2">
        <v>2951</v>
      </c>
      <c r="B2957" s="11">
        <f t="shared" ca="1" si="231"/>
        <v>1</v>
      </c>
      <c r="C2957" s="26">
        <f t="shared" ca="1" si="235"/>
        <v>0.75442875727713354</v>
      </c>
      <c r="J2957">
        <f t="shared" ca="1" si="232"/>
        <v>0</v>
      </c>
      <c r="K2957">
        <f t="shared" ca="1" si="233"/>
        <v>0</v>
      </c>
      <c r="L2957" s="65">
        <v>2951</v>
      </c>
      <c r="M2957" s="71">
        <f t="shared" ca="1" si="234"/>
        <v>1.0967006357260105</v>
      </c>
      <c r="N2957" s="65"/>
    </row>
    <row r="2958" spans="1:14" x14ac:dyDescent="0.25">
      <c r="A2958" s="2">
        <v>2952</v>
      </c>
      <c r="B2958" s="11">
        <f t="shared" ca="1" si="231"/>
        <v>0</v>
      </c>
      <c r="C2958" s="26">
        <f t="shared" ca="1" si="235"/>
        <v>0.91563883064950713</v>
      </c>
      <c r="J2958">
        <f t="shared" ca="1" si="232"/>
        <v>0</v>
      </c>
      <c r="K2958">
        <f t="shared" ca="1" si="233"/>
        <v>0</v>
      </c>
      <c r="L2958" s="65">
        <v>2952</v>
      </c>
      <c r="M2958" s="71">
        <f t="shared" ca="1" si="234"/>
        <v>0</v>
      </c>
      <c r="N2958" s="65"/>
    </row>
    <row r="2959" spans="1:14" x14ac:dyDescent="0.25">
      <c r="A2959" s="2">
        <v>2953</v>
      </c>
      <c r="B2959" s="11">
        <f t="shared" ca="1" si="231"/>
        <v>1</v>
      </c>
      <c r="C2959" s="26">
        <f t="shared" ca="1" si="235"/>
        <v>0.35613638218896004</v>
      </c>
      <c r="J2959">
        <f t="shared" ca="1" si="232"/>
        <v>1</v>
      </c>
      <c r="K2959">
        <f t="shared" ca="1" si="233"/>
        <v>0</v>
      </c>
      <c r="L2959" s="65">
        <v>2953</v>
      </c>
      <c r="M2959" s="71">
        <f t="shared" ca="1" si="234"/>
        <v>5.6695646586732558</v>
      </c>
      <c r="N2959" s="65"/>
    </row>
    <row r="2960" spans="1:14" x14ac:dyDescent="0.25">
      <c r="A2960" s="2">
        <v>2954</v>
      </c>
      <c r="B2960" s="11">
        <f t="shared" ca="1" si="231"/>
        <v>1</v>
      </c>
      <c r="C2960" s="26">
        <f t="shared" ca="1" si="235"/>
        <v>0.41617939271089022</v>
      </c>
      <c r="J2960">
        <f t="shared" ca="1" si="232"/>
        <v>0</v>
      </c>
      <c r="K2960">
        <f t="shared" ca="1" si="233"/>
        <v>0</v>
      </c>
      <c r="L2960" s="65">
        <v>2954</v>
      </c>
      <c r="M2960" s="71">
        <f t="shared" ca="1" si="234"/>
        <v>0.1652201388283395</v>
      </c>
      <c r="N2960" s="65"/>
    </row>
    <row r="2961" spans="1:14" x14ac:dyDescent="0.25">
      <c r="A2961" s="2">
        <v>2955</v>
      </c>
      <c r="B2961" s="11">
        <f t="shared" ca="1" si="231"/>
        <v>0</v>
      </c>
      <c r="C2961" s="26">
        <f t="shared" ca="1" si="235"/>
        <v>0.8382633510295564</v>
      </c>
      <c r="J2961">
        <f t="shared" ca="1" si="232"/>
        <v>0</v>
      </c>
      <c r="K2961">
        <f t="shared" ca="1" si="233"/>
        <v>1</v>
      </c>
      <c r="L2961" s="65">
        <v>2955</v>
      </c>
      <c r="M2961" s="71">
        <f t="shared" ca="1" si="234"/>
        <v>0</v>
      </c>
      <c r="N2961" s="65"/>
    </row>
    <row r="2962" spans="1:14" x14ac:dyDescent="0.25">
      <c r="A2962" s="2">
        <v>2956</v>
      </c>
      <c r="B2962" s="11">
        <f t="shared" ca="1" si="231"/>
        <v>0</v>
      </c>
      <c r="C2962" s="26">
        <f t="shared" ca="1" si="235"/>
        <v>0.82002312507691333</v>
      </c>
      <c r="J2962">
        <f t="shared" ca="1" si="232"/>
        <v>0</v>
      </c>
      <c r="K2962">
        <f t="shared" ca="1" si="233"/>
        <v>0</v>
      </c>
      <c r="L2962" s="65">
        <v>2956</v>
      </c>
      <c r="M2962" s="71">
        <f t="shared" ca="1" si="234"/>
        <v>0</v>
      </c>
      <c r="N2962" s="65"/>
    </row>
    <row r="2963" spans="1:14" x14ac:dyDescent="0.25">
      <c r="A2963" s="2">
        <v>2957</v>
      </c>
      <c r="B2963" s="11">
        <f t="shared" ca="1" si="231"/>
        <v>1</v>
      </c>
      <c r="C2963" s="26">
        <f t="shared" ca="1" si="235"/>
        <v>0.36843387748093059</v>
      </c>
      <c r="J2963">
        <f t="shared" ca="1" si="232"/>
        <v>0</v>
      </c>
      <c r="K2963">
        <f t="shared" ca="1" si="233"/>
        <v>0</v>
      </c>
      <c r="L2963" s="65">
        <v>2957</v>
      </c>
      <c r="M2963" s="71">
        <f t="shared" ca="1" si="234"/>
        <v>0.68413050337390446</v>
      </c>
      <c r="N2963" s="65"/>
    </row>
    <row r="2964" spans="1:14" x14ac:dyDescent="0.25">
      <c r="A2964" s="2">
        <v>2958</v>
      </c>
      <c r="B2964" s="11">
        <f t="shared" ca="1" si="231"/>
        <v>0</v>
      </c>
      <c r="C2964" s="26">
        <f t="shared" ca="1" si="235"/>
        <v>0.81233724210270641</v>
      </c>
      <c r="J2964">
        <f t="shared" ca="1" si="232"/>
        <v>0</v>
      </c>
      <c r="K2964">
        <f t="shared" ca="1" si="233"/>
        <v>1</v>
      </c>
      <c r="L2964" s="65">
        <v>2958</v>
      </c>
      <c r="M2964" s="71">
        <f t="shared" ca="1" si="234"/>
        <v>0</v>
      </c>
      <c r="N2964" s="65"/>
    </row>
    <row r="2965" spans="1:14" x14ac:dyDescent="0.25">
      <c r="A2965" s="2">
        <v>2959</v>
      </c>
      <c r="B2965" s="11">
        <f t="shared" ca="1" si="231"/>
        <v>0</v>
      </c>
      <c r="C2965" s="26">
        <f t="shared" ca="1" si="235"/>
        <v>0.97146176294397368</v>
      </c>
      <c r="J2965">
        <f t="shared" ca="1" si="232"/>
        <v>0</v>
      </c>
      <c r="K2965">
        <f t="shared" ca="1" si="233"/>
        <v>0</v>
      </c>
      <c r="L2965" s="65">
        <v>2959</v>
      </c>
      <c r="M2965" s="71">
        <f t="shared" ca="1" si="234"/>
        <v>0</v>
      </c>
      <c r="N2965" s="65"/>
    </row>
    <row r="2966" spans="1:14" x14ac:dyDescent="0.25">
      <c r="A2966" s="2">
        <v>2960</v>
      </c>
      <c r="B2966" s="11">
        <f t="shared" ca="1" si="231"/>
        <v>1</v>
      </c>
      <c r="C2966" s="26">
        <f t="shared" ca="1" si="235"/>
        <v>0.50197309485913344</v>
      </c>
      <c r="J2966">
        <f t="shared" ca="1" si="232"/>
        <v>1</v>
      </c>
      <c r="K2966">
        <f t="shared" ca="1" si="233"/>
        <v>0</v>
      </c>
      <c r="L2966" s="65">
        <v>2960</v>
      </c>
      <c r="M2966" s="71">
        <f t="shared" ca="1" si="234"/>
        <v>3.7308340904559669</v>
      </c>
      <c r="N2966" s="65"/>
    </row>
    <row r="2967" spans="1:14" x14ac:dyDescent="0.25">
      <c r="A2967" s="2">
        <v>2961</v>
      </c>
      <c r="B2967" s="11">
        <f t="shared" ca="1" si="231"/>
        <v>1</v>
      </c>
      <c r="C2967" s="26">
        <f t="shared" ca="1" si="235"/>
        <v>0.21643684292281751</v>
      </c>
      <c r="J2967">
        <f t="shared" ca="1" si="232"/>
        <v>1</v>
      </c>
      <c r="K2967">
        <f t="shared" ca="1" si="233"/>
        <v>0</v>
      </c>
      <c r="L2967" s="65">
        <v>2961</v>
      </c>
      <c r="M2967" s="71">
        <f t="shared" ca="1" si="234"/>
        <v>0.62640898481492469</v>
      </c>
      <c r="N2967" s="65"/>
    </row>
    <row r="2968" spans="1:14" x14ac:dyDescent="0.25">
      <c r="A2968" s="2">
        <v>2962</v>
      </c>
      <c r="B2968" s="11">
        <f t="shared" ca="1" si="231"/>
        <v>1</v>
      </c>
      <c r="C2968" s="26">
        <f t="shared" ca="1" si="235"/>
        <v>0.41679601061484273</v>
      </c>
      <c r="J2968">
        <f t="shared" ca="1" si="232"/>
        <v>1</v>
      </c>
      <c r="K2968">
        <f t="shared" ca="1" si="233"/>
        <v>0</v>
      </c>
      <c r="L2968" s="65">
        <v>2962</v>
      </c>
      <c r="M2968" s="71">
        <f t="shared" ca="1" si="234"/>
        <v>0.19980497202163675</v>
      </c>
      <c r="N2968" s="65"/>
    </row>
    <row r="2969" spans="1:14" x14ac:dyDescent="0.25">
      <c r="A2969" s="2">
        <v>2963</v>
      </c>
      <c r="B2969" s="11">
        <f t="shared" ca="1" si="231"/>
        <v>1</v>
      </c>
      <c r="C2969" s="26">
        <f t="shared" ca="1" si="235"/>
        <v>0.4703228695671231</v>
      </c>
      <c r="J2969">
        <f t="shared" ca="1" si="232"/>
        <v>0</v>
      </c>
      <c r="K2969">
        <f t="shared" ca="1" si="233"/>
        <v>0</v>
      </c>
      <c r="L2969" s="65">
        <v>2963</v>
      </c>
      <c r="M2969" s="71">
        <f t="shared" ca="1" si="234"/>
        <v>1.5959868555296761</v>
      </c>
      <c r="N2969" s="65"/>
    </row>
    <row r="2970" spans="1:14" x14ac:dyDescent="0.25">
      <c r="A2970" s="2">
        <v>2964</v>
      </c>
      <c r="B2970" s="11">
        <f t="shared" ca="1" si="231"/>
        <v>0</v>
      </c>
      <c r="C2970" s="26">
        <f t="shared" ca="1" si="235"/>
        <v>0.85631035021590807</v>
      </c>
      <c r="J2970">
        <f t="shared" ca="1" si="232"/>
        <v>0</v>
      </c>
      <c r="K2970">
        <f t="shared" ca="1" si="233"/>
        <v>0</v>
      </c>
      <c r="L2970" s="65">
        <v>2964</v>
      </c>
      <c r="M2970" s="71">
        <f t="shared" ca="1" si="234"/>
        <v>0</v>
      </c>
      <c r="N2970" s="65"/>
    </row>
    <row r="2971" spans="1:14" x14ac:dyDescent="0.25">
      <c r="A2971" s="2">
        <v>2965</v>
      </c>
      <c r="B2971" s="11">
        <f t="shared" ca="1" si="231"/>
        <v>1</v>
      </c>
      <c r="C2971" s="26">
        <f t="shared" ca="1" si="235"/>
        <v>0.24246484030470328</v>
      </c>
      <c r="J2971">
        <f t="shared" ca="1" si="232"/>
        <v>1</v>
      </c>
      <c r="K2971">
        <f t="shared" ca="1" si="233"/>
        <v>0</v>
      </c>
      <c r="L2971" s="65">
        <v>2965</v>
      </c>
      <c r="M2971" s="71">
        <f t="shared" ca="1" si="234"/>
        <v>4.117960553651856</v>
      </c>
      <c r="N2971" s="65"/>
    </row>
    <row r="2972" spans="1:14" x14ac:dyDescent="0.25">
      <c r="A2972" s="2">
        <v>2966</v>
      </c>
      <c r="B2972" s="11">
        <f t="shared" ca="1" si="231"/>
        <v>1</v>
      </c>
      <c r="C2972" s="26">
        <f t="shared" ca="1" si="235"/>
        <v>0.16996908511192488</v>
      </c>
      <c r="J2972">
        <f t="shared" ca="1" si="232"/>
        <v>0</v>
      </c>
      <c r="K2972">
        <f t="shared" ca="1" si="233"/>
        <v>0</v>
      </c>
      <c r="L2972" s="65">
        <v>2966</v>
      </c>
      <c r="M2972" s="71">
        <f t="shared" ca="1" si="234"/>
        <v>2.7037338212349762</v>
      </c>
      <c r="N2972" s="65"/>
    </row>
    <row r="2973" spans="1:14" x14ac:dyDescent="0.25">
      <c r="A2973" s="2">
        <v>2967</v>
      </c>
      <c r="B2973" s="11">
        <f t="shared" ca="1" si="231"/>
        <v>0</v>
      </c>
      <c r="C2973" s="26">
        <f t="shared" ca="1" si="235"/>
        <v>0.88148843449366998</v>
      </c>
      <c r="J2973">
        <f t="shared" ca="1" si="232"/>
        <v>0</v>
      </c>
      <c r="K2973">
        <f t="shared" ca="1" si="233"/>
        <v>1</v>
      </c>
      <c r="L2973" s="65">
        <v>2967</v>
      </c>
      <c r="M2973" s="71">
        <f t="shared" ca="1" si="234"/>
        <v>0</v>
      </c>
      <c r="N2973" s="65"/>
    </row>
    <row r="2974" spans="1:14" x14ac:dyDescent="0.25">
      <c r="A2974" s="2">
        <v>2968</v>
      </c>
      <c r="B2974" s="11">
        <f t="shared" ca="1" si="231"/>
        <v>0</v>
      </c>
      <c r="C2974" s="26">
        <f t="shared" ca="1" si="235"/>
        <v>0.79545236769094108</v>
      </c>
      <c r="J2974">
        <f t="shared" ca="1" si="232"/>
        <v>0</v>
      </c>
      <c r="K2974">
        <f t="shared" ca="1" si="233"/>
        <v>1</v>
      </c>
      <c r="L2974" s="65">
        <v>2968</v>
      </c>
      <c r="M2974" s="71">
        <f t="shared" ca="1" si="234"/>
        <v>0</v>
      </c>
      <c r="N2974" s="65"/>
    </row>
    <row r="2975" spans="1:14" x14ac:dyDescent="0.25">
      <c r="A2975" s="2">
        <v>2969</v>
      </c>
      <c r="B2975" s="11">
        <f t="shared" ca="1" si="231"/>
        <v>0</v>
      </c>
      <c r="C2975" s="26">
        <f t="shared" ca="1" si="235"/>
        <v>0.75692819353523888</v>
      </c>
      <c r="J2975">
        <f t="shared" ca="1" si="232"/>
        <v>0</v>
      </c>
      <c r="K2975">
        <f t="shared" ca="1" si="233"/>
        <v>0</v>
      </c>
      <c r="L2975" s="65">
        <v>2969</v>
      </c>
      <c r="M2975" s="71">
        <f t="shared" ca="1" si="234"/>
        <v>0</v>
      </c>
      <c r="N2975" s="65"/>
    </row>
    <row r="2976" spans="1:14" x14ac:dyDescent="0.25">
      <c r="A2976" s="2">
        <v>2970</v>
      </c>
      <c r="B2976" s="11">
        <f t="shared" ca="1" si="231"/>
        <v>1</v>
      </c>
      <c r="C2976" s="26">
        <f t="shared" ca="1" si="235"/>
        <v>6.3131876453273672E-2</v>
      </c>
      <c r="J2976">
        <f t="shared" ca="1" si="232"/>
        <v>1</v>
      </c>
      <c r="K2976">
        <f t="shared" ca="1" si="233"/>
        <v>0</v>
      </c>
      <c r="L2976" s="65">
        <v>2970</v>
      </c>
      <c r="M2976" s="71">
        <f t="shared" ca="1" si="234"/>
        <v>2.0455035544535645</v>
      </c>
      <c r="N2976" s="65"/>
    </row>
    <row r="2977" spans="1:14" x14ac:dyDescent="0.25">
      <c r="A2977" s="2">
        <v>2971</v>
      </c>
      <c r="B2977" s="11">
        <f t="shared" ca="1" si="231"/>
        <v>1</v>
      </c>
      <c r="C2977" s="26">
        <f t="shared" ca="1" si="235"/>
        <v>0.37620561229962968</v>
      </c>
      <c r="J2977">
        <f t="shared" ca="1" si="232"/>
        <v>1</v>
      </c>
      <c r="K2977">
        <f t="shared" ca="1" si="233"/>
        <v>0</v>
      </c>
      <c r="L2977" s="65">
        <v>2971</v>
      </c>
      <c r="M2977" s="71">
        <f t="shared" ca="1" si="234"/>
        <v>3.8059252261274237</v>
      </c>
      <c r="N2977" s="65"/>
    </row>
    <row r="2978" spans="1:14" x14ac:dyDescent="0.25">
      <c r="A2978" s="2">
        <v>2972</v>
      </c>
      <c r="B2978" s="11">
        <f t="shared" ca="1" si="231"/>
        <v>1</v>
      </c>
      <c r="C2978" s="26">
        <f t="shared" ca="1" si="235"/>
        <v>0.73075775211759753</v>
      </c>
      <c r="J2978">
        <f t="shared" ca="1" si="232"/>
        <v>1</v>
      </c>
      <c r="K2978">
        <f t="shared" ca="1" si="233"/>
        <v>0</v>
      </c>
      <c r="L2978" s="65">
        <v>2972</v>
      </c>
      <c r="M2978" s="71">
        <f t="shared" ca="1" si="234"/>
        <v>2.4140423942475682</v>
      </c>
      <c r="N2978" s="65"/>
    </row>
    <row r="2979" spans="1:14" x14ac:dyDescent="0.25">
      <c r="A2979" s="2">
        <v>2973</v>
      </c>
      <c r="B2979" s="11">
        <f t="shared" ca="1" si="231"/>
        <v>1</v>
      </c>
      <c r="C2979" s="26">
        <f t="shared" ca="1" si="235"/>
        <v>8.4669471099770965E-2</v>
      </c>
      <c r="J2979">
        <f t="shared" ca="1" si="232"/>
        <v>1</v>
      </c>
      <c r="K2979">
        <f t="shared" ca="1" si="233"/>
        <v>0</v>
      </c>
      <c r="L2979" s="65">
        <v>2973</v>
      </c>
      <c r="M2979" s="71">
        <f t="shared" ca="1" si="234"/>
        <v>0.40551015563573295</v>
      </c>
      <c r="N2979" s="65"/>
    </row>
    <row r="2980" spans="1:14" x14ac:dyDescent="0.25">
      <c r="A2980" s="2">
        <v>2974</v>
      </c>
      <c r="B2980" s="11">
        <f t="shared" ca="1" si="231"/>
        <v>1</v>
      </c>
      <c r="C2980" s="26">
        <f t="shared" ca="1" si="235"/>
        <v>0.24521933719200084</v>
      </c>
      <c r="J2980">
        <f t="shared" ca="1" si="232"/>
        <v>0</v>
      </c>
      <c r="K2980">
        <f t="shared" ca="1" si="233"/>
        <v>0</v>
      </c>
      <c r="L2980" s="65">
        <v>2974</v>
      </c>
      <c r="M2980" s="71">
        <f t="shared" ca="1" si="234"/>
        <v>9.1928774043151673</v>
      </c>
      <c r="N2980" s="65"/>
    </row>
    <row r="2981" spans="1:14" x14ac:dyDescent="0.25">
      <c r="A2981" s="2">
        <v>2975</v>
      </c>
      <c r="B2981" s="11">
        <f t="shared" ca="1" si="231"/>
        <v>0</v>
      </c>
      <c r="C2981" s="26">
        <f t="shared" ca="1" si="235"/>
        <v>0.96045161543815294</v>
      </c>
      <c r="J2981">
        <f t="shared" ca="1" si="232"/>
        <v>0</v>
      </c>
      <c r="K2981">
        <f t="shared" ca="1" si="233"/>
        <v>0</v>
      </c>
      <c r="L2981" s="65">
        <v>2975</v>
      </c>
      <c r="M2981" s="71">
        <f t="shared" ca="1" si="234"/>
        <v>0</v>
      </c>
      <c r="N2981" s="65"/>
    </row>
    <row r="2982" spans="1:14" x14ac:dyDescent="0.25">
      <c r="A2982" s="2">
        <v>2976</v>
      </c>
      <c r="B2982" s="11">
        <f t="shared" ca="1" si="231"/>
        <v>1</v>
      </c>
      <c r="C2982" s="26">
        <f t="shared" ca="1" si="235"/>
        <v>1.5607671913911991E-2</v>
      </c>
      <c r="J2982">
        <f t="shared" ca="1" si="232"/>
        <v>1</v>
      </c>
      <c r="K2982">
        <f t="shared" ca="1" si="233"/>
        <v>0</v>
      </c>
      <c r="L2982" s="65">
        <v>2976</v>
      </c>
      <c r="M2982" s="71">
        <f t="shared" ca="1" si="234"/>
        <v>1.5495773709696814</v>
      </c>
      <c r="N2982" s="65"/>
    </row>
    <row r="2983" spans="1:14" x14ac:dyDescent="0.25">
      <c r="A2983" s="2">
        <v>2977</v>
      </c>
      <c r="B2983" s="11">
        <f t="shared" ca="1" si="231"/>
        <v>1</v>
      </c>
      <c r="C2983" s="26">
        <f t="shared" ca="1" si="235"/>
        <v>2.2257587276276025E-2</v>
      </c>
      <c r="J2983">
        <f t="shared" ca="1" si="232"/>
        <v>0</v>
      </c>
      <c r="K2983">
        <f t="shared" ca="1" si="233"/>
        <v>0</v>
      </c>
      <c r="L2983" s="65">
        <v>2977</v>
      </c>
      <c r="M2983" s="71">
        <f t="shared" ca="1" si="234"/>
        <v>6.1377365810069211</v>
      </c>
      <c r="N2983" s="65"/>
    </row>
    <row r="2984" spans="1:14" x14ac:dyDescent="0.25">
      <c r="A2984" s="2">
        <v>2978</v>
      </c>
      <c r="B2984" s="11">
        <f t="shared" ca="1" si="231"/>
        <v>0</v>
      </c>
      <c r="C2984" s="26">
        <f t="shared" ca="1" si="235"/>
        <v>0.8154518532515781</v>
      </c>
      <c r="J2984">
        <f t="shared" ca="1" si="232"/>
        <v>0</v>
      </c>
      <c r="K2984">
        <f t="shared" ca="1" si="233"/>
        <v>0</v>
      </c>
      <c r="L2984" s="65">
        <v>2978</v>
      </c>
      <c r="M2984" s="71">
        <f t="shared" ca="1" si="234"/>
        <v>0</v>
      </c>
      <c r="N2984" s="65"/>
    </row>
    <row r="2985" spans="1:14" x14ac:dyDescent="0.25">
      <c r="A2985" s="2">
        <v>2979</v>
      </c>
      <c r="B2985" s="11">
        <f t="shared" ca="1" si="231"/>
        <v>1</v>
      </c>
      <c r="C2985" s="26">
        <f t="shared" ca="1" si="235"/>
        <v>0.64800402649165856</v>
      </c>
      <c r="J2985">
        <f t="shared" ca="1" si="232"/>
        <v>1</v>
      </c>
      <c r="K2985">
        <f t="shared" ca="1" si="233"/>
        <v>0</v>
      </c>
      <c r="L2985" s="65">
        <v>2979</v>
      </c>
      <c r="M2985" s="71">
        <f t="shared" ca="1" si="234"/>
        <v>16.987632477500615</v>
      </c>
      <c r="N2985" s="65"/>
    </row>
    <row r="2986" spans="1:14" x14ac:dyDescent="0.25">
      <c r="A2986" s="2">
        <v>2980</v>
      </c>
      <c r="B2986" s="11">
        <f t="shared" ca="1" si="231"/>
        <v>1</v>
      </c>
      <c r="C2986" s="26">
        <f t="shared" ca="1" si="235"/>
        <v>0.401692472476888</v>
      </c>
      <c r="J2986">
        <f t="shared" ca="1" si="232"/>
        <v>0</v>
      </c>
      <c r="K2986">
        <f t="shared" ca="1" si="233"/>
        <v>0</v>
      </c>
      <c r="L2986" s="65">
        <v>2980</v>
      </c>
      <c r="M2986" s="71">
        <f t="shared" ca="1" si="234"/>
        <v>5.4220933363005797</v>
      </c>
      <c r="N2986" s="65"/>
    </row>
    <row r="2987" spans="1:14" x14ac:dyDescent="0.25">
      <c r="A2987" s="2">
        <v>2981</v>
      </c>
      <c r="B2987" s="11">
        <f t="shared" ca="1" si="231"/>
        <v>0</v>
      </c>
      <c r="C2987" s="26">
        <f t="shared" ca="1" si="235"/>
        <v>0.9684451820883675</v>
      </c>
      <c r="J2987">
        <f t="shared" ca="1" si="232"/>
        <v>0</v>
      </c>
      <c r="K2987">
        <f t="shared" ca="1" si="233"/>
        <v>0</v>
      </c>
      <c r="L2987" s="65">
        <v>2981</v>
      </c>
      <c r="M2987" s="71">
        <f t="shared" ca="1" si="234"/>
        <v>0</v>
      </c>
      <c r="N2987" s="65"/>
    </row>
    <row r="2988" spans="1:14" x14ac:dyDescent="0.25">
      <c r="A2988" s="2">
        <v>2982</v>
      </c>
      <c r="B2988" s="11">
        <f t="shared" ca="1" si="231"/>
        <v>1</v>
      </c>
      <c r="C2988" s="26">
        <f t="shared" ca="1" si="235"/>
        <v>0.59673007665179834</v>
      </c>
      <c r="J2988">
        <f t="shared" ca="1" si="232"/>
        <v>1</v>
      </c>
      <c r="K2988">
        <f t="shared" ca="1" si="233"/>
        <v>0</v>
      </c>
      <c r="L2988" s="65">
        <v>2982</v>
      </c>
      <c r="M2988" s="71">
        <f t="shared" ca="1" si="234"/>
        <v>8.775028832072941</v>
      </c>
      <c r="N2988" s="65"/>
    </row>
    <row r="2989" spans="1:14" x14ac:dyDescent="0.25">
      <c r="A2989" s="2">
        <v>2983</v>
      </c>
      <c r="B2989" s="11">
        <f t="shared" ca="1" si="231"/>
        <v>1</v>
      </c>
      <c r="C2989" s="26">
        <f t="shared" ca="1" si="235"/>
        <v>0.33783209007860704</v>
      </c>
      <c r="J2989">
        <f t="shared" ca="1" si="232"/>
        <v>0</v>
      </c>
      <c r="K2989">
        <f t="shared" ca="1" si="233"/>
        <v>0</v>
      </c>
      <c r="L2989" s="65">
        <v>2983</v>
      </c>
      <c r="M2989" s="71">
        <f t="shared" ca="1" si="234"/>
        <v>2.8559202224903806</v>
      </c>
      <c r="N2989" s="65"/>
    </row>
    <row r="2990" spans="1:14" x14ac:dyDescent="0.25">
      <c r="A2990" s="2">
        <v>2984</v>
      </c>
      <c r="B2990" s="11">
        <f t="shared" ca="1" si="231"/>
        <v>0</v>
      </c>
      <c r="C2990" s="26">
        <f t="shared" ca="1" si="235"/>
        <v>0.90825650596882634</v>
      </c>
      <c r="J2990">
        <f t="shared" ca="1" si="232"/>
        <v>0</v>
      </c>
      <c r="K2990">
        <f t="shared" ca="1" si="233"/>
        <v>0</v>
      </c>
      <c r="L2990" s="65">
        <v>2984</v>
      </c>
      <c r="M2990" s="71">
        <f t="shared" ca="1" si="234"/>
        <v>0</v>
      </c>
      <c r="N2990" s="65"/>
    </row>
    <row r="2991" spans="1:14" x14ac:dyDescent="0.25">
      <c r="A2991" s="2">
        <v>2985</v>
      </c>
      <c r="B2991" s="11">
        <f t="shared" ref="B2991:B3054" ca="1" si="236">IF(B2990&gt;0,IF(C2991&lt;pww,1,0),IF(C2991&lt;pdw,1,0))</f>
        <v>1</v>
      </c>
      <c r="C2991" s="26">
        <f t="shared" ca="1" si="235"/>
        <v>0.3362723964327593</v>
      </c>
      <c r="J2991">
        <f t="shared" ref="J2991:J3054" ca="1" si="237">IF(AND(B2991,B2992),1,0)</f>
        <v>1</v>
      </c>
      <c r="K2991">
        <f t="shared" ref="K2991:K3054" ca="1" si="238">IF(AND(NOT(B2991),NOT(B2992)),1,0)</f>
        <v>0</v>
      </c>
      <c r="L2991" s="65">
        <v>2985</v>
      </c>
      <c r="M2991" s="71">
        <f t="shared" ca="1" si="234"/>
        <v>2.9766314406455217</v>
      </c>
      <c r="N2991" s="65"/>
    </row>
    <row r="2992" spans="1:14" x14ac:dyDescent="0.25">
      <c r="A2992" s="2">
        <v>2986</v>
      </c>
      <c r="B2992" s="11">
        <f t="shared" ca="1" si="236"/>
        <v>1</v>
      </c>
      <c r="C2992" s="26">
        <f t="shared" ca="1" si="235"/>
        <v>0.37724836115289961</v>
      </c>
      <c r="J2992">
        <f t="shared" ca="1" si="237"/>
        <v>0</v>
      </c>
      <c r="K2992">
        <f t="shared" ca="1" si="238"/>
        <v>0</v>
      </c>
      <c r="L2992" s="65">
        <v>2986</v>
      </c>
      <c r="M2992" s="71">
        <f t="shared" ca="1" si="234"/>
        <v>1.4374800122726825</v>
      </c>
      <c r="N2992" s="65"/>
    </row>
    <row r="2993" spans="1:14" x14ac:dyDescent="0.25">
      <c r="A2993" s="2">
        <v>2987</v>
      </c>
      <c r="B2993" s="11">
        <f t="shared" ca="1" si="236"/>
        <v>0</v>
      </c>
      <c r="C2993" s="26">
        <f t="shared" ca="1" si="235"/>
        <v>0.96919736684569546</v>
      </c>
      <c r="J2993">
        <f t="shared" ca="1" si="237"/>
        <v>0</v>
      </c>
      <c r="K2993">
        <f t="shared" ca="1" si="238"/>
        <v>0</v>
      </c>
      <c r="L2993" s="65">
        <v>2987</v>
      </c>
      <c r="M2993" s="71">
        <f t="shared" ca="1" si="234"/>
        <v>0</v>
      </c>
      <c r="N2993" s="65"/>
    </row>
    <row r="2994" spans="1:14" x14ac:dyDescent="0.25">
      <c r="A2994" s="2">
        <v>2988</v>
      </c>
      <c r="B2994" s="11">
        <f t="shared" ca="1" si="236"/>
        <v>1</v>
      </c>
      <c r="C2994" s="26">
        <f t="shared" ca="1" si="235"/>
        <v>0.15027221046924844</v>
      </c>
      <c r="J2994">
        <f t="shared" ca="1" si="237"/>
        <v>0</v>
      </c>
      <c r="K2994">
        <f t="shared" ca="1" si="238"/>
        <v>0</v>
      </c>
      <c r="L2994" s="65">
        <v>2988</v>
      </c>
      <c r="M2994" s="71">
        <f t="shared" ca="1" si="234"/>
        <v>16.128714407841475</v>
      </c>
      <c r="N2994" s="65"/>
    </row>
    <row r="2995" spans="1:14" x14ac:dyDescent="0.25">
      <c r="A2995" s="2">
        <v>2989</v>
      </c>
      <c r="B2995" s="11">
        <f t="shared" ca="1" si="236"/>
        <v>0</v>
      </c>
      <c r="C2995" s="26">
        <f t="shared" ca="1" si="235"/>
        <v>0.88020164067077655</v>
      </c>
      <c r="J2995">
        <f t="shared" ca="1" si="237"/>
        <v>0</v>
      </c>
      <c r="K2995">
        <f t="shared" ca="1" si="238"/>
        <v>1</v>
      </c>
      <c r="L2995" s="65">
        <v>2989</v>
      </c>
      <c r="M2995" s="71">
        <f t="shared" ca="1" si="234"/>
        <v>0</v>
      </c>
      <c r="N2995" s="65"/>
    </row>
    <row r="2996" spans="1:14" x14ac:dyDescent="0.25">
      <c r="A2996" s="2">
        <v>2990</v>
      </c>
      <c r="B2996" s="11">
        <f t="shared" ca="1" si="236"/>
        <v>0</v>
      </c>
      <c r="C2996" s="26">
        <f t="shared" ca="1" si="235"/>
        <v>0.95406759940815133</v>
      </c>
      <c r="J2996">
        <f t="shared" ca="1" si="237"/>
        <v>0</v>
      </c>
      <c r="K2996">
        <f t="shared" ca="1" si="238"/>
        <v>0</v>
      </c>
      <c r="L2996" s="65">
        <v>2990</v>
      </c>
      <c r="M2996" s="71">
        <f t="shared" ca="1" si="234"/>
        <v>0</v>
      </c>
      <c r="N2996" s="65"/>
    </row>
    <row r="2997" spans="1:14" x14ac:dyDescent="0.25">
      <c r="A2997" s="2">
        <v>2991</v>
      </c>
      <c r="B2997" s="11">
        <f t="shared" ca="1" si="236"/>
        <v>1</v>
      </c>
      <c r="C2997" s="26">
        <f t="shared" ca="1" si="235"/>
        <v>0.53943918566482263</v>
      </c>
      <c r="J2997">
        <f t="shared" ca="1" si="237"/>
        <v>1</v>
      </c>
      <c r="K2997">
        <f t="shared" ca="1" si="238"/>
        <v>0</v>
      </c>
      <c r="L2997" s="65">
        <v>2991</v>
      </c>
      <c r="M2997" s="71">
        <f t="shared" ca="1" si="234"/>
        <v>8.2152958924815476</v>
      </c>
      <c r="N2997" s="65"/>
    </row>
    <row r="2998" spans="1:14" x14ac:dyDescent="0.25">
      <c r="A2998" s="2">
        <v>2992</v>
      </c>
      <c r="B2998" s="11">
        <f t="shared" ca="1" si="236"/>
        <v>1</v>
      </c>
      <c r="C2998" s="26">
        <f t="shared" ca="1" si="235"/>
        <v>0.35264929578109383</v>
      </c>
      <c r="J2998">
        <f t="shared" ca="1" si="237"/>
        <v>1</v>
      </c>
      <c r="K2998">
        <f t="shared" ca="1" si="238"/>
        <v>0</v>
      </c>
      <c r="L2998" s="65">
        <v>2992</v>
      </c>
      <c r="M2998" s="71">
        <f t="shared" ca="1" si="234"/>
        <v>10.536382198924283</v>
      </c>
      <c r="N2998" s="65"/>
    </row>
    <row r="2999" spans="1:14" x14ac:dyDescent="0.25">
      <c r="A2999" s="2">
        <v>2993</v>
      </c>
      <c r="B2999" s="11">
        <f t="shared" ca="1" si="236"/>
        <v>1</v>
      </c>
      <c r="C2999" s="26">
        <f t="shared" ca="1" si="235"/>
        <v>0.58114448203682612</v>
      </c>
      <c r="J2999">
        <f t="shared" ca="1" si="237"/>
        <v>1</v>
      </c>
      <c r="K2999">
        <f t="shared" ca="1" si="238"/>
        <v>0</v>
      </c>
      <c r="L2999" s="65">
        <v>2993</v>
      </c>
      <c r="M2999" s="71">
        <f t="shared" ca="1" si="234"/>
        <v>4.7799466915515586E-2</v>
      </c>
      <c r="N2999" s="65"/>
    </row>
    <row r="3000" spans="1:14" x14ac:dyDescent="0.25">
      <c r="A3000" s="2">
        <v>2994</v>
      </c>
      <c r="B3000" s="11">
        <f t="shared" ca="1" si="236"/>
        <v>1</v>
      </c>
      <c r="C3000" s="26">
        <f t="shared" ca="1" si="235"/>
        <v>0.67768862552233644</v>
      </c>
      <c r="J3000">
        <f t="shared" ca="1" si="237"/>
        <v>1</v>
      </c>
      <c r="K3000">
        <f t="shared" ca="1" si="238"/>
        <v>0</v>
      </c>
      <c r="L3000" s="65">
        <v>2994</v>
      </c>
      <c r="M3000" s="71">
        <f t="shared" ca="1" si="234"/>
        <v>2.4475897203540509</v>
      </c>
      <c r="N3000" s="65"/>
    </row>
    <row r="3001" spans="1:14" x14ac:dyDescent="0.25">
      <c r="A3001" s="2">
        <v>2995</v>
      </c>
      <c r="B3001" s="11">
        <f t="shared" ca="1" si="236"/>
        <v>1</v>
      </c>
      <c r="C3001" s="26">
        <f t="shared" ca="1" si="235"/>
        <v>0.43832013846595996</v>
      </c>
      <c r="J3001">
        <f t="shared" ca="1" si="237"/>
        <v>1</v>
      </c>
      <c r="K3001">
        <f t="shared" ca="1" si="238"/>
        <v>0</v>
      </c>
      <c r="L3001" s="65">
        <v>2995</v>
      </c>
      <c r="M3001" s="71">
        <f t="shared" ca="1" si="234"/>
        <v>2.8600254060318782</v>
      </c>
      <c r="N3001" s="65"/>
    </row>
    <row r="3002" spans="1:14" x14ac:dyDescent="0.25">
      <c r="A3002" s="2">
        <v>2996</v>
      </c>
      <c r="B3002" s="11">
        <f t="shared" ca="1" si="236"/>
        <v>1</v>
      </c>
      <c r="C3002" s="26">
        <f t="shared" ca="1" si="235"/>
        <v>0.28607428989509531</v>
      </c>
      <c r="J3002">
        <f t="shared" ca="1" si="237"/>
        <v>1</v>
      </c>
      <c r="K3002">
        <f t="shared" ca="1" si="238"/>
        <v>0</v>
      </c>
      <c r="L3002" s="65">
        <v>2996</v>
      </c>
      <c r="M3002" s="71">
        <f t="shared" ca="1" si="234"/>
        <v>1.52827750046137</v>
      </c>
      <c r="N3002" s="65"/>
    </row>
    <row r="3003" spans="1:14" x14ac:dyDescent="0.25">
      <c r="A3003" s="2">
        <v>2997</v>
      </c>
      <c r="B3003" s="11">
        <f t="shared" ca="1" si="236"/>
        <v>1</v>
      </c>
      <c r="C3003" s="26">
        <f t="shared" ca="1" si="235"/>
        <v>0.24737158347325972</v>
      </c>
      <c r="J3003">
        <f t="shared" ca="1" si="237"/>
        <v>1</v>
      </c>
      <c r="K3003">
        <f t="shared" ca="1" si="238"/>
        <v>0</v>
      </c>
      <c r="L3003" s="65">
        <v>2997</v>
      </c>
      <c r="M3003" s="71">
        <f t="shared" ca="1" si="234"/>
        <v>6.3277555698064383</v>
      </c>
      <c r="N3003" s="65"/>
    </row>
    <row r="3004" spans="1:14" x14ac:dyDescent="0.25">
      <c r="A3004" s="2">
        <v>2998</v>
      </c>
      <c r="B3004" s="11">
        <f t="shared" ca="1" si="236"/>
        <v>1</v>
      </c>
      <c r="C3004" s="26">
        <f t="shared" ca="1" si="235"/>
        <v>0.16873757281230317</v>
      </c>
      <c r="J3004">
        <f t="shared" ca="1" si="237"/>
        <v>1</v>
      </c>
      <c r="K3004">
        <f t="shared" ca="1" si="238"/>
        <v>0</v>
      </c>
      <c r="L3004" s="65">
        <v>2998</v>
      </c>
      <c r="M3004" s="71">
        <f t="shared" ca="1" si="234"/>
        <v>5.2634451768190171</v>
      </c>
      <c r="N3004" s="65"/>
    </row>
    <row r="3005" spans="1:14" x14ac:dyDescent="0.25">
      <c r="A3005" s="2">
        <v>2999</v>
      </c>
      <c r="B3005" s="11">
        <f t="shared" ca="1" si="236"/>
        <v>1</v>
      </c>
      <c r="C3005" s="26">
        <f t="shared" ca="1" si="235"/>
        <v>0.4148174958759443</v>
      </c>
      <c r="J3005">
        <f t="shared" ca="1" si="237"/>
        <v>1</v>
      </c>
      <c r="K3005">
        <f t="shared" ca="1" si="238"/>
        <v>0</v>
      </c>
      <c r="L3005" s="65">
        <v>2999</v>
      </c>
      <c r="M3005" s="71">
        <f t="shared" ca="1" si="234"/>
        <v>0.38154476294599476</v>
      </c>
      <c r="N3005" s="65"/>
    </row>
    <row r="3006" spans="1:14" x14ac:dyDescent="0.25">
      <c r="A3006" s="2">
        <v>3000</v>
      </c>
      <c r="B3006" s="11">
        <f t="shared" ca="1" si="236"/>
        <v>1</v>
      </c>
      <c r="C3006" s="26">
        <f t="shared" ca="1" si="235"/>
        <v>9.5489739631189452E-2</v>
      </c>
      <c r="J3006">
        <f t="shared" ca="1" si="237"/>
        <v>1</v>
      </c>
      <c r="K3006">
        <f t="shared" ca="1" si="238"/>
        <v>0</v>
      </c>
      <c r="L3006" s="65">
        <v>3000</v>
      </c>
      <c r="M3006" s="71">
        <f t="shared" ca="1" si="234"/>
        <v>0.33118779813735605</v>
      </c>
      <c r="N3006" s="65"/>
    </row>
    <row r="3007" spans="1:14" x14ac:dyDescent="0.25">
      <c r="A3007" s="2">
        <v>3001</v>
      </c>
      <c r="B3007" s="11">
        <f t="shared" ca="1" si="236"/>
        <v>1</v>
      </c>
      <c r="C3007" s="26">
        <f t="shared" ca="1" si="235"/>
        <v>0.31046820778238293</v>
      </c>
      <c r="J3007">
        <f t="shared" ca="1" si="237"/>
        <v>0</v>
      </c>
      <c r="K3007">
        <f t="shared" ca="1" si="238"/>
        <v>0</v>
      </c>
      <c r="L3007" s="65">
        <v>3001</v>
      </c>
      <c r="M3007" s="71">
        <f t="shared" ca="1" si="234"/>
        <v>2.1989981732601263</v>
      </c>
      <c r="N3007" s="65"/>
    </row>
    <row r="3008" spans="1:14" x14ac:dyDescent="0.25">
      <c r="A3008" s="2">
        <v>3002</v>
      </c>
      <c r="B3008" s="11">
        <f t="shared" ca="1" si="236"/>
        <v>0</v>
      </c>
      <c r="C3008" s="26">
        <f t="shared" ca="1" si="235"/>
        <v>0.89685815734724528</v>
      </c>
      <c r="J3008">
        <f t="shared" ca="1" si="237"/>
        <v>0</v>
      </c>
      <c r="K3008">
        <f t="shared" ca="1" si="238"/>
        <v>0</v>
      </c>
      <c r="L3008" s="65">
        <v>3002</v>
      </c>
      <c r="M3008" s="71">
        <f t="shared" ca="1" si="234"/>
        <v>0</v>
      </c>
      <c r="N3008" s="65"/>
    </row>
    <row r="3009" spans="1:14" x14ac:dyDescent="0.25">
      <c r="A3009" s="2">
        <v>3003</v>
      </c>
      <c r="B3009" s="11">
        <f t="shared" ca="1" si="236"/>
        <v>1</v>
      </c>
      <c r="C3009" s="26">
        <f t="shared" ca="1" si="235"/>
        <v>0.55075896145333647</v>
      </c>
      <c r="J3009">
        <f t="shared" ca="1" si="237"/>
        <v>1</v>
      </c>
      <c r="K3009">
        <f t="shared" ca="1" si="238"/>
        <v>0</v>
      </c>
      <c r="L3009" s="65">
        <v>3003</v>
      </c>
      <c r="M3009" s="71">
        <f t="shared" ca="1" si="234"/>
        <v>0.17949250670055103</v>
      </c>
      <c r="N3009" s="65"/>
    </row>
    <row r="3010" spans="1:14" x14ac:dyDescent="0.25">
      <c r="A3010" s="2">
        <v>3004</v>
      </c>
      <c r="B3010" s="11">
        <f t="shared" ca="1" si="236"/>
        <v>1</v>
      </c>
      <c r="C3010" s="26">
        <f t="shared" ca="1" si="235"/>
        <v>0.49549338930008024</v>
      </c>
      <c r="J3010">
        <f t="shared" ca="1" si="237"/>
        <v>1</v>
      </c>
      <c r="K3010">
        <f t="shared" ca="1" si="238"/>
        <v>0</v>
      </c>
      <c r="L3010" s="65">
        <v>3004</v>
      </c>
      <c r="M3010" s="71">
        <f t="shared" ca="1" si="234"/>
        <v>0.47741289349620564</v>
      </c>
      <c r="N3010" s="65"/>
    </row>
    <row r="3011" spans="1:14" x14ac:dyDescent="0.25">
      <c r="A3011" s="2">
        <v>3005</v>
      </c>
      <c r="B3011" s="11">
        <f t="shared" ca="1" si="236"/>
        <v>1</v>
      </c>
      <c r="C3011" s="26">
        <f t="shared" ca="1" si="235"/>
        <v>0.71823313473363382</v>
      </c>
      <c r="J3011">
        <f t="shared" ca="1" si="237"/>
        <v>1</v>
      </c>
      <c r="K3011">
        <f t="shared" ca="1" si="238"/>
        <v>0</v>
      </c>
      <c r="L3011" s="65">
        <v>3005</v>
      </c>
      <c r="M3011" s="71">
        <f t="shared" ca="1" si="234"/>
        <v>2.1947387419638167</v>
      </c>
      <c r="N3011" s="65"/>
    </row>
    <row r="3012" spans="1:14" x14ac:dyDescent="0.25">
      <c r="A3012" s="2">
        <v>3006</v>
      </c>
      <c r="B3012" s="11">
        <f t="shared" ca="1" si="236"/>
        <v>1</v>
      </c>
      <c r="C3012" s="26">
        <f t="shared" ca="1" si="235"/>
        <v>0.34216921538547429</v>
      </c>
      <c r="J3012">
        <f t="shared" ca="1" si="237"/>
        <v>0</v>
      </c>
      <c r="K3012">
        <f t="shared" ca="1" si="238"/>
        <v>0</v>
      </c>
      <c r="L3012" s="65">
        <v>3006</v>
      </c>
      <c r="M3012" s="71">
        <f t="shared" ca="1" si="234"/>
        <v>3.7328603500222175</v>
      </c>
      <c r="N3012" s="65"/>
    </row>
    <row r="3013" spans="1:14" x14ac:dyDescent="0.25">
      <c r="A3013" s="2">
        <v>3007</v>
      </c>
      <c r="B3013" s="11">
        <f t="shared" ca="1" si="236"/>
        <v>0</v>
      </c>
      <c r="C3013" s="26">
        <f t="shared" ca="1" si="235"/>
        <v>0.8408019043491789</v>
      </c>
      <c r="J3013">
        <f t="shared" ca="1" si="237"/>
        <v>0</v>
      </c>
      <c r="K3013">
        <f t="shared" ca="1" si="238"/>
        <v>1</v>
      </c>
      <c r="L3013" s="65">
        <v>3007</v>
      </c>
      <c r="M3013" s="71">
        <f t="shared" ca="1" si="234"/>
        <v>0</v>
      </c>
      <c r="N3013" s="65"/>
    </row>
    <row r="3014" spans="1:14" x14ac:dyDescent="0.25">
      <c r="A3014" s="2">
        <v>3008</v>
      </c>
      <c r="B3014" s="11">
        <f t="shared" ca="1" si="236"/>
        <v>0</v>
      </c>
      <c r="C3014" s="26">
        <f t="shared" ca="1" si="235"/>
        <v>0.7845919785607901</v>
      </c>
      <c r="J3014">
        <f t="shared" ca="1" si="237"/>
        <v>0</v>
      </c>
      <c r="K3014">
        <f t="shared" ca="1" si="238"/>
        <v>0</v>
      </c>
      <c r="L3014" s="65">
        <v>3008</v>
      </c>
      <c r="M3014" s="71">
        <f t="shared" ca="1" si="234"/>
        <v>0</v>
      </c>
      <c r="N3014" s="65"/>
    </row>
    <row r="3015" spans="1:14" x14ac:dyDescent="0.25">
      <c r="A3015" s="2">
        <v>3009</v>
      </c>
      <c r="B3015" s="11">
        <f t="shared" ca="1" si="236"/>
        <v>1</v>
      </c>
      <c r="C3015" s="26">
        <f t="shared" ca="1" si="235"/>
        <v>0.10636547260183105</v>
      </c>
      <c r="J3015">
        <f t="shared" ca="1" si="237"/>
        <v>1</v>
      </c>
      <c r="K3015">
        <f t="shared" ca="1" si="238"/>
        <v>0</v>
      </c>
      <c r="L3015" s="65">
        <v>3009</v>
      </c>
      <c r="M3015" s="71">
        <f t="shared" ref="M3015:M3078" ca="1" si="239">IF(B3015&gt;0,-LN(1-(RAND()))/lambda,0)</f>
        <v>2.3751803818325574</v>
      </c>
      <c r="N3015" s="65"/>
    </row>
    <row r="3016" spans="1:14" x14ac:dyDescent="0.25">
      <c r="A3016" s="2">
        <v>3010</v>
      </c>
      <c r="B3016" s="11">
        <f t="shared" ca="1" si="236"/>
        <v>1</v>
      </c>
      <c r="C3016" s="26">
        <f t="shared" ref="C3016:C3079" ca="1" si="240">RAND()</f>
        <v>0.18529149714815807</v>
      </c>
      <c r="J3016">
        <f t="shared" ca="1" si="237"/>
        <v>0</v>
      </c>
      <c r="K3016">
        <f t="shared" ca="1" si="238"/>
        <v>0</v>
      </c>
      <c r="L3016" s="65">
        <v>3010</v>
      </c>
      <c r="M3016" s="71">
        <f t="shared" ca="1" si="239"/>
        <v>1.3008756268260053</v>
      </c>
      <c r="N3016" s="65"/>
    </row>
    <row r="3017" spans="1:14" x14ac:dyDescent="0.25">
      <c r="A3017" s="2">
        <v>3011</v>
      </c>
      <c r="B3017" s="11">
        <f t="shared" ca="1" si="236"/>
        <v>0</v>
      </c>
      <c r="C3017" s="26">
        <f t="shared" ca="1" si="240"/>
        <v>0.98039965595539591</v>
      </c>
      <c r="J3017">
        <f t="shared" ca="1" si="237"/>
        <v>0</v>
      </c>
      <c r="K3017">
        <f t="shared" ca="1" si="238"/>
        <v>1</v>
      </c>
      <c r="L3017" s="65">
        <v>3011</v>
      </c>
      <c r="M3017" s="71">
        <f t="shared" ca="1" si="239"/>
        <v>0</v>
      </c>
      <c r="N3017" s="65"/>
    </row>
    <row r="3018" spans="1:14" x14ac:dyDescent="0.25">
      <c r="A3018" s="2">
        <v>3012</v>
      </c>
      <c r="B3018" s="11">
        <f t="shared" ca="1" si="236"/>
        <v>0</v>
      </c>
      <c r="C3018" s="26">
        <f t="shared" ca="1" si="240"/>
        <v>0.90825012696693574</v>
      </c>
      <c r="J3018">
        <f t="shared" ca="1" si="237"/>
        <v>0</v>
      </c>
      <c r="K3018">
        <f t="shared" ca="1" si="238"/>
        <v>1</v>
      </c>
      <c r="L3018" s="65">
        <v>3012</v>
      </c>
      <c r="M3018" s="71">
        <f t="shared" ca="1" si="239"/>
        <v>0</v>
      </c>
      <c r="N3018" s="65"/>
    </row>
    <row r="3019" spans="1:14" x14ac:dyDescent="0.25">
      <c r="A3019" s="2">
        <v>3013</v>
      </c>
      <c r="B3019" s="11">
        <f t="shared" ca="1" si="236"/>
        <v>0</v>
      </c>
      <c r="C3019" s="26">
        <f t="shared" ca="1" si="240"/>
        <v>0.81830835014499204</v>
      </c>
      <c r="J3019">
        <f t="shared" ca="1" si="237"/>
        <v>0</v>
      </c>
      <c r="K3019">
        <f t="shared" ca="1" si="238"/>
        <v>0</v>
      </c>
      <c r="L3019" s="65">
        <v>3013</v>
      </c>
      <c r="M3019" s="71">
        <f t="shared" ca="1" si="239"/>
        <v>0</v>
      </c>
      <c r="N3019" s="65"/>
    </row>
    <row r="3020" spans="1:14" x14ac:dyDescent="0.25">
      <c r="A3020" s="2">
        <v>3014</v>
      </c>
      <c r="B3020" s="11">
        <f t="shared" ca="1" si="236"/>
        <v>1</v>
      </c>
      <c r="C3020" s="26">
        <f t="shared" ca="1" si="240"/>
        <v>0.22772337343470239</v>
      </c>
      <c r="J3020">
        <f t="shared" ca="1" si="237"/>
        <v>0</v>
      </c>
      <c r="K3020">
        <f t="shared" ca="1" si="238"/>
        <v>0</v>
      </c>
      <c r="L3020" s="65">
        <v>3014</v>
      </c>
      <c r="M3020" s="71">
        <f t="shared" ca="1" si="239"/>
        <v>1.3840969907456158</v>
      </c>
      <c r="N3020" s="65"/>
    </row>
    <row r="3021" spans="1:14" x14ac:dyDescent="0.25">
      <c r="A3021" s="2">
        <v>3015</v>
      </c>
      <c r="B3021" s="11">
        <f t="shared" ca="1" si="236"/>
        <v>0</v>
      </c>
      <c r="C3021" s="26">
        <f t="shared" ca="1" si="240"/>
        <v>0.98376495808575493</v>
      </c>
      <c r="J3021">
        <f t="shared" ca="1" si="237"/>
        <v>0</v>
      </c>
      <c r="K3021">
        <f t="shared" ca="1" si="238"/>
        <v>1</v>
      </c>
      <c r="L3021" s="65">
        <v>3015</v>
      </c>
      <c r="M3021" s="71">
        <f t="shared" ca="1" si="239"/>
        <v>0</v>
      </c>
      <c r="N3021" s="65"/>
    </row>
    <row r="3022" spans="1:14" x14ac:dyDescent="0.25">
      <c r="A3022" s="2">
        <v>3016</v>
      </c>
      <c r="B3022" s="11">
        <f t="shared" ca="1" si="236"/>
        <v>0</v>
      </c>
      <c r="C3022" s="26">
        <f t="shared" ca="1" si="240"/>
        <v>0.96247900560248734</v>
      </c>
      <c r="J3022">
        <f t="shared" ca="1" si="237"/>
        <v>0</v>
      </c>
      <c r="K3022">
        <f t="shared" ca="1" si="238"/>
        <v>1</v>
      </c>
      <c r="L3022" s="65">
        <v>3016</v>
      </c>
      <c r="M3022" s="71">
        <f t="shared" ca="1" si="239"/>
        <v>0</v>
      </c>
      <c r="N3022" s="65"/>
    </row>
    <row r="3023" spans="1:14" x14ac:dyDescent="0.25">
      <c r="A3023" s="2">
        <v>3017</v>
      </c>
      <c r="B3023" s="11">
        <f t="shared" ca="1" si="236"/>
        <v>0</v>
      </c>
      <c r="C3023" s="26">
        <f t="shared" ca="1" si="240"/>
        <v>0.81454086424175653</v>
      </c>
      <c r="J3023">
        <f t="shared" ca="1" si="237"/>
        <v>0</v>
      </c>
      <c r="K3023">
        <f t="shared" ca="1" si="238"/>
        <v>1</v>
      </c>
      <c r="L3023" s="65">
        <v>3017</v>
      </c>
      <c r="M3023" s="71">
        <f t="shared" ca="1" si="239"/>
        <v>0</v>
      </c>
      <c r="N3023" s="65"/>
    </row>
    <row r="3024" spans="1:14" x14ac:dyDescent="0.25">
      <c r="A3024" s="2">
        <v>3018</v>
      </c>
      <c r="B3024" s="11">
        <f t="shared" ca="1" si="236"/>
        <v>0</v>
      </c>
      <c r="C3024" s="26">
        <f t="shared" ca="1" si="240"/>
        <v>0.86331124163497897</v>
      </c>
      <c r="J3024">
        <f t="shared" ca="1" si="237"/>
        <v>0</v>
      </c>
      <c r="K3024">
        <f t="shared" ca="1" si="238"/>
        <v>0</v>
      </c>
      <c r="L3024" s="65">
        <v>3018</v>
      </c>
      <c r="M3024" s="71">
        <f t="shared" ca="1" si="239"/>
        <v>0</v>
      </c>
      <c r="N3024" s="65"/>
    </row>
    <row r="3025" spans="1:14" x14ac:dyDescent="0.25">
      <c r="A3025" s="2">
        <v>3019</v>
      </c>
      <c r="B3025" s="11">
        <f t="shared" ca="1" si="236"/>
        <v>1</v>
      </c>
      <c r="C3025" s="26">
        <f t="shared" ca="1" si="240"/>
        <v>0.66045052991510522</v>
      </c>
      <c r="J3025">
        <f t="shared" ca="1" si="237"/>
        <v>1</v>
      </c>
      <c r="K3025">
        <f t="shared" ca="1" si="238"/>
        <v>0</v>
      </c>
      <c r="L3025" s="65">
        <v>3019</v>
      </c>
      <c r="M3025" s="71">
        <f t="shared" ca="1" si="239"/>
        <v>2.9233457543943633</v>
      </c>
      <c r="N3025" s="65"/>
    </row>
    <row r="3026" spans="1:14" x14ac:dyDescent="0.25">
      <c r="A3026" s="2">
        <v>3020</v>
      </c>
      <c r="B3026" s="11">
        <f t="shared" ca="1" si="236"/>
        <v>1</v>
      </c>
      <c r="C3026" s="26">
        <f t="shared" ca="1" si="240"/>
        <v>0.56886193868065149</v>
      </c>
      <c r="J3026">
        <f t="shared" ca="1" si="237"/>
        <v>1</v>
      </c>
      <c r="K3026">
        <f t="shared" ca="1" si="238"/>
        <v>0</v>
      </c>
      <c r="L3026" s="65">
        <v>3020</v>
      </c>
      <c r="M3026" s="71">
        <f t="shared" ca="1" si="239"/>
        <v>1.1364408829666626</v>
      </c>
      <c r="N3026" s="65"/>
    </row>
    <row r="3027" spans="1:14" x14ac:dyDescent="0.25">
      <c r="A3027" s="2">
        <v>3021</v>
      </c>
      <c r="B3027" s="11">
        <f t="shared" ca="1" si="236"/>
        <v>1</v>
      </c>
      <c r="C3027" s="26">
        <f t="shared" ca="1" si="240"/>
        <v>0.34211586661779991</v>
      </c>
      <c r="J3027">
        <f t="shared" ca="1" si="237"/>
        <v>1</v>
      </c>
      <c r="K3027">
        <f t="shared" ca="1" si="238"/>
        <v>0</v>
      </c>
      <c r="L3027" s="65">
        <v>3021</v>
      </c>
      <c r="M3027" s="71">
        <f t="shared" ca="1" si="239"/>
        <v>2.7415584322069839</v>
      </c>
      <c r="N3027" s="65"/>
    </row>
    <row r="3028" spans="1:14" x14ac:dyDescent="0.25">
      <c r="A3028" s="2">
        <v>3022</v>
      </c>
      <c r="B3028" s="11">
        <f t="shared" ca="1" si="236"/>
        <v>1</v>
      </c>
      <c r="C3028" s="26">
        <f t="shared" ca="1" si="240"/>
        <v>0.53352058535151115</v>
      </c>
      <c r="J3028">
        <f t="shared" ca="1" si="237"/>
        <v>1</v>
      </c>
      <c r="K3028">
        <f t="shared" ca="1" si="238"/>
        <v>0</v>
      </c>
      <c r="L3028" s="65">
        <v>3022</v>
      </c>
      <c r="M3028" s="71">
        <f t="shared" ca="1" si="239"/>
        <v>1.2120797269667651</v>
      </c>
      <c r="N3028" s="65"/>
    </row>
    <row r="3029" spans="1:14" x14ac:dyDescent="0.25">
      <c r="A3029" s="2">
        <v>3023</v>
      </c>
      <c r="B3029" s="11">
        <f t="shared" ca="1" si="236"/>
        <v>1</v>
      </c>
      <c r="C3029" s="26">
        <f t="shared" ca="1" si="240"/>
        <v>0.56898127885355532</v>
      </c>
      <c r="J3029">
        <f t="shared" ca="1" si="237"/>
        <v>1</v>
      </c>
      <c r="K3029">
        <f t="shared" ca="1" si="238"/>
        <v>0</v>
      </c>
      <c r="L3029" s="65">
        <v>3023</v>
      </c>
      <c r="M3029" s="71">
        <f t="shared" ca="1" si="239"/>
        <v>6.4378771912896378</v>
      </c>
      <c r="N3029" s="65"/>
    </row>
    <row r="3030" spans="1:14" x14ac:dyDescent="0.25">
      <c r="A3030" s="2">
        <v>3024</v>
      </c>
      <c r="B3030" s="11">
        <f t="shared" ca="1" si="236"/>
        <v>1</v>
      </c>
      <c r="C3030" s="26">
        <f t="shared" ca="1" si="240"/>
        <v>0.56075017909157265</v>
      </c>
      <c r="J3030">
        <f t="shared" ca="1" si="237"/>
        <v>1</v>
      </c>
      <c r="K3030">
        <f t="shared" ca="1" si="238"/>
        <v>0</v>
      </c>
      <c r="L3030" s="65">
        <v>3024</v>
      </c>
      <c r="M3030" s="71">
        <f t="shared" ca="1" si="239"/>
        <v>0.25153395426802955</v>
      </c>
      <c r="N3030" s="65"/>
    </row>
    <row r="3031" spans="1:14" x14ac:dyDescent="0.25">
      <c r="A3031" s="2">
        <v>3025</v>
      </c>
      <c r="B3031" s="11">
        <f t="shared" ca="1" si="236"/>
        <v>1</v>
      </c>
      <c r="C3031" s="26">
        <f t="shared" ca="1" si="240"/>
        <v>0.2233445172105617</v>
      </c>
      <c r="J3031">
        <f t="shared" ca="1" si="237"/>
        <v>1</v>
      </c>
      <c r="K3031">
        <f t="shared" ca="1" si="238"/>
        <v>0</v>
      </c>
      <c r="L3031" s="65">
        <v>3025</v>
      </c>
      <c r="M3031" s="71">
        <f t="shared" ca="1" si="239"/>
        <v>2.9266475226659234</v>
      </c>
      <c r="N3031" s="65"/>
    </row>
    <row r="3032" spans="1:14" x14ac:dyDescent="0.25">
      <c r="A3032" s="2">
        <v>3026</v>
      </c>
      <c r="B3032" s="11">
        <f t="shared" ca="1" si="236"/>
        <v>1</v>
      </c>
      <c r="C3032" s="26">
        <f t="shared" ca="1" si="240"/>
        <v>9.1819330254560017E-3</v>
      </c>
      <c r="J3032">
        <f t="shared" ca="1" si="237"/>
        <v>1</v>
      </c>
      <c r="K3032">
        <f t="shared" ca="1" si="238"/>
        <v>0</v>
      </c>
      <c r="L3032" s="65">
        <v>3026</v>
      </c>
      <c r="M3032" s="71">
        <f t="shared" ca="1" si="239"/>
        <v>4.2454525372503813</v>
      </c>
      <c r="N3032" s="65"/>
    </row>
    <row r="3033" spans="1:14" x14ac:dyDescent="0.25">
      <c r="A3033" s="2">
        <v>3027</v>
      </c>
      <c r="B3033" s="11">
        <f t="shared" ca="1" si="236"/>
        <v>1</v>
      </c>
      <c r="C3033" s="26">
        <f t="shared" ca="1" si="240"/>
        <v>0.12432636645580297</v>
      </c>
      <c r="J3033">
        <f t="shared" ca="1" si="237"/>
        <v>1</v>
      </c>
      <c r="K3033">
        <f t="shared" ca="1" si="238"/>
        <v>0</v>
      </c>
      <c r="L3033" s="65">
        <v>3027</v>
      </c>
      <c r="M3033" s="71">
        <f t="shared" ca="1" si="239"/>
        <v>6.9545440644007632</v>
      </c>
      <c r="N3033" s="65"/>
    </row>
    <row r="3034" spans="1:14" x14ac:dyDescent="0.25">
      <c r="A3034" s="2">
        <v>3028</v>
      </c>
      <c r="B3034" s="11">
        <f t="shared" ca="1" si="236"/>
        <v>1</v>
      </c>
      <c r="C3034" s="26">
        <f t="shared" ca="1" si="240"/>
        <v>0.19417218428410732</v>
      </c>
      <c r="J3034">
        <f t="shared" ca="1" si="237"/>
        <v>1</v>
      </c>
      <c r="K3034">
        <f t="shared" ca="1" si="238"/>
        <v>0</v>
      </c>
      <c r="L3034" s="65">
        <v>3028</v>
      </c>
      <c r="M3034" s="71">
        <f t="shared" ca="1" si="239"/>
        <v>1.0862824718741575</v>
      </c>
      <c r="N3034" s="65"/>
    </row>
    <row r="3035" spans="1:14" x14ac:dyDescent="0.25">
      <c r="A3035" s="2">
        <v>3029</v>
      </c>
      <c r="B3035" s="11">
        <f t="shared" ca="1" si="236"/>
        <v>1</v>
      </c>
      <c r="C3035" s="26">
        <f t="shared" ca="1" si="240"/>
        <v>0.30752213671220063</v>
      </c>
      <c r="J3035">
        <f t="shared" ca="1" si="237"/>
        <v>0</v>
      </c>
      <c r="K3035">
        <f t="shared" ca="1" si="238"/>
        <v>0</v>
      </c>
      <c r="L3035" s="65">
        <v>3029</v>
      </c>
      <c r="M3035" s="71">
        <f t="shared" ca="1" si="239"/>
        <v>1.9343249601670249</v>
      </c>
      <c r="N3035" s="65"/>
    </row>
    <row r="3036" spans="1:14" x14ac:dyDescent="0.25">
      <c r="A3036" s="2">
        <v>3030</v>
      </c>
      <c r="B3036" s="11">
        <f t="shared" ca="1" si="236"/>
        <v>0</v>
      </c>
      <c r="C3036" s="26">
        <f t="shared" ca="1" si="240"/>
        <v>0.85767054031220236</v>
      </c>
      <c r="J3036">
        <f t="shared" ca="1" si="237"/>
        <v>0</v>
      </c>
      <c r="K3036">
        <f t="shared" ca="1" si="238"/>
        <v>0</v>
      </c>
      <c r="L3036" s="65">
        <v>3030</v>
      </c>
      <c r="M3036" s="71">
        <f t="shared" ca="1" si="239"/>
        <v>0</v>
      </c>
      <c r="N3036" s="65"/>
    </row>
    <row r="3037" spans="1:14" x14ac:dyDescent="0.25">
      <c r="A3037" s="2">
        <v>3031</v>
      </c>
      <c r="B3037" s="11">
        <f t="shared" ca="1" si="236"/>
        <v>1</v>
      </c>
      <c r="C3037" s="26">
        <f t="shared" ca="1" si="240"/>
        <v>0.41837569402058572</v>
      </c>
      <c r="J3037">
        <f t="shared" ca="1" si="237"/>
        <v>1</v>
      </c>
      <c r="K3037">
        <f t="shared" ca="1" si="238"/>
        <v>0</v>
      </c>
      <c r="L3037" s="65">
        <v>3031</v>
      </c>
      <c r="M3037" s="71">
        <f t="shared" ca="1" si="239"/>
        <v>2.1026707524691179</v>
      </c>
      <c r="N3037" s="65"/>
    </row>
    <row r="3038" spans="1:14" x14ac:dyDescent="0.25">
      <c r="A3038" s="2">
        <v>3032</v>
      </c>
      <c r="B3038" s="11">
        <f t="shared" ca="1" si="236"/>
        <v>1</v>
      </c>
      <c r="C3038" s="26">
        <f t="shared" ca="1" si="240"/>
        <v>0.27101000970265043</v>
      </c>
      <c r="J3038">
        <f t="shared" ca="1" si="237"/>
        <v>0</v>
      </c>
      <c r="K3038">
        <f t="shared" ca="1" si="238"/>
        <v>0</v>
      </c>
      <c r="L3038" s="65">
        <v>3032</v>
      </c>
      <c r="M3038" s="71">
        <f t="shared" ca="1" si="239"/>
        <v>12.154916512472667</v>
      </c>
      <c r="N3038" s="65"/>
    </row>
    <row r="3039" spans="1:14" x14ac:dyDescent="0.25">
      <c r="A3039" s="2">
        <v>3033</v>
      </c>
      <c r="B3039" s="11">
        <f t="shared" ca="1" si="236"/>
        <v>0</v>
      </c>
      <c r="C3039" s="26">
        <f t="shared" ca="1" si="240"/>
        <v>0.9984937988564746</v>
      </c>
      <c r="J3039">
        <f t="shared" ca="1" si="237"/>
        <v>0</v>
      </c>
      <c r="K3039">
        <f t="shared" ca="1" si="238"/>
        <v>0</v>
      </c>
      <c r="L3039" s="65">
        <v>3033</v>
      </c>
      <c r="M3039" s="71">
        <f t="shared" ca="1" si="239"/>
        <v>0</v>
      </c>
      <c r="N3039" s="65"/>
    </row>
    <row r="3040" spans="1:14" x14ac:dyDescent="0.25">
      <c r="A3040" s="2">
        <v>3034</v>
      </c>
      <c r="B3040" s="11">
        <f t="shared" ca="1" si="236"/>
        <v>1</v>
      </c>
      <c r="C3040" s="26">
        <f t="shared" ca="1" si="240"/>
        <v>0.6510993861323805</v>
      </c>
      <c r="J3040">
        <f t="shared" ca="1" si="237"/>
        <v>1</v>
      </c>
      <c r="K3040">
        <f t="shared" ca="1" si="238"/>
        <v>0</v>
      </c>
      <c r="L3040" s="65">
        <v>3034</v>
      </c>
      <c r="M3040" s="71">
        <f t="shared" ca="1" si="239"/>
        <v>0.40983117229362948</v>
      </c>
      <c r="N3040" s="65"/>
    </row>
    <row r="3041" spans="1:14" x14ac:dyDescent="0.25">
      <c r="A3041" s="2">
        <v>3035</v>
      </c>
      <c r="B3041" s="11">
        <f t="shared" ca="1" si="236"/>
        <v>1</v>
      </c>
      <c r="C3041" s="26">
        <f t="shared" ca="1" si="240"/>
        <v>0.61779320620173872</v>
      </c>
      <c r="J3041">
        <f t="shared" ca="1" si="237"/>
        <v>1</v>
      </c>
      <c r="K3041">
        <f t="shared" ca="1" si="238"/>
        <v>0</v>
      </c>
      <c r="L3041" s="65">
        <v>3035</v>
      </c>
      <c r="M3041" s="71">
        <f t="shared" ca="1" si="239"/>
        <v>0.85150360240961009</v>
      </c>
      <c r="N3041" s="65"/>
    </row>
    <row r="3042" spans="1:14" x14ac:dyDescent="0.25">
      <c r="A3042" s="2">
        <v>3036</v>
      </c>
      <c r="B3042" s="11">
        <f t="shared" ca="1" si="236"/>
        <v>1</v>
      </c>
      <c r="C3042" s="26">
        <f t="shared" ca="1" si="240"/>
        <v>0.24439990718662663</v>
      </c>
      <c r="J3042">
        <f t="shared" ca="1" si="237"/>
        <v>1</v>
      </c>
      <c r="K3042">
        <f t="shared" ca="1" si="238"/>
        <v>0</v>
      </c>
      <c r="L3042" s="65">
        <v>3036</v>
      </c>
      <c r="M3042" s="71">
        <f t="shared" ca="1" si="239"/>
        <v>4.5507148670047934</v>
      </c>
      <c r="N3042" s="65"/>
    </row>
    <row r="3043" spans="1:14" x14ac:dyDescent="0.25">
      <c r="A3043" s="2">
        <v>3037</v>
      </c>
      <c r="B3043" s="11">
        <f t="shared" ca="1" si="236"/>
        <v>1</v>
      </c>
      <c r="C3043" s="26">
        <f t="shared" ca="1" si="240"/>
        <v>0.70741038854060634</v>
      </c>
      <c r="J3043">
        <f t="shared" ca="1" si="237"/>
        <v>1</v>
      </c>
      <c r="K3043">
        <f t="shared" ca="1" si="238"/>
        <v>0</v>
      </c>
      <c r="L3043" s="65">
        <v>3037</v>
      </c>
      <c r="M3043" s="71">
        <f t="shared" ca="1" si="239"/>
        <v>6.8540691893465233</v>
      </c>
      <c r="N3043" s="65"/>
    </row>
    <row r="3044" spans="1:14" x14ac:dyDescent="0.25">
      <c r="A3044" s="2">
        <v>3038</v>
      </c>
      <c r="B3044" s="11">
        <f t="shared" ca="1" si="236"/>
        <v>1</v>
      </c>
      <c r="C3044" s="26">
        <f t="shared" ca="1" si="240"/>
        <v>0.66393243186762096</v>
      </c>
      <c r="J3044">
        <f t="shared" ca="1" si="237"/>
        <v>1</v>
      </c>
      <c r="K3044">
        <f t="shared" ca="1" si="238"/>
        <v>0</v>
      </c>
      <c r="L3044" s="65">
        <v>3038</v>
      </c>
      <c r="M3044" s="71">
        <f t="shared" ca="1" si="239"/>
        <v>0.58687960446734977</v>
      </c>
      <c r="N3044" s="65"/>
    </row>
    <row r="3045" spans="1:14" x14ac:dyDescent="0.25">
      <c r="A3045" s="2">
        <v>3039</v>
      </c>
      <c r="B3045" s="11">
        <f t="shared" ca="1" si="236"/>
        <v>1</v>
      </c>
      <c r="C3045" s="26">
        <f t="shared" ca="1" si="240"/>
        <v>0.34788100835965441</v>
      </c>
      <c r="J3045">
        <f t="shared" ca="1" si="237"/>
        <v>1</v>
      </c>
      <c r="K3045">
        <f t="shared" ca="1" si="238"/>
        <v>0</v>
      </c>
      <c r="L3045" s="65">
        <v>3039</v>
      </c>
      <c r="M3045" s="71">
        <f t="shared" ca="1" si="239"/>
        <v>2.1156790807313808</v>
      </c>
      <c r="N3045" s="65"/>
    </row>
    <row r="3046" spans="1:14" x14ac:dyDescent="0.25">
      <c r="A3046" s="2">
        <v>3040</v>
      </c>
      <c r="B3046" s="11">
        <f t="shared" ca="1" si="236"/>
        <v>1</v>
      </c>
      <c r="C3046" s="26">
        <f t="shared" ca="1" si="240"/>
        <v>0.70024104555540612</v>
      </c>
      <c r="J3046">
        <f t="shared" ca="1" si="237"/>
        <v>1</v>
      </c>
      <c r="K3046">
        <f t="shared" ca="1" si="238"/>
        <v>0</v>
      </c>
      <c r="L3046" s="65">
        <v>3040</v>
      </c>
      <c r="M3046" s="71">
        <f t="shared" ca="1" si="239"/>
        <v>8.5947367389979021</v>
      </c>
      <c r="N3046" s="65"/>
    </row>
    <row r="3047" spans="1:14" x14ac:dyDescent="0.25">
      <c r="A3047" s="2">
        <v>3041</v>
      </c>
      <c r="B3047" s="11">
        <f t="shared" ca="1" si="236"/>
        <v>1</v>
      </c>
      <c r="C3047" s="26">
        <f t="shared" ca="1" si="240"/>
        <v>0.47758237555190175</v>
      </c>
      <c r="J3047">
        <f t="shared" ca="1" si="237"/>
        <v>0</v>
      </c>
      <c r="K3047">
        <f t="shared" ca="1" si="238"/>
        <v>0</v>
      </c>
      <c r="L3047" s="65">
        <v>3041</v>
      </c>
      <c r="M3047" s="71">
        <f t="shared" ca="1" si="239"/>
        <v>5.4006014937813873</v>
      </c>
      <c r="N3047" s="65"/>
    </row>
    <row r="3048" spans="1:14" x14ac:dyDescent="0.25">
      <c r="A3048" s="2">
        <v>3042</v>
      </c>
      <c r="B3048" s="11">
        <f t="shared" ca="1" si="236"/>
        <v>0</v>
      </c>
      <c r="C3048" s="26">
        <f t="shared" ca="1" si="240"/>
        <v>0.80767019352245084</v>
      </c>
      <c r="J3048">
        <f t="shared" ca="1" si="237"/>
        <v>0</v>
      </c>
      <c r="K3048">
        <f t="shared" ca="1" si="238"/>
        <v>1</v>
      </c>
      <c r="L3048" s="65">
        <v>3042</v>
      </c>
      <c r="M3048" s="71">
        <f t="shared" ca="1" si="239"/>
        <v>0</v>
      </c>
      <c r="N3048" s="65"/>
    </row>
    <row r="3049" spans="1:14" x14ac:dyDescent="0.25">
      <c r="A3049" s="2">
        <v>3043</v>
      </c>
      <c r="B3049" s="11">
        <f t="shared" ca="1" si="236"/>
        <v>0</v>
      </c>
      <c r="C3049" s="26">
        <f t="shared" ca="1" si="240"/>
        <v>0.94784209516454798</v>
      </c>
      <c r="J3049">
        <f t="shared" ca="1" si="237"/>
        <v>0</v>
      </c>
      <c r="K3049">
        <f t="shared" ca="1" si="238"/>
        <v>0</v>
      </c>
      <c r="L3049" s="65">
        <v>3043</v>
      </c>
      <c r="M3049" s="71">
        <f t="shared" ca="1" si="239"/>
        <v>0</v>
      </c>
      <c r="N3049" s="65"/>
    </row>
    <row r="3050" spans="1:14" x14ac:dyDescent="0.25">
      <c r="A3050" s="2">
        <v>3044</v>
      </c>
      <c r="B3050" s="11">
        <f t="shared" ca="1" si="236"/>
        <v>1</v>
      </c>
      <c r="C3050" s="26">
        <f t="shared" ca="1" si="240"/>
        <v>0.63125920146390535</v>
      </c>
      <c r="J3050">
        <f t="shared" ca="1" si="237"/>
        <v>0</v>
      </c>
      <c r="K3050">
        <f t="shared" ca="1" si="238"/>
        <v>0</v>
      </c>
      <c r="L3050" s="65">
        <v>3044</v>
      </c>
      <c r="M3050" s="71">
        <f t="shared" ca="1" si="239"/>
        <v>1.6653304541382563</v>
      </c>
      <c r="N3050" s="65"/>
    </row>
    <row r="3051" spans="1:14" x14ac:dyDescent="0.25">
      <c r="A3051" s="2">
        <v>3045</v>
      </c>
      <c r="B3051" s="11">
        <f t="shared" ca="1" si="236"/>
        <v>0</v>
      </c>
      <c r="C3051" s="26">
        <f t="shared" ca="1" si="240"/>
        <v>0.86284814144355892</v>
      </c>
      <c r="J3051">
        <f t="shared" ca="1" si="237"/>
        <v>0</v>
      </c>
      <c r="K3051">
        <f t="shared" ca="1" si="238"/>
        <v>0</v>
      </c>
      <c r="L3051" s="65">
        <v>3045</v>
      </c>
      <c r="M3051" s="71">
        <f t="shared" ca="1" si="239"/>
        <v>0</v>
      </c>
      <c r="N3051" s="65"/>
    </row>
    <row r="3052" spans="1:14" x14ac:dyDescent="0.25">
      <c r="A3052" s="2">
        <v>3046</v>
      </c>
      <c r="B3052" s="11">
        <f t="shared" ca="1" si="236"/>
        <v>1</v>
      </c>
      <c r="C3052" s="26">
        <f t="shared" ca="1" si="240"/>
        <v>0.58326191479846012</v>
      </c>
      <c r="J3052">
        <f t="shared" ca="1" si="237"/>
        <v>0</v>
      </c>
      <c r="K3052">
        <f t="shared" ca="1" si="238"/>
        <v>0</v>
      </c>
      <c r="L3052" s="65">
        <v>3046</v>
      </c>
      <c r="M3052" s="71">
        <f t="shared" ca="1" si="239"/>
        <v>0.60482116860158686</v>
      </c>
      <c r="N3052" s="65"/>
    </row>
    <row r="3053" spans="1:14" x14ac:dyDescent="0.25">
      <c r="A3053" s="2">
        <v>3047</v>
      </c>
      <c r="B3053" s="11">
        <f t="shared" ca="1" si="236"/>
        <v>0</v>
      </c>
      <c r="C3053" s="26">
        <f t="shared" ca="1" si="240"/>
        <v>0.80559190640832046</v>
      </c>
      <c r="J3053">
        <f t="shared" ca="1" si="237"/>
        <v>0</v>
      </c>
      <c r="K3053">
        <f t="shared" ca="1" si="238"/>
        <v>0</v>
      </c>
      <c r="L3053" s="65">
        <v>3047</v>
      </c>
      <c r="M3053" s="71">
        <f t="shared" ca="1" si="239"/>
        <v>0</v>
      </c>
      <c r="N3053" s="65"/>
    </row>
    <row r="3054" spans="1:14" x14ac:dyDescent="0.25">
      <c r="A3054" s="2">
        <v>3048</v>
      </c>
      <c r="B3054" s="11">
        <f t="shared" ca="1" si="236"/>
        <v>1</v>
      </c>
      <c r="C3054" s="26">
        <f t="shared" ca="1" si="240"/>
        <v>0.1340833992778615</v>
      </c>
      <c r="J3054">
        <f t="shared" ca="1" si="237"/>
        <v>0</v>
      </c>
      <c r="K3054">
        <f t="shared" ca="1" si="238"/>
        <v>0</v>
      </c>
      <c r="L3054" s="65">
        <v>3048</v>
      </c>
      <c r="M3054" s="71">
        <f t="shared" ca="1" si="239"/>
        <v>1.5573865095372306</v>
      </c>
      <c r="N3054" s="65"/>
    </row>
    <row r="3055" spans="1:14" x14ac:dyDescent="0.25">
      <c r="A3055" s="2">
        <v>3049</v>
      </c>
      <c r="B3055" s="11">
        <f t="shared" ref="B3055:B3118" ca="1" si="241">IF(B3054&gt;0,IF(C3055&lt;pww,1,0),IF(C3055&lt;pdw,1,0))</f>
        <v>0</v>
      </c>
      <c r="C3055" s="26">
        <f t="shared" ca="1" si="240"/>
        <v>0.86648951853112144</v>
      </c>
      <c r="J3055">
        <f t="shared" ref="J3055:J3118" ca="1" si="242">IF(AND(B3055,B3056),1,0)</f>
        <v>0</v>
      </c>
      <c r="K3055">
        <f t="shared" ref="K3055:K3118" ca="1" si="243">IF(AND(NOT(B3055),NOT(B3056)),1,0)</f>
        <v>0</v>
      </c>
      <c r="L3055" s="65">
        <v>3049</v>
      </c>
      <c r="M3055" s="71">
        <f t="shared" ca="1" si="239"/>
        <v>0</v>
      </c>
      <c r="N3055" s="65"/>
    </row>
    <row r="3056" spans="1:14" x14ac:dyDescent="0.25">
      <c r="A3056" s="2">
        <v>3050</v>
      </c>
      <c r="B3056" s="11">
        <f t="shared" ca="1" si="241"/>
        <v>1</v>
      </c>
      <c r="C3056" s="26">
        <f t="shared" ca="1" si="240"/>
        <v>0.12738789867634359</v>
      </c>
      <c r="J3056">
        <f t="shared" ca="1" si="242"/>
        <v>1</v>
      </c>
      <c r="K3056">
        <f t="shared" ca="1" si="243"/>
        <v>0</v>
      </c>
      <c r="L3056" s="65">
        <v>3050</v>
      </c>
      <c r="M3056" s="71">
        <f t="shared" ca="1" si="239"/>
        <v>2.1494114019121722</v>
      </c>
      <c r="N3056" s="65"/>
    </row>
    <row r="3057" spans="1:14" x14ac:dyDescent="0.25">
      <c r="A3057" s="2">
        <v>3051</v>
      </c>
      <c r="B3057" s="11">
        <f t="shared" ca="1" si="241"/>
        <v>1</v>
      </c>
      <c r="C3057" s="26">
        <f t="shared" ca="1" si="240"/>
        <v>0.6021809268887891</v>
      </c>
      <c r="J3057">
        <f t="shared" ca="1" si="242"/>
        <v>1</v>
      </c>
      <c r="K3057">
        <f t="shared" ca="1" si="243"/>
        <v>0</v>
      </c>
      <c r="L3057" s="65">
        <v>3051</v>
      </c>
      <c r="M3057" s="71">
        <f t="shared" ca="1" si="239"/>
        <v>1.9497430407887686</v>
      </c>
      <c r="N3057" s="65"/>
    </row>
    <row r="3058" spans="1:14" x14ac:dyDescent="0.25">
      <c r="A3058" s="2">
        <v>3052</v>
      </c>
      <c r="B3058" s="11">
        <f t="shared" ca="1" si="241"/>
        <v>1</v>
      </c>
      <c r="C3058" s="26">
        <f t="shared" ca="1" si="240"/>
        <v>9.4610881036386596E-2</v>
      </c>
      <c r="J3058">
        <f t="shared" ca="1" si="242"/>
        <v>1</v>
      </c>
      <c r="K3058">
        <f t="shared" ca="1" si="243"/>
        <v>0</v>
      </c>
      <c r="L3058" s="65">
        <v>3052</v>
      </c>
      <c r="M3058" s="71">
        <f t="shared" ca="1" si="239"/>
        <v>4.9838727340933477</v>
      </c>
      <c r="N3058" s="65"/>
    </row>
    <row r="3059" spans="1:14" x14ac:dyDescent="0.25">
      <c r="A3059" s="2">
        <v>3053</v>
      </c>
      <c r="B3059" s="11">
        <f t="shared" ca="1" si="241"/>
        <v>1</v>
      </c>
      <c r="C3059" s="26">
        <f t="shared" ca="1" si="240"/>
        <v>0.71471697391311639</v>
      </c>
      <c r="J3059">
        <f t="shared" ca="1" si="242"/>
        <v>1</v>
      </c>
      <c r="K3059">
        <f t="shared" ca="1" si="243"/>
        <v>0</v>
      </c>
      <c r="L3059" s="65">
        <v>3053</v>
      </c>
      <c r="M3059" s="71">
        <f t="shared" ca="1" si="239"/>
        <v>3.8086325605566569</v>
      </c>
      <c r="N3059" s="65"/>
    </row>
    <row r="3060" spans="1:14" x14ac:dyDescent="0.25">
      <c r="A3060" s="2">
        <v>3054</v>
      </c>
      <c r="B3060" s="11">
        <f t="shared" ca="1" si="241"/>
        <v>1</v>
      </c>
      <c r="C3060" s="26">
        <f t="shared" ca="1" si="240"/>
        <v>7.2958037955875854E-2</v>
      </c>
      <c r="J3060">
        <f t="shared" ca="1" si="242"/>
        <v>1</v>
      </c>
      <c r="K3060">
        <f t="shared" ca="1" si="243"/>
        <v>0</v>
      </c>
      <c r="L3060" s="65">
        <v>3054</v>
      </c>
      <c r="M3060" s="71">
        <f t="shared" ca="1" si="239"/>
        <v>2.388159571294473</v>
      </c>
      <c r="N3060" s="65"/>
    </row>
    <row r="3061" spans="1:14" x14ac:dyDescent="0.25">
      <c r="A3061" s="2">
        <v>3055</v>
      </c>
      <c r="B3061" s="11">
        <f t="shared" ca="1" si="241"/>
        <v>1</v>
      </c>
      <c r="C3061" s="26">
        <f t="shared" ca="1" si="240"/>
        <v>5.6278496227662567E-2</v>
      </c>
      <c r="J3061">
        <f t="shared" ca="1" si="242"/>
        <v>0</v>
      </c>
      <c r="K3061">
        <f t="shared" ca="1" si="243"/>
        <v>0</v>
      </c>
      <c r="L3061" s="65">
        <v>3055</v>
      </c>
      <c r="M3061" s="71">
        <f t="shared" ca="1" si="239"/>
        <v>0.87327601199200267</v>
      </c>
      <c r="N3061" s="65"/>
    </row>
    <row r="3062" spans="1:14" x14ac:dyDescent="0.25">
      <c r="A3062" s="2">
        <v>3056</v>
      </c>
      <c r="B3062" s="11">
        <f t="shared" ca="1" si="241"/>
        <v>0</v>
      </c>
      <c r="C3062" s="26">
        <f t="shared" ca="1" si="240"/>
        <v>0.97431043858180244</v>
      </c>
      <c r="J3062">
        <f t="shared" ca="1" si="242"/>
        <v>0</v>
      </c>
      <c r="K3062">
        <f t="shared" ca="1" si="243"/>
        <v>0</v>
      </c>
      <c r="L3062" s="65">
        <v>3056</v>
      </c>
      <c r="M3062" s="71">
        <f t="shared" ca="1" si="239"/>
        <v>0</v>
      </c>
      <c r="N3062" s="65"/>
    </row>
    <row r="3063" spans="1:14" x14ac:dyDescent="0.25">
      <c r="A3063" s="2">
        <v>3057</v>
      </c>
      <c r="B3063" s="11">
        <f t="shared" ca="1" si="241"/>
        <v>1</v>
      </c>
      <c r="C3063" s="26">
        <f t="shared" ca="1" si="240"/>
        <v>0.1055703093614514</v>
      </c>
      <c r="J3063">
        <f t="shared" ca="1" si="242"/>
        <v>0</v>
      </c>
      <c r="K3063">
        <f t="shared" ca="1" si="243"/>
        <v>0</v>
      </c>
      <c r="L3063" s="65">
        <v>3057</v>
      </c>
      <c r="M3063" s="71">
        <f t="shared" ca="1" si="239"/>
        <v>6.2234280756798279</v>
      </c>
      <c r="N3063" s="65"/>
    </row>
    <row r="3064" spans="1:14" x14ac:dyDescent="0.25">
      <c r="A3064" s="2">
        <v>3058</v>
      </c>
      <c r="B3064" s="11">
        <f t="shared" ca="1" si="241"/>
        <v>0</v>
      </c>
      <c r="C3064" s="26">
        <f t="shared" ca="1" si="240"/>
        <v>0.94303739663499642</v>
      </c>
      <c r="J3064">
        <f t="shared" ca="1" si="242"/>
        <v>0</v>
      </c>
      <c r="K3064">
        <f t="shared" ca="1" si="243"/>
        <v>0</v>
      </c>
      <c r="L3064" s="65">
        <v>3058</v>
      </c>
      <c r="M3064" s="71">
        <f t="shared" ca="1" si="239"/>
        <v>0</v>
      </c>
      <c r="N3064" s="65"/>
    </row>
    <row r="3065" spans="1:14" x14ac:dyDescent="0.25">
      <c r="A3065" s="2">
        <v>3059</v>
      </c>
      <c r="B3065" s="11">
        <f t="shared" ca="1" si="241"/>
        <v>1</v>
      </c>
      <c r="C3065" s="26">
        <f t="shared" ca="1" si="240"/>
        <v>0.59821649065107896</v>
      </c>
      <c r="J3065">
        <f t="shared" ca="1" si="242"/>
        <v>1</v>
      </c>
      <c r="K3065">
        <f t="shared" ca="1" si="243"/>
        <v>0</v>
      </c>
      <c r="L3065" s="65">
        <v>3059</v>
      </c>
      <c r="M3065" s="71">
        <f t="shared" ca="1" si="239"/>
        <v>3.513693923573582</v>
      </c>
      <c r="N3065" s="65"/>
    </row>
    <row r="3066" spans="1:14" x14ac:dyDescent="0.25">
      <c r="A3066" s="2">
        <v>3060</v>
      </c>
      <c r="B3066" s="11">
        <f t="shared" ca="1" si="241"/>
        <v>1</v>
      </c>
      <c r="C3066" s="26">
        <f t="shared" ca="1" si="240"/>
        <v>0.22441857531579057</v>
      </c>
      <c r="J3066">
        <f t="shared" ca="1" si="242"/>
        <v>1</v>
      </c>
      <c r="K3066">
        <f t="shared" ca="1" si="243"/>
        <v>0</v>
      </c>
      <c r="L3066" s="65">
        <v>3060</v>
      </c>
      <c r="M3066" s="71">
        <f t="shared" ca="1" si="239"/>
        <v>2.0405084896813483</v>
      </c>
      <c r="N3066" s="65"/>
    </row>
    <row r="3067" spans="1:14" x14ac:dyDescent="0.25">
      <c r="A3067" s="2">
        <v>3061</v>
      </c>
      <c r="B3067" s="11">
        <f t="shared" ca="1" si="241"/>
        <v>1</v>
      </c>
      <c r="C3067" s="26">
        <f t="shared" ca="1" si="240"/>
        <v>0.6711013946804002</v>
      </c>
      <c r="J3067">
        <f t="shared" ca="1" si="242"/>
        <v>1</v>
      </c>
      <c r="K3067">
        <f t="shared" ca="1" si="243"/>
        <v>0</v>
      </c>
      <c r="L3067" s="65">
        <v>3061</v>
      </c>
      <c r="M3067" s="71">
        <f t="shared" ca="1" si="239"/>
        <v>11.234716881044097</v>
      </c>
      <c r="N3067" s="65"/>
    </row>
    <row r="3068" spans="1:14" x14ac:dyDescent="0.25">
      <c r="A3068" s="2">
        <v>3062</v>
      </c>
      <c r="B3068" s="11">
        <f t="shared" ca="1" si="241"/>
        <v>1</v>
      </c>
      <c r="C3068" s="26">
        <f t="shared" ca="1" si="240"/>
        <v>0.1391965910860179</v>
      </c>
      <c r="J3068">
        <f t="shared" ca="1" si="242"/>
        <v>1</v>
      </c>
      <c r="K3068">
        <f t="shared" ca="1" si="243"/>
        <v>0</v>
      </c>
      <c r="L3068" s="65">
        <v>3062</v>
      </c>
      <c r="M3068" s="71">
        <f t="shared" ca="1" si="239"/>
        <v>1.4999785691995953</v>
      </c>
      <c r="N3068" s="65"/>
    </row>
    <row r="3069" spans="1:14" x14ac:dyDescent="0.25">
      <c r="A3069" s="2">
        <v>3063</v>
      </c>
      <c r="B3069" s="11">
        <f t="shared" ca="1" si="241"/>
        <v>1</v>
      </c>
      <c r="C3069" s="26">
        <f t="shared" ca="1" si="240"/>
        <v>0.34172589938288656</v>
      </c>
      <c r="J3069">
        <f t="shared" ca="1" si="242"/>
        <v>1</v>
      </c>
      <c r="K3069">
        <f t="shared" ca="1" si="243"/>
        <v>0</v>
      </c>
      <c r="L3069" s="65">
        <v>3063</v>
      </c>
      <c r="M3069" s="71">
        <f t="shared" ca="1" si="239"/>
        <v>0.66515118610574742</v>
      </c>
      <c r="N3069" s="65"/>
    </row>
    <row r="3070" spans="1:14" x14ac:dyDescent="0.25">
      <c r="A3070" s="2">
        <v>3064</v>
      </c>
      <c r="B3070" s="11">
        <f t="shared" ca="1" si="241"/>
        <v>1</v>
      </c>
      <c r="C3070" s="26">
        <f t="shared" ca="1" si="240"/>
        <v>0.47539600932179016</v>
      </c>
      <c r="J3070">
        <f t="shared" ca="1" si="242"/>
        <v>1</v>
      </c>
      <c r="K3070">
        <f t="shared" ca="1" si="243"/>
        <v>0</v>
      </c>
      <c r="L3070" s="65">
        <v>3064</v>
      </c>
      <c r="M3070" s="71">
        <f t="shared" ca="1" si="239"/>
        <v>0.44706632605558022</v>
      </c>
      <c r="N3070" s="65"/>
    </row>
    <row r="3071" spans="1:14" x14ac:dyDescent="0.25">
      <c r="A3071" s="2">
        <v>3065</v>
      </c>
      <c r="B3071" s="11">
        <f t="shared" ca="1" si="241"/>
        <v>1</v>
      </c>
      <c r="C3071" s="26">
        <f t="shared" ca="1" si="240"/>
        <v>0.18477003608812559</v>
      </c>
      <c r="J3071">
        <f t="shared" ca="1" si="242"/>
        <v>1</v>
      </c>
      <c r="K3071">
        <f t="shared" ca="1" si="243"/>
        <v>0</v>
      </c>
      <c r="L3071" s="65">
        <v>3065</v>
      </c>
      <c r="M3071" s="71">
        <f t="shared" ca="1" si="239"/>
        <v>3.8813646992070958</v>
      </c>
      <c r="N3071" s="65"/>
    </row>
    <row r="3072" spans="1:14" x14ac:dyDescent="0.25">
      <c r="A3072" s="2">
        <v>3066</v>
      </c>
      <c r="B3072" s="11">
        <f t="shared" ca="1" si="241"/>
        <v>1</v>
      </c>
      <c r="C3072" s="26">
        <f t="shared" ca="1" si="240"/>
        <v>0.77041476061655545</v>
      </c>
      <c r="J3072">
        <f t="shared" ca="1" si="242"/>
        <v>1</v>
      </c>
      <c r="K3072">
        <f t="shared" ca="1" si="243"/>
        <v>0</v>
      </c>
      <c r="L3072" s="65">
        <v>3066</v>
      </c>
      <c r="M3072" s="71">
        <f t="shared" ca="1" si="239"/>
        <v>5.7040509158661354</v>
      </c>
      <c r="N3072" s="65"/>
    </row>
    <row r="3073" spans="1:14" x14ac:dyDescent="0.25">
      <c r="A3073" s="2">
        <v>3067</v>
      </c>
      <c r="B3073" s="11">
        <f t="shared" ca="1" si="241"/>
        <v>1</v>
      </c>
      <c r="C3073" s="26">
        <f t="shared" ca="1" si="240"/>
        <v>0.38264902167761994</v>
      </c>
      <c r="J3073">
        <f t="shared" ca="1" si="242"/>
        <v>1</v>
      </c>
      <c r="K3073">
        <f t="shared" ca="1" si="243"/>
        <v>0</v>
      </c>
      <c r="L3073" s="65">
        <v>3067</v>
      </c>
      <c r="M3073" s="71">
        <f t="shared" ca="1" si="239"/>
        <v>0.33776495914320492</v>
      </c>
      <c r="N3073" s="65"/>
    </row>
    <row r="3074" spans="1:14" x14ac:dyDescent="0.25">
      <c r="A3074" s="2">
        <v>3068</v>
      </c>
      <c r="B3074" s="11">
        <f t="shared" ca="1" si="241"/>
        <v>1</v>
      </c>
      <c r="C3074" s="26">
        <f t="shared" ca="1" si="240"/>
        <v>0.25283491277440839</v>
      </c>
      <c r="J3074">
        <f t="shared" ca="1" si="242"/>
        <v>1</v>
      </c>
      <c r="K3074">
        <f t="shared" ca="1" si="243"/>
        <v>0</v>
      </c>
      <c r="L3074" s="65">
        <v>3068</v>
      </c>
      <c r="M3074" s="71">
        <f t="shared" ca="1" si="239"/>
        <v>7.6803457957701111</v>
      </c>
      <c r="N3074" s="65"/>
    </row>
    <row r="3075" spans="1:14" x14ac:dyDescent="0.25">
      <c r="A3075" s="2">
        <v>3069</v>
      </c>
      <c r="B3075" s="11">
        <f t="shared" ca="1" si="241"/>
        <v>1</v>
      </c>
      <c r="C3075" s="26">
        <f t="shared" ca="1" si="240"/>
        <v>0.24568557419246262</v>
      </c>
      <c r="J3075">
        <f t="shared" ca="1" si="242"/>
        <v>0</v>
      </c>
      <c r="K3075">
        <f t="shared" ca="1" si="243"/>
        <v>0</v>
      </c>
      <c r="L3075" s="65">
        <v>3069</v>
      </c>
      <c r="M3075" s="71">
        <f t="shared" ca="1" si="239"/>
        <v>8.2186325395812112</v>
      </c>
      <c r="N3075" s="65"/>
    </row>
    <row r="3076" spans="1:14" x14ac:dyDescent="0.25">
      <c r="A3076" s="2">
        <v>3070</v>
      </c>
      <c r="B3076" s="11">
        <f t="shared" ca="1" si="241"/>
        <v>0</v>
      </c>
      <c r="C3076" s="26">
        <f t="shared" ca="1" si="240"/>
        <v>0.91174547469825362</v>
      </c>
      <c r="J3076">
        <f t="shared" ca="1" si="242"/>
        <v>0</v>
      </c>
      <c r="K3076">
        <f t="shared" ca="1" si="243"/>
        <v>0</v>
      </c>
      <c r="L3076" s="65">
        <v>3070</v>
      </c>
      <c r="M3076" s="71">
        <f t="shared" ca="1" si="239"/>
        <v>0</v>
      </c>
      <c r="N3076" s="65"/>
    </row>
    <row r="3077" spans="1:14" x14ac:dyDescent="0.25">
      <c r="A3077" s="2">
        <v>3071</v>
      </c>
      <c r="B3077" s="11">
        <f t="shared" ca="1" si="241"/>
        <v>1</v>
      </c>
      <c r="C3077" s="26">
        <f t="shared" ca="1" si="240"/>
        <v>1.8887426474386348E-2</v>
      </c>
      <c r="J3077">
        <f t="shared" ca="1" si="242"/>
        <v>1</v>
      </c>
      <c r="K3077">
        <f t="shared" ca="1" si="243"/>
        <v>0</v>
      </c>
      <c r="L3077" s="65">
        <v>3071</v>
      </c>
      <c r="M3077" s="71">
        <f t="shared" ca="1" si="239"/>
        <v>0.55176167107167451</v>
      </c>
      <c r="N3077" s="65"/>
    </row>
    <row r="3078" spans="1:14" x14ac:dyDescent="0.25">
      <c r="A3078" s="2">
        <v>3072</v>
      </c>
      <c r="B3078" s="11">
        <f t="shared" ca="1" si="241"/>
        <v>1</v>
      </c>
      <c r="C3078" s="26">
        <f t="shared" ca="1" si="240"/>
        <v>0.61538700403306046</v>
      </c>
      <c r="J3078">
        <f t="shared" ca="1" si="242"/>
        <v>1</v>
      </c>
      <c r="K3078">
        <f t="shared" ca="1" si="243"/>
        <v>0</v>
      </c>
      <c r="L3078" s="65">
        <v>3072</v>
      </c>
      <c r="M3078" s="71">
        <f t="shared" ca="1" si="239"/>
        <v>0.80240317414790663</v>
      </c>
      <c r="N3078" s="65"/>
    </row>
    <row r="3079" spans="1:14" x14ac:dyDescent="0.25">
      <c r="A3079" s="2">
        <v>3073</v>
      </c>
      <c r="B3079" s="11">
        <f t="shared" ca="1" si="241"/>
        <v>1</v>
      </c>
      <c r="C3079" s="26">
        <f t="shared" ca="1" si="240"/>
        <v>0.63982443511783094</v>
      </c>
      <c r="J3079">
        <f t="shared" ca="1" si="242"/>
        <v>1</v>
      </c>
      <c r="K3079">
        <f t="shared" ca="1" si="243"/>
        <v>0</v>
      </c>
      <c r="L3079" s="65">
        <v>3073</v>
      </c>
      <c r="M3079" s="71">
        <f t="shared" ref="M3079:M3142" ca="1" si="244">IF(B3079&gt;0,-LN(1-(RAND()))/lambda,0)</f>
        <v>4.8927407572670285</v>
      </c>
      <c r="N3079" s="65"/>
    </row>
    <row r="3080" spans="1:14" x14ac:dyDescent="0.25">
      <c r="A3080" s="2">
        <v>3074</v>
      </c>
      <c r="B3080" s="11">
        <f t="shared" ca="1" si="241"/>
        <v>1</v>
      </c>
      <c r="C3080" s="26">
        <f t="shared" ref="C3080:C3143" ca="1" si="245">RAND()</f>
        <v>1.3627186880122655E-2</v>
      </c>
      <c r="J3080">
        <f t="shared" ca="1" si="242"/>
        <v>1</v>
      </c>
      <c r="K3080">
        <f t="shared" ca="1" si="243"/>
        <v>0</v>
      </c>
      <c r="L3080" s="65">
        <v>3074</v>
      </c>
      <c r="M3080" s="71">
        <f t="shared" ca="1" si="244"/>
        <v>0.46741427384488599</v>
      </c>
      <c r="N3080" s="65"/>
    </row>
    <row r="3081" spans="1:14" x14ac:dyDescent="0.25">
      <c r="A3081" s="2">
        <v>3075</v>
      </c>
      <c r="B3081" s="11">
        <f t="shared" ca="1" si="241"/>
        <v>1</v>
      </c>
      <c r="C3081" s="26">
        <f t="shared" ca="1" si="245"/>
        <v>0.73103767190724855</v>
      </c>
      <c r="J3081">
        <f t="shared" ca="1" si="242"/>
        <v>1</v>
      </c>
      <c r="K3081">
        <f t="shared" ca="1" si="243"/>
        <v>0</v>
      </c>
      <c r="L3081" s="65">
        <v>3075</v>
      </c>
      <c r="M3081" s="71">
        <f t="shared" ca="1" si="244"/>
        <v>6.608132099771411</v>
      </c>
      <c r="N3081" s="65"/>
    </row>
    <row r="3082" spans="1:14" x14ac:dyDescent="0.25">
      <c r="A3082" s="2">
        <v>3076</v>
      </c>
      <c r="B3082" s="11">
        <f t="shared" ca="1" si="241"/>
        <v>1</v>
      </c>
      <c r="C3082" s="26">
        <f t="shared" ca="1" si="245"/>
        <v>0.36918011122159211</v>
      </c>
      <c r="J3082">
        <f t="shared" ca="1" si="242"/>
        <v>1</v>
      </c>
      <c r="K3082">
        <f t="shared" ca="1" si="243"/>
        <v>0</v>
      </c>
      <c r="L3082" s="65">
        <v>3076</v>
      </c>
      <c r="M3082" s="71">
        <f t="shared" ca="1" si="244"/>
        <v>5.1929551428045677</v>
      </c>
      <c r="N3082" s="65"/>
    </row>
    <row r="3083" spans="1:14" x14ac:dyDescent="0.25">
      <c r="A3083" s="2">
        <v>3077</v>
      </c>
      <c r="B3083" s="11">
        <f t="shared" ca="1" si="241"/>
        <v>1</v>
      </c>
      <c r="C3083" s="26">
        <f t="shared" ca="1" si="245"/>
        <v>0.58968235640966071</v>
      </c>
      <c r="J3083">
        <f t="shared" ca="1" si="242"/>
        <v>1</v>
      </c>
      <c r="K3083">
        <f t="shared" ca="1" si="243"/>
        <v>0</v>
      </c>
      <c r="L3083" s="65">
        <v>3077</v>
      </c>
      <c r="M3083" s="71">
        <f t="shared" ca="1" si="244"/>
        <v>2.8671832884990969</v>
      </c>
      <c r="N3083" s="65"/>
    </row>
    <row r="3084" spans="1:14" x14ac:dyDescent="0.25">
      <c r="A3084" s="2">
        <v>3078</v>
      </c>
      <c r="B3084" s="11">
        <f t="shared" ca="1" si="241"/>
        <v>1</v>
      </c>
      <c r="C3084" s="26">
        <f t="shared" ca="1" si="245"/>
        <v>0.22299564873719147</v>
      </c>
      <c r="J3084">
        <f t="shared" ca="1" si="242"/>
        <v>1</v>
      </c>
      <c r="K3084">
        <f t="shared" ca="1" si="243"/>
        <v>0</v>
      </c>
      <c r="L3084" s="65">
        <v>3078</v>
      </c>
      <c r="M3084" s="71">
        <f t="shared" ca="1" si="244"/>
        <v>1.2396697499100227</v>
      </c>
      <c r="N3084" s="65"/>
    </row>
    <row r="3085" spans="1:14" x14ac:dyDescent="0.25">
      <c r="A3085" s="2">
        <v>3079</v>
      </c>
      <c r="B3085" s="11">
        <f t="shared" ca="1" si="241"/>
        <v>1</v>
      </c>
      <c r="C3085" s="26">
        <f t="shared" ca="1" si="245"/>
        <v>0.45448968154273239</v>
      </c>
      <c r="J3085">
        <f t="shared" ca="1" si="242"/>
        <v>1</v>
      </c>
      <c r="K3085">
        <f t="shared" ca="1" si="243"/>
        <v>0</v>
      </c>
      <c r="L3085" s="65">
        <v>3079</v>
      </c>
      <c r="M3085" s="71">
        <f t="shared" ca="1" si="244"/>
        <v>3.2853881054186727</v>
      </c>
      <c r="N3085" s="65"/>
    </row>
    <row r="3086" spans="1:14" x14ac:dyDescent="0.25">
      <c r="A3086" s="2">
        <v>3080</v>
      </c>
      <c r="B3086" s="11">
        <f t="shared" ca="1" si="241"/>
        <v>1</v>
      </c>
      <c r="C3086" s="26">
        <f t="shared" ca="1" si="245"/>
        <v>0.38434392842197596</v>
      </c>
      <c r="J3086">
        <f t="shared" ca="1" si="242"/>
        <v>1</v>
      </c>
      <c r="K3086">
        <f t="shared" ca="1" si="243"/>
        <v>0</v>
      </c>
      <c r="L3086" s="65">
        <v>3080</v>
      </c>
      <c r="M3086" s="71">
        <f t="shared" ca="1" si="244"/>
        <v>0.51159868245487461</v>
      </c>
      <c r="N3086" s="65"/>
    </row>
    <row r="3087" spans="1:14" x14ac:dyDescent="0.25">
      <c r="A3087" s="2">
        <v>3081</v>
      </c>
      <c r="B3087" s="11">
        <f t="shared" ca="1" si="241"/>
        <v>1</v>
      </c>
      <c r="C3087" s="26">
        <f t="shared" ca="1" si="245"/>
        <v>0.57043116178045739</v>
      </c>
      <c r="J3087">
        <f t="shared" ca="1" si="242"/>
        <v>1</v>
      </c>
      <c r="K3087">
        <f t="shared" ca="1" si="243"/>
        <v>0</v>
      </c>
      <c r="L3087" s="65">
        <v>3081</v>
      </c>
      <c r="M3087" s="71">
        <f t="shared" ca="1" si="244"/>
        <v>9.8504630404696414</v>
      </c>
      <c r="N3087" s="65"/>
    </row>
    <row r="3088" spans="1:14" x14ac:dyDescent="0.25">
      <c r="A3088" s="2">
        <v>3082</v>
      </c>
      <c r="B3088" s="11">
        <f t="shared" ca="1" si="241"/>
        <v>1</v>
      </c>
      <c r="C3088" s="26">
        <f t="shared" ca="1" si="245"/>
        <v>0.27136667290578997</v>
      </c>
      <c r="J3088">
        <f t="shared" ca="1" si="242"/>
        <v>0</v>
      </c>
      <c r="K3088">
        <f t="shared" ca="1" si="243"/>
        <v>0</v>
      </c>
      <c r="L3088" s="65">
        <v>3082</v>
      </c>
      <c r="M3088" s="71">
        <f t="shared" ca="1" si="244"/>
        <v>5.9846708346784609</v>
      </c>
      <c r="N3088" s="65"/>
    </row>
    <row r="3089" spans="1:14" x14ac:dyDescent="0.25">
      <c r="A3089" s="2">
        <v>3083</v>
      </c>
      <c r="B3089" s="11">
        <f t="shared" ca="1" si="241"/>
        <v>0</v>
      </c>
      <c r="C3089" s="26">
        <f t="shared" ca="1" si="245"/>
        <v>0.84658315933376282</v>
      </c>
      <c r="J3089">
        <f t="shared" ca="1" si="242"/>
        <v>0</v>
      </c>
      <c r="K3089">
        <f t="shared" ca="1" si="243"/>
        <v>0</v>
      </c>
      <c r="L3089" s="65">
        <v>3083</v>
      </c>
      <c r="M3089" s="71">
        <f t="shared" ca="1" si="244"/>
        <v>0</v>
      </c>
      <c r="N3089" s="65"/>
    </row>
    <row r="3090" spans="1:14" x14ac:dyDescent="0.25">
      <c r="A3090" s="2">
        <v>3084</v>
      </c>
      <c r="B3090" s="11">
        <f t="shared" ca="1" si="241"/>
        <v>1</v>
      </c>
      <c r="C3090" s="26">
        <f t="shared" ca="1" si="245"/>
        <v>0.20606051302511774</v>
      </c>
      <c r="J3090">
        <f t="shared" ca="1" si="242"/>
        <v>1</v>
      </c>
      <c r="K3090">
        <f t="shared" ca="1" si="243"/>
        <v>0</v>
      </c>
      <c r="L3090" s="65">
        <v>3084</v>
      </c>
      <c r="M3090" s="71">
        <f t="shared" ca="1" si="244"/>
        <v>3.6890708459234416</v>
      </c>
      <c r="N3090" s="65"/>
    </row>
    <row r="3091" spans="1:14" x14ac:dyDescent="0.25">
      <c r="A3091" s="2">
        <v>3085</v>
      </c>
      <c r="B3091" s="11">
        <f t="shared" ca="1" si="241"/>
        <v>1</v>
      </c>
      <c r="C3091" s="26">
        <f t="shared" ca="1" si="245"/>
        <v>0.10730683326493484</v>
      </c>
      <c r="J3091">
        <f t="shared" ca="1" si="242"/>
        <v>1</v>
      </c>
      <c r="K3091">
        <f t="shared" ca="1" si="243"/>
        <v>0</v>
      </c>
      <c r="L3091" s="65">
        <v>3085</v>
      </c>
      <c r="M3091" s="71">
        <f t="shared" ca="1" si="244"/>
        <v>5.9999929903954881</v>
      </c>
      <c r="N3091" s="65"/>
    </row>
    <row r="3092" spans="1:14" x14ac:dyDescent="0.25">
      <c r="A3092" s="2">
        <v>3086</v>
      </c>
      <c r="B3092" s="11">
        <f t="shared" ca="1" si="241"/>
        <v>1</v>
      </c>
      <c r="C3092" s="26">
        <f t="shared" ca="1" si="245"/>
        <v>1.1179667790876535E-2</v>
      </c>
      <c r="J3092">
        <f t="shared" ca="1" si="242"/>
        <v>1</v>
      </c>
      <c r="K3092">
        <f t="shared" ca="1" si="243"/>
        <v>0</v>
      </c>
      <c r="L3092" s="65">
        <v>3086</v>
      </c>
      <c r="M3092" s="71">
        <f t="shared" ca="1" si="244"/>
        <v>2.4321344742361184</v>
      </c>
      <c r="N3092" s="65"/>
    </row>
    <row r="3093" spans="1:14" x14ac:dyDescent="0.25">
      <c r="A3093" s="2">
        <v>3087</v>
      </c>
      <c r="B3093" s="11">
        <f t="shared" ca="1" si="241"/>
        <v>1</v>
      </c>
      <c r="C3093" s="26">
        <f t="shared" ca="1" si="245"/>
        <v>0.13629973473214896</v>
      </c>
      <c r="J3093">
        <f t="shared" ca="1" si="242"/>
        <v>1</v>
      </c>
      <c r="K3093">
        <f t="shared" ca="1" si="243"/>
        <v>0</v>
      </c>
      <c r="L3093" s="65">
        <v>3087</v>
      </c>
      <c r="M3093" s="71">
        <f t="shared" ca="1" si="244"/>
        <v>3.9395624345661591</v>
      </c>
      <c r="N3093" s="65"/>
    </row>
    <row r="3094" spans="1:14" x14ac:dyDescent="0.25">
      <c r="A3094" s="2">
        <v>3088</v>
      </c>
      <c r="B3094" s="11">
        <f t="shared" ca="1" si="241"/>
        <v>1</v>
      </c>
      <c r="C3094" s="26">
        <f t="shared" ca="1" si="245"/>
        <v>1.2756741595961851E-2</v>
      </c>
      <c r="J3094">
        <f t="shared" ca="1" si="242"/>
        <v>1</v>
      </c>
      <c r="K3094">
        <f t="shared" ca="1" si="243"/>
        <v>0</v>
      </c>
      <c r="L3094" s="65">
        <v>3088</v>
      </c>
      <c r="M3094" s="71">
        <f t="shared" ca="1" si="244"/>
        <v>2.369780388677186</v>
      </c>
      <c r="N3094" s="65"/>
    </row>
    <row r="3095" spans="1:14" x14ac:dyDescent="0.25">
      <c r="A3095" s="2">
        <v>3089</v>
      </c>
      <c r="B3095" s="11">
        <f t="shared" ca="1" si="241"/>
        <v>1</v>
      </c>
      <c r="C3095" s="26">
        <f t="shared" ca="1" si="245"/>
        <v>0.26715716184856853</v>
      </c>
      <c r="J3095">
        <f t="shared" ca="1" si="242"/>
        <v>1</v>
      </c>
      <c r="K3095">
        <f t="shared" ca="1" si="243"/>
        <v>0</v>
      </c>
      <c r="L3095" s="65">
        <v>3089</v>
      </c>
      <c r="M3095" s="71">
        <f t="shared" ca="1" si="244"/>
        <v>2.4168755328150584</v>
      </c>
      <c r="N3095" s="65"/>
    </row>
    <row r="3096" spans="1:14" x14ac:dyDescent="0.25">
      <c r="A3096" s="2">
        <v>3090</v>
      </c>
      <c r="B3096" s="11">
        <f t="shared" ca="1" si="241"/>
        <v>1</v>
      </c>
      <c r="C3096" s="26">
        <f t="shared" ca="1" si="245"/>
        <v>0.42067240102285608</v>
      </c>
      <c r="J3096">
        <f t="shared" ca="1" si="242"/>
        <v>1</v>
      </c>
      <c r="K3096">
        <f t="shared" ca="1" si="243"/>
        <v>0</v>
      </c>
      <c r="L3096" s="65">
        <v>3090</v>
      </c>
      <c r="M3096" s="71">
        <f t="shared" ca="1" si="244"/>
        <v>4.7687311781205768</v>
      </c>
      <c r="N3096" s="65"/>
    </row>
    <row r="3097" spans="1:14" x14ac:dyDescent="0.25">
      <c r="A3097" s="2">
        <v>3091</v>
      </c>
      <c r="B3097" s="11">
        <f t="shared" ca="1" si="241"/>
        <v>1</v>
      </c>
      <c r="C3097" s="26">
        <f t="shared" ca="1" si="245"/>
        <v>0.63951612114928325</v>
      </c>
      <c r="J3097">
        <f t="shared" ca="1" si="242"/>
        <v>1</v>
      </c>
      <c r="K3097">
        <f t="shared" ca="1" si="243"/>
        <v>0</v>
      </c>
      <c r="L3097" s="65">
        <v>3091</v>
      </c>
      <c r="M3097" s="71">
        <f t="shared" ca="1" si="244"/>
        <v>3.5962186256668005</v>
      </c>
      <c r="N3097" s="65"/>
    </row>
    <row r="3098" spans="1:14" x14ac:dyDescent="0.25">
      <c r="A3098" s="2">
        <v>3092</v>
      </c>
      <c r="B3098" s="11">
        <f t="shared" ca="1" si="241"/>
        <v>1</v>
      </c>
      <c r="C3098" s="26">
        <f t="shared" ca="1" si="245"/>
        <v>0.10721765919672277</v>
      </c>
      <c r="J3098">
        <f t="shared" ca="1" si="242"/>
        <v>1</v>
      </c>
      <c r="K3098">
        <f t="shared" ca="1" si="243"/>
        <v>0</v>
      </c>
      <c r="L3098" s="65">
        <v>3092</v>
      </c>
      <c r="M3098" s="71">
        <f t="shared" ca="1" si="244"/>
        <v>2.002932955212013</v>
      </c>
      <c r="N3098" s="65"/>
    </row>
    <row r="3099" spans="1:14" x14ac:dyDescent="0.25">
      <c r="A3099" s="2">
        <v>3093</v>
      </c>
      <c r="B3099" s="11">
        <f t="shared" ca="1" si="241"/>
        <v>1</v>
      </c>
      <c r="C3099" s="26">
        <f t="shared" ca="1" si="245"/>
        <v>0.55708420124559277</v>
      </c>
      <c r="J3099">
        <f t="shared" ca="1" si="242"/>
        <v>1</v>
      </c>
      <c r="K3099">
        <f t="shared" ca="1" si="243"/>
        <v>0</v>
      </c>
      <c r="L3099" s="65">
        <v>3093</v>
      </c>
      <c r="M3099" s="71">
        <f t="shared" ca="1" si="244"/>
        <v>0.43094932637020644</v>
      </c>
      <c r="N3099" s="65"/>
    </row>
    <row r="3100" spans="1:14" x14ac:dyDescent="0.25">
      <c r="A3100" s="2">
        <v>3094</v>
      </c>
      <c r="B3100" s="11">
        <f t="shared" ca="1" si="241"/>
        <v>1</v>
      </c>
      <c r="C3100" s="26">
        <f t="shared" ca="1" si="245"/>
        <v>0.57553198473296374</v>
      </c>
      <c r="J3100">
        <f t="shared" ca="1" si="242"/>
        <v>1</v>
      </c>
      <c r="K3100">
        <f t="shared" ca="1" si="243"/>
        <v>0</v>
      </c>
      <c r="L3100" s="65">
        <v>3094</v>
      </c>
      <c r="M3100" s="71">
        <f t="shared" ca="1" si="244"/>
        <v>1.7505822515800384</v>
      </c>
      <c r="N3100" s="65"/>
    </row>
    <row r="3101" spans="1:14" x14ac:dyDescent="0.25">
      <c r="A3101" s="2">
        <v>3095</v>
      </c>
      <c r="B3101" s="11">
        <f t="shared" ca="1" si="241"/>
        <v>1</v>
      </c>
      <c r="C3101" s="26">
        <f t="shared" ca="1" si="245"/>
        <v>0.10533818043774312</v>
      </c>
      <c r="J3101">
        <f t="shared" ca="1" si="242"/>
        <v>1</v>
      </c>
      <c r="K3101">
        <f t="shared" ca="1" si="243"/>
        <v>0</v>
      </c>
      <c r="L3101" s="65">
        <v>3095</v>
      </c>
      <c r="M3101" s="71">
        <f t="shared" ca="1" si="244"/>
        <v>1.2911462118366241</v>
      </c>
      <c r="N3101" s="65"/>
    </row>
    <row r="3102" spans="1:14" x14ac:dyDescent="0.25">
      <c r="A3102" s="2">
        <v>3096</v>
      </c>
      <c r="B3102" s="11">
        <f t="shared" ca="1" si="241"/>
        <v>1</v>
      </c>
      <c r="C3102" s="26">
        <f t="shared" ca="1" si="245"/>
        <v>0.36015877670820939</v>
      </c>
      <c r="J3102">
        <f t="shared" ca="1" si="242"/>
        <v>1</v>
      </c>
      <c r="K3102">
        <f t="shared" ca="1" si="243"/>
        <v>0</v>
      </c>
      <c r="L3102" s="65">
        <v>3096</v>
      </c>
      <c r="M3102" s="71">
        <f t="shared" ca="1" si="244"/>
        <v>6.1198974526904966</v>
      </c>
      <c r="N3102" s="65"/>
    </row>
    <row r="3103" spans="1:14" x14ac:dyDescent="0.25">
      <c r="A3103" s="2">
        <v>3097</v>
      </c>
      <c r="B3103" s="11">
        <f t="shared" ca="1" si="241"/>
        <v>1</v>
      </c>
      <c r="C3103" s="26">
        <f t="shared" ca="1" si="245"/>
        <v>4.3083853780481296E-2</v>
      </c>
      <c r="J3103">
        <f t="shared" ca="1" si="242"/>
        <v>1</v>
      </c>
      <c r="K3103">
        <f t="shared" ca="1" si="243"/>
        <v>0</v>
      </c>
      <c r="L3103" s="65">
        <v>3097</v>
      </c>
      <c r="M3103" s="71">
        <f t="shared" ca="1" si="244"/>
        <v>3.0063018675172706</v>
      </c>
      <c r="N3103" s="65"/>
    </row>
    <row r="3104" spans="1:14" x14ac:dyDescent="0.25">
      <c r="A3104" s="2">
        <v>3098</v>
      </c>
      <c r="B3104" s="11">
        <f t="shared" ca="1" si="241"/>
        <v>1</v>
      </c>
      <c r="C3104" s="26">
        <f t="shared" ca="1" si="245"/>
        <v>0.17063801480714857</v>
      </c>
      <c r="J3104">
        <f t="shared" ca="1" si="242"/>
        <v>1</v>
      </c>
      <c r="K3104">
        <f t="shared" ca="1" si="243"/>
        <v>0</v>
      </c>
      <c r="L3104" s="65">
        <v>3098</v>
      </c>
      <c r="M3104" s="71">
        <f t="shared" ca="1" si="244"/>
        <v>0.97595568776231034</v>
      </c>
      <c r="N3104" s="65"/>
    </row>
    <row r="3105" spans="1:14" x14ac:dyDescent="0.25">
      <c r="A3105" s="2">
        <v>3099</v>
      </c>
      <c r="B3105" s="11">
        <f t="shared" ca="1" si="241"/>
        <v>1</v>
      </c>
      <c r="C3105" s="26">
        <f t="shared" ca="1" si="245"/>
        <v>0.56309940535472558</v>
      </c>
      <c r="J3105">
        <f t="shared" ca="1" si="242"/>
        <v>0</v>
      </c>
      <c r="K3105">
        <f t="shared" ca="1" si="243"/>
        <v>0</v>
      </c>
      <c r="L3105" s="65">
        <v>3099</v>
      </c>
      <c r="M3105" s="71">
        <f t="shared" ca="1" si="244"/>
        <v>3.6428258077455822</v>
      </c>
      <c r="N3105" s="65"/>
    </row>
    <row r="3106" spans="1:14" x14ac:dyDescent="0.25">
      <c r="A3106" s="2">
        <v>3100</v>
      </c>
      <c r="B3106" s="11">
        <f t="shared" ca="1" si="241"/>
        <v>0</v>
      </c>
      <c r="C3106" s="26">
        <f t="shared" ca="1" si="245"/>
        <v>0.93654067288970033</v>
      </c>
      <c r="J3106">
        <f t="shared" ca="1" si="242"/>
        <v>0</v>
      </c>
      <c r="K3106">
        <f t="shared" ca="1" si="243"/>
        <v>0</v>
      </c>
      <c r="L3106" s="65">
        <v>3100</v>
      </c>
      <c r="M3106" s="71">
        <f t="shared" ca="1" si="244"/>
        <v>0</v>
      </c>
      <c r="N3106" s="65"/>
    </row>
    <row r="3107" spans="1:14" x14ac:dyDescent="0.25">
      <c r="A3107" s="2">
        <v>3101</v>
      </c>
      <c r="B3107" s="11">
        <f t="shared" ca="1" si="241"/>
        <v>1</v>
      </c>
      <c r="C3107" s="26">
        <f t="shared" ca="1" si="245"/>
        <v>0.49657794403391642</v>
      </c>
      <c r="J3107">
        <f t="shared" ca="1" si="242"/>
        <v>1</v>
      </c>
      <c r="K3107">
        <f t="shared" ca="1" si="243"/>
        <v>0</v>
      </c>
      <c r="L3107" s="65">
        <v>3101</v>
      </c>
      <c r="M3107" s="71">
        <f t="shared" ca="1" si="244"/>
        <v>2.0660720949713722</v>
      </c>
      <c r="N3107" s="65"/>
    </row>
    <row r="3108" spans="1:14" x14ac:dyDescent="0.25">
      <c r="A3108" s="2">
        <v>3102</v>
      </c>
      <c r="B3108" s="11">
        <f t="shared" ca="1" si="241"/>
        <v>1</v>
      </c>
      <c r="C3108" s="26">
        <f t="shared" ca="1" si="245"/>
        <v>0.66131109082390194</v>
      </c>
      <c r="J3108">
        <f t="shared" ca="1" si="242"/>
        <v>1</v>
      </c>
      <c r="K3108">
        <f t="shared" ca="1" si="243"/>
        <v>0</v>
      </c>
      <c r="L3108" s="65">
        <v>3102</v>
      </c>
      <c r="M3108" s="71">
        <f t="shared" ca="1" si="244"/>
        <v>0.86888783514044954</v>
      </c>
      <c r="N3108" s="65"/>
    </row>
    <row r="3109" spans="1:14" x14ac:dyDescent="0.25">
      <c r="A3109" s="2">
        <v>3103</v>
      </c>
      <c r="B3109" s="11">
        <f t="shared" ca="1" si="241"/>
        <v>1</v>
      </c>
      <c r="C3109" s="26">
        <f t="shared" ca="1" si="245"/>
        <v>0.15178131013354446</v>
      </c>
      <c r="J3109">
        <f t="shared" ca="1" si="242"/>
        <v>1</v>
      </c>
      <c r="K3109">
        <f t="shared" ca="1" si="243"/>
        <v>0</v>
      </c>
      <c r="L3109" s="65">
        <v>3103</v>
      </c>
      <c r="M3109" s="71">
        <f t="shared" ca="1" si="244"/>
        <v>2.6371503536841039</v>
      </c>
      <c r="N3109" s="65"/>
    </row>
    <row r="3110" spans="1:14" x14ac:dyDescent="0.25">
      <c r="A3110" s="2">
        <v>3104</v>
      </c>
      <c r="B3110" s="11">
        <f t="shared" ca="1" si="241"/>
        <v>1</v>
      </c>
      <c r="C3110" s="26">
        <f t="shared" ca="1" si="245"/>
        <v>0.6457939310493529</v>
      </c>
      <c r="J3110">
        <f t="shared" ca="1" si="242"/>
        <v>1</v>
      </c>
      <c r="K3110">
        <f t="shared" ca="1" si="243"/>
        <v>0</v>
      </c>
      <c r="L3110" s="65">
        <v>3104</v>
      </c>
      <c r="M3110" s="71">
        <f t="shared" ca="1" si="244"/>
        <v>6.3244332535390084</v>
      </c>
      <c r="N3110" s="65"/>
    </row>
    <row r="3111" spans="1:14" x14ac:dyDescent="0.25">
      <c r="A3111" s="2">
        <v>3105</v>
      </c>
      <c r="B3111" s="11">
        <f t="shared" ca="1" si="241"/>
        <v>1</v>
      </c>
      <c r="C3111" s="26">
        <f t="shared" ca="1" si="245"/>
        <v>0.77235919473416681</v>
      </c>
      <c r="J3111">
        <f t="shared" ca="1" si="242"/>
        <v>0</v>
      </c>
      <c r="K3111">
        <f t="shared" ca="1" si="243"/>
        <v>0</v>
      </c>
      <c r="L3111" s="65">
        <v>3105</v>
      </c>
      <c r="M3111" s="71">
        <f t="shared" ca="1" si="244"/>
        <v>6.6996732265795398</v>
      </c>
      <c r="N3111" s="65"/>
    </row>
    <row r="3112" spans="1:14" x14ac:dyDescent="0.25">
      <c r="A3112" s="2">
        <v>3106</v>
      </c>
      <c r="B3112" s="11">
        <f t="shared" ca="1" si="241"/>
        <v>0</v>
      </c>
      <c r="C3112" s="26">
        <f t="shared" ca="1" si="245"/>
        <v>0.85796456386573738</v>
      </c>
      <c r="J3112">
        <f t="shared" ca="1" si="242"/>
        <v>0</v>
      </c>
      <c r="K3112">
        <f t="shared" ca="1" si="243"/>
        <v>1</v>
      </c>
      <c r="L3112" s="65">
        <v>3106</v>
      </c>
      <c r="M3112" s="71">
        <f t="shared" ca="1" si="244"/>
        <v>0</v>
      </c>
      <c r="N3112" s="65"/>
    </row>
    <row r="3113" spans="1:14" x14ac:dyDescent="0.25">
      <c r="A3113" s="2">
        <v>3107</v>
      </c>
      <c r="B3113" s="11">
        <f t="shared" ca="1" si="241"/>
        <v>0</v>
      </c>
      <c r="C3113" s="26">
        <f t="shared" ca="1" si="245"/>
        <v>0.7424643020729057</v>
      </c>
      <c r="J3113">
        <f t="shared" ca="1" si="242"/>
        <v>0</v>
      </c>
      <c r="K3113">
        <f t="shared" ca="1" si="243"/>
        <v>0</v>
      </c>
      <c r="L3113" s="65">
        <v>3107</v>
      </c>
      <c r="M3113" s="71">
        <f t="shared" ca="1" si="244"/>
        <v>0</v>
      </c>
      <c r="N3113" s="65"/>
    </row>
    <row r="3114" spans="1:14" x14ac:dyDescent="0.25">
      <c r="A3114" s="2">
        <v>3108</v>
      </c>
      <c r="B3114" s="11">
        <f t="shared" ca="1" si="241"/>
        <v>1</v>
      </c>
      <c r="C3114" s="26">
        <f t="shared" ca="1" si="245"/>
        <v>0.43897580329884989</v>
      </c>
      <c r="J3114">
        <f t="shared" ca="1" si="242"/>
        <v>1</v>
      </c>
      <c r="K3114">
        <f t="shared" ca="1" si="243"/>
        <v>0</v>
      </c>
      <c r="L3114" s="65">
        <v>3108</v>
      </c>
      <c r="M3114" s="71">
        <f t="shared" ca="1" si="244"/>
        <v>7.6435659866490084</v>
      </c>
      <c r="N3114" s="65"/>
    </row>
    <row r="3115" spans="1:14" x14ac:dyDescent="0.25">
      <c r="A3115" s="2">
        <v>3109</v>
      </c>
      <c r="B3115" s="11">
        <f t="shared" ca="1" si="241"/>
        <v>1</v>
      </c>
      <c r="C3115" s="26">
        <f t="shared" ca="1" si="245"/>
        <v>0.4678191301802137</v>
      </c>
      <c r="J3115">
        <f t="shared" ca="1" si="242"/>
        <v>0</v>
      </c>
      <c r="K3115">
        <f t="shared" ca="1" si="243"/>
        <v>0</v>
      </c>
      <c r="L3115" s="65">
        <v>3109</v>
      </c>
      <c r="M3115" s="71">
        <f t="shared" ca="1" si="244"/>
        <v>1.5704552022905435E-2</v>
      </c>
      <c r="N3115" s="65"/>
    </row>
    <row r="3116" spans="1:14" x14ac:dyDescent="0.25">
      <c r="A3116" s="2">
        <v>3110</v>
      </c>
      <c r="B3116" s="11">
        <f t="shared" ca="1" si="241"/>
        <v>0</v>
      </c>
      <c r="C3116" s="26">
        <f t="shared" ca="1" si="245"/>
        <v>0.87269243107498173</v>
      </c>
      <c r="J3116">
        <f t="shared" ca="1" si="242"/>
        <v>0</v>
      </c>
      <c r="K3116">
        <f t="shared" ca="1" si="243"/>
        <v>0</v>
      </c>
      <c r="L3116" s="65">
        <v>3110</v>
      </c>
      <c r="M3116" s="71">
        <f t="shared" ca="1" si="244"/>
        <v>0</v>
      </c>
      <c r="N3116" s="65"/>
    </row>
    <row r="3117" spans="1:14" x14ac:dyDescent="0.25">
      <c r="A3117" s="2">
        <v>3111</v>
      </c>
      <c r="B3117" s="11">
        <f t="shared" ca="1" si="241"/>
        <v>1</v>
      </c>
      <c r="C3117" s="26">
        <f t="shared" ca="1" si="245"/>
        <v>0.54189007587232807</v>
      </c>
      <c r="J3117">
        <f t="shared" ca="1" si="242"/>
        <v>0</v>
      </c>
      <c r="K3117">
        <f t="shared" ca="1" si="243"/>
        <v>0</v>
      </c>
      <c r="L3117" s="65">
        <v>3111</v>
      </c>
      <c r="M3117" s="71">
        <f t="shared" ca="1" si="244"/>
        <v>3.9641736470468207</v>
      </c>
      <c r="N3117" s="65"/>
    </row>
    <row r="3118" spans="1:14" x14ac:dyDescent="0.25">
      <c r="A3118" s="2">
        <v>3112</v>
      </c>
      <c r="B3118" s="11">
        <f t="shared" ca="1" si="241"/>
        <v>0</v>
      </c>
      <c r="C3118" s="26">
        <f t="shared" ca="1" si="245"/>
        <v>0.83943119462986804</v>
      </c>
      <c r="J3118">
        <f t="shared" ca="1" si="242"/>
        <v>0</v>
      </c>
      <c r="K3118">
        <f t="shared" ca="1" si="243"/>
        <v>0</v>
      </c>
      <c r="L3118" s="65">
        <v>3112</v>
      </c>
      <c r="M3118" s="71">
        <f t="shared" ca="1" si="244"/>
        <v>0</v>
      </c>
      <c r="N3118" s="65"/>
    </row>
    <row r="3119" spans="1:14" x14ac:dyDescent="0.25">
      <c r="A3119" s="2">
        <v>3113</v>
      </c>
      <c r="B3119" s="11">
        <f t="shared" ref="B3119:B3182" ca="1" si="246">IF(B3118&gt;0,IF(C3119&lt;pww,1,0),IF(C3119&lt;pdw,1,0))</f>
        <v>1</v>
      </c>
      <c r="C3119" s="26">
        <f t="shared" ca="1" si="245"/>
        <v>0.23066446330477219</v>
      </c>
      <c r="J3119">
        <f t="shared" ref="J3119:J3182" ca="1" si="247">IF(AND(B3119,B3120),1,0)</f>
        <v>1</v>
      </c>
      <c r="K3119">
        <f t="shared" ref="K3119:K3182" ca="1" si="248">IF(AND(NOT(B3119),NOT(B3120)),1,0)</f>
        <v>0</v>
      </c>
      <c r="L3119" s="65">
        <v>3113</v>
      </c>
      <c r="M3119" s="71">
        <f t="shared" ca="1" si="244"/>
        <v>3.5060483374802844</v>
      </c>
      <c r="N3119" s="65"/>
    </row>
    <row r="3120" spans="1:14" x14ac:dyDescent="0.25">
      <c r="A3120" s="2">
        <v>3114</v>
      </c>
      <c r="B3120" s="11">
        <f t="shared" ca="1" si="246"/>
        <v>1</v>
      </c>
      <c r="C3120" s="26">
        <f t="shared" ca="1" si="245"/>
        <v>5.1891719949914816E-2</v>
      </c>
      <c r="J3120">
        <f t="shared" ca="1" si="247"/>
        <v>0</v>
      </c>
      <c r="K3120">
        <f t="shared" ca="1" si="248"/>
        <v>0</v>
      </c>
      <c r="L3120" s="65">
        <v>3114</v>
      </c>
      <c r="M3120" s="71">
        <f t="shared" ca="1" si="244"/>
        <v>10.738350647788593</v>
      </c>
      <c r="N3120" s="65"/>
    </row>
    <row r="3121" spans="1:14" x14ac:dyDescent="0.25">
      <c r="A3121" s="2">
        <v>3115</v>
      </c>
      <c r="B3121" s="11">
        <f t="shared" ca="1" si="246"/>
        <v>0</v>
      </c>
      <c r="C3121" s="26">
        <f t="shared" ca="1" si="245"/>
        <v>0.89943726342305286</v>
      </c>
      <c r="J3121">
        <f t="shared" ca="1" si="247"/>
        <v>0</v>
      </c>
      <c r="K3121">
        <f t="shared" ca="1" si="248"/>
        <v>0</v>
      </c>
      <c r="L3121" s="65">
        <v>3115</v>
      </c>
      <c r="M3121" s="71">
        <f t="shared" ca="1" si="244"/>
        <v>0</v>
      </c>
      <c r="N3121" s="65"/>
    </row>
    <row r="3122" spans="1:14" x14ac:dyDescent="0.25">
      <c r="A3122" s="2">
        <v>3116</v>
      </c>
      <c r="B3122" s="11">
        <f t="shared" ca="1" si="246"/>
        <v>1</v>
      </c>
      <c r="C3122" s="26">
        <f t="shared" ca="1" si="245"/>
        <v>0.71684392985700962</v>
      </c>
      <c r="J3122">
        <f t="shared" ca="1" si="247"/>
        <v>0</v>
      </c>
      <c r="K3122">
        <f t="shared" ca="1" si="248"/>
        <v>0</v>
      </c>
      <c r="L3122" s="65">
        <v>3116</v>
      </c>
      <c r="M3122" s="71">
        <f t="shared" ca="1" si="244"/>
        <v>4.8028452937263886</v>
      </c>
      <c r="N3122" s="65"/>
    </row>
    <row r="3123" spans="1:14" x14ac:dyDescent="0.25">
      <c r="A3123" s="2">
        <v>3117</v>
      </c>
      <c r="B3123" s="11">
        <f t="shared" ca="1" si="246"/>
        <v>0</v>
      </c>
      <c r="C3123" s="26">
        <f t="shared" ca="1" si="245"/>
        <v>0.98320578183019181</v>
      </c>
      <c r="J3123">
        <f t="shared" ca="1" si="247"/>
        <v>0</v>
      </c>
      <c r="K3123">
        <f t="shared" ca="1" si="248"/>
        <v>0</v>
      </c>
      <c r="L3123" s="65">
        <v>3117</v>
      </c>
      <c r="M3123" s="71">
        <f t="shared" ca="1" si="244"/>
        <v>0</v>
      </c>
      <c r="N3123" s="65"/>
    </row>
    <row r="3124" spans="1:14" x14ac:dyDescent="0.25">
      <c r="A3124" s="2">
        <v>3118</v>
      </c>
      <c r="B3124" s="11">
        <f t="shared" ca="1" si="246"/>
        <v>1</v>
      </c>
      <c r="C3124" s="26">
        <f t="shared" ca="1" si="245"/>
        <v>0.4653815123283559</v>
      </c>
      <c r="J3124">
        <f t="shared" ca="1" si="247"/>
        <v>1</v>
      </c>
      <c r="K3124">
        <f t="shared" ca="1" si="248"/>
        <v>0</v>
      </c>
      <c r="L3124" s="65">
        <v>3118</v>
      </c>
      <c r="M3124" s="71">
        <f t="shared" ca="1" si="244"/>
        <v>6.5226251985636461</v>
      </c>
      <c r="N3124" s="65"/>
    </row>
    <row r="3125" spans="1:14" x14ac:dyDescent="0.25">
      <c r="A3125" s="2">
        <v>3119</v>
      </c>
      <c r="B3125" s="11">
        <f t="shared" ca="1" si="246"/>
        <v>1</v>
      </c>
      <c r="C3125" s="26">
        <f t="shared" ca="1" si="245"/>
        <v>0.26908809550363977</v>
      </c>
      <c r="J3125">
        <f t="shared" ca="1" si="247"/>
        <v>1</v>
      </c>
      <c r="K3125">
        <f t="shared" ca="1" si="248"/>
        <v>0</v>
      </c>
      <c r="L3125" s="65">
        <v>3119</v>
      </c>
      <c r="M3125" s="71">
        <f t="shared" ca="1" si="244"/>
        <v>3.2061460696083941</v>
      </c>
      <c r="N3125" s="65"/>
    </row>
    <row r="3126" spans="1:14" x14ac:dyDescent="0.25">
      <c r="A3126" s="2">
        <v>3120</v>
      </c>
      <c r="B3126" s="11">
        <f t="shared" ca="1" si="246"/>
        <v>1</v>
      </c>
      <c r="C3126" s="26">
        <f t="shared" ca="1" si="245"/>
        <v>0.68520145828014345</v>
      </c>
      <c r="J3126">
        <f t="shared" ca="1" si="247"/>
        <v>1</v>
      </c>
      <c r="K3126">
        <f t="shared" ca="1" si="248"/>
        <v>0</v>
      </c>
      <c r="L3126" s="65">
        <v>3120</v>
      </c>
      <c r="M3126" s="71">
        <f t="shared" ca="1" si="244"/>
        <v>16.475143541914584</v>
      </c>
      <c r="N3126" s="65"/>
    </row>
    <row r="3127" spans="1:14" x14ac:dyDescent="0.25">
      <c r="A3127" s="2">
        <v>3121</v>
      </c>
      <c r="B3127" s="11">
        <f t="shared" ca="1" si="246"/>
        <v>1</v>
      </c>
      <c r="C3127" s="26">
        <f t="shared" ca="1" si="245"/>
        <v>0.49946094616389403</v>
      </c>
      <c r="J3127">
        <f t="shared" ca="1" si="247"/>
        <v>1</v>
      </c>
      <c r="K3127">
        <f t="shared" ca="1" si="248"/>
        <v>0</v>
      </c>
      <c r="L3127" s="65">
        <v>3121</v>
      </c>
      <c r="M3127" s="71">
        <f t="shared" ca="1" si="244"/>
        <v>2.1680859905943728</v>
      </c>
      <c r="N3127" s="65"/>
    </row>
    <row r="3128" spans="1:14" x14ac:dyDescent="0.25">
      <c r="A3128" s="2">
        <v>3122</v>
      </c>
      <c r="B3128" s="11">
        <f t="shared" ca="1" si="246"/>
        <v>1</v>
      </c>
      <c r="C3128" s="26">
        <f t="shared" ca="1" si="245"/>
        <v>0.26821030408878843</v>
      </c>
      <c r="J3128">
        <f t="shared" ca="1" si="247"/>
        <v>1</v>
      </c>
      <c r="K3128">
        <f t="shared" ca="1" si="248"/>
        <v>0</v>
      </c>
      <c r="L3128" s="65">
        <v>3122</v>
      </c>
      <c r="M3128" s="71">
        <f t="shared" ca="1" si="244"/>
        <v>5.8313209283181865E-2</v>
      </c>
      <c r="N3128" s="65"/>
    </row>
    <row r="3129" spans="1:14" x14ac:dyDescent="0.25">
      <c r="A3129" s="2">
        <v>3123</v>
      </c>
      <c r="B3129" s="11">
        <f t="shared" ca="1" si="246"/>
        <v>1</v>
      </c>
      <c r="C3129" s="26">
        <f t="shared" ca="1" si="245"/>
        <v>0.77968901273045588</v>
      </c>
      <c r="J3129">
        <f t="shared" ca="1" si="247"/>
        <v>1</v>
      </c>
      <c r="K3129">
        <f t="shared" ca="1" si="248"/>
        <v>0</v>
      </c>
      <c r="L3129" s="65">
        <v>3123</v>
      </c>
      <c r="M3129" s="71">
        <f t="shared" ca="1" si="244"/>
        <v>2.7520829354415435</v>
      </c>
      <c r="N3129" s="65"/>
    </row>
    <row r="3130" spans="1:14" x14ac:dyDescent="0.25">
      <c r="A3130" s="2">
        <v>3124</v>
      </c>
      <c r="B3130" s="11">
        <f t="shared" ca="1" si="246"/>
        <v>1</v>
      </c>
      <c r="C3130" s="26">
        <f t="shared" ca="1" si="245"/>
        <v>8.0733806500238314E-3</v>
      </c>
      <c r="J3130">
        <f t="shared" ca="1" si="247"/>
        <v>0</v>
      </c>
      <c r="K3130">
        <f t="shared" ca="1" si="248"/>
        <v>0</v>
      </c>
      <c r="L3130" s="65">
        <v>3124</v>
      </c>
      <c r="M3130" s="71">
        <f t="shared" ca="1" si="244"/>
        <v>1.0968611920019213</v>
      </c>
      <c r="N3130" s="65"/>
    </row>
    <row r="3131" spans="1:14" x14ac:dyDescent="0.25">
      <c r="A3131" s="2">
        <v>3125</v>
      </c>
      <c r="B3131" s="11">
        <f t="shared" ca="1" si="246"/>
        <v>0</v>
      </c>
      <c r="C3131" s="26">
        <f t="shared" ca="1" si="245"/>
        <v>0.87866726617235447</v>
      </c>
      <c r="J3131">
        <f t="shared" ca="1" si="247"/>
        <v>0</v>
      </c>
      <c r="K3131">
        <f t="shared" ca="1" si="248"/>
        <v>0</v>
      </c>
      <c r="L3131" s="65">
        <v>3125</v>
      </c>
      <c r="M3131" s="71">
        <f t="shared" ca="1" si="244"/>
        <v>0</v>
      </c>
      <c r="N3131" s="65"/>
    </row>
    <row r="3132" spans="1:14" x14ac:dyDescent="0.25">
      <c r="A3132" s="2">
        <v>3126</v>
      </c>
      <c r="B3132" s="11">
        <f t="shared" ca="1" si="246"/>
        <v>1</v>
      </c>
      <c r="C3132" s="26">
        <f t="shared" ca="1" si="245"/>
        <v>0.16717527027716439</v>
      </c>
      <c r="J3132">
        <f t="shared" ca="1" si="247"/>
        <v>0</v>
      </c>
      <c r="K3132">
        <f t="shared" ca="1" si="248"/>
        <v>0</v>
      </c>
      <c r="L3132" s="65">
        <v>3126</v>
      </c>
      <c r="M3132" s="71">
        <f t="shared" ca="1" si="244"/>
        <v>1.2372139571829739</v>
      </c>
      <c r="N3132" s="65"/>
    </row>
    <row r="3133" spans="1:14" x14ac:dyDescent="0.25">
      <c r="A3133" s="2">
        <v>3127</v>
      </c>
      <c r="B3133" s="11">
        <f t="shared" ca="1" si="246"/>
        <v>0</v>
      </c>
      <c r="C3133" s="26">
        <f t="shared" ca="1" si="245"/>
        <v>0.97856463985875763</v>
      </c>
      <c r="J3133">
        <f t="shared" ca="1" si="247"/>
        <v>0</v>
      </c>
      <c r="K3133">
        <f t="shared" ca="1" si="248"/>
        <v>0</v>
      </c>
      <c r="L3133" s="65">
        <v>3127</v>
      </c>
      <c r="M3133" s="71">
        <f t="shared" ca="1" si="244"/>
        <v>0</v>
      </c>
      <c r="N3133" s="65"/>
    </row>
    <row r="3134" spans="1:14" x14ac:dyDescent="0.25">
      <c r="A3134" s="2">
        <v>3128</v>
      </c>
      <c r="B3134" s="11">
        <f t="shared" ca="1" si="246"/>
        <v>1</v>
      </c>
      <c r="C3134" s="26">
        <f t="shared" ca="1" si="245"/>
        <v>0.2877387357362714</v>
      </c>
      <c r="J3134">
        <f t="shared" ca="1" si="247"/>
        <v>1</v>
      </c>
      <c r="K3134">
        <f t="shared" ca="1" si="248"/>
        <v>0</v>
      </c>
      <c r="L3134" s="65">
        <v>3128</v>
      </c>
      <c r="M3134" s="71">
        <f t="shared" ca="1" si="244"/>
        <v>0.28018156496318186</v>
      </c>
      <c r="N3134" s="65"/>
    </row>
    <row r="3135" spans="1:14" x14ac:dyDescent="0.25">
      <c r="A3135" s="2">
        <v>3129</v>
      </c>
      <c r="B3135" s="11">
        <f t="shared" ca="1" si="246"/>
        <v>1</v>
      </c>
      <c r="C3135" s="26">
        <f t="shared" ca="1" si="245"/>
        <v>0.12025701633747066</v>
      </c>
      <c r="J3135">
        <f t="shared" ca="1" si="247"/>
        <v>1</v>
      </c>
      <c r="K3135">
        <f t="shared" ca="1" si="248"/>
        <v>0</v>
      </c>
      <c r="L3135" s="65">
        <v>3129</v>
      </c>
      <c r="M3135" s="71">
        <f t="shared" ca="1" si="244"/>
        <v>0.85070005893192724</v>
      </c>
      <c r="N3135" s="65"/>
    </row>
    <row r="3136" spans="1:14" x14ac:dyDescent="0.25">
      <c r="A3136" s="2">
        <v>3130</v>
      </c>
      <c r="B3136" s="11">
        <f t="shared" ca="1" si="246"/>
        <v>1</v>
      </c>
      <c r="C3136" s="26">
        <f t="shared" ca="1" si="245"/>
        <v>8.8099279990144663E-2</v>
      </c>
      <c r="J3136">
        <f t="shared" ca="1" si="247"/>
        <v>0</v>
      </c>
      <c r="K3136">
        <f t="shared" ca="1" si="248"/>
        <v>0</v>
      </c>
      <c r="L3136" s="65">
        <v>3130</v>
      </c>
      <c r="M3136" s="71">
        <f t="shared" ca="1" si="244"/>
        <v>9.4161783816010125</v>
      </c>
      <c r="N3136" s="65"/>
    </row>
    <row r="3137" spans="1:14" x14ac:dyDescent="0.25">
      <c r="A3137" s="2">
        <v>3131</v>
      </c>
      <c r="B3137" s="11">
        <f t="shared" ca="1" si="246"/>
        <v>0</v>
      </c>
      <c r="C3137" s="26">
        <f t="shared" ca="1" si="245"/>
        <v>0.86913353785680481</v>
      </c>
      <c r="J3137">
        <f t="shared" ca="1" si="247"/>
        <v>0</v>
      </c>
      <c r="K3137">
        <f t="shared" ca="1" si="248"/>
        <v>0</v>
      </c>
      <c r="L3137" s="65">
        <v>3131</v>
      </c>
      <c r="M3137" s="71">
        <f t="shared" ca="1" si="244"/>
        <v>0</v>
      </c>
      <c r="N3137" s="65"/>
    </row>
    <row r="3138" spans="1:14" x14ac:dyDescent="0.25">
      <c r="A3138" s="2">
        <v>3132</v>
      </c>
      <c r="B3138" s="11">
        <f t="shared" ca="1" si="246"/>
        <v>1</v>
      </c>
      <c r="C3138" s="26">
        <f t="shared" ca="1" si="245"/>
        <v>5.8690502352958585E-2</v>
      </c>
      <c r="J3138">
        <f t="shared" ca="1" si="247"/>
        <v>1</v>
      </c>
      <c r="K3138">
        <f t="shared" ca="1" si="248"/>
        <v>0</v>
      </c>
      <c r="L3138" s="65">
        <v>3132</v>
      </c>
      <c r="M3138" s="71">
        <f t="shared" ca="1" si="244"/>
        <v>2.8296887115632865</v>
      </c>
      <c r="N3138" s="65"/>
    </row>
    <row r="3139" spans="1:14" x14ac:dyDescent="0.25">
      <c r="A3139" s="2">
        <v>3133</v>
      </c>
      <c r="B3139" s="11">
        <f t="shared" ca="1" si="246"/>
        <v>1</v>
      </c>
      <c r="C3139" s="26">
        <f t="shared" ca="1" si="245"/>
        <v>0.52841137916056979</v>
      </c>
      <c r="J3139">
        <f t="shared" ca="1" si="247"/>
        <v>1</v>
      </c>
      <c r="K3139">
        <f t="shared" ca="1" si="248"/>
        <v>0</v>
      </c>
      <c r="L3139" s="65">
        <v>3133</v>
      </c>
      <c r="M3139" s="71">
        <f t="shared" ca="1" si="244"/>
        <v>2.6917297835241518</v>
      </c>
      <c r="N3139" s="65"/>
    </row>
    <row r="3140" spans="1:14" x14ac:dyDescent="0.25">
      <c r="A3140" s="2">
        <v>3134</v>
      </c>
      <c r="B3140" s="11">
        <f t="shared" ca="1" si="246"/>
        <v>1</v>
      </c>
      <c r="C3140" s="26">
        <f t="shared" ca="1" si="245"/>
        <v>0.21709281911650158</v>
      </c>
      <c r="J3140">
        <f t="shared" ca="1" si="247"/>
        <v>0</v>
      </c>
      <c r="K3140">
        <f t="shared" ca="1" si="248"/>
        <v>0</v>
      </c>
      <c r="L3140" s="65">
        <v>3134</v>
      </c>
      <c r="M3140" s="71">
        <f t="shared" ca="1" si="244"/>
        <v>0.69213568438431483</v>
      </c>
      <c r="N3140" s="65"/>
    </row>
    <row r="3141" spans="1:14" x14ac:dyDescent="0.25">
      <c r="A3141" s="2">
        <v>3135</v>
      </c>
      <c r="B3141" s="11">
        <f t="shared" ca="1" si="246"/>
        <v>0</v>
      </c>
      <c r="C3141" s="26">
        <f t="shared" ca="1" si="245"/>
        <v>0.9146587374346431</v>
      </c>
      <c r="J3141">
        <f t="shared" ca="1" si="247"/>
        <v>0</v>
      </c>
      <c r="K3141">
        <f t="shared" ca="1" si="248"/>
        <v>0</v>
      </c>
      <c r="L3141" s="65">
        <v>3135</v>
      </c>
      <c r="M3141" s="71">
        <f t="shared" ca="1" si="244"/>
        <v>0</v>
      </c>
      <c r="N3141" s="65"/>
    </row>
    <row r="3142" spans="1:14" x14ac:dyDescent="0.25">
      <c r="A3142" s="2">
        <v>3136</v>
      </c>
      <c r="B3142" s="11">
        <f t="shared" ca="1" si="246"/>
        <v>1</v>
      </c>
      <c r="C3142" s="26">
        <f t="shared" ca="1" si="245"/>
        <v>0.67475925535962578</v>
      </c>
      <c r="J3142">
        <f t="shared" ca="1" si="247"/>
        <v>1</v>
      </c>
      <c r="K3142">
        <f t="shared" ca="1" si="248"/>
        <v>0</v>
      </c>
      <c r="L3142" s="65">
        <v>3136</v>
      </c>
      <c r="M3142" s="71">
        <f t="shared" ca="1" si="244"/>
        <v>4.5296572953526697</v>
      </c>
      <c r="N3142" s="65"/>
    </row>
    <row r="3143" spans="1:14" x14ac:dyDescent="0.25">
      <c r="A3143" s="2">
        <v>3137</v>
      </c>
      <c r="B3143" s="11">
        <f t="shared" ca="1" si="246"/>
        <v>1</v>
      </c>
      <c r="C3143" s="26">
        <f t="shared" ca="1" si="245"/>
        <v>0.298431798742268</v>
      </c>
      <c r="J3143">
        <f t="shared" ca="1" si="247"/>
        <v>0</v>
      </c>
      <c r="K3143">
        <f t="shared" ca="1" si="248"/>
        <v>0</v>
      </c>
      <c r="L3143" s="65">
        <v>3137</v>
      </c>
      <c r="M3143" s="71">
        <f t="shared" ref="M3143:M3206" ca="1" si="249">IF(B3143&gt;0,-LN(1-(RAND()))/lambda,0)</f>
        <v>15.186401434215615</v>
      </c>
      <c r="N3143" s="65"/>
    </row>
    <row r="3144" spans="1:14" x14ac:dyDescent="0.25">
      <c r="A3144" s="2">
        <v>3138</v>
      </c>
      <c r="B3144" s="11">
        <f t="shared" ca="1" si="246"/>
        <v>0</v>
      </c>
      <c r="C3144" s="26">
        <f t="shared" ref="C3144:C3207" ca="1" si="250">RAND()</f>
        <v>0.94755580864078692</v>
      </c>
      <c r="J3144">
        <f t="shared" ca="1" si="247"/>
        <v>0</v>
      </c>
      <c r="K3144">
        <f t="shared" ca="1" si="248"/>
        <v>1</v>
      </c>
      <c r="L3144" s="65">
        <v>3138</v>
      </c>
      <c r="M3144" s="71">
        <f t="shared" ca="1" si="249"/>
        <v>0</v>
      </c>
      <c r="N3144" s="65"/>
    </row>
    <row r="3145" spans="1:14" x14ac:dyDescent="0.25">
      <c r="A3145" s="2">
        <v>3139</v>
      </c>
      <c r="B3145" s="11">
        <f t="shared" ca="1" si="246"/>
        <v>0</v>
      </c>
      <c r="C3145" s="26">
        <f t="shared" ca="1" si="250"/>
        <v>0.78044959342835696</v>
      </c>
      <c r="J3145">
        <f t="shared" ca="1" si="247"/>
        <v>0</v>
      </c>
      <c r="K3145">
        <f t="shared" ca="1" si="248"/>
        <v>0</v>
      </c>
      <c r="L3145" s="65">
        <v>3139</v>
      </c>
      <c r="M3145" s="71">
        <f t="shared" ca="1" si="249"/>
        <v>0</v>
      </c>
      <c r="N3145" s="65"/>
    </row>
    <row r="3146" spans="1:14" x14ac:dyDescent="0.25">
      <c r="A3146" s="2">
        <v>3140</v>
      </c>
      <c r="B3146" s="11">
        <f t="shared" ca="1" si="246"/>
        <v>1</v>
      </c>
      <c r="C3146" s="26">
        <f t="shared" ca="1" si="250"/>
        <v>0.62527800001488643</v>
      </c>
      <c r="J3146">
        <f t="shared" ca="1" si="247"/>
        <v>1</v>
      </c>
      <c r="K3146">
        <f t="shared" ca="1" si="248"/>
        <v>0</v>
      </c>
      <c r="L3146" s="65">
        <v>3140</v>
      </c>
      <c r="M3146" s="71">
        <f t="shared" ca="1" si="249"/>
        <v>5.3400298785812303</v>
      </c>
      <c r="N3146" s="65"/>
    </row>
    <row r="3147" spans="1:14" x14ac:dyDescent="0.25">
      <c r="A3147" s="2">
        <v>3141</v>
      </c>
      <c r="B3147" s="11">
        <f t="shared" ca="1" si="246"/>
        <v>1</v>
      </c>
      <c r="C3147" s="26">
        <f t="shared" ca="1" si="250"/>
        <v>0.46965804659461174</v>
      </c>
      <c r="J3147">
        <f t="shared" ca="1" si="247"/>
        <v>1</v>
      </c>
      <c r="K3147">
        <f t="shared" ca="1" si="248"/>
        <v>0</v>
      </c>
      <c r="L3147" s="65">
        <v>3141</v>
      </c>
      <c r="M3147" s="71">
        <f t="shared" ca="1" si="249"/>
        <v>0.35697882471536041</v>
      </c>
      <c r="N3147" s="65"/>
    </row>
    <row r="3148" spans="1:14" x14ac:dyDescent="0.25">
      <c r="A3148" s="2">
        <v>3142</v>
      </c>
      <c r="B3148" s="11">
        <f t="shared" ca="1" si="246"/>
        <v>1</v>
      </c>
      <c r="C3148" s="26">
        <f t="shared" ca="1" si="250"/>
        <v>0.30016482883265072</v>
      </c>
      <c r="J3148">
        <f t="shared" ca="1" si="247"/>
        <v>0</v>
      </c>
      <c r="K3148">
        <f t="shared" ca="1" si="248"/>
        <v>0</v>
      </c>
      <c r="L3148" s="65">
        <v>3142</v>
      </c>
      <c r="M3148" s="71">
        <f t="shared" ca="1" si="249"/>
        <v>1.8509712381391537</v>
      </c>
      <c r="N3148" s="65"/>
    </row>
    <row r="3149" spans="1:14" x14ac:dyDescent="0.25">
      <c r="A3149" s="2">
        <v>3143</v>
      </c>
      <c r="B3149" s="11">
        <f t="shared" ca="1" si="246"/>
        <v>0</v>
      </c>
      <c r="C3149" s="26">
        <f t="shared" ca="1" si="250"/>
        <v>0.88926110440929806</v>
      </c>
      <c r="J3149">
        <f t="shared" ca="1" si="247"/>
        <v>0</v>
      </c>
      <c r="K3149">
        <f t="shared" ca="1" si="248"/>
        <v>0</v>
      </c>
      <c r="L3149" s="65">
        <v>3143</v>
      </c>
      <c r="M3149" s="71">
        <f t="shared" ca="1" si="249"/>
        <v>0</v>
      </c>
      <c r="N3149" s="65"/>
    </row>
    <row r="3150" spans="1:14" x14ac:dyDescent="0.25">
      <c r="A3150" s="2">
        <v>3144</v>
      </c>
      <c r="B3150" s="11">
        <f t="shared" ca="1" si="246"/>
        <v>1</v>
      </c>
      <c r="C3150" s="26">
        <f t="shared" ca="1" si="250"/>
        <v>0.24232472718702469</v>
      </c>
      <c r="J3150">
        <f t="shared" ca="1" si="247"/>
        <v>1</v>
      </c>
      <c r="K3150">
        <f t="shared" ca="1" si="248"/>
        <v>0</v>
      </c>
      <c r="L3150" s="65">
        <v>3144</v>
      </c>
      <c r="M3150" s="71">
        <f t="shared" ca="1" si="249"/>
        <v>0.87366173247323109</v>
      </c>
      <c r="N3150" s="65"/>
    </row>
    <row r="3151" spans="1:14" x14ac:dyDescent="0.25">
      <c r="A3151" s="2">
        <v>3145</v>
      </c>
      <c r="B3151" s="11">
        <f t="shared" ca="1" si="246"/>
        <v>1</v>
      </c>
      <c r="C3151" s="26">
        <f t="shared" ca="1" si="250"/>
        <v>0.10855197799184324</v>
      </c>
      <c r="J3151">
        <f t="shared" ca="1" si="247"/>
        <v>1</v>
      </c>
      <c r="K3151">
        <f t="shared" ca="1" si="248"/>
        <v>0</v>
      </c>
      <c r="L3151" s="65">
        <v>3145</v>
      </c>
      <c r="M3151" s="71">
        <f t="shared" ca="1" si="249"/>
        <v>2.4316788166503587</v>
      </c>
      <c r="N3151" s="65"/>
    </row>
    <row r="3152" spans="1:14" x14ac:dyDescent="0.25">
      <c r="A3152" s="2">
        <v>3146</v>
      </c>
      <c r="B3152" s="11">
        <f t="shared" ca="1" si="246"/>
        <v>1</v>
      </c>
      <c r="C3152" s="26">
        <f t="shared" ca="1" si="250"/>
        <v>0.76703629602938994</v>
      </c>
      <c r="J3152">
        <f t="shared" ca="1" si="247"/>
        <v>1</v>
      </c>
      <c r="K3152">
        <f t="shared" ca="1" si="248"/>
        <v>0</v>
      </c>
      <c r="L3152" s="65">
        <v>3146</v>
      </c>
      <c r="M3152" s="71">
        <f t="shared" ca="1" si="249"/>
        <v>2.1962229104128821</v>
      </c>
      <c r="N3152" s="65"/>
    </row>
    <row r="3153" spans="1:14" x14ac:dyDescent="0.25">
      <c r="A3153" s="2">
        <v>3147</v>
      </c>
      <c r="B3153" s="11">
        <f t="shared" ca="1" si="246"/>
        <v>1</v>
      </c>
      <c r="C3153" s="26">
        <f t="shared" ca="1" si="250"/>
        <v>0.33198318338592281</v>
      </c>
      <c r="J3153">
        <f t="shared" ca="1" si="247"/>
        <v>1</v>
      </c>
      <c r="K3153">
        <f t="shared" ca="1" si="248"/>
        <v>0</v>
      </c>
      <c r="L3153" s="65">
        <v>3147</v>
      </c>
      <c r="M3153" s="71">
        <f t="shared" ca="1" si="249"/>
        <v>6.3057152289382676</v>
      </c>
      <c r="N3153" s="65"/>
    </row>
    <row r="3154" spans="1:14" x14ac:dyDescent="0.25">
      <c r="A3154" s="2">
        <v>3148</v>
      </c>
      <c r="B3154" s="11">
        <f t="shared" ca="1" si="246"/>
        <v>1</v>
      </c>
      <c r="C3154" s="26">
        <f t="shared" ca="1" si="250"/>
        <v>0.35329593379484858</v>
      </c>
      <c r="J3154">
        <f t="shared" ca="1" si="247"/>
        <v>1</v>
      </c>
      <c r="K3154">
        <f t="shared" ca="1" si="248"/>
        <v>0</v>
      </c>
      <c r="L3154" s="65">
        <v>3148</v>
      </c>
      <c r="M3154" s="71">
        <f t="shared" ca="1" si="249"/>
        <v>5.9568282569583664</v>
      </c>
      <c r="N3154" s="65"/>
    </row>
    <row r="3155" spans="1:14" x14ac:dyDescent="0.25">
      <c r="A3155" s="2">
        <v>3149</v>
      </c>
      <c r="B3155" s="11">
        <f t="shared" ca="1" si="246"/>
        <v>1</v>
      </c>
      <c r="C3155" s="26">
        <f t="shared" ca="1" si="250"/>
        <v>0.32521841203800761</v>
      </c>
      <c r="J3155">
        <f t="shared" ca="1" si="247"/>
        <v>1</v>
      </c>
      <c r="K3155">
        <f t="shared" ca="1" si="248"/>
        <v>0</v>
      </c>
      <c r="L3155" s="65">
        <v>3149</v>
      </c>
      <c r="M3155" s="71">
        <f t="shared" ca="1" si="249"/>
        <v>1.4050444109794586</v>
      </c>
      <c r="N3155" s="65"/>
    </row>
    <row r="3156" spans="1:14" x14ac:dyDescent="0.25">
      <c r="A3156" s="2">
        <v>3150</v>
      </c>
      <c r="B3156" s="11">
        <f t="shared" ca="1" si="246"/>
        <v>1</v>
      </c>
      <c r="C3156" s="26">
        <f t="shared" ca="1" si="250"/>
        <v>0.7923742411438679</v>
      </c>
      <c r="J3156">
        <f t="shared" ca="1" si="247"/>
        <v>1</v>
      </c>
      <c r="K3156">
        <f t="shared" ca="1" si="248"/>
        <v>0</v>
      </c>
      <c r="L3156" s="65">
        <v>3150</v>
      </c>
      <c r="M3156" s="71">
        <f t="shared" ca="1" si="249"/>
        <v>0.99744986486382992</v>
      </c>
      <c r="N3156" s="65"/>
    </row>
    <row r="3157" spans="1:14" x14ac:dyDescent="0.25">
      <c r="A3157" s="2">
        <v>3151</v>
      </c>
      <c r="B3157" s="11">
        <f t="shared" ca="1" si="246"/>
        <v>1</v>
      </c>
      <c r="C3157" s="26">
        <f t="shared" ca="1" si="250"/>
        <v>0.10847739991107075</v>
      </c>
      <c r="J3157">
        <f t="shared" ca="1" si="247"/>
        <v>1</v>
      </c>
      <c r="K3157">
        <f t="shared" ca="1" si="248"/>
        <v>0</v>
      </c>
      <c r="L3157" s="65">
        <v>3151</v>
      </c>
      <c r="M3157" s="71">
        <f t="shared" ca="1" si="249"/>
        <v>1.0967154100425613</v>
      </c>
      <c r="N3157" s="65"/>
    </row>
    <row r="3158" spans="1:14" x14ac:dyDescent="0.25">
      <c r="A3158" s="2">
        <v>3152</v>
      </c>
      <c r="B3158" s="11">
        <f t="shared" ca="1" si="246"/>
        <v>1</v>
      </c>
      <c r="C3158" s="26">
        <f t="shared" ca="1" si="250"/>
        <v>0.76091370788790758</v>
      </c>
      <c r="J3158">
        <f t="shared" ca="1" si="247"/>
        <v>1</v>
      </c>
      <c r="K3158">
        <f t="shared" ca="1" si="248"/>
        <v>0</v>
      </c>
      <c r="L3158" s="65">
        <v>3152</v>
      </c>
      <c r="M3158" s="71">
        <f t="shared" ca="1" si="249"/>
        <v>2.4565125457462544</v>
      </c>
      <c r="N3158" s="65"/>
    </row>
    <row r="3159" spans="1:14" x14ac:dyDescent="0.25">
      <c r="A3159" s="2">
        <v>3153</v>
      </c>
      <c r="B3159" s="11">
        <f t="shared" ca="1" si="246"/>
        <v>1</v>
      </c>
      <c r="C3159" s="26">
        <f t="shared" ca="1" si="250"/>
        <v>0.4134807655232039</v>
      </c>
      <c r="J3159">
        <f t="shared" ca="1" si="247"/>
        <v>1</v>
      </c>
      <c r="K3159">
        <f t="shared" ca="1" si="248"/>
        <v>0</v>
      </c>
      <c r="L3159" s="65">
        <v>3153</v>
      </c>
      <c r="M3159" s="71">
        <f t="shared" ca="1" si="249"/>
        <v>4.9425737223559016</v>
      </c>
      <c r="N3159" s="65"/>
    </row>
    <row r="3160" spans="1:14" x14ac:dyDescent="0.25">
      <c r="A3160" s="2">
        <v>3154</v>
      </c>
      <c r="B3160" s="11">
        <f t="shared" ca="1" si="246"/>
        <v>1</v>
      </c>
      <c r="C3160" s="26">
        <f t="shared" ca="1" si="250"/>
        <v>0.30837276708332595</v>
      </c>
      <c r="J3160">
        <f t="shared" ca="1" si="247"/>
        <v>1</v>
      </c>
      <c r="K3160">
        <f t="shared" ca="1" si="248"/>
        <v>0</v>
      </c>
      <c r="L3160" s="65">
        <v>3154</v>
      </c>
      <c r="M3160" s="71">
        <f t="shared" ca="1" si="249"/>
        <v>2.2941735650610249</v>
      </c>
      <c r="N3160" s="65"/>
    </row>
    <row r="3161" spans="1:14" x14ac:dyDescent="0.25">
      <c r="A3161" s="2">
        <v>3155</v>
      </c>
      <c r="B3161" s="11">
        <f t="shared" ca="1" si="246"/>
        <v>1</v>
      </c>
      <c r="C3161" s="26">
        <f t="shared" ca="1" si="250"/>
        <v>0.46908854444696468</v>
      </c>
      <c r="J3161">
        <f t="shared" ca="1" si="247"/>
        <v>1</v>
      </c>
      <c r="K3161">
        <f t="shared" ca="1" si="248"/>
        <v>0</v>
      </c>
      <c r="L3161" s="65">
        <v>3155</v>
      </c>
      <c r="M3161" s="71">
        <f t="shared" ca="1" si="249"/>
        <v>0.45234479041155234</v>
      </c>
      <c r="N3161" s="65"/>
    </row>
    <row r="3162" spans="1:14" x14ac:dyDescent="0.25">
      <c r="A3162" s="2">
        <v>3156</v>
      </c>
      <c r="B3162" s="11">
        <f t="shared" ca="1" si="246"/>
        <v>1</v>
      </c>
      <c r="C3162" s="26">
        <f t="shared" ca="1" si="250"/>
        <v>0.4688163173556058</v>
      </c>
      <c r="J3162">
        <f t="shared" ca="1" si="247"/>
        <v>1</v>
      </c>
      <c r="K3162">
        <f t="shared" ca="1" si="248"/>
        <v>0</v>
      </c>
      <c r="L3162" s="65">
        <v>3156</v>
      </c>
      <c r="M3162" s="71">
        <f t="shared" ca="1" si="249"/>
        <v>1.9749685252491724</v>
      </c>
      <c r="N3162" s="65"/>
    </row>
    <row r="3163" spans="1:14" x14ac:dyDescent="0.25">
      <c r="A3163" s="2">
        <v>3157</v>
      </c>
      <c r="B3163" s="11">
        <f t="shared" ca="1" si="246"/>
        <v>1</v>
      </c>
      <c r="C3163" s="26">
        <f t="shared" ca="1" si="250"/>
        <v>0.56172120395465741</v>
      </c>
      <c r="J3163">
        <f t="shared" ca="1" si="247"/>
        <v>1</v>
      </c>
      <c r="K3163">
        <f t="shared" ca="1" si="248"/>
        <v>0</v>
      </c>
      <c r="L3163" s="65">
        <v>3157</v>
      </c>
      <c r="M3163" s="71">
        <f t="shared" ca="1" si="249"/>
        <v>1.4708800131640909</v>
      </c>
      <c r="N3163" s="65"/>
    </row>
    <row r="3164" spans="1:14" x14ac:dyDescent="0.25">
      <c r="A3164" s="2">
        <v>3158</v>
      </c>
      <c r="B3164" s="11">
        <f t="shared" ca="1" si="246"/>
        <v>1</v>
      </c>
      <c r="C3164" s="26">
        <f t="shared" ca="1" si="250"/>
        <v>0.28853606389550912</v>
      </c>
      <c r="J3164">
        <f t="shared" ca="1" si="247"/>
        <v>0</v>
      </c>
      <c r="K3164">
        <f t="shared" ca="1" si="248"/>
        <v>0</v>
      </c>
      <c r="L3164" s="65">
        <v>3158</v>
      </c>
      <c r="M3164" s="71">
        <f t="shared" ca="1" si="249"/>
        <v>2.8578694085609433</v>
      </c>
      <c r="N3164" s="65"/>
    </row>
    <row r="3165" spans="1:14" x14ac:dyDescent="0.25">
      <c r="A3165" s="2">
        <v>3159</v>
      </c>
      <c r="B3165" s="11">
        <f t="shared" ca="1" si="246"/>
        <v>0</v>
      </c>
      <c r="C3165" s="26">
        <f t="shared" ca="1" si="250"/>
        <v>0.99825963871593171</v>
      </c>
      <c r="J3165">
        <f t="shared" ca="1" si="247"/>
        <v>0</v>
      </c>
      <c r="K3165">
        <f t="shared" ca="1" si="248"/>
        <v>0</v>
      </c>
      <c r="L3165" s="65">
        <v>3159</v>
      </c>
      <c r="M3165" s="71">
        <f t="shared" ca="1" si="249"/>
        <v>0</v>
      </c>
      <c r="N3165" s="65"/>
    </row>
    <row r="3166" spans="1:14" x14ac:dyDescent="0.25">
      <c r="A3166" s="2">
        <v>3160</v>
      </c>
      <c r="B3166" s="11">
        <f t="shared" ca="1" si="246"/>
        <v>1</v>
      </c>
      <c r="C3166" s="26">
        <f t="shared" ca="1" si="250"/>
        <v>0.42215569823314092</v>
      </c>
      <c r="J3166">
        <f t="shared" ca="1" si="247"/>
        <v>1</v>
      </c>
      <c r="K3166">
        <f t="shared" ca="1" si="248"/>
        <v>0</v>
      </c>
      <c r="L3166" s="65">
        <v>3160</v>
      </c>
      <c r="M3166" s="71">
        <f t="shared" ca="1" si="249"/>
        <v>2.8446179663956741</v>
      </c>
      <c r="N3166" s="65"/>
    </row>
    <row r="3167" spans="1:14" x14ac:dyDescent="0.25">
      <c r="A3167" s="2">
        <v>3161</v>
      </c>
      <c r="B3167" s="11">
        <f t="shared" ca="1" si="246"/>
        <v>1</v>
      </c>
      <c r="C3167" s="26">
        <f t="shared" ca="1" si="250"/>
        <v>0.5236989187872505</v>
      </c>
      <c r="J3167">
        <f t="shared" ca="1" si="247"/>
        <v>1</v>
      </c>
      <c r="K3167">
        <f t="shared" ca="1" si="248"/>
        <v>0</v>
      </c>
      <c r="L3167" s="65">
        <v>3161</v>
      </c>
      <c r="M3167" s="71">
        <f t="shared" ca="1" si="249"/>
        <v>0.26311215498951696</v>
      </c>
      <c r="N3167" s="65"/>
    </row>
    <row r="3168" spans="1:14" x14ac:dyDescent="0.25">
      <c r="A3168" s="2">
        <v>3162</v>
      </c>
      <c r="B3168" s="11">
        <f t="shared" ca="1" si="246"/>
        <v>1</v>
      </c>
      <c r="C3168" s="26">
        <f t="shared" ca="1" si="250"/>
        <v>0.6383648368156486</v>
      </c>
      <c r="J3168">
        <f t="shared" ca="1" si="247"/>
        <v>1</v>
      </c>
      <c r="K3168">
        <f t="shared" ca="1" si="248"/>
        <v>0</v>
      </c>
      <c r="L3168" s="65">
        <v>3162</v>
      </c>
      <c r="M3168" s="71">
        <f t="shared" ca="1" si="249"/>
        <v>4.6579701849032107</v>
      </c>
      <c r="N3168" s="65"/>
    </row>
    <row r="3169" spans="1:14" x14ac:dyDescent="0.25">
      <c r="A3169" s="2">
        <v>3163</v>
      </c>
      <c r="B3169" s="11">
        <f t="shared" ca="1" si="246"/>
        <v>1</v>
      </c>
      <c r="C3169" s="26">
        <f t="shared" ca="1" si="250"/>
        <v>0.70454898535639032</v>
      </c>
      <c r="J3169">
        <f t="shared" ca="1" si="247"/>
        <v>1</v>
      </c>
      <c r="K3169">
        <f t="shared" ca="1" si="248"/>
        <v>0</v>
      </c>
      <c r="L3169" s="65">
        <v>3163</v>
      </c>
      <c r="M3169" s="71">
        <f t="shared" ca="1" si="249"/>
        <v>0.24889247729844921</v>
      </c>
      <c r="N3169" s="65"/>
    </row>
    <row r="3170" spans="1:14" x14ac:dyDescent="0.25">
      <c r="A3170" s="2">
        <v>3164</v>
      </c>
      <c r="B3170" s="11">
        <f t="shared" ca="1" si="246"/>
        <v>1</v>
      </c>
      <c r="C3170" s="26">
        <f t="shared" ca="1" si="250"/>
        <v>6.0541147085402702E-2</v>
      </c>
      <c r="J3170">
        <f t="shared" ca="1" si="247"/>
        <v>0</v>
      </c>
      <c r="K3170">
        <f t="shared" ca="1" si="248"/>
        <v>0</v>
      </c>
      <c r="L3170" s="65">
        <v>3164</v>
      </c>
      <c r="M3170" s="71">
        <f t="shared" ca="1" si="249"/>
        <v>0.77770953624993744</v>
      </c>
      <c r="N3170" s="65"/>
    </row>
    <row r="3171" spans="1:14" x14ac:dyDescent="0.25">
      <c r="A3171" s="2">
        <v>3165</v>
      </c>
      <c r="B3171" s="11">
        <f t="shared" ca="1" si="246"/>
        <v>0</v>
      </c>
      <c r="C3171" s="26">
        <f t="shared" ca="1" si="250"/>
        <v>0.9598293688802666</v>
      </c>
      <c r="J3171">
        <f t="shared" ca="1" si="247"/>
        <v>0</v>
      </c>
      <c r="K3171">
        <f t="shared" ca="1" si="248"/>
        <v>0</v>
      </c>
      <c r="L3171" s="65">
        <v>3165</v>
      </c>
      <c r="M3171" s="71">
        <f t="shared" ca="1" si="249"/>
        <v>0</v>
      </c>
      <c r="N3171" s="65"/>
    </row>
    <row r="3172" spans="1:14" x14ac:dyDescent="0.25">
      <c r="A3172" s="2">
        <v>3166</v>
      </c>
      <c r="B3172" s="11">
        <f t="shared" ca="1" si="246"/>
        <v>1</v>
      </c>
      <c r="C3172" s="26">
        <f t="shared" ca="1" si="250"/>
        <v>0.30416460975814152</v>
      </c>
      <c r="J3172">
        <f t="shared" ca="1" si="247"/>
        <v>1</v>
      </c>
      <c r="K3172">
        <f t="shared" ca="1" si="248"/>
        <v>0</v>
      </c>
      <c r="L3172" s="65">
        <v>3166</v>
      </c>
      <c r="M3172" s="71">
        <f t="shared" ca="1" si="249"/>
        <v>5.8859615600080755</v>
      </c>
      <c r="N3172" s="65"/>
    </row>
    <row r="3173" spans="1:14" x14ac:dyDescent="0.25">
      <c r="A3173" s="2">
        <v>3167</v>
      </c>
      <c r="B3173" s="11">
        <f t="shared" ca="1" si="246"/>
        <v>1</v>
      </c>
      <c r="C3173" s="26">
        <f t="shared" ca="1" si="250"/>
        <v>9.5052402292785776E-2</v>
      </c>
      <c r="J3173">
        <f t="shared" ca="1" si="247"/>
        <v>1</v>
      </c>
      <c r="K3173">
        <f t="shared" ca="1" si="248"/>
        <v>0</v>
      </c>
      <c r="L3173" s="65">
        <v>3167</v>
      </c>
      <c r="M3173" s="71">
        <f t="shared" ca="1" si="249"/>
        <v>0.39797854496776053</v>
      </c>
      <c r="N3173" s="65"/>
    </row>
    <row r="3174" spans="1:14" x14ac:dyDescent="0.25">
      <c r="A3174" s="2">
        <v>3168</v>
      </c>
      <c r="B3174" s="11">
        <f t="shared" ca="1" si="246"/>
        <v>1</v>
      </c>
      <c r="C3174" s="26">
        <f t="shared" ca="1" si="250"/>
        <v>0.45642571554791744</v>
      </c>
      <c r="J3174">
        <f t="shared" ca="1" si="247"/>
        <v>0</v>
      </c>
      <c r="K3174">
        <f t="shared" ca="1" si="248"/>
        <v>0</v>
      </c>
      <c r="L3174" s="65">
        <v>3168</v>
      </c>
      <c r="M3174" s="71">
        <f t="shared" ca="1" si="249"/>
        <v>2.2357178763503551</v>
      </c>
      <c r="N3174" s="65"/>
    </row>
    <row r="3175" spans="1:14" x14ac:dyDescent="0.25">
      <c r="A3175" s="2">
        <v>3169</v>
      </c>
      <c r="B3175" s="11">
        <f t="shared" ca="1" si="246"/>
        <v>0</v>
      </c>
      <c r="C3175" s="26">
        <f t="shared" ca="1" si="250"/>
        <v>0.95419452416213935</v>
      </c>
      <c r="J3175">
        <f t="shared" ca="1" si="247"/>
        <v>0</v>
      </c>
      <c r="K3175">
        <f t="shared" ca="1" si="248"/>
        <v>0</v>
      </c>
      <c r="L3175" s="65">
        <v>3169</v>
      </c>
      <c r="M3175" s="71">
        <f t="shared" ca="1" si="249"/>
        <v>0</v>
      </c>
      <c r="N3175" s="65"/>
    </row>
    <row r="3176" spans="1:14" x14ac:dyDescent="0.25">
      <c r="A3176" s="2">
        <v>3170</v>
      </c>
      <c r="B3176" s="11">
        <f t="shared" ca="1" si="246"/>
        <v>1</v>
      </c>
      <c r="C3176" s="26">
        <f t="shared" ca="1" si="250"/>
        <v>0.17383310577280631</v>
      </c>
      <c r="J3176">
        <f t="shared" ca="1" si="247"/>
        <v>1</v>
      </c>
      <c r="K3176">
        <f t="shared" ca="1" si="248"/>
        <v>0</v>
      </c>
      <c r="L3176" s="65">
        <v>3170</v>
      </c>
      <c r="M3176" s="71">
        <f t="shared" ca="1" si="249"/>
        <v>0.43739502159575877</v>
      </c>
      <c r="N3176" s="65"/>
    </row>
    <row r="3177" spans="1:14" x14ac:dyDescent="0.25">
      <c r="A3177" s="2">
        <v>3171</v>
      </c>
      <c r="B3177" s="11">
        <f t="shared" ca="1" si="246"/>
        <v>1</v>
      </c>
      <c r="C3177" s="26">
        <f t="shared" ca="1" si="250"/>
        <v>0.77664572600021176</v>
      </c>
      <c r="J3177">
        <f t="shared" ca="1" si="247"/>
        <v>1</v>
      </c>
      <c r="K3177">
        <f t="shared" ca="1" si="248"/>
        <v>0</v>
      </c>
      <c r="L3177" s="65">
        <v>3171</v>
      </c>
      <c r="M3177" s="71">
        <f t="shared" ca="1" si="249"/>
        <v>5.0373796945401422E-2</v>
      </c>
      <c r="N3177" s="65"/>
    </row>
    <row r="3178" spans="1:14" x14ac:dyDescent="0.25">
      <c r="A3178" s="2">
        <v>3172</v>
      </c>
      <c r="B3178" s="11">
        <f t="shared" ca="1" si="246"/>
        <v>1</v>
      </c>
      <c r="C3178" s="26">
        <f t="shared" ca="1" si="250"/>
        <v>0.48817704603880741</v>
      </c>
      <c r="J3178">
        <f t="shared" ca="1" si="247"/>
        <v>1</v>
      </c>
      <c r="K3178">
        <f t="shared" ca="1" si="248"/>
        <v>0</v>
      </c>
      <c r="L3178" s="65">
        <v>3172</v>
      </c>
      <c r="M3178" s="71">
        <f t="shared" ca="1" si="249"/>
        <v>6.8074566755146728</v>
      </c>
      <c r="N3178" s="65"/>
    </row>
    <row r="3179" spans="1:14" x14ac:dyDescent="0.25">
      <c r="A3179" s="2">
        <v>3173</v>
      </c>
      <c r="B3179" s="11">
        <f t="shared" ca="1" si="246"/>
        <v>1</v>
      </c>
      <c r="C3179" s="26">
        <f t="shared" ca="1" si="250"/>
        <v>0.14876744731539426</v>
      </c>
      <c r="J3179">
        <f t="shared" ca="1" si="247"/>
        <v>1</v>
      </c>
      <c r="K3179">
        <f t="shared" ca="1" si="248"/>
        <v>0</v>
      </c>
      <c r="L3179" s="65">
        <v>3173</v>
      </c>
      <c r="M3179" s="71">
        <f t="shared" ca="1" si="249"/>
        <v>14.702772200479149</v>
      </c>
      <c r="N3179" s="65"/>
    </row>
    <row r="3180" spans="1:14" x14ac:dyDescent="0.25">
      <c r="A3180" s="2">
        <v>3174</v>
      </c>
      <c r="B3180" s="11">
        <f t="shared" ca="1" si="246"/>
        <v>1</v>
      </c>
      <c r="C3180" s="26">
        <f t="shared" ca="1" si="250"/>
        <v>0.63978786950026911</v>
      </c>
      <c r="J3180">
        <f t="shared" ca="1" si="247"/>
        <v>0</v>
      </c>
      <c r="K3180">
        <f t="shared" ca="1" si="248"/>
        <v>0</v>
      </c>
      <c r="L3180" s="65">
        <v>3174</v>
      </c>
      <c r="M3180" s="71">
        <f t="shared" ca="1" si="249"/>
        <v>17.758075051495016</v>
      </c>
      <c r="N3180" s="65"/>
    </row>
    <row r="3181" spans="1:14" x14ac:dyDescent="0.25">
      <c r="A3181" s="2">
        <v>3175</v>
      </c>
      <c r="B3181" s="11">
        <f t="shared" ca="1" si="246"/>
        <v>0</v>
      </c>
      <c r="C3181" s="26">
        <f t="shared" ca="1" si="250"/>
        <v>0.94505059568238936</v>
      </c>
      <c r="J3181">
        <f t="shared" ca="1" si="247"/>
        <v>0</v>
      </c>
      <c r="K3181">
        <f t="shared" ca="1" si="248"/>
        <v>1</v>
      </c>
      <c r="L3181" s="65">
        <v>3175</v>
      </c>
      <c r="M3181" s="71">
        <f t="shared" ca="1" si="249"/>
        <v>0</v>
      </c>
      <c r="N3181" s="65"/>
    </row>
    <row r="3182" spans="1:14" x14ac:dyDescent="0.25">
      <c r="A3182" s="2">
        <v>3176</v>
      </c>
      <c r="B3182" s="11">
        <f t="shared" ca="1" si="246"/>
        <v>0</v>
      </c>
      <c r="C3182" s="26">
        <f t="shared" ca="1" si="250"/>
        <v>0.90115219922740386</v>
      </c>
      <c r="J3182">
        <f t="shared" ca="1" si="247"/>
        <v>0</v>
      </c>
      <c r="K3182">
        <f t="shared" ca="1" si="248"/>
        <v>1</v>
      </c>
      <c r="L3182" s="65">
        <v>3176</v>
      </c>
      <c r="M3182" s="71">
        <f t="shared" ca="1" si="249"/>
        <v>0</v>
      </c>
      <c r="N3182" s="65"/>
    </row>
    <row r="3183" spans="1:14" x14ac:dyDescent="0.25">
      <c r="A3183" s="2">
        <v>3177</v>
      </c>
      <c r="B3183" s="11">
        <f t="shared" ref="B3183:B3246" ca="1" si="251">IF(B3182&gt;0,IF(C3183&lt;pww,1,0),IF(C3183&lt;pdw,1,0))</f>
        <v>0</v>
      </c>
      <c r="C3183" s="26">
        <f t="shared" ca="1" si="250"/>
        <v>0.83668251919037906</v>
      </c>
      <c r="J3183">
        <f t="shared" ref="J3183:J3246" ca="1" si="252">IF(AND(B3183,B3184),1,0)</f>
        <v>0</v>
      </c>
      <c r="K3183">
        <f t="shared" ref="K3183:K3246" ca="1" si="253">IF(AND(NOT(B3183),NOT(B3184)),1,0)</f>
        <v>0</v>
      </c>
      <c r="L3183" s="65">
        <v>3177</v>
      </c>
      <c r="M3183" s="71">
        <f t="shared" ca="1" si="249"/>
        <v>0</v>
      </c>
      <c r="N3183" s="65"/>
    </row>
    <row r="3184" spans="1:14" x14ac:dyDescent="0.25">
      <c r="A3184" s="2">
        <v>3178</v>
      </c>
      <c r="B3184" s="11">
        <f t="shared" ca="1" si="251"/>
        <v>1</v>
      </c>
      <c r="C3184" s="26">
        <f t="shared" ca="1" si="250"/>
        <v>3.7006099694417927E-2</v>
      </c>
      <c r="J3184">
        <f t="shared" ca="1" si="252"/>
        <v>1</v>
      </c>
      <c r="K3184">
        <f t="shared" ca="1" si="253"/>
        <v>0</v>
      </c>
      <c r="L3184" s="65">
        <v>3178</v>
      </c>
      <c r="M3184" s="71">
        <f t="shared" ca="1" si="249"/>
        <v>2.1903717118506263</v>
      </c>
      <c r="N3184" s="65"/>
    </row>
    <row r="3185" spans="1:14" x14ac:dyDescent="0.25">
      <c r="A3185" s="2">
        <v>3179</v>
      </c>
      <c r="B3185" s="11">
        <f t="shared" ca="1" si="251"/>
        <v>1</v>
      </c>
      <c r="C3185" s="26">
        <f t="shared" ca="1" si="250"/>
        <v>0.46124742677470254</v>
      </c>
      <c r="J3185">
        <f t="shared" ca="1" si="252"/>
        <v>0</v>
      </c>
      <c r="K3185">
        <f t="shared" ca="1" si="253"/>
        <v>0</v>
      </c>
      <c r="L3185" s="65">
        <v>3179</v>
      </c>
      <c r="M3185" s="71">
        <f t="shared" ca="1" si="249"/>
        <v>2.6512594558067191</v>
      </c>
      <c r="N3185" s="65"/>
    </row>
    <row r="3186" spans="1:14" x14ac:dyDescent="0.25">
      <c r="A3186" s="2">
        <v>3180</v>
      </c>
      <c r="B3186" s="11">
        <f t="shared" ca="1" si="251"/>
        <v>0</v>
      </c>
      <c r="C3186" s="26">
        <f t="shared" ca="1" si="250"/>
        <v>0.83756812848831785</v>
      </c>
      <c r="J3186">
        <f t="shared" ca="1" si="252"/>
        <v>0</v>
      </c>
      <c r="K3186">
        <f t="shared" ca="1" si="253"/>
        <v>0</v>
      </c>
      <c r="L3186" s="65">
        <v>3180</v>
      </c>
      <c r="M3186" s="71">
        <f t="shared" ca="1" si="249"/>
        <v>0</v>
      </c>
      <c r="N3186" s="65"/>
    </row>
    <row r="3187" spans="1:14" x14ac:dyDescent="0.25">
      <c r="A3187" s="2">
        <v>3181</v>
      </c>
      <c r="B3187" s="11">
        <f t="shared" ca="1" si="251"/>
        <v>1</v>
      </c>
      <c r="C3187" s="26">
        <f t="shared" ca="1" si="250"/>
        <v>0.39657347962011569</v>
      </c>
      <c r="J3187">
        <f t="shared" ca="1" si="252"/>
        <v>1</v>
      </c>
      <c r="K3187">
        <f t="shared" ca="1" si="253"/>
        <v>0</v>
      </c>
      <c r="L3187" s="65">
        <v>3181</v>
      </c>
      <c r="M3187" s="71">
        <f t="shared" ca="1" si="249"/>
        <v>1.3526941948667146</v>
      </c>
      <c r="N3187" s="65"/>
    </row>
    <row r="3188" spans="1:14" x14ac:dyDescent="0.25">
      <c r="A3188" s="2">
        <v>3182</v>
      </c>
      <c r="B3188" s="11">
        <f t="shared" ca="1" si="251"/>
        <v>1</v>
      </c>
      <c r="C3188" s="26">
        <f t="shared" ca="1" si="250"/>
        <v>0.25885800626716482</v>
      </c>
      <c r="J3188">
        <f t="shared" ca="1" si="252"/>
        <v>1</v>
      </c>
      <c r="K3188">
        <f t="shared" ca="1" si="253"/>
        <v>0</v>
      </c>
      <c r="L3188" s="65">
        <v>3182</v>
      </c>
      <c r="M3188" s="71">
        <f t="shared" ca="1" si="249"/>
        <v>4.5680407895040558</v>
      </c>
      <c r="N3188" s="65"/>
    </row>
    <row r="3189" spans="1:14" x14ac:dyDescent="0.25">
      <c r="A3189" s="2">
        <v>3183</v>
      </c>
      <c r="B3189" s="11">
        <f t="shared" ca="1" si="251"/>
        <v>1</v>
      </c>
      <c r="C3189" s="26">
        <f t="shared" ca="1" si="250"/>
        <v>0.74100305968006142</v>
      </c>
      <c r="J3189">
        <f t="shared" ca="1" si="252"/>
        <v>1</v>
      </c>
      <c r="K3189">
        <f t="shared" ca="1" si="253"/>
        <v>0</v>
      </c>
      <c r="L3189" s="65">
        <v>3183</v>
      </c>
      <c r="M3189" s="71">
        <f t="shared" ca="1" si="249"/>
        <v>8.4227262222934929</v>
      </c>
      <c r="N3189" s="65"/>
    </row>
    <row r="3190" spans="1:14" x14ac:dyDescent="0.25">
      <c r="A3190" s="2">
        <v>3184</v>
      </c>
      <c r="B3190" s="11">
        <f t="shared" ca="1" si="251"/>
        <v>1</v>
      </c>
      <c r="C3190" s="26">
        <f t="shared" ca="1" si="250"/>
        <v>0.52492991123529786</v>
      </c>
      <c r="J3190">
        <f t="shared" ca="1" si="252"/>
        <v>1</v>
      </c>
      <c r="K3190">
        <f t="shared" ca="1" si="253"/>
        <v>0</v>
      </c>
      <c r="L3190" s="65">
        <v>3184</v>
      </c>
      <c r="M3190" s="71">
        <f t="shared" ca="1" si="249"/>
        <v>1.728744920682461</v>
      </c>
      <c r="N3190" s="65"/>
    </row>
    <row r="3191" spans="1:14" x14ac:dyDescent="0.25">
      <c r="A3191" s="2">
        <v>3185</v>
      </c>
      <c r="B3191" s="11">
        <f t="shared" ca="1" si="251"/>
        <v>1</v>
      </c>
      <c r="C3191" s="26">
        <f t="shared" ca="1" si="250"/>
        <v>0.30821507867450526</v>
      </c>
      <c r="J3191">
        <f t="shared" ca="1" si="252"/>
        <v>1</v>
      </c>
      <c r="K3191">
        <f t="shared" ca="1" si="253"/>
        <v>0</v>
      </c>
      <c r="L3191" s="65">
        <v>3185</v>
      </c>
      <c r="M3191" s="71">
        <f t="shared" ca="1" si="249"/>
        <v>4.5539159263682167</v>
      </c>
      <c r="N3191" s="65"/>
    </row>
    <row r="3192" spans="1:14" x14ac:dyDescent="0.25">
      <c r="A3192" s="2">
        <v>3186</v>
      </c>
      <c r="B3192" s="11">
        <f t="shared" ca="1" si="251"/>
        <v>1</v>
      </c>
      <c r="C3192" s="26">
        <f t="shared" ca="1" si="250"/>
        <v>0.55421119329805846</v>
      </c>
      <c r="J3192">
        <f t="shared" ca="1" si="252"/>
        <v>0</v>
      </c>
      <c r="K3192">
        <f t="shared" ca="1" si="253"/>
        <v>0</v>
      </c>
      <c r="L3192" s="65">
        <v>3186</v>
      </c>
      <c r="M3192" s="71">
        <f t="shared" ca="1" si="249"/>
        <v>0.28685247794824265</v>
      </c>
      <c r="N3192" s="65"/>
    </row>
    <row r="3193" spans="1:14" x14ac:dyDescent="0.25">
      <c r="A3193" s="2">
        <v>3187</v>
      </c>
      <c r="B3193" s="11">
        <f t="shared" ca="1" si="251"/>
        <v>0</v>
      </c>
      <c r="C3193" s="26">
        <f t="shared" ca="1" si="250"/>
        <v>0.83963204285364856</v>
      </c>
      <c r="J3193">
        <f t="shared" ca="1" si="252"/>
        <v>0</v>
      </c>
      <c r="K3193">
        <f t="shared" ca="1" si="253"/>
        <v>0</v>
      </c>
      <c r="L3193" s="65">
        <v>3187</v>
      </c>
      <c r="M3193" s="71">
        <f t="shared" ca="1" si="249"/>
        <v>0</v>
      </c>
      <c r="N3193" s="65"/>
    </row>
    <row r="3194" spans="1:14" x14ac:dyDescent="0.25">
      <c r="A3194" s="2">
        <v>3188</v>
      </c>
      <c r="B3194" s="11">
        <f t="shared" ca="1" si="251"/>
        <v>1</v>
      </c>
      <c r="C3194" s="26">
        <f t="shared" ca="1" si="250"/>
        <v>0.48744799636119296</v>
      </c>
      <c r="J3194">
        <f t="shared" ca="1" si="252"/>
        <v>1</v>
      </c>
      <c r="K3194">
        <f t="shared" ca="1" si="253"/>
        <v>0</v>
      </c>
      <c r="L3194" s="65">
        <v>3188</v>
      </c>
      <c r="M3194" s="71">
        <f t="shared" ca="1" si="249"/>
        <v>8.5148865697162002</v>
      </c>
      <c r="N3194" s="65"/>
    </row>
    <row r="3195" spans="1:14" x14ac:dyDescent="0.25">
      <c r="A3195" s="2">
        <v>3189</v>
      </c>
      <c r="B3195" s="11">
        <f t="shared" ca="1" si="251"/>
        <v>1</v>
      </c>
      <c r="C3195" s="26">
        <f t="shared" ca="1" si="250"/>
        <v>0.43154325442736607</v>
      </c>
      <c r="J3195">
        <f t="shared" ca="1" si="252"/>
        <v>1</v>
      </c>
      <c r="K3195">
        <f t="shared" ca="1" si="253"/>
        <v>0</v>
      </c>
      <c r="L3195" s="65">
        <v>3189</v>
      </c>
      <c r="M3195" s="71">
        <f t="shared" ca="1" si="249"/>
        <v>15.841615085255865</v>
      </c>
      <c r="N3195" s="65"/>
    </row>
    <row r="3196" spans="1:14" x14ac:dyDescent="0.25">
      <c r="A3196" s="2">
        <v>3190</v>
      </c>
      <c r="B3196" s="11">
        <f t="shared" ca="1" si="251"/>
        <v>1</v>
      </c>
      <c r="C3196" s="26">
        <f t="shared" ca="1" si="250"/>
        <v>0.32287808503917681</v>
      </c>
      <c r="J3196">
        <f t="shared" ca="1" si="252"/>
        <v>1</v>
      </c>
      <c r="K3196">
        <f t="shared" ca="1" si="253"/>
        <v>0</v>
      </c>
      <c r="L3196" s="65">
        <v>3190</v>
      </c>
      <c r="M3196" s="71">
        <f t="shared" ca="1" si="249"/>
        <v>2.8904624215293451</v>
      </c>
      <c r="N3196" s="65"/>
    </row>
    <row r="3197" spans="1:14" x14ac:dyDescent="0.25">
      <c r="A3197" s="2">
        <v>3191</v>
      </c>
      <c r="B3197" s="11">
        <f t="shared" ca="1" si="251"/>
        <v>1</v>
      </c>
      <c r="C3197" s="26">
        <f t="shared" ca="1" si="250"/>
        <v>2.3648357146512922E-3</v>
      </c>
      <c r="J3197">
        <f t="shared" ca="1" si="252"/>
        <v>1</v>
      </c>
      <c r="K3197">
        <f t="shared" ca="1" si="253"/>
        <v>0</v>
      </c>
      <c r="L3197" s="65">
        <v>3191</v>
      </c>
      <c r="M3197" s="71">
        <f t="shared" ca="1" si="249"/>
        <v>2.0174515540001341</v>
      </c>
      <c r="N3197" s="65"/>
    </row>
    <row r="3198" spans="1:14" x14ac:dyDescent="0.25">
      <c r="A3198" s="2">
        <v>3192</v>
      </c>
      <c r="B3198" s="11">
        <f t="shared" ca="1" si="251"/>
        <v>1</v>
      </c>
      <c r="C3198" s="26">
        <f t="shared" ca="1" si="250"/>
        <v>0.6268791835063352</v>
      </c>
      <c r="J3198">
        <f t="shared" ca="1" si="252"/>
        <v>1</v>
      </c>
      <c r="K3198">
        <f t="shared" ca="1" si="253"/>
        <v>0</v>
      </c>
      <c r="L3198" s="65">
        <v>3192</v>
      </c>
      <c r="M3198" s="71">
        <f t="shared" ca="1" si="249"/>
        <v>2.9763363331417478</v>
      </c>
      <c r="N3198" s="65"/>
    </row>
    <row r="3199" spans="1:14" x14ac:dyDescent="0.25">
      <c r="A3199" s="2">
        <v>3193</v>
      </c>
      <c r="B3199" s="11">
        <f t="shared" ca="1" si="251"/>
        <v>1</v>
      </c>
      <c r="C3199" s="26">
        <f t="shared" ca="1" si="250"/>
        <v>0.51127975102991452</v>
      </c>
      <c r="J3199">
        <f t="shared" ca="1" si="252"/>
        <v>0</v>
      </c>
      <c r="K3199">
        <f t="shared" ca="1" si="253"/>
        <v>0</v>
      </c>
      <c r="L3199" s="65">
        <v>3193</v>
      </c>
      <c r="M3199" s="71">
        <f t="shared" ca="1" si="249"/>
        <v>2.047669632454534</v>
      </c>
      <c r="N3199" s="65"/>
    </row>
    <row r="3200" spans="1:14" x14ac:dyDescent="0.25">
      <c r="A3200" s="2">
        <v>3194</v>
      </c>
      <c r="B3200" s="11">
        <f t="shared" ca="1" si="251"/>
        <v>0</v>
      </c>
      <c r="C3200" s="26">
        <f t="shared" ca="1" si="250"/>
        <v>0.95447325136037564</v>
      </c>
      <c r="J3200">
        <f t="shared" ca="1" si="252"/>
        <v>0</v>
      </c>
      <c r="K3200">
        <f t="shared" ca="1" si="253"/>
        <v>1</v>
      </c>
      <c r="L3200" s="65">
        <v>3194</v>
      </c>
      <c r="M3200" s="71">
        <f t="shared" ca="1" si="249"/>
        <v>0</v>
      </c>
      <c r="N3200" s="65"/>
    </row>
    <row r="3201" spans="1:14" x14ac:dyDescent="0.25">
      <c r="A3201" s="2">
        <v>3195</v>
      </c>
      <c r="B3201" s="11">
        <f t="shared" ca="1" si="251"/>
        <v>0</v>
      </c>
      <c r="C3201" s="26">
        <f t="shared" ca="1" si="250"/>
        <v>0.86484968706045251</v>
      </c>
      <c r="J3201">
        <f t="shared" ca="1" si="252"/>
        <v>0</v>
      </c>
      <c r="K3201">
        <f t="shared" ca="1" si="253"/>
        <v>1</v>
      </c>
      <c r="L3201" s="65">
        <v>3195</v>
      </c>
      <c r="M3201" s="71">
        <f t="shared" ca="1" si="249"/>
        <v>0</v>
      </c>
      <c r="N3201" s="65"/>
    </row>
    <row r="3202" spans="1:14" x14ac:dyDescent="0.25">
      <c r="A3202" s="2">
        <v>3196</v>
      </c>
      <c r="B3202" s="11">
        <f t="shared" ca="1" si="251"/>
        <v>0</v>
      </c>
      <c r="C3202" s="26">
        <f t="shared" ca="1" si="250"/>
        <v>0.92375795866555643</v>
      </c>
      <c r="J3202">
        <f t="shared" ca="1" si="252"/>
        <v>0</v>
      </c>
      <c r="K3202">
        <f t="shared" ca="1" si="253"/>
        <v>0</v>
      </c>
      <c r="L3202" s="65">
        <v>3196</v>
      </c>
      <c r="M3202" s="71">
        <f t="shared" ca="1" si="249"/>
        <v>0</v>
      </c>
      <c r="N3202" s="65"/>
    </row>
    <row r="3203" spans="1:14" x14ac:dyDescent="0.25">
      <c r="A3203" s="2">
        <v>3197</v>
      </c>
      <c r="B3203" s="11">
        <f t="shared" ca="1" si="251"/>
        <v>1</v>
      </c>
      <c r="C3203" s="26">
        <f t="shared" ca="1" si="250"/>
        <v>0.12499712267312635</v>
      </c>
      <c r="J3203">
        <f t="shared" ca="1" si="252"/>
        <v>1</v>
      </c>
      <c r="K3203">
        <f t="shared" ca="1" si="253"/>
        <v>0</v>
      </c>
      <c r="L3203" s="65">
        <v>3197</v>
      </c>
      <c r="M3203" s="71">
        <f t="shared" ca="1" si="249"/>
        <v>2.6786998420545771</v>
      </c>
      <c r="N3203" s="65"/>
    </row>
    <row r="3204" spans="1:14" x14ac:dyDescent="0.25">
      <c r="A3204" s="2">
        <v>3198</v>
      </c>
      <c r="B3204" s="11">
        <f t="shared" ca="1" si="251"/>
        <v>1</v>
      </c>
      <c r="C3204" s="26">
        <f t="shared" ca="1" si="250"/>
        <v>4.8623213670107024E-3</v>
      </c>
      <c r="J3204">
        <f t="shared" ca="1" si="252"/>
        <v>1</v>
      </c>
      <c r="K3204">
        <f t="shared" ca="1" si="253"/>
        <v>0</v>
      </c>
      <c r="L3204" s="65">
        <v>3198</v>
      </c>
      <c r="M3204" s="71">
        <f t="shared" ca="1" si="249"/>
        <v>10.361490911055164</v>
      </c>
      <c r="N3204" s="65"/>
    </row>
    <row r="3205" spans="1:14" x14ac:dyDescent="0.25">
      <c r="A3205" s="2">
        <v>3199</v>
      </c>
      <c r="B3205" s="11">
        <f t="shared" ca="1" si="251"/>
        <v>1</v>
      </c>
      <c r="C3205" s="26">
        <f t="shared" ca="1" si="250"/>
        <v>0.25916857056539011</v>
      </c>
      <c r="J3205">
        <f t="shared" ca="1" si="252"/>
        <v>0</v>
      </c>
      <c r="K3205">
        <f t="shared" ca="1" si="253"/>
        <v>0</v>
      </c>
      <c r="L3205" s="65">
        <v>3199</v>
      </c>
      <c r="M3205" s="71">
        <f t="shared" ca="1" si="249"/>
        <v>2.806555250763715</v>
      </c>
      <c r="N3205" s="65"/>
    </row>
    <row r="3206" spans="1:14" x14ac:dyDescent="0.25">
      <c r="A3206" s="2">
        <v>3200</v>
      </c>
      <c r="B3206" s="11">
        <f t="shared" ca="1" si="251"/>
        <v>0</v>
      </c>
      <c r="C3206" s="26">
        <f t="shared" ca="1" si="250"/>
        <v>0.91693155743739219</v>
      </c>
      <c r="J3206">
        <f t="shared" ca="1" si="252"/>
        <v>0</v>
      </c>
      <c r="K3206">
        <f t="shared" ca="1" si="253"/>
        <v>0</v>
      </c>
      <c r="L3206" s="65">
        <v>3200</v>
      </c>
      <c r="M3206" s="71">
        <f t="shared" ca="1" si="249"/>
        <v>0</v>
      </c>
      <c r="N3206" s="65"/>
    </row>
    <row r="3207" spans="1:14" x14ac:dyDescent="0.25">
      <c r="A3207" s="2">
        <v>3201</v>
      </c>
      <c r="B3207" s="11">
        <f t="shared" ca="1" si="251"/>
        <v>1</v>
      </c>
      <c r="C3207" s="26">
        <f t="shared" ca="1" si="250"/>
        <v>0.65694756355760586</v>
      </c>
      <c r="J3207">
        <f t="shared" ca="1" si="252"/>
        <v>1</v>
      </c>
      <c r="K3207">
        <f t="shared" ca="1" si="253"/>
        <v>0</v>
      </c>
      <c r="L3207" s="65">
        <v>3201</v>
      </c>
      <c r="M3207" s="71">
        <f t="shared" ref="M3207:M3270" ca="1" si="254">IF(B3207&gt;0,-LN(1-(RAND()))/lambda,0)</f>
        <v>5.3135651997140734</v>
      </c>
      <c r="N3207" s="65"/>
    </row>
    <row r="3208" spans="1:14" x14ac:dyDescent="0.25">
      <c r="A3208" s="2">
        <v>3202</v>
      </c>
      <c r="B3208" s="11">
        <f t="shared" ca="1" si="251"/>
        <v>1</v>
      </c>
      <c r="C3208" s="26">
        <f t="shared" ref="C3208:C3271" ca="1" si="255">RAND()</f>
        <v>0.59687939733405082</v>
      </c>
      <c r="J3208">
        <f t="shared" ca="1" si="252"/>
        <v>1</v>
      </c>
      <c r="K3208">
        <f t="shared" ca="1" si="253"/>
        <v>0</v>
      </c>
      <c r="L3208" s="65">
        <v>3202</v>
      </c>
      <c r="M3208" s="71">
        <f t="shared" ca="1" si="254"/>
        <v>7.0462744357520055</v>
      </c>
      <c r="N3208" s="65"/>
    </row>
    <row r="3209" spans="1:14" x14ac:dyDescent="0.25">
      <c r="A3209" s="2">
        <v>3203</v>
      </c>
      <c r="B3209" s="11">
        <f t="shared" ca="1" si="251"/>
        <v>1</v>
      </c>
      <c r="C3209" s="26">
        <f t="shared" ca="1" si="255"/>
        <v>0.53435559411344602</v>
      </c>
      <c r="J3209">
        <f t="shared" ca="1" si="252"/>
        <v>1</v>
      </c>
      <c r="K3209">
        <f t="shared" ca="1" si="253"/>
        <v>0</v>
      </c>
      <c r="L3209" s="65">
        <v>3203</v>
      </c>
      <c r="M3209" s="71">
        <f t="shared" ca="1" si="254"/>
        <v>2.2739415528961264</v>
      </c>
      <c r="N3209" s="65"/>
    </row>
    <row r="3210" spans="1:14" x14ac:dyDescent="0.25">
      <c r="A3210" s="2">
        <v>3204</v>
      </c>
      <c r="B3210" s="11">
        <f t="shared" ca="1" si="251"/>
        <v>1</v>
      </c>
      <c r="C3210" s="26">
        <f t="shared" ca="1" si="255"/>
        <v>0.23657905068525376</v>
      </c>
      <c r="J3210">
        <f t="shared" ca="1" si="252"/>
        <v>1</v>
      </c>
      <c r="K3210">
        <f t="shared" ca="1" si="253"/>
        <v>0</v>
      </c>
      <c r="L3210" s="65">
        <v>3204</v>
      </c>
      <c r="M3210" s="71">
        <f t="shared" ca="1" si="254"/>
        <v>2.9845598536827898</v>
      </c>
      <c r="N3210" s="65"/>
    </row>
    <row r="3211" spans="1:14" x14ac:dyDescent="0.25">
      <c r="A3211" s="2">
        <v>3205</v>
      </c>
      <c r="B3211" s="11">
        <f t="shared" ca="1" si="251"/>
        <v>1</v>
      </c>
      <c r="C3211" s="26">
        <f t="shared" ca="1" si="255"/>
        <v>4.4091072077171778E-2</v>
      </c>
      <c r="J3211">
        <f t="shared" ca="1" si="252"/>
        <v>1</v>
      </c>
      <c r="K3211">
        <f t="shared" ca="1" si="253"/>
        <v>0</v>
      </c>
      <c r="L3211" s="65">
        <v>3205</v>
      </c>
      <c r="M3211" s="71">
        <f t="shared" ca="1" si="254"/>
        <v>1.2692106896845203</v>
      </c>
      <c r="N3211" s="65"/>
    </row>
    <row r="3212" spans="1:14" x14ac:dyDescent="0.25">
      <c r="A3212" s="2">
        <v>3206</v>
      </c>
      <c r="B3212" s="11">
        <f t="shared" ca="1" si="251"/>
        <v>1</v>
      </c>
      <c r="C3212" s="26">
        <f t="shared" ca="1" si="255"/>
        <v>0.37985297251458239</v>
      </c>
      <c r="J3212">
        <f t="shared" ca="1" si="252"/>
        <v>0</v>
      </c>
      <c r="K3212">
        <f t="shared" ca="1" si="253"/>
        <v>0</v>
      </c>
      <c r="L3212" s="65">
        <v>3206</v>
      </c>
      <c r="M3212" s="71">
        <f t="shared" ca="1" si="254"/>
        <v>2.0697626642880915</v>
      </c>
      <c r="N3212" s="65"/>
    </row>
    <row r="3213" spans="1:14" x14ac:dyDescent="0.25">
      <c r="A3213" s="2">
        <v>3207</v>
      </c>
      <c r="B3213" s="11">
        <f t="shared" ca="1" si="251"/>
        <v>0</v>
      </c>
      <c r="C3213" s="26">
        <f t="shared" ca="1" si="255"/>
        <v>0.89471129840429098</v>
      </c>
      <c r="J3213">
        <f t="shared" ca="1" si="252"/>
        <v>0</v>
      </c>
      <c r="K3213">
        <f t="shared" ca="1" si="253"/>
        <v>0</v>
      </c>
      <c r="L3213" s="65">
        <v>3207</v>
      </c>
      <c r="M3213" s="71">
        <f t="shared" ca="1" si="254"/>
        <v>0</v>
      </c>
      <c r="N3213" s="65"/>
    </row>
    <row r="3214" spans="1:14" x14ac:dyDescent="0.25">
      <c r="A3214" s="2">
        <v>3208</v>
      </c>
      <c r="B3214" s="11">
        <f t="shared" ca="1" si="251"/>
        <v>1</v>
      </c>
      <c r="C3214" s="26">
        <f t="shared" ca="1" si="255"/>
        <v>0.30186165120441943</v>
      </c>
      <c r="J3214">
        <f t="shared" ca="1" si="252"/>
        <v>1</v>
      </c>
      <c r="K3214">
        <f t="shared" ca="1" si="253"/>
        <v>0</v>
      </c>
      <c r="L3214" s="65">
        <v>3208</v>
      </c>
      <c r="M3214" s="71">
        <f t="shared" ca="1" si="254"/>
        <v>1.2163463645513641</v>
      </c>
      <c r="N3214" s="65"/>
    </row>
    <row r="3215" spans="1:14" x14ac:dyDescent="0.25">
      <c r="A3215" s="2">
        <v>3209</v>
      </c>
      <c r="B3215" s="11">
        <f t="shared" ca="1" si="251"/>
        <v>1</v>
      </c>
      <c r="C3215" s="26">
        <f t="shared" ca="1" si="255"/>
        <v>0.53545755173370457</v>
      </c>
      <c r="J3215">
        <f t="shared" ca="1" si="252"/>
        <v>1</v>
      </c>
      <c r="K3215">
        <f t="shared" ca="1" si="253"/>
        <v>0</v>
      </c>
      <c r="L3215" s="65">
        <v>3209</v>
      </c>
      <c r="M3215" s="71">
        <f t="shared" ca="1" si="254"/>
        <v>4.984239820703853</v>
      </c>
      <c r="N3215" s="65"/>
    </row>
    <row r="3216" spans="1:14" x14ac:dyDescent="0.25">
      <c r="A3216" s="2">
        <v>3210</v>
      </c>
      <c r="B3216" s="11">
        <f t="shared" ca="1" si="251"/>
        <v>1</v>
      </c>
      <c r="C3216" s="26">
        <f t="shared" ca="1" si="255"/>
        <v>0.4521578247952297</v>
      </c>
      <c r="J3216">
        <f t="shared" ca="1" si="252"/>
        <v>1</v>
      </c>
      <c r="K3216">
        <f t="shared" ca="1" si="253"/>
        <v>0</v>
      </c>
      <c r="L3216" s="65">
        <v>3210</v>
      </c>
      <c r="M3216" s="71">
        <f t="shared" ca="1" si="254"/>
        <v>2.6599448033241937</v>
      </c>
      <c r="N3216" s="65"/>
    </row>
    <row r="3217" spans="1:14" x14ac:dyDescent="0.25">
      <c r="A3217" s="2">
        <v>3211</v>
      </c>
      <c r="B3217" s="11">
        <f t="shared" ca="1" si="251"/>
        <v>1</v>
      </c>
      <c r="C3217" s="26">
        <f t="shared" ca="1" si="255"/>
        <v>0.38003955400622869</v>
      </c>
      <c r="J3217">
        <f t="shared" ca="1" si="252"/>
        <v>1</v>
      </c>
      <c r="K3217">
        <f t="shared" ca="1" si="253"/>
        <v>0</v>
      </c>
      <c r="L3217" s="65">
        <v>3211</v>
      </c>
      <c r="M3217" s="71">
        <f t="shared" ca="1" si="254"/>
        <v>3.64779498679796</v>
      </c>
      <c r="N3217" s="65"/>
    </row>
    <row r="3218" spans="1:14" x14ac:dyDescent="0.25">
      <c r="A3218" s="2">
        <v>3212</v>
      </c>
      <c r="B3218" s="11">
        <f t="shared" ca="1" si="251"/>
        <v>1</v>
      </c>
      <c r="C3218" s="26">
        <f t="shared" ca="1" si="255"/>
        <v>0.74341553372876845</v>
      </c>
      <c r="J3218">
        <f t="shared" ca="1" si="252"/>
        <v>1</v>
      </c>
      <c r="K3218">
        <f t="shared" ca="1" si="253"/>
        <v>0</v>
      </c>
      <c r="L3218" s="65">
        <v>3212</v>
      </c>
      <c r="M3218" s="71">
        <f t="shared" ca="1" si="254"/>
        <v>2.595033961965397</v>
      </c>
      <c r="N3218" s="65"/>
    </row>
    <row r="3219" spans="1:14" x14ac:dyDescent="0.25">
      <c r="A3219" s="2">
        <v>3213</v>
      </c>
      <c r="B3219" s="11">
        <f t="shared" ca="1" si="251"/>
        <v>1</v>
      </c>
      <c r="C3219" s="26">
        <f t="shared" ca="1" si="255"/>
        <v>0.22599557865516517</v>
      </c>
      <c r="J3219">
        <f t="shared" ca="1" si="252"/>
        <v>1</v>
      </c>
      <c r="K3219">
        <f t="shared" ca="1" si="253"/>
        <v>0</v>
      </c>
      <c r="L3219" s="65">
        <v>3213</v>
      </c>
      <c r="M3219" s="71">
        <f t="shared" ca="1" si="254"/>
        <v>5.4328228908431759</v>
      </c>
      <c r="N3219" s="65"/>
    </row>
    <row r="3220" spans="1:14" x14ac:dyDescent="0.25">
      <c r="A3220" s="2">
        <v>3214</v>
      </c>
      <c r="B3220" s="11">
        <f t="shared" ca="1" si="251"/>
        <v>1</v>
      </c>
      <c r="C3220" s="26">
        <f t="shared" ca="1" si="255"/>
        <v>0.10631932875799577</v>
      </c>
      <c r="J3220">
        <f t="shared" ca="1" si="252"/>
        <v>1</v>
      </c>
      <c r="K3220">
        <f t="shared" ca="1" si="253"/>
        <v>0</v>
      </c>
      <c r="L3220" s="65">
        <v>3214</v>
      </c>
      <c r="M3220" s="71">
        <f t="shared" ca="1" si="254"/>
        <v>5.4563259583176782</v>
      </c>
      <c r="N3220" s="65"/>
    </row>
    <row r="3221" spans="1:14" x14ac:dyDescent="0.25">
      <c r="A3221" s="2">
        <v>3215</v>
      </c>
      <c r="B3221" s="11">
        <f t="shared" ca="1" si="251"/>
        <v>1</v>
      </c>
      <c r="C3221" s="26">
        <f t="shared" ca="1" si="255"/>
        <v>0.39694978544806536</v>
      </c>
      <c r="J3221">
        <f t="shared" ca="1" si="252"/>
        <v>1</v>
      </c>
      <c r="K3221">
        <f t="shared" ca="1" si="253"/>
        <v>0</v>
      </c>
      <c r="L3221" s="65">
        <v>3215</v>
      </c>
      <c r="M3221" s="71">
        <f t="shared" ca="1" si="254"/>
        <v>11.735396060635605</v>
      </c>
      <c r="N3221" s="65"/>
    </row>
    <row r="3222" spans="1:14" x14ac:dyDescent="0.25">
      <c r="A3222" s="2">
        <v>3216</v>
      </c>
      <c r="B3222" s="11">
        <f t="shared" ca="1" si="251"/>
        <v>1</v>
      </c>
      <c r="C3222" s="26">
        <f t="shared" ca="1" si="255"/>
        <v>0.29168153060628843</v>
      </c>
      <c r="J3222">
        <f t="shared" ca="1" si="252"/>
        <v>1</v>
      </c>
      <c r="K3222">
        <f t="shared" ca="1" si="253"/>
        <v>0</v>
      </c>
      <c r="L3222" s="65">
        <v>3216</v>
      </c>
      <c r="M3222" s="71">
        <f t="shared" ca="1" si="254"/>
        <v>7.3375480997356428</v>
      </c>
      <c r="N3222" s="65"/>
    </row>
    <row r="3223" spans="1:14" x14ac:dyDescent="0.25">
      <c r="A3223" s="2">
        <v>3217</v>
      </c>
      <c r="B3223" s="11">
        <f t="shared" ca="1" si="251"/>
        <v>1</v>
      </c>
      <c r="C3223" s="26">
        <f t="shared" ca="1" si="255"/>
        <v>0.59252014915730133</v>
      </c>
      <c r="J3223">
        <f t="shared" ca="1" si="252"/>
        <v>1</v>
      </c>
      <c r="K3223">
        <f t="shared" ca="1" si="253"/>
        <v>0</v>
      </c>
      <c r="L3223" s="65">
        <v>3217</v>
      </c>
      <c r="M3223" s="71">
        <f t="shared" ca="1" si="254"/>
        <v>1.2338007071601411</v>
      </c>
      <c r="N3223" s="65"/>
    </row>
    <row r="3224" spans="1:14" x14ac:dyDescent="0.25">
      <c r="A3224" s="2">
        <v>3218</v>
      </c>
      <c r="B3224" s="11">
        <f t="shared" ca="1" si="251"/>
        <v>1</v>
      </c>
      <c r="C3224" s="26">
        <f t="shared" ca="1" si="255"/>
        <v>0.46944543612937273</v>
      </c>
      <c r="J3224">
        <f t="shared" ca="1" si="252"/>
        <v>0</v>
      </c>
      <c r="K3224">
        <f t="shared" ca="1" si="253"/>
        <v>0</v>
      </c>
      <c r="L3224" s="65">
        <v>3218</v>
      </c>
      <c r="M3224" s="71">
        <f t="shared" ca="1" si="254"/>
        <v>2.3799454139223442</v>
      </c>
      <c r="N3224" s="65"/>
    </row>
    <row r="3225" spans="1:14" x14ac:dyDescent="0.25">
      <c r="A3225" s="2">
        <v>3219</v>
      </c>
      <c r="B3225" s="11">
        <f t="shared" ca="1" si="251"/>
        <v>0</v>
      </c>
      <c r="C3225" s="26">
        <f t="shared" ca="1" si="255"/>
        <v>0.96969768455479222</v>
      </c>
      <c r="J3225">
        <f t="shared" ca="1" si="252"/>
        <v>0</v>
      </c>
      <c r="K3225">
        <f t="shared" ca="1" si="253"/>
        <v>1</v>
      </c>
      <c r="L3225" s="65">
        <v>3219</v>
      </c>
      <c r="M3225" s="71">
        <f t="shared" ca="1" si="254"/>
        <v>0</v>
      </c>
      <c r="N3225" s="65"/>
    </row>
    <row r="3226" spans="1:14" x14ac:dyDescent="0.25">
      <c r="A3226" s="2">
        <v>3220</v>
      </c>
      <c r="B3226" s="11">
        <f t="shared" ca="1" si="251"/>
        <v>0</v>
      </c>
      <c r="C3226" s="26">
        <f t="shared" ca="1" si="255"/>
        <v>0.76023801975964966</v>
      </c>
      <c r="J3226">
        <f t="shared" ca="1" si="252"/>
        <v>0</v>
      </c>
      <c r="K3226">
        <f t="shared" ca="1" si="253"/>
        <v>1</v>
      </c>
      <c r="L3226" s="65">
        <v>3220</v>
      </c>
      <c r="M3226" s="71">
        <f t="shared" ca="1" si="254"/>
        <v>0</v>
      </c>
      <c r="N3226" s="65"/>
    </row>
    <row r="3227" spans="1:14" x14ac:dyDescent="0.25">
      <c r="A3227" s="2">
        <v>3221</v>
      </c>
      <c r="B3227" s="11">
        <f t="shared" ca="1" si="251"/>
        <v>0</v>
      </c>
      <c r="C3227" s="26">
        <f t="shared" ca="1" si="255"/>
        <v>0.908174237199593</v>
      </c>
      <c r="J3227">
        <f t="shared" ca="1" si="252"/>
        <v>0</v>
      </c>
      <c r="K3227">
        <f t="shared" ca="1" si="253"/>
        <v>1</v>
      </c>
      <c r="L3227" s="65">
        <v>3221</v>
      </c>
      <c r="M3227" s="71">
        <f t="shared" ca="1" si="254"/>
        <v>0</v>
      </c>
      <c r="N3227" s="65"/>
    </row>
    <row r="3228" spans="1:14" x14ac:dyDescent="0.25">
      <c r="A3228" s="2">
        <v>3222</v>
      </c>
      <c r="B3228" s="11">
        <f t="shared" ca="1" si="251"/>
        <v>0</v>
      </c>
      <c r="C3228" s="26">
        <f t="shared" ca="1" si="255"/>
        <v>0.74720526218524153</v>
      </c>
      <c r="J3228">
        <f t="shared" ca="1" si="252"/>
        <v>0</v>
      </c>
      <c r="K3228">
        <f t="shared" ca="1" si="253"/>
        <v>0</v>
      </c>
      <c r="L3228" s="65">
        <v>3222</v>
      </c>
      <c r="M3228" s="71">
        <f t="shared" ca="1" si="254"/>
        <v>0</v>
      </c>
      <c r="N3228" s="65"/>
    </row>
    <row r="3229" spans="1:14" x14ac:dyDescent="0.25">
      <c r="A3229" s="2">
        <v>3223</v>
      </c>
      <c r="B3229" s="11">
        <f t="shared" ca="1" si="251"/>
        <v>1</v>
      </c>
      <c r="C3229" s="26">
        <f t="shared" ca="1" si="255"/>
        <v>0.68133447718001472</v>
      </c>
      <c r="J3229">
        <f t="shared" ca="1" si="252"/>
        <v>0</v>
      </c>
      <c r="K3229">
        <f t="shared" ca="1" si="253"/>
        <v>0</v>
      </c>
      <c r="L3229" s="65">
        <v>3223</v>
      </c>
      <c r="M3229" s="71">
        <f t="shared" ca="1" si="254"/>
        <v>0.84816932706811887</v>
      </c>
      <c r="N3229" s="65"/>
    </row>
    <row r="3230" spans="1:14" x14ac:dyDescent="0.25">
      <c r="A3230" s="2">
        <v>3224</v>
      </c>
      <c r="B3230" s="11">
        <f t="shared" ca="1" si="251"/>
        <v>0</v>
      </c>
      <c r="C3230" s="26">
        <f t="shared" ca="1" si="255"/>
        <v>0.97769157104352733</v>
      </c>
      <c r="J3230">
        <f t="shared" ca="1" si="252"/>
        <v>0</v>
      </c>
      <c r="K3230">
        <f t="shared" ca="1" si="253"/>
        <v>0</v>
      </c>
      <c r="L3230" s="65">
        <v>3224</v>
      </c>
      <c r="M3230" s="71">
        <f t="shared" ca="1" si="254"/>
        <v>0</v>
      </c>
      <c r="N3230" s="65"/>
    </row>
    <row r="3231" spans="1:14" x14ac:dyDescent="0.25">
      <c r="A3231" s="2">
        <v>3225</v>
      </c>
      <c r="B3231" s="11">
        <f t="shared" ca="1" si="251"/>
        <v>1</v>
      </c>
      <c r="C3231" s="26">
        <f t="shared" ca="1" si="255"/>
        <v>0.69800535453413126</v>
      </c>
      <c r="J3231">
        <f t="shared" ca="1" si="252"/>
        <v>0</v>
      </c>
      <c r="K3231">
        <f t="shared" ca="1" si="253"/>
        <v>0</v>
      </c>
      <c r="L3231" s="65">
        <v>3225</v>
      </c>
      <c r="M3231" s="71">
        <f t="shared" ca="1" si="254"/>
        <v>1.0177643233491351</v>
      </c>
      <c r="N3231" s="65"/>
    </row>
    <row r="3232" spans="1:14" x14ac:dyDescent="0.25">
      <c r="A3232" s="2">
        <v>3226</v>
      </c>
      <c r="B3232" s="11">
        <f t="shared" ca="1" si="251"/>
        <v>0</v>
      </c>
      <c r="C3232" s="26">
        <f t="shared" ca="1" si="255"/>
        <v>0.86965779554210321</v>
      </c>
      <c r="J3232">
        <f t="shared" ca="1" si="252"/>
        <v>0</v>
      </c>
      <c r="K3232">
        <f t="shared" ca="1" si="253"/>
        <v>1</v>
      </c>
      <c r="L3232" s="65">
        <v>3226</v>
      </c>
      <c r="M3232" s="71">
        <f t="shared" ca="1" si="254"/>
        <v>0</v>
      </c>
      <c r="N3232" s="65"/>
    </row>
    <row r="3233" spans="1:14" x14ac:dyDescent="0.25">
      <c r="A3233" s="2">
        <v>3227</v>
      </c>
      <c r="B3233" s="11">
        <f t="shared" ca="1" si="251"/>
        <v>0</v>
      </c>
      <c r="C3233" s="26">
        <f t="shared" ca="1" si="255"/>
        <v>0.91120985620835593</v>
      </c>
      <c r="J3233">
        <f t="shared" ca="1" si="252"/>
        <v>0</v>
      </c>
      <c r="K3233">
        <f t="shared" ca="1" si="253"/>
        <v>0</v>
      </c>
      <c r="L3233" s="65">
        <v>3227</v>
      </c>
      <c r="M3233" s="71">
        <f t="shared" ca="1" si="254"/>
        <v>0</v>
      </c>
      <c r="N3233" s="65"/>
    </row>
    <row r="3234" spans="1:14" x14ac:dyDescent="0.25">
      <c r="A3234" s="2">
        <v>3228</v>
      </c>
      <c r="B3234" s="11">
        <f t="shared" ca="1" si="251"/>
        <v>1</v>
      </c>
      <c r="C3234" s="26">
        <f t="shared" ca="1" si="255"/>
        <v>0.71901744144240232</v>
      </c>
      <c r="J3234">
        <f t="shared" ca="1" si="252"/>
        <v>1</v>
      </c>
      <c r="K3234">
        <f t="shared" ca="1" si="253"/>
        <v>0</v>
      </c>
      <c r="L3234" s="65">
        <v>3228</v>
      </c>
      <c r="M3234" s="71">
        <f t="shared" ca="1" si="254"/>
        <v>1.1592841294534237</v>
      </c>
      <c r="N3234" s="65"/>
    </row>
    <row r="3235" spans="1:14" x14ac:dyDescent="0.25">
      <c r="A3235" s="2">
        <v>3229</v>
      </c>
      <c r="B3235" s="11">
        <f t="shared" ca="1" si="251"/>
        <v>1</v>
      </c>
      <c r="C3235" s="26">
        <f t="shared" ca="1" si="255"/>
        <v>0.25645315241177868</v>
      </c>
      <c r="J3235">
        <f t="shared" ca="1" si="252"/>
        <v>0</v>
      </c>
      <c r="K3235">
        <f t="shared" ca="1" si="253"/>
        <v>0</v>
      </c>
      <c r="L3235" s="65">
        <v>3229</v>
      </c>
      <c r="M3235" s="71">
        <f t="shared" ca="1" si="254"/>
        <v>0.58584309421554059</v>
      </c>
      <c r="N3235" s="65"/>
    </row>
    <row r="3236" spans="1:14" x14ac:dyDescent="0.25">
      <c r="A3236" s="2">
        <v>3230</v>
      </c>
      <c r="B3236" s="11">
        <f t="shared" ca="1" si="251"/>
        <v>0</v>
      </c>
      <c r="C3236" s="26">
        <f t="shared" ca="1" si="255"/>
        <v>0.8944307373228505</v>
      </c>
      <c r="J3236">
        <f t="shared" ca="1" si="252"/>
        <v>0</v>
      </c>
      <c r="K3236">
        <f t="shared" ca="1" si="253"/>
        <v>0</v>
      </c>
      <c r="L3236" s="65">
        <v>3230</v>
      </c>
      <c r="M3236" s="71">
        <f t="shared" ca="1" si="254"/>
        <v>0</v>
      </c>
      <c r="N3236" s="65"/>
    </row>
    <row r="3237" spans="1:14" x14ac:dyDescent="0.25">
      <c r="A3237" s="2">
        <v>3231</v>
      </c>
      <c r="B3237" s="11">
        <f t="shared" ca="1" si="251"/>
        <v>1</v>
      </c>
      <c r="C3237" s="26">
        <f t="shared" ca="1" si="255"/>
        <v>0.69835222872079317</v>
      </c>
      <c r="J3237">
        <f t="shared" ca="1" si="252"/>
        <v>1</v>
      </c>
      <c r="K3237">
        <f t="shared" ca="1" si="253"/>
        <v>0</v>
      </c>
      <c r="L3237" s="65">
        <v>3231</v>
      </c>
      <c r="M3237" s="71">
        <f t="shared" ca="1" si="254"/>
        <v>0.16314315661214207</v>
      </c>
      <c r="N3237" s="65"/>
    </row>
    <row r="3238" spans="1:14" x14ac:dyDescent="0.25">
      <c r="A3238" s="2">
        <v>3232</v>
      </c>
      <c r="B3238" s="11">
        <f t="shared" ca="1" si="251"/>
        <v>1</v>
      </c>
      <c r="C3238" s="26">
        <f t="shared" ca="1" si="255"/>
        <v>0.70038054941316263</v>
      </c>
      <c r="J3238">
        <f t="shared" ca="1" si="252"/>
        <v>1</v>
      </c>
      <c r="K3238">
        <f t="shared" ca="1" si="253"/>
        <v>0</v>
      </c>
      <c r="L3238" s="65">
        <v>3232</v>
      </c>
      <c r="M3238" s="71">
        <f t="shared" ca="1" si="254"/>
        <v>1.3322973004199681</v>
      </c>
      <c r="N3238" s="65"/>
    </row>
    <row r="3239" spans="1:14" x14ac:dyDescent="0.25">
      <c r="A3239" s="2">
        <v>3233</v>
      </c>
      <c r="B3239" s="11">
        <f t="shared" ca="1" si="251"/>
        <v>1</v>
      </c>
      <c r="C3239" s="26">
        <f t="shared" ca="1" si="255"/>
        <v>0.68642237741376044</v>
      </c>
      <c r="J3239">
        <f t="shared" ca="1" si="252"/>
        <v>1</v>
      </c>
      <c r="K3239">
        <f t="shared" ca="1" si="253"/>
        <v>0</v>
      </c>
      <c r="L3239" s="65">
        <v>3233</v>
      </c>
      <c r="M3239" s="71">
        <f t="shared" ca="1" si="254"/>
        <v>3.186052741746662</v>
      </c>
      <c r="N3239" s="65"/>
    </row>
    <row r="3240" spans="1:14" x14ac:dyDescent="0.25">
      <c r="A3240" s="2">
        <v>3234</v>
      </c>
      <c r="B3240" s="11">
        <f t="shared" ca="1" si="251"/>
        <v>1</v>
      </c>
      <c r="C3240" s="26">
        <f t="shared" ca="1" si="255"/>
        <v>0.2137895601631119</v>
      </c>
      <c r="J3240">
        <f t="shared" ca="1" si="252"/>
        <v>0</v>
      </c>
      <c r="K3240">
        <f t="shared" ca="1" si="253"/>
        <v>0</v>
      </c>
      <c r="L3240" s="65">
        <v>3234</v>
      </c>
      <c r="M3240" s="71">
        <f t="shared" ca="1" si="254"/>
        <v>0.28106247461469946</v>
      </c>
      <c r="N3240" s="65"/>
    </row>
    <row r="3241" spans="1:14" x14ac:dyDescent="0.25">
      <c r="A3241" s="2">
        <v>3235</v>
      </c>
      <c r="B3241" s="11">
        <f t="shared" ca="1" si="251"/>
        <v>0</v>
      </c>
      <c r="C3241" s="26">
        <f t="shared" ca="1" si="255"/>
        <v>0.90514401556369051</v>
      </c>
      <c r="J3241">
        <f t="shared" ca="1" si="252"/>
        <v>0</v>
      </c>
      <c r="K3241">
        <f t="shared" ca="1" si="253"/>
        <v>1</v>
      </c>
      <c r="L3241" s="65">
        <v>3235</v>
      </c>
      <c r="M3241" s="71">
        <f t="shared" ca="1" si="254"/>
        <v>0</v>
      </c>
      <c r="N3241" s="65"/>
    </row>
    <row r="3242" spans="1:14" x14ac:dyDescent="0.25">
      <c r="A3242" s="2">
        <v>3236</v>
      </c>
      <c r="B3242" s="11">
        <f t="shared" ca="1" si="251"/>
        <v>0</v>
      </c>
      <c r="C3242" s="26">
        <f t="shared" ca="1" si="255"/>
        <v>0.91201578766445912</v>
      </c>
      <c r="J3242">
        <f t="shared" ca="1" si="252"/>
        <v>0</v>
      </c>
      <c r="K3242">
        <f t="shared" ca="1" si="253"/>
        <v>1</v>
      </c>
      <c r="L3242" s="65">
        <v>3236</v>
      </c>
      <c r="M3242" s="71">
        <f t="shared" ca="1" si="254"/>
        <v>0</v>
      </c>
      <c r="N3242" s="65"/>
    </row>
    <row r="3243" spans="1:14" x14ac:dyDescent="0.25">
      <c r="A3243" s="2">
        <v>3237</v>
      </c>
      <c r="B3243" s="11">
        <f t="shared" ca="1" si="251"/>
        <v>0</v>
      </c>
      <c r="C3243" s="26">
        <f t="shared" ca="1" si="255"/>
        <v>0.80093628019530461</v>
      </c>
      <c r="J3243">
        <f t="shared" ca="1" si="252"/>
        <v>0</v>
      </c>
      <c r="K3243">
        <f t="shared" ca="1" si="253"/>
        <v>1</v>
      </c>
      <c r="L3243" s="65">
        <v>3237</v>
      </c>
      <c r="M3243" s="71">
        <f t="shared" ca="1" si="254"/>
        <v>0</v>
      </c>
      <c r="N3243" s="65"/>
    </row>
    <row r="3244" spans="1:14" x14ac:dyDescent="0.25">
      <c r="A3244" s="2">
        <v>3238</v>
      </c>
      <c r="B3244" s="11">
        <f t="shared" ca="1" si="251"/>
        <v>0</v>
      </c>
      <c r="C3244" s="26">
        <f t="shared" ca="1" si="255"/>
        <v>0.74659881142644346</v>
      </c>
      <c r="J3244">
        <f t="shared" ca="1" si="252"/>
        <v>0</v>
      </c>
      <c r="K3244">
        <f t="shared" ca="1" si="253"/>
        <v>1</v>
      </c>
      <c r="L3244" s="65">
        <v>3238</v>
      </c>
      <c r="M3244" s="71">
        <f t="shared" ca="1" si="254"/>
        <v>0</v>
      </c>
      <c r="N3244" s="65"/>
    </row>
    <row r="3245" spans="1:14" x14ac:dyDescent="0.25">
      <c r="A3245" s="2">
        <v>3239</v>
      </c>
      <c r="B3245" s="11">
        <f t="shared" ca="1" si="251"/>
        <v>0</v>
      </c>
      <c r="C3245" s="26">
        <f t="shared" ca="1" si="255"/>
        <v>0.99587733489762731</v>
      </c>
      <c r="J3245">
        <f t="shared" ca="1" si="252"/>
        <v>0</v>
      </c>
      <c r="K3245">
        <f t="shared" ca="1" si="253"/>
        <v>0</v>
      </c>
      <c r="L3245" s="65">
        <v>3239</v>
      </c>
      <c r="M3245" s="71">
        <f t="shared" ca="1" si="254"/>
        <v>0</v>
      </c>
      <c r="N3245" s="65"/>
    </row>
    <row r="3246" spans="1:14" x14ac:dyDescent="0.25">
      <c r="A3246" s="2">
        <v>3240</v>
      </c>
      <c r="B3246" s="11">
        <f t="shared" ca="1" si="251"/>
        <v>1</v>
      </c>
      <c r="C3246" s="26">
        <f t="shared" ca="1" si="255"/>
        <v>2.2459898102874853E-2</v>
      </c>
      <c r="J3246">
        <f t="shared" ca="1" si="252"/>
        <v>1</v>
      </c>
      <c r="K3246">
        <f t="shared" ca="1" si="253"/>
        <v>0</v>
      </c>
      <c r="L3246" s="65">
        <v>3240</v>
      </c>
      <c r="M3246" s="71">
        <f t="shared" ca="1" si="254"/>
        <v>1.355933515266144</v>
      </c>
      <c r="N3246" s="65"/>
    </row>
    <row r="3247" spans="1:14" x14ac:dyDescent="0.25">
      <c r="A3247" s="2">
        <v>3241</v>
      </c>
      <c r="B3247" s="11">
        <f t="shared" ref="B3247:B3310" ca="1" si="256">IF(B3246&gt;0,IF(C3247&lt;pww,1,0),IF(C3247&lt;pdw,1,0))</f>
        <v>1</v>
      </c>
      <c r="C3247" s="26">
        <f t="shared" ca="1" si="255"/>
        <v>0.17278436318935297</v>
      </c>
      <c r="J3247">
        <f t="shared" ref="J3247:J3310" ca="1" si="257">IF(AND(B3247,B3248),1,0)</f>
        <v>0</v>
      </c>
      <c r="K3247">
        <f t="shared" ref="K3247:K3310" ca="1" si="258">IF(AND(NOT(B3247),NOT(B3248)),1,0)</f>
        <v>0</v>
      </c>
      <c r="L3247" s="65">
        <v>3241</v>
      </c>
      <c r="M3247" s="71">
        <f t="shared" ca="1" si="254"/>
        <v>3.734925622811895</v>
      </c>
      <c r="N3247" s="65"/>
    </row>
    <row r="3248" spans="1:14" x14ac:dyDescent="0.25">
      <c r="A3248" s="2">
        <v>3242</v>
      </c>
      <c r="B3248" s="11">
        <f t="shared" ca="1" si="256"/>
        <v>0</v>
      </c>
      <c r="C3248" s="26">
        <f t="shared" ca="1" si="255"/>
        <v>0.99071718734210401</v>
      </c>
      <c r="J3248">
        <f t="shared" ca="1" si="257"/>
        <v>0</v>
      </c>
      <c r="K3248">
        <f t="shared" ca="1" si="258"/>
        <v>0</v>
      </c>
      <c r="L3248" s="65">
        <v>3242</v>
      </c>
      <c r="M3248" s="71">
        <f t="shared" ca="1" si="254"/>
        <v>0</v>
      </c>
      <c r="N3248" s="65"/>
    </row>
    <row r="3249" spans="1:14" x14ac:dyDescent="0.25">
      <c r="A3249" s="2">
        <v>3243</v>
      </c>
      <c r="B3249" s="11">
        <f t="shared" ca="1" si="256"/>
        <v>1</v>
      </c>
      <c r="C3249" s="26">
        <f t="shared" ca="1" si="255"/>
        <v>0.11663147135004415</v>
      </c>
      <c r="J3249">
        <f t="shared" ca="1" si="257"/>
        <v>1</v>
      </c>
      <c r="K3249">
        <f t="shared" ca="1" si="258"/>
        <v>0</v>
      </c>
      <c r="L3249" s="65">
        <v>3243</v>
      </c>
      <c r="M3249" s="71">
        <f t="shared" ca="1" si="254"/>
        <v>1.8738590805471287</v>
      </c>
      <c r="N3249" s="65"/>
    </row>
    <row r="3250" spans="1:14" x14ac:dyDescent="0.25">
      <c r="A3250" s="2">
        <v>3244</v>
      </c>
      <c r="B3250" s="11">
        <f t="shared" ca="1" si="256"/>
        <v>1</v>
      </c>
      <c r="C3250" s="26">
        <f t="shared" ca="1" si="255"/>
        <v>0.59644343177056625</v>
      </c>
      <c r="J3250">
        <f t="shared" ca="1" si="257"/>
        <v>1</v>
      </c>
      <c r="K3250">
        <f t="shared" ca="1" si="258"/>
        <v>0</v>
      </c>
      <c r="L3250" s="65">
        <v>3244</v>
      </c>
      <c r="M3250" s="71">
        <f t="shared" ca="1" si="254"/>
        <v>2.2187391177551228</v>
      </c>
      <c r="N3250" s="65"/>
    </row>
    <row r="3251" spans="1:14" x14ac:dyDescent="0.25">
      <c r="A3251" s="2">
        <v>3245</v>
      </c>
      <c r="B3251" s="11">
        <f t="shared" ca="1" si="256"/>
        <v>1</v>
      </c>
      <c r="C3251" s="26">
        <f t="shared" ca="1" si="255"/>
        <v>0.48253352976262798</v>
      </c>
      <c r="J3251">
        <f t="shared" ca="1" si="257"/>
        <v>0</v>
      </c>
      <c r="K3251">
        <f t="shared" ca="1" si="258"/>
        <v>0</v>
      </c>
      <c r="L3251" s="65">
        <v>3245</v>
      </c>
      <c r="M3251" s="71">
        <f t="shared" ca="1" si="254"/>
        <v>1.140165948099618</v>
      </c>
      <c r="N3251" s="65"/>
    </row>
    <row r="3252" spans="1:14" x14ac:dyDescent="0.25">
      <c r="A3252" s="2">
        <v>3246</v>
      </c>
      <c r="B3252" s="11">
        <f t="shared" ca="1" si="256"/>
        <v>0</v>
      </c>
      <c r="C3252" s="26">
        <f t="shared" ca="1" si="255"/>
        <v>0.93481376237169089</v>
      </c>
      <c r="J3252">
        <f t="shared" ca="1" si="257"/>
        <v>0</v>
      </c>
      <c r="K3252">
        <f t="shared" ca="1" si="258"/>
        <v>0</v>
      </c>
      <c r="L3252" s="65">
        <v>3246</v>
      </c>
      <c r="M3252" s="71">
        <f t="shared" ca="1" si="254"/>
        <v>0</v>
      </c>
      <c r="N3252" s="65"/>
    </row>
    <row r="3253" spans="1:14" x14ac:dyDescent="0.25">
      <c r="A3253" s="2">
        <v>3247</v>
      </c>
      <c r="B3253" s="11">
        <f t="shared" ca="1" si="256"/>
        <v>1</v>
      </c>
      <c r="C3253" s="26">
        <f t="shared" ca="1" si="255"/>
        <v>0.56480831388573383</v>
      </c>
      <c r="J3253">
        <f t="shared" ca="1" si="257"/>
        <v>1</v>
      </c>
      <c r="K3253">
        <f t="shared" ca="1" si="258"/>
        <v>0</v>
      </c>
      <c r="L3253" s="65">
        <v>3247</v>
      </c>
      <c r="M3253" s="71">
        <f t="shared" ca="1" si="254"/>
        <v>1.6411230980027698</v>
      </c>
      <c r="N3253" s="65"/>
    </row>
    <row r="3254" spans="1:14" x14ac:dyDescent="0.25">
      <c r="A3254" s="2">
        <v>3248</v>
      </c>
      <c r="B3254" s="11">
        <f t="shared" ca="1" si="256"/>
        <v>1</v>
      </c>
      <c r="C3254" s="26">
        <f t="shared" ca="1" si="255"/>
        <v>0.61381754507269704</v>
      </c>
      <c r="J3254">
        <f t="shared" ca="1" si="257"/>
        <v>1</v>
      </c>
      <c r="K3254">
        <f t="shared" ca="1" si="258"/>
        <v>0</v>
      </c>
      <c r="L3254" s="65">
        <v>3248</v>
      </c>
      <c r="M3254" s="71">
        <f t="shared" ca="1" si="254"/>
        <v>2.5983941019979895</v>
      </c>
      <c r="N3254" s="65"/>
    </row>
    <row r="3255" spans="1:14" x14ac:dyDescent="0.25">
      <c r="A3255" s="2">
        <v>3249</v>
      </c>
      <c r="B3255" s="11">
        <f t="shared" ca="1" si="256"/>
        <v>1</v>
      </c>
      <c r="C3255" s="26">
        <f t="shared" ca="1" si="255"/>
        <v>0.68710909014606347</v>
      </c>
      <c r="J3255">
        <f t="shared" ca="1" si="257"/>
        <v>1</v>
      </c>
      <c r="K3255">
        <f t="shared" ca="1" si="258"/>
        <v>0</v>
      </c>
      <c r="L3255" s="65">
        <v>3249</v>
      </c>
      <c r="M3255" s="71">
        <f t="shared" ca="1" si="254"/>
        <v>12.545623915595016</v>
      </c>
      <c r="N3255" s="65"/>
    </row>
    <row r="3256" spans="1:14" x14ac:dyDescent="0.25">
      <c r="A3256" s="2">
        <v>3250</v>
      </c>
      <c r="B3256" s="11">
        <f t="shared" ca="1" si="256"/>
        <v>1</v>
      </c>
      <c r="C3256" s="26">
        <f t="shared" ca="1" si="255"/>
        <v>0.57599123651471396</v>
      </c>
      <c r="J3256">
        <f t="shared" ca="1" si="257"/>
        <v>1</v>
      </c>
      <c r="K3256">
        <f t="shared" ca="1" si="258"/>
        <v>0</v>
      </c>
      <c r="L3256" s="65">
        <v>3250</v>
      </c>
      <c r="M3256" s="71">
        <f t="shared" ca="1" si="254"/>
        <v>6.9034768454577184</v>
      </c>
      <c r="N3256" s="65"/>
    </row>
    <row r="3257" spans="1:14" x14ac:dyDescent="0.25">
      <c r="A3257" s="2">
        <v>3251</v>
      </c>
      <c r="B3257" s="11">
        <f t="shared" ca="1" si="256"/>
        <v>1</v>
      </c>
      <c r="C3257" s="26">
        <f t="shared" ca="1" si="255"/>
        <v>0.77842953587037844</v>
      </c>
      <c r="J3257">
        <f t="shared" ca="1" si="257"/>
        <v>1</v>
      </c>
      <c r="K3257">
        <f t="shared" ca="1" si="258"/>
        <v>0</v>
      </c>
      <c r="L3257" s="65">
        <v>3251</v>
      </c>
      <c r="M3257" s="71">
        <f t="shared" ca="1" si="254"/>
        <v>11.87762885319181</v>
      </c>
      <c r="N3257" s="65"/>
    </row>
    <row r="3258" spans="1:14" x14ac:dyDescent="0.25">
      <c r="A3258" s="2">
        <v>3252</v>
      </c>
      <c r="B3258" s="11">
        <f t="shared" ca="1" si="256"/>
        <v>1</v>
      </c>
      <c r="C3258" s="26">
        <f t="shared" ca="1" si="255"/>
        <v>0.13721035225791522</v>
      </c>
      <c r="J3258">
        <f t="shared" ca="1" si="257"/>
        <v>1</v>
      </c>
      <c r="K3258">
        <f t="shared" ca="1" si="258"/>
        <v>0</v>
      </c>
      <c r="L3258" s="65">
        <v>3252</v>
      </c>
      <c r="M3258" s="71">
        <f t="shared" ca="1" si="254"/>
        <v>8.2382596622555795</v>
      </c>
      <c r="N3258" s="65"/>
    </row>
    <row r="3259" spans="1:14" x14ac:dyDescent="0.25">
      <c r="A3259" s="2">
        <v>3253</v>
      </c>
      <c r="B3259" s="11">
        <f t="shared" ca="1" si="256"/>
        <v>1</v>
      </c>
      <c r="C3259" s="26">
        <f t="shared" ca="1" si="255"/>
        <v>0.35238746813872679</v>
      </c>
      <c r="J3259">
        <f t="shared" ca="1" si="257"/>
        <v>1</v>
      </c>
      <c r="K3259">
        <f t="shared" ca="1" si="258"/>
        <v>0</v>
      </c>
      <c r="L3259" s="65">
        <v>3253</v>
      </c>
      <c r="M3259" s="71">
        <f t="shared" ca="1" si="254"/>
        <v>1.1110204962760597</v>
      </c>
      <c r="N3259" s="65"/>
    </row>
    <row r="3260" spans="1:14" x14ac:dyDescent="0.25">
      <c r="A3260" s="2">
        <v>3254</v>
      </c>
      <c r="B3260" s="11">
        <f t="shared" ca="1" si="256"/>
        <v>1</v>
      </c>
      <c r="C3260" s="26">
        <f t="shared" ca="1" si="255"/>
        <v>0.32870728228409862</v>
      </c>
      <c r="J3260">
        <f t="shared" ca="1" si="257"/>
        <v>1</v>
      </c>
      <c r="K3260">
        <f t="shared" ca="1" si="258"/>
        <v>0</v>
      </c>
      <c r="L3260" s="65">
        <v>3254</v>
      </c>
      <c r="M3260" s="71">
        <f t="shared" ca="1" si="254"/>
        <v>0.4436724904105005</v>
      </c>
      <c r="N3260" s="65"/>
    </row>
    <row r="3261" spans="1:14" x14ac:dyDescent="0.25">
      <c r="A3261" s="2">
        <v>3255</v>
      </c>
      <c r="B3261" s="11">
        <f t="shared" ca="1" si="256"/>
        <v>1</v>
      </c>
      <c r="C3261" s="26">
        <f t="shared" ca="1" si="255"/>
        <v>0.10951921731147574</v>
      </c>
      <c r="J3261">
        <f t="shared" ca="1" si="257"/>
        <v>1</v>
      </c>
      <c r="K3261">
        <f t="shared" ca="1" si="258"/>
        <v>0</v>
      </c>
      <c r="L3261" s="65">
        <v>3255</v>
      </c>
      <c r="M3261" s="71">
        <f t="shared" ca="1" si="254"/>
        <v>6.8755313272636771</v>
      </c>
      <c r="N3261" s="65"/>
    </row>
    <row r="3262" spans="1:14" x14ac:dyDescent="0.25">
      <c r="A3262" s="2">
        <v>3256</v>
      </c>
      <c r="B3262" s="11">
        <f t="shared" ca="1" si="256"/>
        <v>1</v>
      </c>
      <c r="C3262" s="26">
        <f t="shared" ca="1" si="255"/>
        <v>0.7416422273448916</v>
      </c>
      <c r="J3262">
        <f t="shared" ca="1" si="257"/>
        <v>0</v>
      </c>
      <c r="K3262">
        <f t="shared" ca="1" si="258"/>
        <v>0</v>
      </c>
      <c r="L3262" s="65">
        <v>3256</v>
      </c>
      <c r="M3262" s="71">
        <f t="shared" ca="1" si="254"/>
        <v>10.420604508137034</v>
      </c>
      <c r="N3262" s="65"/>
    </row>
    <row r="3263" spans="1:14" x14ac:dyDescent="0.25">
      <c r="A3263" s="2">
        <v>3257</v>
      </c>
      <c r="B3263" s="11">
        <f t="shared" ca="1" si="256"/>
        <v>0</v>
      </c>
      <c r="C3263" s="26">
        <f t="shared" ca="1" si="255"/>
        <v>0.92974288615003242</v>
      </c>
      <c r="J3263">
        <f t="shared" ca="1" si="257"/>
        <v>0</v>
      </c>
      <c r="K3263">
        <f t="shared" ca="1" si="258"/>
        <v>0</v>
      </c>
      <c r="L3263" s="65">
        <v>3257</v>
      </c>
      <c r="M3263" s="71">
        <f t="shared" ca="1" si="254"/>
        <v>0</v>
      </c>
      <c r="N3263" s="65"/>
    </row>
    <row r="3264" spans="1:14" x14ac:dyDescent="0.25">
      <c r="A3264" s="2">
        <v>3258</v>
      </c>
      <c r="B3264" s="11">
        <f t="shared" ca="1" si="256"/>
        <v>1</v>
      </c>
      <c r="C3264" s="26">
        <f t="shared" ca="1" si="255"/>
        <v>9.2073465837301138E-2</v>
      </c>
      <c r="J3264">
        <f t="shared" ca="1" si="257"/>
        <v>0</v>
      </c>
      <c r="K3264">
        <f t="shared" ca="1" si="258"/>
        <v>0</v>
      </c>
      <c r="L3264" s="65">
        <v>3258</v>
      </c>
      <c r="M3264" s="71">
        <f t="shared" ca="1" si="254"/>
        <v>4.4358985463600069</v>
      </c>
      <c r="N3264" s="65"/>
    </row>
    <row r="3265" spans="1:14" x14ac:dyDescent="0.25">
      <c r="A3265" s="2">
        <v>3259</v>
      </c>
      <c r="B3265" s="11">
        <f t="shared" ca="1" si="256"/>
        <v>0</v>
      </c>
      <c r="C3265" s="26">
        <f t="shared" ca="1" si="255"/>
        <v>0.84619582750283051</v>
      </c>
      <c r="J3265">
        <f t="shared" ca="1" si="257"/>
        <v>0</v>
      </c>
      <c r="K3265">
        <f t="shared" ca="1" si="258"/>
        <v>1</v>
      </c>
      <c r="L3265" s="65">
        <v>3259</v>
      </c>
      <c r="M3265" s="71">
        <f t="shared" ca="1" si="254"/>
        <v>0</v>
      </c>
      <c r="N3265" s="65"/>
    </row>
    <row r="3266" spans="1:14" x14ac:dyDescent="0.25">
      <c r="A3266" s="2">
        <v>3260</v>
      </c>
      <c r="B3266" s="11">
        <f t="shared" ca="1" si="256"/>
        <v>0</v>
      </c>
      <c r="C3266" s="26">
        <f t="shared" ca="1" si="255"/>
        <v>0.9938614766330871</v>
      </c>
      <c r="J3266">
        <f t="shared" ca="1" si="257"/>
        <v>0</v>
      </c>
      <c r="K3266">
        <f t="shared" ca="1" si="258"/>
        <v>0</v>
      </c>
      <c r="L3266" s="65">
        <v>3260</v>
      </c>
      <c r="M3266" s="71">
        <f t="shared" ca="1" si="254"/>
        <v>0</v>
      </c>
      <c r="N3266" s="65"/>
    </row>
    <row r="3267" spans="1:14" x14ac:dyDescent="0.25">
      <c r="A3267" s="2">
        <v>3261</v>
      </c>
      <c r="B3267" s="11">
        <f t="shared" ca="1" si="256"/>
        <v>1</v>
      </c>
      <c r="C3267" s="26">
        <f t="shared" ca="1" si="255"/>
        <v>0.27929530532143876</v>
      </c>
      <c r="J3267">
        <f t="shared" ca="1" si="257"/>
        <v>1</v>
      </c>
      <c r="K3267">
        <f t="shared" ca="1" si="258"/>
        <v>0</v>
      </c>
      <c r="L3267" s="65">
        <v>3261</v>
      </c>
      <c r="M3267" s="71">
        <f t="shared" ca="1" si="254"/>
        <v>6.2626163183132055</v>
      </c>
      <c r="N3267" s="65"/>
    </row>
    <row r="3268" spans="1:14" x14ac:dyDescent="0.25">
      <c r="A3268" s="2">
        <v>3262</v>
      </c>
      <c r="B3268" s="11">
        <f t="shared" ca="1" si="256"/>
        <v>1</v>
      </c>
      <c r="C3268" s="26">
        <f t="shared" ca="1" si="255"/>
        <v>5.0211673211049246E-2</v>
      </c>
      <c r="J3268">
        <f t="shared" ca="1" si="257"/>
        <v>0</v>
      </c>
      <c r="K3268">
        <f t="shared" ca="1" si="258"/>
        <v>0</v>
      </c>
      <c r="L3268" s="65">
        <v>3262</v>
      </c>
      <c r="M3268" s="71">
        <f t="shared" ca="1" si="254"/>
        <v>0.35869262512483979</v>
      </c>
      <c r="N3268" s="65"/>
    </row>
    <row r="3269" spans="1:14" x14ac:dyDescent="0.25">
      <c r="A3269" s="2">
        <v>3263</v>
      </c>
      <c r="B3269" s="11">
        <f t="shared" ca="1" si="256"/>
        <v>0</v>
      </c>
      <c r="C3269" s="26">
        <f t="shared" ca="1" si="255"/>
        <v>0.87797607790915122</v>
      </c>
      <c r="J3269">
        <f t="shared" ca="1" si="257"/>
        <v>0</v>
      </c>
      <c r="K3269">
        <f t="shared" ca="1" si="258"/>
        <v>0</v>
      </c>
      <c r="L3269" s="65">
        <v>3263</v>
      </c>
      <c r="M3269" s="71">
        <f t="shared" ca="1" si="254"/>
        <v>0</v>
      </c>
      <c r="N3269" s="65"/>
    </row>
    <row r="3270" spans="1:14" x14ac:dyDescent="0.25">
      <c r="A3270" s="2">
        <v>3264</v>
      </c>
      <c r="B3270" s="11">
        <f t="shared" ca="1" si="256"/>
        <v>1</v>
      </c>
      <c r="C3270" s="26">
        <f t="shared" ca="1" si="255"/>
        <v>0.39421066536355709</v>
      </c>
      <c r="J3270">
        <f t="shared" ca="1" si="257"/>
        <v>1</v>
      </c>
      <c r="K3270">
        <f t="shared" ca="1" si="258"/>
        <v>0</v>
      </c>
      <c r="L3270" s="65">
        <v>3264</v>
      </c>
      <c r="M3270" s="71">
        <f t="shared" ca="1" si="254"/>
        <v>5.7732591414870313</v>
      </c>
      <c r="N3270" s="65"/>
    </row>
    <row r="3271" spans="1:14" x14ac:dyDescent="0.25">
      <c r="A3271" s="2">
        <v>3265</v>
      </c>
      <c r="B3271" s="11">
        <f t="shared" ca="1" si="256"/>
        <v>1</v>
      </c>
      <c r="C3271" s="26">
        <f t="shared" ca="1" si="255"/>
        <v>3.5193000992131629E-2</v>
      </c>
      <c r="J3271">
        <f t="shared" ca="1" si="257"/>
        <v>1</v>
      </c>
      <c r="K3271">
        <f t="shared" ca="1" si="258"/>
        <v>0</v>
      </c>
      <c r="L3271" s="65">
        <v>3265</v>
      </c>
      <c r="M3271" s="71">
        <f t="shared" ref="M3271:M3334" ca="1" si="259">IF(B3271&gt;0,-LN(1-(RAND()))/lambda,0)</f>
        <v>13.998159642686355</v>
      </c>
      <c r="N3271" s="65"/>
    </row>
    <row r="3272" spans="1:14" x14ac:dyDescent="0.25">
      <c r="A3272" s="2">
        <v>3266</v>
      </c>
      <c r="B3272" s="11">
        <f t="shared" ca="1" si="256"/>
        <v>1</v>
      </c>
      <c r="C3272" s="26">
        <f t="shared" ref="C3272:C3335" ca="1" si="260">RAND()</f>
        <v>0.72501009915885284</v>
      </c>
      <c r="J3272">
        <f t="shared" ca="1" si="257"/>
        <v>0</v>
      </c>
      <c r="K3272">
        <f t="shared" ca="1" si="258"/>
        <v>0</v>
      </c>
      <c r="L3272" s="65">
        <v>3266</v>
      </c>
      <c r="M3272" s="71">
        <f t="shared" ca="1" si="259"/>
        <v>0.29279012530989479</v>
      </c>
      <c r="N3272" s="65"/>
    </row>
    <row r="3273" spans="1:14" x14ac:dyDescent="0.25">
      <c r="A3273" s="2">
        <v>3267</v>
      </c>
      <c r="B3273" s="11">
        <f t="shared" ca="1" si="256"/>
        <v>0</v>
      </c>
      <c r="C3273" s="26">
        <f t="shared" ca="1" si="260"/>
        <v>0.97117118382823286</v>
      </c>
      <c r="J3273">
        <f t="shared" ca="1" si="257"/>
        <v>0</v>
      </c>
      <c r="K3273">
        <f t="shared" ca="1" si="258"/>
        <v>1</v>
      </c>
      <c r="L3273" s="65">
        <v>3267</v>
      </c>
      <c r="M3273" s="71">
        <f t="shared" ca="1" si="259"/>
        <v>0</v>
      </c>
      <c r="N3273" s="65"/>
    </row>
    <row r="3274" spans="1:14" x14ac:dyDescent="0.25">
      <c r="A3274" s="2">
        <v>3268</v>
      </c>
      <c r="B3274" s="11">
        <f t="shared" ca="1" si="256"/>
        <v>0</v>
      </c>
      <c r="C3274" s="26">
        <f t="shared" ca="1" si="260"/>
        <v>0.8553661980218783</v>
      </c>
      <c r="J3274">
        <f t="shared" ca="1" si="257"/>
        <v>0</v>
      </c>
      <c r="K3274">
        <f t="shared" ca="1" si="258"/>
        <v>0</v>
      </c>
      <c r="L3274" s="65">
        <v>3268</v>
      </c>
      <c r="M3274" s="71">
        <f t="shared" ca="1" si="259"/>
        <v>0</v>
      </c>
      <c r="N3274" s="65"/>
    </row>
    <row r="3275" spans="1:14" x14ac:dyDescent="0.25">
      <c r="A3275" s="2">
        <v>3269</v>
      </c>
      <c r="B3275" s="11">
        <f t="shared" ca="1" si="256"/>
        <v>1</v>
      </c>
      <c r="C3275" s="26">
        <f t="shared" ca="1" si="260"/>
        <v>0.56152382042166049</v>
      </c>
      <c r="J3275">
        <f t="shared" ca="1" si="257"/>
        <v>1</v>
      </c>
      <c r="K3275">
        <f t="shared" ca="1" si="258"/>
        <v>0</v>
      </c>
      <c r="L3275" s="65">
        <v>3269</v>
      </c>
      <c r="M3275" s="71">
        <f t="shared" ca="1" si="259"/>
        <v>4.8431262453627708</v>
      </c>
      <c r="N3275" s="65"/>
    </row>
    <row r="3276" spans="1:14" x14ac:dyDescent="0.25">
      <c r="A3276" s="2">
        <v>3270</v>
      </c>
      <c r="B3276" s="11">
        <f t="shared" ca="1" si="256"/>
        <v>1</v>
      </c>
      <c r="C3276" s="26">
        <f t="shared" ca="1" si="260"/>
        <v>0.529503372199711</v>
      </c>
      <c r="J3276">
        <f t="shared" ca="1" si="257"/>
        <v>0</v>
      </c>
      <c r="K3276">
        <f t="shared" ca="1" si="258"/>
        <v>0</v>
      </c>
      <c r="L3276" s="65">
        <v>3270</v>
      </c>
      <c r="M3276" s="71">
        <f t="shared" ca="1" si="259"/>
        <v>0.86474316240508498</v>
      </c>
      <c r="N3276" s="65"/>
    </row>
    <row r="3277" spans="1:14" x14ac:dyDescent="0.25">
      <c r="A3277" s="2">
        <v>3271</v>
      </c>
      <c r="B3277" s="11">
        <f t="shared" ca="1" si="256"/>
        <v>0</v>
      </c>
      <c r="C3277" s="26">
        <f t="shared" ca="1" si="260"/>
        <v>0.88571702065460045</v>
      </c>
      <c r="J3277">
        <f t="shared" ca="1" si="257"/>
        <v>0</v>
      </c>
      <c r="K3277">
        <f t="shared" ca="1" si="258"/>
        <v>0</v>
      </c>
      <c r="L3277" s="65">
        <v>3271</v>
      </c>
      <c r="M3277" s="71">
        <f t="shared" ca="1" si="259"/>
        <v>0</v>
      </c>
      <c r="N3277" s="65"/>
    </row>
    <row r="3278" spans="1:14" x14ac:dyDescent="0.25">
      <c r="A3278" s="2">
        <v>3272</v>
      </c>
      <c r="B3278" s="11">
        <f t="shared" ca="1" si="256"/>
        <v>1</v>
      </c>
      <c r="C3278" s="26">
        <f t="shared" ca="1" si="260"/>
        <v>0.48385498640751767</v>
      </c>
      <c r="J3278">
        <f t="shared" ca="1" si="257"/>
        <v>1</v>
      </c>
      <c r="K3278">
        <f t="shared" ca="1" si="258"/>
        <v>0</v>
      </c>
      <c r="L3278" s="65">
        <v>3272</v>
      </c>
      <c r="M3278" s="71">
        <f t="shared" ca="1" si="259"/>
        <v>7.950166234676774E-2</v>
      </c>
      <c r="N3278" s="65"/>
    </row>
    <row r="3279" spans="1:14" x14ac:dyDescent="0.25">
      <c r="A3279" s="2">
        <v>3273</v>
      </c>
      <c r="B3279" s="11">
        <f t="shared" ca="1" si="256"/>
        <v>1</v>
      </c>
      <c r="C3279" s="26">
        <f t="shared" ca="1" si="260"/>
        <v>0.42372932040964695</v>
      </c>
      <c r="J3279">
        <f t="shared" ca="1" si="257"/>
        <v>1</v>
      </c>
      <c r="K3279">
        <f t="shared" ca="1" si="258"/>
        <v>0</v>
      </c>
      <c r="L3279" s="65">
        <v>3273</v>
      </c>
      <c r="M3279" s="71">
        <f t="shared" ca="1" si="259"/>
        <v>3.9104433657828306</v>
      </c>
      <c r="N3279" s="65"/>
    </row>
    <row r="3280" spans="1:14" x14ac:dyDescent="0.25">
      <c r="A3280" s="2">
        <v>3274</v>
      </c>
      <c r="B3280" s="11">
        <f t="shared" ca="1" si="256"/>
        <v>1</v>
      </c>
      <c r="C3280" s="26">
        <f t="shared" ca="1" si="260"/>
        <v>0.65731108456844511</v>
      </c>
      <c r="J3280">
        <f t="shared" ca="1" si="257"/>
        <v>1</v>
      </c>
      <c r="K3280">
        <f t="shared" ca="1" si="258"/>
        <v>0</v>
      </c>
      <c r="L3280" s="65">
        <v>3274</v>
      </c>
      <c r="M3280" s="71">
        <f t="shared" ca="1" si="259"/>
        <v>8.9423222148863513</v>
      </c>
      <c r="N3280" s="65"/>
    </row>
    <row r="3281" spans="1:14" x14ac:dyDescent="0.25">
      <c r="A3281" s="2">
        <v>3275</v>
      </c>
      <c r="B3281" s="11">
        <f t="shared" ca="1" si="256"/>
        <v>1</v>
      </c>
      <c r="C3281" s="26">
        <f t="shared" ca="1" si="260"/>
        <v>4.9833631566502778E-2</v>
      </c>
      <c r="J3281">
        <f t="shared" ca="1" si="257"/>
        <v>0</v>
      </c>
      <c r="K3281">
        <f t="shared" ca="1" si="258"/>
        <v>0</v>
      </c>
      <c r="L3281" s="65">
        <v>3275</v>
      </c>
      <c r="M3281" s="71">
        <f t="shared" ca="1" si="259"/>
        <v>1.2536315040271166</v>
      </c>
      <c r="N3281" s="65"/>
    </row>
    <row r="3282" spans="1:14" x14ac:dyDescent="0.25">
      <c r="A3282" s="2">
        <v>3276</v>
      </c>
      <c r="B3282" s="11">
        <f t="shared" ca="1" si="256"/>
        <v>0</v>
      </c>
      <c r="C3282" s="26">
        <f t="shared" ca="1" si="260"/>
        <v>0.9447183183184531</v>
      </c>
      <c r="J3282">
        <f t="shared" ca="1" si="257"/>
        <v>0</v>
      </c>
      <c r="K3282">
        <f t="shared" ca="1" si="258"/>
        <v>0</v>
      </c>
      <c r="L3282" s="65">
        <v>3276</v>
      </c>
      <c r="M3282" s="71">
        <f t="shared" ca="1" si="259"/>
        <v>0</v>
      </c>
      <c r="N3282" s="65"/>
    </row>
    <row r="3283" spans="1:14" x14ac:dyDescent="0.25">
      <c r="A3283" s="2">
        <v>3277</v>
      </c>
      <c r="B3283" s="11">
        <f t="shared" ca="1" si="256"/>
        <v>1</v>
      </c>
      <c r="C3283" s="26">
        <f t="shared" ca="1" si="260"/>
        <v>7.4203764574692022E-2</v>
      </c>
      <c r="J3283">
        <f t="shared" ca="1" si="257"/>
        <v>1</v>
      </c>
      <c r="K3283">
        <f t="shared" ca="1" si="258"/>
        <v>0</v>
      </c>
      <c r="L3283" s="65">
        <v>3277</v>
      </c>
      <c r="M3283" s="71">
        <f t="shared" ca="1" si="259"/>
        <v>0.83913716014054307</v>
      </c>
      <c r="N3283" s="65"/>
    </row>
    <row r="3284" spans="1:14" x14ac:dyDescent="0.25">
      <c r="A3284" s="2">
        <v>3278</v>
      </c>
      <c r="B3284" s="11">
        <f t="shared" ca="1" si="256"/>
        <v>1</v>
      </c>
      <c r="C3284" s="26">
        <f t="shared" ca="1" si="260"/>
        <v>0.17106647646379125</v>
      </c>
      <c r="J3284">
        <f t="shared" ca="1" si="257"/>
        <v>1</v>
      </c>
      <c r="K3284">
        <f t="shared" ca="1" si="258"/>
        <v>0</v>
      </c>
      <c r="L3284" s="65">
        <v>3278</v>
      </c>
      <c r="M3284" s="71">
        <f t="shared" ca="1" si="259"/>
        <v>0.32992415631602973</v>
      </c>
      <c r="N3284" s="65"/>
    </row>
    <row r="3285" spans="1:14" x14ac:dyDescent="0.25">
      <c r="A3285" s="2">
        <v>3279</v>
      </c>
      <c r="B3285" s="11">
        <f t="shared" ca="1" si="256"/>
        <v>1</v>
      </c>
      <c r="C3285" s="26">
        <f t="shared" ca="1" si="260"/>
        <v>0.21959502181715773</v>
      </c>
      <c r="J3285">
        <f t="shared" ca="1" si="257"/>
        <v>1</v>
      </c>
      <c r="K3285">
        <f t="shared" ca="1" si="258"/>
        <v>0</v>
      </c>
      <c r="L3285" s="65">
        <v>3279</v>
      </c>
      <c r="M3285" s="71">
        <f t="shared" ca="1" si="259"/>
        <v>6.4646777745388491</v>
      </c>
      <c r="N3285" s="65"/>
    </row>
    <row r="3286" spans="1:14" x14ac:dyDescent="0.25">
      <c r="A3286" s="2">
        <v>3280</v>
      </c>
      <c r="B3286" s="11">
        <f t="shared" ca="1" si="256"/>
        <v>1</v>
      </c>
      <c r="C3286" s="26">
        <f t="shared" ca="1" si="260"/>
        <v>0.51894776573657431</v>
      </c>
      <c r="J3286">
        <f t="shared" ca="1" si="257"/>
        <v>0</v>
      </c>
      <c r="K3286">
        <f t="shared" ca="1" si="258"/>
        <v>0</v>
      </c>
      <c r="L3286" s="65">
        <v>3280</v>
      </c>
      <c r="M3286" s="71">
        <f t="shared" ca="1" si="259"/>
        <v>11.997081113017352</v>
      </c>
      <c r="N3286" s="65"/>
    </row>
    <row r="3287" spans="1:14" x14ac:dyDescent="0.25">
      <c r="A3287" s="2">
        <v>3281</v>
      </c>
      <c r="B3287" s="11">
        <f t="shared" ca="1" si="256"/>
        <v>0</v>
      </c>
      <c r="C3287" s="26">
        <f t="shared" ca="1" si="260"/>
        <v>0.89448221863721644</v>
      </c>
      <c r="J3287">
        <f t="shared" ca="1" si="257"/>
        <v>0</v>
      </c>
      <c r="K3287">
        <f t="shared" ca="1" si="258"/>
        <v>0</v>
      </c>
      <c r="L3287" s="65">
        <v>3281</v>
      </c>
      <c r="M3287" s="71">
        <f t="shared" ca="1" si="259"/>
        <v>0</v>
      </c>
      <c r="N3287" s="65"/>
    </row>
    <row r="3288" spans="1:14" x14ac:dyDescent="0.25">
      <c r="A3288" s="2">
        <v>3282</v>
      </c>
      <c r="B3288" s="11">
        <f t="shared" ca="1" si="256"/>
        <v>1</v>
      </c>
      <c r="C3288" s="26">
        <f t="shared" ca="1" si="260"/>
        <v>0.53517419235262742</v>
      </c>
      <c r="J3288">
        <f t="shared" ca="1" si="257"/>
        <v>1</v>
      </c>
      <c r="K3288">
        <f t="shared" ca="1" si="258"/>
        <v>0</v>
      </c>
      <c r="L3288" s="65">
        <v>3282</v>
      </c>
      <c r="M3288" s="71">
        <f t="shared" ca="1" si="259"/>
        <v>0.52443269619572819</v>
      </c>
      <c r="N3288" s="65"/>
    </row>
    <row r="3289" spans="1:14" x14ac:dyDescent="0.25">
      <c r="A3289" s="2">
        <v>3283</v>
      </c>
      <c r="B3289" s="11">
        <f t="shared" ca="1" si="256"/>
        <v>1</v>
      </c>
      <c r="C3289" s="26">
        <f t="shared" ca="1" si="260"/>
        <v>0.60753704463421143</v>
      </c>
      <c r="J3289">
        <f t="shared" ca="1" si="257"/>
        <v>1</v>
      </c>
      <c r="K3289">
        <f t="shared" ca="1" si="258"/>
        <v>0</v>
      </c>
      <c r="L3289" s="65">
        <v>3283</v>
      </c>
      <c r="M3289" s="71">
        <f t="shared" ca="1" si="259"/>
        <v>0.78455491729534366</v>
      </c>
      <c r="N3289" s="65"/>
    </row>
    <row r="3290" spans="1:14" x14ac:dyDescent="0.25">
      <c r="A3290" s="2">
        <v>3284</v>
      </c>
      <c r="B3290" s="11">
        <f t="shared" ca="1" si="256"/>
        <v>1</v>
      </c>
      <c r="C3290" s="26">
        <f t="shared" ca="1" si="260"/>
        <v>0.67464784445647263</v>
      </c>
      <c r="J3290">
        <f t="shared" ca="1" si="257"/>
        <v>1</v>
      </c>
      <c r="K3290">
        <f t="shared" ca="1" si="258"/>
        <v>0</v>
      </c>
      <c r="L3290" s="65">
        <v>3284</v>
      </c>
      <c r="M3290" s="71">
        <f t="shared" ca="1" si="259"/>
        <v>5.2992166451545311</v>
      </c>
      <c r="N3290" s="65"/>
    </row>
    <row r="3291" spans="1:14" x14ac:dyDescent="0.25">
      <c r="A3291" s="2">
        <v>3285</v>
      </c>
      <c r="B3291" s="11">
        <f t="shared" ca="1" si="256"/>
        <v>1</v>
      </c>
      <c r="C3291" s="26">
        <f t="shared" ca="1" si="260"/>
        <v>0.41479778132198131</v>
      </c>
      <c r="J3291">
        <f t="shared" ca="1" si="257"/>
        <v>1</v>
      </c>
      <c r="K3291">
        <f t="shared" ca="1" si="258"/>
        <v>0</v>
      </c>
      <c r="L3291" s="65">
        <v>3285</v>
      </c>
      <c r="M3291" s="71">
        <f t="shared" ca="1" si="259"/>
        <v>1.2264695282571703</v>
      </c>
      <c r="N3291" s="65"/>
    </row>
    <row r="3292" spans="1:14" x14ac:dyDescent="0.25">
      <c r="A3292" s="2">
        <v>3286</v>
      </c>
      <c r="B3292" s="11">
        <f t="shared" ca="1" si="256"/>
        <v>1</v>
      </c>
      <c r="C3292" s="26">
        <f t="shared" ca="1" si="260"/>
        <v>0.53609815504950731</v>
      </c>
      <c r="J3292">
        <f t="shared" ca="1" si="257"/>
        <v>0</v>
      </c>
      <c r="K3292">
        <f t="shared" ca="1" si="258"/>
        <v>0</v>
      </c>
      <c r="L3292" s="65">
        <v>3286</v>
      </c>
      <c r="M3292" s="71">
        <f t="shared" ca="1" si="259"/>
        <v>0.59653236771140372</v>
      </c>
      <c r="N3292" s="65"/>
    </row>
    <row r="3293" spans="1:14" x14ac:dyDescent="0.25">
      <c r="A3293" s="2">
        <v>3287</v>
      </c>
      <c r="B3293" s="11">
        <f t="shared" ca="1" si="256"/>
        <v>0</v>
      </c>
      <c r="C3293" s="26">
        <f t="shared" ca="1" si="260"/>
        <v>0.93056955244229878</v>
      </c>
      <c r="J3293">
        <f t="shared" ca="1" si="257"/>
        <v>0</v>
      </c>
      <c r="K3293">
        <f t="shared" ca="1" si="258"/>
        <v>0</v>
      </c>
      <c r="L3293" s="65">
        <v>3287</v>
      </c>
      <c r="M3293" s="71">
        <f t="shared" ca="1" si="259"/>
        <v>0</v>
      </c>
      <c r="N3293" s="65"/>
    </row>
    <row r="3294" spans="1:14" x14ac:dyDescent="0.25">
      <c r="A3294" s="2">
        <v>3288</v>
      </c>
      <c r="B3294" s="11">
        <f t="shared" ca="1" si="256"/>
        <v>1</v>
      </c>
      <c r="C3294" s="26">
        <f t="shared" ca="1" si="260"/>
        <v>0.14900034564349007</v>
      </c>
      <c r="J3294">
        <f t="shared" ca="1" si="257"/>
        <v>0</v>
      </c>
      <c r="K3294">
        <f t="shared" ca="1" si="258"/>
        <v>0</v>
      </c>
      <c r="L3294" s="65">
        <v>3288</v>
      </c>
      <c r="M3294" s="71">
        <f t="shared" ca="1" si="259"/>
        <v>3.3399320128098486E-3</v>
      </c>
      <c r="N3294" s="65"/>
    </row>
    <row r="3295" spans="1:14" x14ac:dyDescent="0.25">
      <c r="A3295" s="2">
        <v>3289</v>
      </c>
      <c r="B3295" s="11">
        <f t="shared" ca="1" si="256"/>
        <v>0</v>
      </c>
      <c r="C3295" s="26">
        <f t="shared" ca="1" si="260"/>
        <v>0.84882067190133548</v>
      </c>
      <c r="J3295">
        <f t="shared" ca="1" si="257"/>
        <v>0</v>
      </c>
      <c r="K3295">
        <f t="shared" ca="1" si="258"/>
        <v>0</v>
      </c>
      <c r="L3295" s="65">
        <v>3289</v>
      </c>
      <c r="M3295" s="71">
        <f t="shared" ca="1" si="259"/>
        <v>0</v>
      </c>
      <c r="N3295" s="65"/>
    </row>
    <row r="3296" spans="1:14" x14ac:dyDescent="0.25">
      <c r="A3296" s="2">
        <v>3290</v>
      </c>
      <c r="B3296" s="11">
        <f t="shared" ca="1" si="256"/>
        <v>1</v>
      </c>
      <c r="C3296" s="26">
        <f t="shared" ca="1" si="260"/>
        <v>0.2952256942834115</v>
      </c>
      <c r="J3296">
        <f t="shared" ca="1" si="257"/>
        <v>1</v>
      </c>
      <c r="K3296">
        <f t="shared" ca="1" si="258"/>
        <v>0</v>
      </c>
      <c r="L3296" s="65">
        <v>3290</v>
      </c>
      <c r="M3296" s="71">
        <f t="shared" ca="1" si="259"/>
        <v>0.87420354726406613</v>
      </c>
      <c r="N3296" s="65"/>
    </row>
    <row r="3297" spans="1:14" x14ac:dyDescent="0.25">
      <c r="A3297" s="2">
        <v>3291</v>
      </c>
      <c r="B3297" s="11">
        <f t="shared" ca="1" si="256"/>
        <v>1</v>
      </c>
      <c r="C3297" s="26">
        <f t="shared" ca="1" si="260"/>
        <v>0.67762497031323021</v>
      </c>
      <c r="J3297">
        <f t="shared" ca="1" si="257"/>
        <v>1</v>
      </c>
      <c r="K3297">
        <f t="shared" ca="1" si="258"/>
        <v>0</v>
      </c>
      <c r="L3297" s="65">
        <v>3291</v>
      </c>
      <c r="M3297" s="71">
        <f t="shared" ca="1" si="259"/>
        <v>0.87105084876115912</v>
      </c>
      <c r="N3297" s="65"/>
    </row>
    <row r="3298" spans="1:14" x14ac:dyDescent="0.25">
      <c r="A3298" s="2">
        <v>3292</v>
      </c>
      <c r="B3298" s="11">
        <f t="shared" ca="1" si="256"/>
        <v>1</v>
      </c>
      <c r="C3298" s="26">
        <f t="shared" ca="1" si="260"/>
        <v>0.13169533824768409</v>
      </c>
      <c r="J3298">
        <f t="shared" ca="1" si="257"/>
        <v>1</v>
      </c>
      <c r="K3298">
        <f t="shared" ca="1" si="258"/>
        <v>0</v>
      </c>
      <c r="L3298" s="65">
        <v>3292</v>
      </c>
      <c r="M3298" s="71">
        <f t="shared" ca="1" si="259"/>
        <v>1.6400506963671628</v>
      </c>
      <c r="N3298" s="65"/>
    </row>
    <row r="3299" spans="1:14" x14ac:dyDescent="0.25">
      <c r="A3299" s="2">
        <v>3293</v>
      </c>
      <c r="B3299" s="11">
        <f t="shared" ca="1" si="256"/>
        <v>1</v>
      </c>
      <c r="C3299" s="26">
        <f t="shared" ca="1" si="260"/>
        <v>0.74811340561484807</v>
      </c>
      <c r="J3299">
        <f t="shared" ca="1" si="257"/>
        <v>0</v>
      </c>
      <c r="K3299">
        <f t="shared" ca="1" si="258"/>
        <v>0</v>
      </c>
      <c r="L3299" s="65">
        <v>3293</v>
      </c>
      <c r="M3299" s="71">
        <f t="shared" ca="1" si="259"/>
        <v>2.9641009229643003</v>
      </c>
      <c r="N3299" s="65"/>
    </row>
    <row r="3300" spans="1:14" x14ac:dyDescent="0.25">
      <c r="A3300" s="2">
        <v>3294</v>
      </c>
      <c r="B3300" s="11">
        <f t="shared" ca="1" si="256"/>
        <v>0</v>
      </c>
      <c r="C3300" s="26">
        <f t="shared" ca="1" si="260"/>
        <v>0.96977135087304145</v>
      </c>
      <c r="J3300">
        <f t="shared" ca="1" si="257"/>
        <v>0</v>
      </c>
      <c r="K3300">
        <f t="shared" ca="1" si="258"/>
        <v>1</v>
      </c>
      <c r="L3300" s="65">
        <v>3294</v>
      </c>
      <c r="M3300" s="71">
        <f t="shared" ca="1" si="259"/>
        <v>0</v>
      </c>
      <c r="N3300" s="65"/>
    </row>
    <row r="3301" spans="1:14" x14ac:dyDescent="0.25">
      <c r="A3301" s="2">
        <v>3295</v>
      </c>
      <c r="B3301" s="11">
        <f t="shared" ca="1" si="256"/>
        <v>0</v>
      </c>
      <c r="C3301" s="26">
        <f t="shared" ca="1" si="260"/>
        <v>0.9554371413518894</v>
      </c>
      <c r="J3301">
        <f t="shared" ca="1" si="257"/>
        <v>0</v>
      </c>
      <c r="K3301">
        <f t="shared" ca="1" si="258"/>
        <v>0</v>
      </c>
      <c r="L3301" s="65">
        <v>3295</v>
      </c>
      <c r="M3301" s="71">
        <f t="shared" ca="1" si="259"/>
        <v>0</v>
      </c>
      <c r="N3301" s="65"/>
    </row>
    <row r="3302" spans="1:14" x14ac:dyDescent="0.25">
      <c r="A3302" s="2">
        <v>3296</v>
      </c>
      <c r="B3302" s="11">
        <f t="shared" ca="1" si="256"/>
        <v>1</v>
      </c>
      <c r="C3302" s="26">
        <f t="shared" ca="1" si="260"/>
        <v>0.11924652915423906</v>
      </c>
      <c r="J3302">
        <f t="shared" ca="1" si="257"/>
        <v>1</v>
      </c>
      <c r="K3302">
        <f t="shared" ca="1" si="258"/>
        <v>0</v>
      </c>
      <c r="L3302" s="65">
        <v>3296</v>
      </c>
      <c r="M3302" s="71">
        <f t="shared" ca="1" si="259"/>
        <v>5.1122611110256946</v>
      </c>
      <c r="N3302" s="65"/>
    </row>
    <row r="3303" spans="1:14" x14ac:dyDescent="0.25">
      <c r="A3303" s="2">
        <v>3297</v>
      </c>
      <c r="B3303" s="11">
        <f t="shared" ca="1" si="256"/>
        <v>1</v>
      </c>
      <c r="C3303" s="26">
        <f t="shared" ca="1" si="260"/>
        <v>0.39660132114351765</v>
      </c>
      <c r="J3303">
        <f t="shared" ca="1" si="257"/>
        <v>0</v>
      </c>
      <c r="K3303">
        <f t="shared" ca="1" si="258"/>
        <v>0</v>
      </c>
      <c r="L3303" s="65">
        <v>3297</v>
      </c>
      <c r="M3303" s="71">
        <f t="shared" ca="1" si="259"/>
        <v>5.5039437023404743</v>
      </c>
      <c r="N3303" s="65"/>
    </row>
    <row r="3304" spans="1:14" x14ac:dyDescent="0.25">
      <c r="A3304" s="2">
        <v>3298</v>
      </c>
      <c r="B3304" s="11">
        <f t="shared" ca="1" si="256"/>
        <v>0</v>
      </c>
      <c r="C3304" s="26">
        <f t="shared" ca="1" si="260"/>
        <v>0.86953743297797392</v>
      </c>
      <c r="J3304">
        <f t="shared" ca="1" si="257"/>
        <v>0</v>
      </c>
      <c r="K3304">
        <f t="shared" ca="1" si="258"/>
        <v>0</v>
      </c>
      <c r="L3304" s="65">
        <v>3298</v>
      </c>
      <c r="M3304" s="71">
        <f t="shared" ca="1" si="259"/>
        <v>0</v>
      </c>
      <c r="N3304" s="65"/>
    </row>
    <row r="3305" spans="1:14" x14ac:dyDescent="0.25">
      <c r="A3305" s="2">
        <v>3299</v>
      </c>
      <c r="B3305" s="11">
        <f t="shared" ca="1" si="256"/>
        <v>1</v>
      </c>
      <c r="C3305" s="26">
        <f t="shared" ca="1" si="260"/>
        <v>0.60774099149822736</v>
      </c>
      <c r="J3305">
        <f t="shared" ca="1" si="257"/>
        <v>1</v>
      </c>
      <c r="K3305">
        <f t="shared" ca="1" si="258"/>
        <v>0</v>
      </c>
      <c r="L3305" s="65">
        <v>3299</v>
      </c>
      <c r="M3305" s="71">
        <f t="shared" ca="1" si="259"/>
        <v>3.031081359233569</v>
      </c>
      <c r="N3305" s="65"/>
    </row>
    <row r="3306" spans="1:14" x14ac:dyDescent="0.25">
      <c r="A3306" s="2">
        <v>3300</v>
      </c>
      <c r="B3306" s="11">
        <f t="shared" ca="1" si="256"/>
        <v>1</v>
      </c>
      <c r="C3306" s="26">
        <f t="shared" ca="1" si="260"/>
        <v>0.31496396999477261</v>
      </c>
      <c r="J3306">
        <f t="shared" ca="1" si="257"/>
        <v>1</v>
      </c>
      <c r="K3306">
        <f t="shared" ca="1" si="258"/>
        <v>0</v>
      </c>
      <c r="L3306" s="65">
        <v>3300</v>
      </c>
      <c r="M3306" s="71">
        <f t="shared" ca="1" si="259"/>
        <v>2.5728152901885082</v>
      </c>
      <c r="N3306" s="65"/>
    </row>
    <row r="3307" spans="1:14" x14ac:dyDescent="0.25">
      <c r="A3307" s="2">
        <v>3301</v>
      </c>
      <c r="B3307" s="11">
        <f t="shared" ca="1" si="256"/>
        <v>1</v>
      </c>
      <c r="C3307" s="26">
        <f t="shared" ca="1" si="260"/>
        <v>6.4948215436379519E-2</v>
      </c>
      <c r="J3307">
        <f t="shared" ca="1" si="257"/>
        <v>0</v>
      </c>
      <c r="K3307">
        <f t="shared" ca="1" si="258"/>
        <v>0</v>
      </c>
      <c r="L3307" s="65">
        <v>3301</v>
      </c>
      <c r="M3307" s="71">
        <f t="shared" ca="1" si="259"/>
        <v>0.18540490549859687</v>
      </c>
      <c r="N3307" s="65"/>
    </row>
    <row r="3308" spans="1:14" x14ac:dyDescent="0.25">
      <c r="A3308" s="2">
        <v>3302</v>
      </c>
      <c r="B3308" s="11">
        <f t="shared" ca="1" si="256"/>
        <v>0</v>
      </c>
      <c r="C3308" s="26">
        <f t="shared" ca="1" si="260"/>
        <v>0.89401440014079847</v>
      </c>
      <c r="J3308">
        <f t="shared" ca="1" si="257"/>
        <v>0</v>
      </c>
      <c r="K3308">
        <f t="shared" ca="1" si="258"/>
        <v>0</v>
      </c>
      <c r="L3308" s="65">
        <v>3302</v>
      </c>
      <c r="M3308" s="71">
        <f t="shared" ca="1" si="259"/>
        <v>0</v>
      </c>
      <c r="N3308" s="65"/>
    </row>
    <row r="3309" spans="1:14" x14ac:dyDescent="0.25">
      <c r="A3309" s="2">
        <v>3303</v>
      </c>
      <c r="B3309" s="11">
        <f t="shared" ca="1" si="256"/>
        <v>1</v>
      </c>
      <c r="C3309" s="26">
        <f t="shared" ca="1" si="260"/>
        <v>0.10408805718300684</v>
      </c>
      <c r="J3309">
        <f t="shared" ca="1" si="257"/>
        <v>1</v>
      </c>
      <c r="K3309">
        <f t="shared" ca="1" si="258"/>
        <v>0</v>
      </c>
      <c r="L3309" s="65">
        <v>3303</v>
      </c>
      <c r="M3309" s="71">
        <f t="shared" ca="1" si="259"/>
        <v>0.49980722986340848</v>
      </c>
      <c r="N3309" s="65"/>
    </row>
    <row r="3310" spans="1:14" x14ac:dyDescent="0.25">
      <c r="A3310" s="2">
        <v>3304</v>
      </c>
      <c r="B3310" s="11">
        <f t="shared" ca="1" si="256"/>
        <v>1</v>
      </c>
      <c r="C3310" s="26">
        <f t="shared" ca="1" si="260"/>
        <v>0.38780891239673931</v>
      </c>
      <c r="J3310">
        <f t="shared" ca="1" si="257"/>
        <v>1</v>
      </c>
      <c r="K3310">
        <f t="shared" ca="1" si="258"/>
        <v>0</v>
      </c>
      <c r="L3310" s="65">
        <v>3304</v>
      </c>
      <c r="M3310" s="71">
        <f t="shared" ca="1" si="259"/>
        <v>0.29598842145078053</v>
      </c>
      <c r="N3310" s="65"/>
    </row>
    <row r="3311" spans="1:14" x14ac:dyDescent="0.25">
      <c r="A3311" s="2">
        <v>3305</v>
      </c>
      <c r="B3311" s="11">
        <f t="shared" ref="B3311:B3374" ca="1" si="261">IF(B3310&gt;0,IF(C3311&lt;pww,1,0),IF(C3311&lt;pdw,1,0))</f>
        <v>1</v>
      </c>
      <c r="C3311" s="26">
        <f t="shared" ca="1" si="260"/>
        <v>0.64172053026329035</v>
      </c>
      <c r="J3311">
        <f t="shared" ref="J3311:J3374" ca="1" si="262">IF(AND(B3311,B3312),1,0)</f>
        <v>0</v>
      </c>
      <c r="K3311">
        <f t="shared" ref="K3311:K3374" ca="1" si="263">IF(AND(NOT(B3311),NOT(B3312)),1,0)</f>
        <v>0</v>
      </c>
      <c r="L3311" s="65">
        <v>3305</v>
      </c>
      <c r="M3311" s="71">
        <f t="shared" ca="1" si="259"/>
        <v>7.7694847104124127</v>
      </c>
      <c r="N3311" s="65"/>
    </row>
    <row r="3312" spans="1:14" x14ac:dyDescent="0.25">
      <c r="A3312" s="2">
        <v>3306</v>
      </c>
      <c r="B3312" s="11">
        <f t="shared" ca="1" si="261"/>
        <v>0</v>
      </c>
      <c r="C3312" s="26">
        <f t="shared" ca="1" si="260"/>
        <v>0.88219274857832808</v>
      </c>
      <c r="J3312">
        <f t="shared" ca="1" si="262"/>
        <v>0</v>
      </c>
      <c r="K3312">
        <f t="shared" ca="1" si="263"/>
        <v>0</v>
      </c>
      <c r="L3312" s="65">
        <v>3306</v>
      </c>
      <c r="M3312" s="71">
        <f t="shared" ca="1" si="259"/>
        <v>0</v>
      </c>
      <c r="N3312" s="65"/>
    </row>
    <row r="3313" spans="1:14" x14ac:dyDescent="0.25">
      <c r="A3313" s="2">
        <v>3307</v>
      </c>
      <c r="B3313" s="11">
        <f t="shared" ca="1" si="261"/>
        <v>1</v>
      </c>
      <c r="C3313" s="26">
        <f t="shared" ca="1" si="260"/>
        <v>0.66594091795220001</v>
      </c>
      <c r="J3313">
        <f t="shared" ca="1" si="262"/>
        <v>1</v>
      </c>
      <c r="K3313">
        <f t="shared" ca="1" si="263"/>
        <v>0</v>
      </c>
      <c r="L3313" s="65">
        <v>3307</v>
      </c>
      <c r="M3313" s="71">
        <f t="shared" ca="1" si="259"/>
        <v>0.17902931079833781</v>
      </c>
      <c r="N3313" s="65"/>
    </row>
    <row r="3314" spans="1:14" x14ac:dyDescent="0.25">
      <c r="A3314" s="2">
        <v>3308</v>
      </c>
      <c r="B3314" s="11">
        <f t="shared" ca="1" si="261"/>
        <v>1</v>
      </c>
      <c r="C3314" s="26">
        <f t="shared" ca="1" si="260"/>
        <v>0.24777423074522398</v>
      </c>
      <c r="J3314">
        <f t="shared" ca="1" si="262"/>
        <v>1</v>
      </c>
      <c r="K3314">
        <f t="shared" ca="1" si="263"/>
        <v>0</v>
      </c>
      <c r="L3314" s="65">
        <v>3308</v>
      </c>
      <c r="M3314" s="71">
        <f t="shared" ca="1" si="259"/>
        <v>10.890139487174357</v>
      </c>
      <c r="N3314" s="65"/>
    </row>
    <row r="3315" spans="1:14" x14ac:dyDescent="0.25">
      <c r="A3315" s="2">
        <v>3309</v>
      </c>
      <c r="B3315" s="11">
        <f t="shared" ca="1" si="261"/>
        <v>1</v>
      </c>
      <c r="C3315" s="26">
        <f t="shared" ca="1" si="260"/>
        <v>0.65477901370993219</v>
      </c>
      <c r="J3315">
        <f t="shared" ca="1" si="262"/>
        <v>1</v>
      </c>
      <c r="K3315">
        <f t="shared" ca="1" si="263"/>
        <v>0</v>
      </c>
      <c r="L3315" s="65">
        <v>3309</v>
      </c>
      <c r="M3315" s="71">
        <f t="shared" ca="1" si="259"/>
        <v>2.3156758415299192</v>
      </c>
      <c r="N3315" s="65"/>
    </row>
    <row r="3316" spans="1:14" x14ac:dyDescent="0.25">
      <c r="A3316" s="2">
        <v>3310</v>
      </c>
      <c r="B3316" s="11">
        <f t="shared" ca="1" si="261"/>
        <v>1</v>
      </c>
      <c r="C3316" s="26">
        <f t="shared" ca="1" si="260"/>
        <v>0.59344804293809483</v>
      </c>
      <c r="J3316">
        <f t="shared" ca="1" si="262"/>
        <v>0</v>
      </c>
      <c r="K3316">
        <f t="shared" ca="1" si="263"/>
        <v>0</v>
      </c>
      <c r="L3316" s="65">
        <v>3310</v>
      </c>
      <c r="M3316" s="71">
        <f t="shared" ca="1" si="259"/>
        <v>6.136139415788266</v>
      </c>
      <c r="N3316" s="65"/>
    </row>
    <row r="3317" spans="1:14" x14ac:dyDescent="0.25">
      <c r="A3317" s="2">
        <v>3311</v>
      </c>
      <c r="B3317" s="11">
        <f t="shared" ca="1" si="261"/>
        <v>0</v>
      </c>
      <c r="C3317" s="26">
        <f t="shared" ca="1" si="260"/>
        <v>0.9023629055994713</v>
      </c>
      <c r="J3317">
        <f t="shared" ca="1" si="262"/>
        <v>0</v>
      </c>
      <c r="K3317">
        <f t="shared" ca="1" si="263"/>
        <v>0</v>
      </c>
      <c r="L3317" s="65">
        <v>3311</v>
      </c>
      <c r="M3317" s="71">
        <f t="shared" ca="1" si="259"/>
        <v>0</v>
      </c>
      <c r="N3317" s="65"/>
    </row>
    <row r="3318" spans="1:14" x14ac:dyDescent="0.25">
      <c r="A3318" s="2">
        <v>3312</v>
      </c>
      <c r="B3318" s="11">
        <f t="shared" ca="1" si="261"/>
        <v>1</v>
      </c>
      <c r="C3318" s="26">
        <f t="shared" ca="1" si="260"/>
        <v>0.14943486544048079</v>
      </c>
      <c r="J3318">
        <f t="shared" ca="1" si="262"/>
        <v>1</v>
      </c>
      <c r="K3318">
        <f t="shared" ca="1" si="263"/>
        <v>0</v>
      </c>
      <c r="L3318" s="65">
        <v>3312</v>
      </c>
      <c r="M3318" s="71">
        <f t="shared" ca="1" si="259"/>
        <v>0.29771537037968221</v>
      </c>
      <c r="N3318" s="65"/>
    </row>
    <row r="3319" spans="1:14" x14ac:dyDescent="0.25">
      <c r="A3319" s="2">
        <v>3313</v>
      </c>
      <c r="B3319" s="11">
        <f t="shared" ca="1" si="261"/>
        <v>1</v>
      </c>
      <c r="C3319" s="26">
        <f t="shared" ca="1" si="260"/>
        <v>0.20054156958955027</v>
      </c>
      <c r="J3319">
        <f t="shared" ca="1" si="262"/>
        <v>1</v>
      </c>
      <c r="K3319">
        <f t="shared" ca="1" si="263"/>
        <v>0</v>
      </c>
      <c r="L3319" s="65">
        <v>3313</v>
      </c>
      <c r="M3319" s="71">
        <f t="shared" ca="1" si="259"/>
        <v>1.1765873527640849</v>
      </c>
      <c r="N3319" s="65"/>
    </row>
    <row r="3320" spans="1:14" x14ac:dyDescent="0.25">
      <c r="A3320" s="2">
        <v>3314</v>
      </c>
      <c r="B3320" s="11">
        <f t="shared" ca="1" si="261"/>
        <v>1</v>
      </c>
      <c r="C3320" s="26">
        <f t="shared" ca="1" si="260"/>
        <v>4.3124992749846047E-2</v>
      </c>
      <c r="J3320">
        <f t="shared" ca="1" si="262"/>
        <v>1</v>
      </c>
      <c r="K3320">
        <f t="shared" ca="1" si="263"/>
        <v>0</v>
      </c>
      <c r="L3320" s="65">
        <v>3314</v>
      </c>
      <c r="M3320" s="71">
        <f t="shared" ca="1" si="259"/>
        <v>0.52862991098053325</v>
      </c>
      <c r="N3320" s="65"/>
    </row>
    <row r="3321" spans="1:14" x14ac:dyDescent="0.25">
      <c r="A3321" s="2">
        <v>3315</v>
      </c>
      <c r="B3321" s="11">
        <f t="shared" ca="1" si="261"/>
        <v>1</v>
      </c>
      <c r="C3321" s="26">
        <f t="shared" ca="1" si="260"/>
        <v>0.17475833407997021</v>
      </c>
      <c r="J3321">
        <f t="shared" ca="1" si="262"/>
        <v>0</v>
      </c>
      <c r="K3321">
        <f t="shared" ca="1" si="263"/>
        <v>0</v>
      </c>
      <c r="L3321" s="65">
        <v>3315</v>
      </c>
      <c r="M3321" s="71">
        <f t="shared" ca="1" si="259"/>
        <v>4.0716807049993378</v>
      </c>
      <c r="N3321" s="65"/>
    </row>
    <row r="3322" spans="1:14" x14ac:dyDescent="0.25">
      <c r="A3322" s="2">
        <v>3316</v>
      </c>
      <c r="B3322" s="11">
        <f t="shared" ca="1" si="261"/>
        <v>0</v>
      </c>
      <c r="C3322" s="26">
        <f t="shared" ca="1" si="260"/>
        <v>0.90513959861971216</v>
      </c>
      <c r="J3322">
        <f t="shared" ca="1" si="262"/>
        <v>0</v>
      </c>
      <c r="K3322">
        <f t="shared" ca="1" si="263"/>
        <v>0</v>
      </c>
      <c r="L3322" s="65">
        <v>3316</v>
      </c>
      <c r="M3322" s="71">
        <f t="shared" ca="1" si="259"/>
        <v>0</v>
      </c>
      <c r="N3322" s="65"/>
    </row>
    <row r="3323" spans="1:14" x14ac:dyDescent="0.25">
      <c r="A3323" s="2">
        <v>3317</v>
      </c>
      <c r="B3323" s="11">
        <f t="shared" ca="1" si="261"/>
        <v>1</v>
      </c>
      <c r="C3323" s="26">
        <f t="shared" ca="1" si="260"/>
        <v>0.54553509625659036</v>
      </c>
      <c r="J3323">
        <f t="shared" ca="1" si="262"/>
        <v>1</v>
      </c>
      <c r="K3323">
        <f t="shared" ca="1" si="263"/>
        <v>0</v>
      </c>
      <c r="L3323" s="65">
        <v>3317</v>
      </c>
      <c r="M3323" s="71">
        <f t="shared" ca="1" si="259"/>
        <v>9.878689140381578</v>
      </c>
      <c r="N3323" s="65"/>
    </row>
    <row r="3324" spans="1:14" x14ac:dyDescent="0.25">
      <c r="A3324" s="2">
        <v>3318</v>
      </c>
      <c r="B3324" s="11">
        <f t="shared" ca="1" si="261"/>
        <v>1</v>
      </c>
      <c r="C3324" s="26">
        <f t="shared" ca="1" si="260"/>
        <v>0.1889921124471643</v>
      </c>
      <c r="J3324">
        <f t="shared" ca="1" si="262"/>
        <v>1</v>
      </c>
      <c r="K3324">
        <f t="shared" ca="1" si="263"/>
        <v>0</v>
      </c>
      <c r="L3324" s="65">
        <v>3318</v>
      </c>
      <c r="M3324" s="71">
        <f t="shared" ca="1" si="259"/>
        <v>0.43863431108241974</v>
      </c>
      <c r="N3324" s="65"/>
    </row>
    <row r="3325" spans="1:14" x14ac:dyDescent="0.25">
      <c r="A3325" s="2">
        <v>3319</v>
      </c>
      <c r="B3325" s="11">
        <f t="shared" ca="1" si="261"/>
        <v>1</v>
      </c>
      <c r="C3325" s="26">
        <f t="shared" ca="1" si="260"/>
        <v>0.18678799280822089</v>
      </c>
      <c r="J3325">
        <f t="shared" ca="1" si="262"/>
        <v>1</v>
      </c>
      <c r="K3325">
        <f t="shared" ca="1" si="263"/>
        <v>0</v>
      </c>
      <c r="L3325" s="65">
        <v>3319</v>
      </c>
      <c r="M3325" s="71">
        <f t="shared" ca="1" si="259"/>
        <v>1.8100651994573373</v>
      </c>
      <c r="N3325" s="65"/>
    </row>
    <row r="3326" spans="1:14" x14ac:dyDescent="0.25">
      <c r="A3326" s="2">
        <v>3320</v>
      </c>
      <c r="B3326" s="11">
        <f t="shared" ca="1" si="261"/>
        <v>1</v>
      </c>
      <c r="C3326" s="26">
        <f t="shared" ca="1" si="260"/>
        <v>8.9592820525081773E-2</v>
      </c>
      <c r="J3326">
        <f t="shared" ca="1" si="262"/>
        <v>1</v>
      </c>
      <c r="K3326">
        <f t="shared" ca="1" si="263"/>
        <v>0</v>
      </c>
      <c r="L3326" s="65">
        <v>3320</v>
      </c>
      <c r="M3326" s="71">
        <f t="shared" ca="1" si="259"/>
        <v>10.080850496640648</v>
      </c>
      <c r="N3326" s="65"/>
    </row>
    <row r="3327" spans="1:14" x14ac:dyDescent="0.25">
      <c r="A3327" s="2">
        <v>3321</v>
      </c>
      <c r="B3327" s="11">
        <f t="shared" ca="1" si="261"/>
        <v>1</v>
      </c>
      <c r="C3327" s="26">
        <f t="shared" ca="1" si="260"/>
        <v>0.35394697772895167</v>
      </c>
      <c r="J3327">
        <f t="shared" ca="1" si="262"/>
        <v>1</v>
      </c>
      <c r="K3327">
        <f t="shared" ca="1" si="263"/>
        <v>0</v>
      </c>
      <c r="L3327" s="65">
        <v>3321</v>
      </c>
      <c r="M3327" s="71">
        <f t="shared" ca="1" si="259"/>
        <v>3.3040422789608797</v>
      </c>
      <c r="N3327" s="65"/>
    </row>
    <row r="3328" spans="1:14" x14ac:dyDescent="0.25">
      <c r="A3328" s="2">
        <v>3322</v>
      </c>
      <c r="B3328" s="11">
        <f t="shared" ca="1" si="261"/>
        <v>1</v>
      </c>
      <c r="C3328" s="26">
        <f t="shared" ca="1" si="260"/>
        <v>0.67667618384291672</v>
      </c>
      <c r="J3328">
        <f t="shared" ca="1" si="262"/>
        <v>1</v>
      </c>
      <c r="K3328">
        <f t="shared" ca="1" si="263"/>
        <v>0</v>
      </c>
      <c r="L3328" s="65">
        <v>3322</v>
      </c>
      <c r="M3328" s="71">
        <f t="shared" ca="1" si="259"/>
        <v>1.432726584251921</v>
      </c>
      <c r="N3328" s="65"/>
    </row>
    <row r="3329" spans="1:14" x14ac:dyDescent="0.25">
      <c r="A3329" s="2">
        <v>3323</v>
      </c>
      <c r="B3329" s="11">
        <f t="shared" ca="1" si="261"/>
        <v>1</v>
      </c>
      <c r="C3329" s="26">
        <f t="shared" ca="1" si="260"/>
        <v>0.6499889897296367</v>
      </c>
      <c r="J3329">
        <f t="shared" ca="1" si="262"/>
        <v>1</v>
      </c>
      <c r="K3329">
        <f t="shared" ca="1" si="263"/>
        <v>0</v>
      </c>
      <c r="L3329" s="65">
        <v>3323</v>
      </c>
      <c r="M3329" s="71">
        <f t="shared" ca="1" si="259"/>
        <v>0.37128279828266075</v>
      </c>
      <c r="N3329" s="65"/>
    </row>
    <row r="3330" spans="1:14" x14ac:dyDescent="0.25">
      <c r="A3330" s="2">
        <v>3324</v>
      </c>
      <c r="B3330" s="11">
        <f t="shared" ca="1" si="261"/>
        <v>1</v>
      </c>
      <c r="C3330" s="26">
        <f t="shared" ca="1" si="260"/>
        <v>3.8336673063527837E-2</v>
      </c>
      <c r="J3330">
        <f t="shared" ca="1" si="262"/>
        <v>1</v>
      </c>
      <c r="K3330">
        <f t="shared" ca="1" si="263"/>
        <v>0</v>
      </c>
      <c r="L3330" s="65">
        <v>3324</v>
      </c>
      <c r="M3330" s="71">
        <f t="shared" ca="1" si="259"/>
        <v>2.4164812614122524</v>
      </c>
      <c r="N3330" s="65"/>
    </row>
    <row r="3331" spans="1:14" x14ac:dyDescent="0.25">
      <c r="A3331" s="2">
        <v>3325</v>
      </c>
      <c r="B3331" s="11">
        <f t="shared" ca="1" si="261"/>
        <v>1</v>
      </c>
      <c r="C3331" s="26">
        <f t="shared" ca="1" si="260"/>
        <v>0.22011235346861469</v>
      </c>
      <c r="J3331">
        <f t="shared" ca="1" si="262"/>
        <v>1</v>
      </c>
      <c r="K3331">
        <f t="shared" ca="1" si="263"/>
        <v>0</v>
      </c>
      <c r="L3331" s="65">
        <v>3325</v>
      </c>
      <c r="M3331" s="71">
        <f t="shared" ca="1" si="259"/>
        <v>1.6030067349163886</v>
      </c>
      <c r="N3331" s="65"/>
    </row>
    <row r="3332" spans="1:14" x14ac:dyDescent="0.25">
      <c r="A3332" s="2">
        <v>3326</v>
      </c>
      <c r="B3332" s="11">
        <f t="shared" ca="1" si="261"/>
        <v>1</v>
      </c>
      <c r="C3332" s="26">
        <f t="shared" ca="1" si="260"/>
        <v>0.56381247237296961</v>
      </c>
      <c r="J3332">
        <f t="shared" ca="1" si="262"/>
        <v>1</v>
      </c>
      <c r="K3332">
        <f t="shared" ca="1" si="263"/>
        <v>0</v>
      </c>
      <c r="L3332" s="65">
        <v>3326</v>
      </c>
      <c r="M3332" s="71">
        <f t="shared" ca="1" si="259"/>
        <v>0.44927668064271953</v>
      </c>
      <c r="N3332" s="65"/>
    </row>
    <row r="3333" spans="1:14" x14ac:dyDescent="0.25">
      <c r="A3333" s="2">
        <v>3327</v>
      </c>
      <c r="B3333" s="11">
        <f t="shared" ca="1" si="261"/>
        <v>1</v>
      </c>
      <c r="C3333" s="26">
        <f t="shared" ca="1" si="260"/>
        <v>0.11674256876159483</v>
      </c>
      <c r="J3333">
        <f t="shared" ca="1" si="262"/>
        <v>1</v>
      </c>
      <c r="K3333">
        <f t="shared" ca="1" si="263"/>
        <v>0</v>
      </c>
      <c r="L3333" s="65">
        <v>3327</v>
      </c>
      <c r="M3333" s="71">
        <f t="shared" ca="1" si="259"/>
        <v>0.57136775981811183</v>
      </c>
      <c r="N3333" s="65"/>
    </row>
    <row r="3334" spans="1:14" x14ac:dyDescent="0.25">
      <c r="A3334" s="2">
        <v>3328</v>
      </c>
      <c r="B3334" s="11">
        <f t="shared" ca="1" si="261"/>
        <v>1</v>
      </c>
      <c r="C3334" s="26">
        <f t="shared" ca="1" si="260"/>
        <v>0.23048704352590266</v>
      </c>
      <c r="J3334">
        <f t="shared" ca="1" si="262"/>
        <v>1</v>
      </c>
      <c r="K3334">
        <f t="shared" ca="1" si="263"/>
        <v>0</v>
      </c>
      <c r="L3334" s="65">
        <v>3328</v>
      </c>
      <c r="M3334" s="71">
        <f t="shared" ca="1" si="259"/>
        <v>3.0146143926145359</v>
      </c>
      <c r="N3334" s="65"/>
    </row>
    <row r="3335" spans="1:14" x14ac:dyDescent="0.25">
      <c r="A3335" s="2">
        <v>3329</v>
      </c>
      <c r="B3335" s="11">
        <f t="shared" ca="1" si="261"/>
        <v>1</v>
      </c>
      <c r="C3335" s="26">
        <f t="shared" ca="1" si="260"/>
        <v>0.65784133621376151</v>
      </c>
      <c r="J3335">
        <f t="shared" ca="1" si="262"/>
        <v>1</v>
      </c>
      <c r="K3335">
        <f t="shared" ca="1" si="263"/>
        <v>0</v>
      </c>
      <c r="L3335" s="65">
        <v>3329</v>
      </c>
      <c r="M3335" s="71">
        <f t="shared" ref="M3335:M3398" ca="1" si="264">IF(B3335&gt;0,-LN(1-(RAND()))/lambda,0)</f>
        <v>3.2437215685702379</v>
      </c>
      <c r="N3335" s="65"/>
    </row>
    <row r="3336" spans="1:14" x14ac:dyDescent="0.25">
      <c r="A3336" s="2">
        <v>3330</v>
      </c>
      <c r="B3336" s="11">
        <f t="shared" ca="1" si="261"/>
        <v>1</v>
      </c>
      <c r="C3336" s="26">
        <f t="shared" ref="C3336:C3399" ca="1" si="265">RAND()</f>
        <v>0.14663666155618349</v>
      </c>
      <c r="J3336">
        <f t="shared" ca="1" si="262"/>
        <v>1</v>
      </c>
      <c r="K3336">
        <f t="shared" ca="1" si="263"/>
        <v>0</v>
      </c>
      <c r="L3336" s="65">
        <v>3330</v>
      </c>
      <c r="M3336" s="71">
        <f t="shared" ca="1" si="264"/>
        <v>1.5541090565146012</v>
      </c>
      <c r="N3336" s="65"/>
    </row>
    <row r="3337" spans="1:14" x14ac:dyDescent="0.25">
      <c r="A3337" s="2">
        <v>3331</v>
      </c>
      <c r="B3337" s="11">
        <f t="shared" ca="1" si="261"/>
        <v>1</v>
      </c>
      <c r="C3337" s="26">
        <f t="shared" ca="1" si="265"/>
        <v>2.0574249631628017E-2</v>
      </c>
      <c r="J3337">
        <f t="shared" ca="1" si="262"/>
        <v>1</v>
      </c>
      <c r="K3337">
        <f t="shared" ca="1" si="263"/>
        <v>0</v>
      </c>
      <c r="L3337" s="65">
        <v>3331</v>
      </c>
      <c r="M3337" s="71">
        <f t="shared" ca="1" si="264"/>
        <v>5.5030425321257459</v>
      </c>
      <c r="N3337" s="65"/>
    </row>
    <row r="3338" spans="1:14" x14ac:dyDescent="0.25">
      <c r="A3338" s="2">
        <v>3332</v>
      </c>
      <c r="B3338" s="11">
        <f t="shared" ca="1" si="261"/>
        <v>1</v>
      </c>
      <c r="C3338" s="26">
        <f t="shared" ca="1" si="265"/>
        <v>0.17866070043746041</v>
      </c>
      <c r="J3338">
        <f t="shared" ca="1" si="262"/>
        <v>1</v>
      </c>
      <c r="K3338">
        <f t="shared" ca="1" si="263"/>
        <v>0</v>
      </c>
      <c r="L3338" s="65">
        <v>3332</v>
      </c>
      <c r="M3338" s="71">
        <f t="shared" ca="1" si="264"/>
        <v>0.89511539970579956</v>
      </c>
      <c r="N3338" s="65"/>
    </row>
    <row r="3339" spans="1:14" x14ac:dyDescent="0.25">
      <c r="A3339" s="2">
        <v>3333</v>
      </c>
      <c r="B3339" s="11">
        <f t="shared" ca="1" si="261"/>
        <v>1</v>
      </c>
      <c r="C3339" s="26">
        <f t="shared" ca="1" si="265"/>
        <v>0.22838540997145806</v>
      </c>
      <c r="J3339">
        <f t="shared" ca="1" si="262"/>
        <v>1</v>
      </c>
      <c r="K3339">
        <f t="shared" ca="1" si="263"/>
        <v>0</v>
      </c>
      <c r="L3339" s="65">
        <v>3333</v>
      </c>
      <c r="M3339" s="71">
        <f t="shared" ca="1" si="264"/>
        <v>3.0487008652149603</v>
      </c>
      <c r="N3339" s="65"/>
    </row>
    <row r="3340" spans="1:14" x14ac:dyDescent="0.25">
      <c r="A3340" s="2">
        <v>3334</v>
      </c>
      <c r="B3340" s="11">
        <f t="shared" ca="1" si="261"/>
        <v>1</v>
      </c>
      <c r="C3340" s="26">
        <f t="shared" ca="1" si="265"/>
        <v>0.66431747468747204</v>
      </c>
      <c r="J3340">
        <f t="shared" ca="1" si="262"/>
        <v>0</v>
      </c>
      <c r="K3340">
        <f t="shared" ca="1" si="263"/>
        <v>0</v>
      </c>
      <c r="L3340" s="65">
        <v>3334</v>
      </c>
      <c r="M3340" s="71">
        <f t="shared" ca="1" si="264"/>
        <v>1.0789613355596079</v>
      </c>
      <c r="N3340" s="65"/>
    </row>
    <row r="3341" spans="1:14" x14ac:dyDescent="0.25">
      <c r="A3341" s="2">
        <v>3335</v>
      </c>
      <c r="B3341" s="11">
        <f t="shared" ca="1" si="261"/>
        <v>0</v>
      </c>
      <c r="C3341" s="26">
        <f t="shared" ca="1" si="265"/>
        <v>0.8861510675904104</v>
      </c>
      <c r="J3341">
        <f t="shared" ca="1" si="262"/>
        <v>0</v>
      </c>
      <c r="K3341">
        <f t="shared" ca="1" si="263"/>
        <v>0</v>
      </c>
      <c r="L3341" s="65">
        <v>3335</v>
      </c>
      <c r="M3341" s="71">
        <f t="shared" ca="1" si="264"/>
        <v>0</v>
      </c>
      <c r="N3341" s="65"/>
    </row>
    <row r="3342" spans="1:14" x14ac:dyDescent="0.25">
      <c r="A3342" s="2">
        <v>3336</v>
      </c>
      <c r="B3342" s="11">
        <f t="shared" ca="1" si="261"/>
        <v>1</v>
      </c>
      <c r="C3342" s="26">
        <f t="shared" ca="1" si="265"/>
        <v>0.32849534509152156</v>
      </c>
      <c r="J3342">
        <f t="shared" ca="1" si="262"/>
        <v>1</v>
      </c>
      <c r="K3342">
        <f t="shared" ca="1" si="263"/>
        <v>0</v>
      </c>
      <c r="L3342" s="65">
        <v>3336</v>
      </c>
      <c r="M3342" s="71">
        <f t="shared" ca="1" si="264"/>
        <v>8.3471436420542595</v>
      </c>
      <c r="N3342" s="65"/>
    </row>
    <row r="3343" spans="1:14" x14ac:dyDescent="0.25">
      <c r="A3343" s="2">
        <v>3337</v>
      </c>
      <c r="B3343" s="11">
        <f t="shared" ca="1" si="261"/>
        <v>1</v>
      </c>
      <c r="C3343" s="26">
        <f t="shared" ca="1" si="265"/>
        <v>0.7962794576660901</v>
      </c>
      <c r="J3343">
        <f t="shared" ca="1" si="262"/>
        <v>1</v>
      </c>
      <c r="K3343">
        <f t="shared" ca="1" si="263"/>
        <v>0</v>
      </c>
      <c r="L3343" s="65">
        <v>3337</v>
      </c>
      <c r="M3343" s="71">
        <f t="shared" ca="1" si="264"/>
        <v>0.24526426562972403</v>
      </c>
      <c r="N3343" s="65"/>
    </row>
    <row r="3344" spans="1:14" x14ac:dyDescent="0.25">
      <c r="A3344" s="2">
        <v>3338</v>
      </c>
      <c r="B3344" s="11">
        <f t="shared" ca="1" si="261"/>
        <v>1</v>
      </c>
      <c r="C3344" s="26">
        <f t="shared" ca="1" si="265"/>
        <v>0.28947102379969514</v>
      </c>
      <c r="J3344">
        <f t="shared" ca="1" si="262"/>
        <v>1</v>
      </c>
      <c r="K3344">
        <f t="shared" ca="1" si="263"/>
        <v>0</v>
      </c>
      <c r="L3344" s="65">
        <v>3338</v>
      </c>
      <c r="M3344" s="71">
        <f t="shared" ca="1" si="264"/>
        <v>4.1150566730228579</v>
      </c>
      <c r="N3344" s="65"/>
    </row>
    <row r="3345" spans="1:14" x14ac:dyDescent="0.25">
      <c r="A3345" s="2">
        <v>3339</v>
      </c>
      <c r="B3345" s="11">
        <f t="shared" ca="1" si="261"/>
        <v>1</v>
      </c>
      <c r="C3345" s="26">
        <f t="shared" ca="1" si="265"/>
        <v>2.9648041005656989E-2</v>
      </c>
      <c r="J3345">
        <f t="shared" ca="1" si="262"/>
        <v>0</v>
      </c>
      <c r="K3345">
        <f t="shared" ca="1" si="263"/>
        <v>0</v>
      </c>
      <c r="L3345" s="65">
        <v>3339</v>
      </c>
      <c r="M3345" s="71">
        <f t="shared" ca="1" si="264"/>
        <v>9.5811554455310493</v>
      </c>
      <c r="N3345" s="65"/>
    </row>
    <row r="3346" spans="1:14" x14ac:dyDescent="0.25">
      <c r="A3346" s="2">
        <v>3340</v>
      </c>
      <c r="B3346" s="11">
        <f t="shared" ca="1" si="261"/>
        <v>0</v>
      </c>
      <c r="C3346" s="26">
        <f t="shared" ca="1" si="265"/>
        <v>0.98102877205857153</v>
      </c>
      <c r="J3346">
        <f t="shared" ca="1" si="262"/>
        <v>0</v>
      </c>
      <c r="K3346">
        <f t="shared" ca="1" si="263"/>
        <v>0</v>
      </c>
      <c r="L3346" s="65">
        <v>3340</v>
      </c>
      <c r="M3346" s="71">
        <f t="shared" ca="1" si="264"/>
        <v>0</v>
      </c>
      <c r="N3346" s="65"/>
    </row>
    <row r="3347" spans="1:14" x14ac:dyDescent="0.25">
      <c r="A3347" s="2">
        <v>3341</v>
      </c>
      <c r="B3347" s="11">
        <f t="shared" ca="1" si="261"/>
        <v>1</v>
      </c>
      <c r="C3347" s="26">
        <f t="shared" ca="1" si="265"/>
        <v>0.19977985198637194</v>
      </c>
      <c r="J3347">
        <f t="shared" ca="1" si="262"/>
        <v>0</v>
      </c>
      <c r="K3347">
        <f t="shared" ca="1" si="263"/>
        <v>0</v>
      </c>
      <c r="L3347" s="65">
        <v>3341</v>
      </c>
      <c r="M3347" s="71">
        <f t="shared" ca="1" si="264"/>
        <v>1.03041177863475</v>
      </c>
      <c r="N3347" s="65"/>
    </row>
    <row r="3348" spans="1:14" x14ac:dyDescent="0.25">
      <c r="A3348" s="2">
        <v>3342</v>
      </c>
      <c r="B3348" s="11">
        <f t="shared" ca="1" si="261"/>
        <v>0</v>
      </c>
      <c r="C3348" s="26">
        <f t="shared" ca="1" si="265"/>
        <v>0.95310005631888084</v>
      </c>
      <c r="J3348">
        <f t="shared" ca="1" si="262"/>
        <v>0</v>
      </c>
      <c r="K3348">
        <f t="shared" ca="1" si="263"/>
        <v>1</v>
      </c>
      <c r="L3348" s="65">
        <v>3342</v>
      </c>
      <c r="M3348" s="71">
        <f t="shared" ca="1" si="264"/>
        <v>0</v>
      </c>
      <c r="N3348" s="65"/>
    </row>
    <row r="3349" spans="1:14" x14ac:dyDescent="0.25">
      <c r="A3349" s="2">
        <v>3343</v>
      </c>
      <c r="B3349" s="11">
        <f t="shared" ca="1" si="261"/>
        <v>0</v>
      </c>
      <c r="C3349" s="26">
        <f t="shared" ca="1" si="265"/>
        <v>0.95480656538592668</v>
      </c>
      <c r="J3349">
        <f t="shared" ca="1" si="262"/>
        <v>0</v>
      </c>
      <c r="K3349">
        <f t="shared" ca="1" si="263"/>
        <v>1</v>
      </c>
      <c r="L3349" s="65">
        <v>3343</v>
      </c>
      <c r="M3349" s="71">
        <f t="shared" ca="1" si="264"/>
        <v>0</v>
      </c>
      <c r="N3349" s="65"/>
    </row>
    <row r="3350" spans="1:14" x14ac:dyDescent="0.25">
      <c r="A3350" s="2">
        <v>3344</v>
      </c>
      <c r="B3350" s="11">
        <f t="shared" ca="1" si="261"/>
        <v>0</v>
      </c>
      <c r="C3350" s="26">
        <f t="shared" ca="1" si="265"/>
        <v>0.84372546023090367</v>
      </c>
      <c r="J3350">
        <f t="shared" ca="1" si="262"/>
        <v>0</v>
      </c>
      <c r="K3350">
        <f t="shared" ca="1" si="263"/>
        <v>0</v>
      </c>
      <c r="L3350" s="65">
        <v>3344</v>
      </c>
      <c r="M3350" s="71">
        <f t="shared" ca="1" si="264"/>
        <v>0</v>
      </c>
      <c r="N3350" s="65"/>
    </row>
    <row r="3351" spans="1:14" x14ac:dyDescent="0.25">
      <c r="A3351" s="2">
        <v>3345</v>
      </c>
      <c r="B3351" s="11">
        <f t="shared" ca="1" si="261"/>
        <v>1</v>
      </c>
      <c r="C3351" s="26">
        <f t="shared" ca="1" si="265"/>
        <v>3.2623318934138834E-2</v>
      </c>
      <c r="J3351">
        <f t="shared" ca="1" si="262"/>
        <v>1</v>
      </c>
      <c r="K3351">
        <f t="shared" ca="1" si="263"/>
        <v>0</v>
      </c>
      <c r="L3351" s="65">
        <v>3345</v>
      </c>
      <c r="M3351" s="71">
        <f t="shared" ca="1" si="264"/>
        <v>7.8230004401742157</v>
      </c>
      <c r="N3351" s="65"/>
    </row>
    <row r="3352" spans="1:14" x14ac:dyDescent="0.25">
      <c r="A3352" s="2">
        <v>3346</v>
      </c>
      <c r="B3352" s="11">
        <f t="shared" ca="1" si="261"/>
        <v>1</v>
      </c>
      <c r="C3352" s="26">
        <f t="shared" ca="1" si="265"/>
        <v>0.26102372336328117</v>
      </c>
      <c r="J3352">
        <f t="shared" ca="1" si="262"/>
        <v>1</v>
      </c>
      <c r="K3352">
        <f t="shared" ca="1" si="263"/>
        <v>0</v>
      </c>
      <c r="L3352" s="65">
        <v>3346</v>
      </c>
      <c r="M3352" s="71">
        <f t="shared" ca="1" si="264"/>
        <v>0.67515927524785635</v>
      </c>
      <c r="N3352" s="65"/>
    </row>
    <row r="3353" spans="1:14" x14ac:dyDescent="0.25">
      <c r="A3353" s="2">
        <v>3347</v>
      </c>
      <c r="B3353" s="11">
        <f t="shared" ca="1" si="261"/>
        <v>1</v>
      </c>
      <c r="C3353" s="26">
        <f t="shared" ca="1" si="265"/>
        <v>0.78384878470773189</v>
      </c>
      <c r="J3353">
        <f t="shared" ca="1" si="262"/>
        <v>1</v>
      </c>
      <c r="K3353">
        <f t="shared" ca="1" si="263"/>
        <v>0</v>
      </c>
      <c r="L3353" s="65">
        <v>3347</v>
      </c>
      <c r="M3353" s="71">
        <f t="shared" ca="1" si="264"/>
        <v>3.9548723244319191</v>
      </c>
      <c r="N3353" s="65"/>
    </row>
    <row r="3354" spans="1:14" x14ac:dyDescent="0.25">
      <c r="A3354" s="2">
        <v>3348</v>
      </c>
      <c r="B3354" s="11">
        <f t="shared" ca="1" si="261"/>
        <v>1</v>
      </c>
      <c r="C3354" s="26">
        <f t="shared" ca="1" si="265"/>
        <v>0.43825663347712196</v>
      </c>
      <c r="J3354">
        <f t="shared" ca="1" si="262"/>
        <v>1</v>
      </c>
      <c r="K3354">
        <f t="shared" ca="1" si="263"/>
        <v>0</v>
      </c>
      <c r="L3354" s="65">
        <v>3348</v>
      </c>
      <c r="M3354" s="71">
        <f t="shared" ca="1" si="264"/>
        <v>6.6681068392510738</v>
      </c>
      <c r="N3354" s="65"/>
    </row>
    <row r="3355" spans="1:14" x14ac:dyDescent="0.25">
      <c r="A3355" s="2">
        <v>3349</v>
      </c>
      <c r="B3355" s="11">
        <f t="shared" ca="1" si="261"/>
        <v>1</v>
      </c>
      <c r="C3355" s="26">
        <f t="shared" ca="1" si="265"/>
        <v>0.52417250613571242</v>
      </c>
      <c r="J3355">
        <f t="shared" ca="1" si="262"/>
        <v>1</v>
      </c>
      <c r="K3355">
        <f t="shared" ca="1" si="263"/>
        <v>0</v>
      </c>
      <c r="L3355" s="65">
        <v>3349</v>
      </c>
      <c r="M3355" s="71">
        <f t="shared" ca="1" si="264"/>
        <v>0.68737491478355672</v>
      </c>
      <c r="N3355" s="65"/>
    </row>
    <row r="3356" spans="1:14" x14ac:dyDescent="0.25">
      <c r="A3356" s="2">
        <v>3350</v>
      </c>
      <c r="B3356" s="11">
        <f t="shared" ca="1" si="261"/>
        <v>1</v>
      </c>
      <c r="C3356" s="26">
        <f t="shared" ca="1" si="265"/>
        <v>0.659760055060574</v>
      </c>
      <c r="J3356">
        <f t="shared" ca="1" si="262"/>
        <v>1</v>
      </c>
      <c r="K3356">
        <f t="shared" ca="1" si="263"/>
        <v>0</v>
      </c>
      <c r="L3356" s="65">
        <v>3350</v>
      </c>
      <c r="M3356" s="71">
        <f t="shared" ca="1" si="264"/>
        <v>2.3537349860353776</v>
      </c>
      <c r="N3356" s="65"/>
    </row>
    <row r="3357" spans="1:14" x14ac:dyDescent="0.25">
      <c r="A3357" s="2">
        <v>3351</v>
      </c>
      <c r="B3357" s="11">
        <f t="shared" ca="1" si="261"/>
        <v>1</v>
      </c>
      <c r="C3357" s="26">
        <f t="shared" ca="1" si="265"/>
        <v>2.1711216252369603E-2</v>
      </c>
      <c r="J3357">
        <f t="shared" ca="1" si="262"/>
        <v>0</v>
      </c>
      <c r="K3357">
        <f t="shared" ca="1" si="263"/>
        <v>0</v>
      </c>
      <c r="L3357" s="65">
        <v>3351</v>
      </c>
      <c r="M3357" s="71">
        <f t="shared" ca="1" si="264"/>
        <v>2.205343601148285</v>
      </c>
      <c r="N3357" s="65"/>
    </row>
    <row r="3358" spans="1:14" x14ac:dyDescent="0.25">
      <c r="A3358" s="2">
        <v>3352</v>
      </c>
      <c r="B3358" s="11">
        <f t="shared" ca="1" si="261"/>
        <v>0</v>
      </c>
      <c r="C3358" s="26">
        <f t="shared" ca="1" si="265"/>
        <v>0.81508463761746786</v>
      </c>
      <c r="J3358">
        <f t="shared" ca="1" si="262"/>
        <v>0</v>
      </c>
      <c r="K3358">
        <f t="shared" ca="1" si="263"/>
        <v>0</v>
      </c>
      <c r="L3358" s="65">
        <v>3352</v>
      </c>
      <c r="M3358" s="71">
        <f t="shared" ca="1" si="264"/>
        <v>0</v>
      </c>
      <c r="N3358" s="65"/>
    </row>
    <row r="3359" spans="1:14" x14ac:dyDescent="0.25">
      <c r="A3359" s="2">
        <v>3353</v>
      </c>
      <c r="B3359" s="11">
        <f t="shared" ca="1" si="261"/>
        <v>1</v>
      </c>
      <c r="C3359" s="26">
        <f t="shared" ca="1" si="265"/>
        <v>0.55772016632969224</v>
      </c>
      <c r="J3359">
        <f t="shared" ca="1" si="262"/>
        <v>1</v>
      </c>
      <c r="K3359">
        <f t="shared" ca="1" si="263"/>
        <v>0</v>
      </c>
      <c r="L3359" s="65">
        <v>3353</v>
      </c>
      <c r="M3359" s="71">
        <f t="shared" ca="1" si="264"/>
        <v>3.4608183711912067E-3</v>
      </c>
      <c r="N3359" s="65"/>
    </row>
    <row r="3360" spans="1:14" x14ac:dyDescent="0.25">
      <c r="A3360" s="2">
        <v>3354</v>
      </c>
      <c r="B3360" s="11">
        <f t="shared" ca="1" si="261"/>
        <v>1</v>
      </c>
      <c r="C3360" s="26">
        <f t="shared" ca="1" si="265"/>
        <v>0.26063855523071444</v>
      </c>
      <c r="J3360">
        <f t="shared" ca="1" si="262"/>
        <v>1</v>
      </c>
      <c r="K3360">
        <f t="shared" ca="1" si="263"/>
        <v>0</v>
      </c>
      <c r="L3360" s="65">
        <v>3354</v>
      </c>
      <c r="M3360" s="71">
        <f t="shared" ca="1" si="264"/>
        <v>2.9530713369221115</v>
      </c>
      <c r="N3360" s="65"/>
    </row>
    <row r="3361" spans="1:14" x14ac:dyDescent="0.25">
      <c r="A3361" s="2">
        <v>3355</v>
      </c>
      <c r="B3361" s="11">
        <f t="shared" ca="1" si="261"/>
        <v>1</v>
      </c>
      <c r="C3361" s="26">
        <f t="shared" ca="1" si="265"/>
        <v>0.20317077546088103</v>
      </c>
      <c r="J3361">
        <f t="shared" ca="1" si="262"/>
        <v>0</v>
      </c>
      <c r="K3361">
        <f t="shared" ca="1" si="263"/>
        <v>0</v>
      </c>
      <c r="L3361" s="65">
        <v>3355</v>
      </c>
      <c r="M3361" s="71">
        <f t="shared" ca="1" si="264"/>
        <v>4.8485205605502548</v>
      </c>
      <c r="N3361" s="65"/>
    </row>
    <row r="3362" spans="1:14" x14ac:dyDescent="0.25">
      <c r="A3362" s="2">
        <v>3356</v>
      </c>
      <c r="B3362" s="11">
        <f t="shared" ca="1" si="261"/>
        <v>0</v>
      </c>
      <c r="C3362" s="26">
        <f t="shared" ca="1" si="265"/>
        <v>0.94731873888057294</v>
      </c>
      <c r="J3362">
        <f t="shared" ca="1" si="262"/>
        <v>0</v>
      </c>
      <c r="K3362">
        <f t="shared" ca="1" si="263"/>
        <v>0</v>
      </c>
      <c r="L3362" s="65">
        <v>3356</v>
      </c>
      <c r="M3362" s="71">
        <f t="shared" ca="1" si="264"/>
        <v>0</v>
      </c>
      <c r="N3362" s="65"/>
    </row>
    <row r="3363" spans="1:14" x14ac:dyDescent="0.25">
      <c r="A3363" s="2">
        <v>3357</v>
      </c>
      <c r="B3363" s="11">
        <f t="shared" ca="1" si="261"/>
        <v>1</v>
      </c>
      <c r="C3363" s="26">
        <f t="shared" ca="1" si="265"/>
        <v>0.42372308157811789</v>
      </c>
      <c r="J3363">
        <f t="shared" ca="1" si="262"/>
        <v>1</v>
      </c>
      <c r="K3363">
        <f t="shared" ca="1" si="263"/>
        <v>0</v>
      </c>
      <c r="L3363" s="65">
        <v>3357</v>
      </c>
      <c r="M3363" s="71">
        <f t="shared" ca="1" si="264"/>
        <v>3.3297145962771451</v>
      </c>
      <c r="N3363" s="65"/>
    </row>
    <row r="3364" spans="1:14" x14ac:dyDescent="0.25">
      <c r="A3364" s="2">
        <v>3358</v>
      </c>
      <c r="B3364" s="11">
        <f t="shared" ca="1" si="261"/>
        <v>1</v>
      </c>
      <c r="C3364" s="26">
        <f t="shared" ca="1" si="265"/>
        <v>0.25202561256376321</v>
      </c>
      <c r="J3364">
        <f t="shared" ca="1" si="262"/>
        <v>1</v>
      </c>
      <c r="K3364">
        <f t="shared" ca="1" si="263"/>
        <v>0</v>
      </c>
      <c r="L3364" s="65">
        <v>3358</v>
      </c>
      <c r="M3364" s="71">
        <f t="shared" ca="1" si="264"/>
        <v>0.40971430051066859</v>
      </c>
      <c r="N3364" s="65"/>
    </row>
    <row r="3365" spans="1:14" x14ac:dyDescent="0.25">
      <c r="A3365" s="2">
        <v>3359</v>
      </c>
      <c r="B3365" s="11">
        <f t="shared" ca="1" si="261"/>
        <v>1</v>
      </c>
      <c r="C3365" s="26">
        <f t="shared" ca="1" si="265"/>
        <v>0.46235075323298014</v>
      </c>
      <c r="J3365">
        <f t="shared" ca="1" si="262"/>
        <v>1</v>
      </c>
      <c r="K3365">
        <f t="shared" ca="1" si="263"/>
        <v>0</v>
      </c>
      <c r="L3365" s="65">
        <v>3359</v>
      </c>
      <c r="M3365" s="71">
        <f t="shared" ca="1" si="264"/>
        <v>2.6317053865046547</v>
      </c>
      <c r="N3365" s="65"/>
    </row>
    <row r="3366" spans="1:14" x14ac:dyDescent="0.25">
      <c r="A3366" s="2">
        <v>3360</v>
      </c>
      <c r="B3366" s="11">
        <f t="shared" ca="1" si="261"/>
        <v>1</v>
      </c>
      <c r="C3366" s="26">
        <f t="shared" ca="1" si="265"/>
        <v>0.59201082552305329</v>
      </c>
      <c r="J3366">
        <f t="shared" ca="1" si="262"/>
        <v>0</v>
      </c>
      <c r="K3366">
        <f t="shared" ca="1" si="263"/>
        <v>0</v>
      </c>
      <c r="L3366" s="65">
        <v>3360</v>
      </c>
      <c r="M3366" s="71">
        <f t="shared" ca="1" si="264"/>
        <v>4.4482659072087571</v>
      </c>
      <c r="N3366" s="65"/>
    </row>
    <row r="3367" spans="1:14" x14ac:dyDescent="0.25">
      <c r="A3367" s="2">
        <v>3361</v>
      </c>
      <c r="B3367" s="11">
        <f t="shared" ca="1" si="261"/>
        <v>0</v>
      </c>
      <c r="C3367" s="26">
        <f t="shared" ca="1" si="265"/>
        <v>0.90985553267586761</v>
      </c>
      <c r="J3367">
        <f t="shared" ca="1" si="262"/>
        <v>0</v>
      </c>
      <c r="K3367">
        <f t="shared" ca="1" si="263"/>
        <v>1</v>
      </c>
      <c r="L3367" s="65">
        <v>3361</v>
      </c>
      <c r="M3367" s="71">
        <f t="shared" ca="1" si="264"/>
        <v>0</v>
      </c>
      <c r="N3367" s="65"/>
    </row>
    <row r="3368" spans="1:14" x14ac:dyDescent="0.25">
      <c r="A3368" s="2">
        <v>3362</v>
      </c>
      <c r="B3368" s="11">
        <f t="shared" ca="1" si="261"/>
        <v>0</v>
      </c>
      <c r="C3368" s="26">
        <f t="shared" ca="1" si="265"/>
        <v>0.87632439175890564</v>
      </c>
      <c r="J3368">
        <f t="shared" ca="1" si="262"/>
        <v>0</v>
      </c>
      <c r="K3368">
        <f t="shared" ca="1" si="263"/>
        <v>0</v>
      </c>
      <c r="L3368" s="65">
        <v>3362</v>
      </c>
      <c r="M3368" s="71">
        <f t="shared" ca="1" si="264"/>
        <v>0</v>
      </c>
      <c r="N3368" s="65"/>
    </row>
    <row r="3369" spans="1:14" x14ac:dyDescent="0.25">
      <c r="A3369" s="2">
        <v>3363</v>
      </c>
      <c r="B3369" s="11">
        <f t="shared" ca="1" si="261"/>
        <v>1</v>
      </c>
      <c r="C3369" s="26">
        <f t="shared" ca="1" si="265"/>
        <v>0.32014969984801533</v>
      </c>
      <c r="J3369">
        <f t="shared" ca="1" si="262"/>
        <v>1</v>
      </c>
      <c r="K3369">
        <f t="shared" ca="1" si="263"/>
        <v>0</v>
      </c>
      <c r="L3369" s="65">
        <v>3363</v>
      </c>
      <c r="M3369" s="71">
        <f t="shared" ca="1" si="264"/>
        <v>2.8097243836734189</v>
      </c>
      <c r="N3369" s="65"/>
    </row>
    <row r="3370" spans="1:14" x14ac:dyDescent="0.25">
      <c r="A3370" s="2">
        <v>3364</v>
      </c>
      <c r="B3370" s="11">
        <f t="shared" ca="1" si="261"/>
        <v>1</v>
      </c>
      <c r="C3370" s="26">
        <f t="shared" ca="1" si="265"/>
        <v>0.31239470135016012</v>
      </c>
      <c r="J3370">
        <f t="shared" ca="1" si="262"/>
        <v>1</v>
      </c>
      <c r="K3370">
        <f t="shared" ca="1" si="263"/>
        <v>0</v>
      </c>
      <c r="L3370" s="65">
        <v>3364</v>
      </c>
      <c r="M3370" s="71">
        <f t="shared" ca="1" si="264"/>
        <v>4.6120750470550673</v>
      </c>
      <c r="N3370" s="65"/>
    </row>
    <row r="3371" spans="1:14" x14ac:dyDescent="0.25">
      <c r="A3371" s="2">
        <v>3365</v>
      </c>
      <c r="B3371" s="11">
        <f t="shared" ca="1" si="261"/>
        <v>1</v>
      </c>
      <c r="C3371" s="26">
        <f t="shared" ca="1" si="265"/>
        <v>0.4903928690877285</v>
      </c>
      <c r="J3371">
        <f t="shared" ca="1" si="262"/>
        <v>1</v>
      </c>
      <c r="K3371">
        <f t="shared" ca="1" si="263"/>
        <v>0</v>
      </c>
      <c r="L3371" s="65">
        <v>3365</v>
      </c>
      <c r="M3371" s="71">
        <f t="shared" ca="1" si="264"/>
        <v>1.1614431412079482</v>
      </c>
      <c r="N3371" s="65"/>
    </row>
    <row r="3372" spans="1:14" x14ac:dyDescent="0.25">
      <c r="A3372" s="2">
        <v>3366</v>
      </c>
      <c r="B3372" s="11">
        <f t="shared" ca="1" si="261"/>
        <v>1</v>
      </c>
      <c r="C3372" s="26">
        <f t="shared" ca="1" si="265"/>
        <v>0.74048937368300138</v>
      </c>
      <c r="J3372">
        <f t="shared" ca="1" si="262"/>
        <v>0</v>
      </c>
      <c r="K3372">
        <f t="shared" ca="1" si="263"/>
        <v>0</v>
      </c>
      <c r="L3372" s="65">
        <v>3366</v>
      </c>
      <c r="M3372" s="71">
        <f t="shared" ca="1" si="264"/>
        <v>2.153404059417384</v>
      </c>
      <c r="N3372" s="65"/>
    </row>
    <row r="3373" spans="1:14" x14ac:dyDescent="0.25">
      <c r="A3373" s="2">
        <v>3367</v>
      </c>
      <c r="B3373" s="11">
        <f t="shared" ca="1" si="261"/>
        <v>0</v>
      </c>
      <c r="C3373" s="26">
        <f t="shared" ca="1" si="265"/>
        <v>0.97416891784691917</v>
      </c>
      <c r="J3373">
        <f t="shared" ca="1" si="262"/>
        <v>0</v>
      </c>
      <c r="K3373">
        <f t="shared" ca="1" si="263"/>
        <v>1</v>
      </c>
      <c r="L3373" s="65">
        <v>3367</v>
      </c>
      <c r="M3373" s="71">
        <f t="shared" ca="1" si="264"/>
        <v>0</v>
      </c>
      <c r="N3373" s="65"/>
    </row>
    <row r="3374" spans="1:14" x14ac:dyDescent="0.25">
      <c r="A3374" s="2">
        <v>3368</v>
      </c>
      <c r="B3374" s="11">
        <f t="shared" ca="1" si="261"/>
        <v>0</v>
      </c>
      <c r="C3374" s="26">
        <f t="shared" ca="1" si="265"/>
        <v>0.79002800539336937</v>
      </c>
      <c r="J3374">
        <f t="shared" ca="1" si="262"/>
        <v>0</v>
      </c>
      <c r="K3374">
        <f t="shared" ca="1" si="263"/>
        <v>0</v>
      </c>
      <c r="L3374" s="65">
        <v>3368</v>
      </c>
      <c r="M3374" s="71">
        <f t="shared" ca="1" si="264"/>
        <v>0</v>
      </c>
      <c r="N3374" s="65"/>
    </row>
    <row r="3375" spans="1:14" x14ac:dyDescent="0.25">
      <c r="A3375" s="2">
        <v>3369</v>
      </c>
      <c r="B3375" s="11">
        <f t="shared" ref="B3375:B3438" ca="1" si="266">IF(B3374&gt;0,IF(C3375&lt;pww,1,0),IF(C3375&lt;pdw,1,0))</f>
        <v>1</v>
      </c>
      <c r="C3375" s="26">
        <f t="shared" ca="1" si="265"/>
        <v>0.44500791569883347</v>
      </c>
      <c r="J3375">
        <f t="shared" ref="J3375:J3438" ca="1" si="267">IF(AND(B3375,B3376),1,0)</f>
        <v>1</v>
      </c>
      <c r="K3375">
        <f t="shared" ref="K3375:K3438" ca="1" si="268">IF(AND(NOT(B3375),NOT(B3376)),1,0)</f>
        <v>0</v>
      </c>
      <c r="L3375" s="65">
        <v>3369</v>
      </c>
      <c r="M3375" s="71">
        <f t="shared" ca="1" si="264"/>
        <v>1.3707302876951017</v>
      </c>
      <c r="N3375" s="65"/>
    </row>
    <row r="3376" spans="1:14" x14ac:dyDescent="0.25">
      <c r="A3376" s="2">
        <v>3370</v>
      </c>
      <c r="B3376" s="11">
        <f t="shared" ca="1" si="266"/>
        <v>1</v>
      </c>
      <c r="C3376" s="26">
        <f t="shared" ca="1" si="265"/>
        <v>0.73932725017643841</v>
      </c>
      <c r="J3376">
        <f t="shared" ca="1" si="267"/>
        <v>1</v>
      </c>
      <c r="K3376">
        <f t="shared" ca="1" si="268"/>
        <v>0</v>
      </c>
      <c r="L3376" s="65">
        <v>3370</v>
      </c>
      <c r="M3376" s="71">
        <f t="shared" ca="1" si="264"/>
        <v>4.5158442520642721</v>
      </c>
      <c r="N3376" s="65"/>
    </row>
    <row r="3377" spans="1:14" x14ac:dyDescent="0.25">
      <c r="A3377" s="2">
        <v>3371</v>
      </c>
      <c r="B3377" s="11">
        <f t="shared" ca="1" si="266"/>
        <v>1</v>
      </c>
      <c r="C3377" s="26">
        <f t="shared" ca="1" si="265"/>
        <v>4.0895766896348218E-2</v>
      </c>
      <c r="J3377">
        <f t="shared" ca="1" si="267"/>
        <v>0</v>
      </c>
      <c r="K3377">
        <f t="shared" ca="1" si="268"/>
        <v>0</v>
      </c>
      <c r="L3377" s="65">
        <v>3371</v>
      </c>
      <c r="M3377" s="71">
        <f t="shared" ca="1" si="264"/>
        <v>0.62817677099100444</v>
      </c>
      <c r="N3377" s="65"/>
    </row>
    <row r="3378" spans="1:14" x14ac:dyDescent="0.25">
      <c r="A3378" s="2">
        <v>3372</v>
      </c>
      <c r="B3378" s="11">
        <f t="shared" ca="1" si="266"/>
        <v>0</v>
      </c>
      <c r="C3378" s="26">
        <f t="shared" ca="1" si="265"/>
        <v>0.96660107586253308</v>
      </c>
      <c r="J3378">
        <f t="shared" ca="1" si="267"/>
        <v>0</v>
      </c>
      <c r="K3378">
        <f t="shared" ca="1" si="268"/>
        <v>0</v>
      </c>
      <c r="L3378" s="65">
        <v>3372</v>
      </c>
      <c r="M3378" s="71">
        <f t="shared" ca="1" si="264"/>
        <v>0</v>
      </c>
      <c r="N3378" s="65"/>
    </row>
    <row r="3379" spans="1:14" x14ac:dyDescent="0.25">
      <c r="A3379" s="2">
        <v>3373</v>
      </c>
      <c r="B3379" s="11">
        <f t="shared" ca="1" si="266"/>
        <v>1</v>
      </c>
      <c r="C3379" s="26">
        <f t="shared" ca="1" si="265"/>
        <v>0.41908176433404187</v>
      </c>
      <c r="J3379">
        <f t="shared" ca="1" si="267"/>
        <v>1</v>
      </c>
      <c r="K3379">
        <f t="shared" ca="1" si="268"/>
        <v>0</v>
      </c>
      <c r="L3379" s="65">
        <v>3373</v>
      </c>
      <c r="M3379" s="71">
        <f t="shared" ca="1" si="264"/>
        <v>9.8821685192469921</v>
      </c>
      <c r="N3379" s="65"/>
    </row>
    <row r="3380" spans="1:14" x14ac:dyDescent="0.25">
      <c r="A3380" s="2">
        <v>3374</v>
      </c>
      <c r="B3380" s="11">
        <f t="shared" ca="1" si="266"/>
        <v>1</v>
      </c>
      <c r="C3380" s="26">
        <f t="shared" ca="1" si="265"/>
        <v>0.37758219366643042</v>
      </c>
      <c r="J3380">
        <f t="shared" ca="1" si="267"/>
        <v>1</v>
      </c>
      <c r="K3380">
        <f t="shared" ca="1" si="268"/>
        <v>0</v>
      </c>
      <c r="L3380" s="65">
        <v>3374</v>
      </c>
      <c r="M3380" s="71">
        <f t="shared" ca="1" si="264"/>
        <v>11.715404166177843</v>
      </c>
      <c r="N3380" s="65"/>
    </row>
    <row r="3381" spans="1:14" x14ac:dyDescent="0.25">
      <c r="A3381" s="2">
        <v>3375</v>
      </c>
      <c r="B3381" s="11">
        <f t="shared" ca="1" si="266"/>
        <v>1</v>
      </c>
      <c r="C3381" s="26">
        <f t="shared" ca="1" si="265"/>
        <v>0.46672884889485544</v>
      </c>
      <c r="J3381">
        <f t="shared" ca="1" si="267"/>
        <v>1</v>
      </c>
      <c r="K3381">
        <f t="shared" ca="1" si="268"/>
        <v>0</v>
      </c>
      <c r="L3381" s="65">
        <v>3375</v>
      </c>
      <c r="M3381" s="71">
        <f t="shared" ca="1" si="264"/>
        <v>8.3046941567646702</v>
      </c>
      <c r="N3381" s="65"/>
    </row>
    <row r="3382" spans="1:14" x14ac:dyDescent="0.25">
      <c r="A3382" s="2">
        <v>3376</v>
      </c>
      <c r="B3382" s="11">
        <f t="shared" ca="1" si="266"/>
        <v>1</v>
      </c>
      <c r="C3382" s="26">
        <f t="shared" ca="1" si="265"/>
        <v>0.4453768787223078</v>
      </c>
      <c r="J3382">
        <f t="shared" ca="1" si="267"/>
        <v>1</v>
      </c>
      <c r="K3382">
        <f t="shared" ca="1" si="268"/>
        <v>0</v>
      </c>
      <c r="L3382" s="65">
        <v>3376</v>
      </c>
      <c r="M3382" s="71">
        <f t="shared" ca="1" si="264"/>
        <v>0.33214079139738584</v>
      </c>
      <c r="N3382" s="65"/>
    </row>
    <row r="3383" spans="1:14" x14ac:dyDescent="0.25">
      <c r="A3383" s="2">
        <v>3377</v>
      </c>
      <c r="B3383" s="11">
        <f t="shared" ca="1" si="266"/>
        <v>1</v>
      </c>
      <c r="C3383" s="26">
        <f t="shared" ca="1" si="265"/>
        <v>2.928181771856353E-2</v>
      </c>
      <c r="J3383">
        <f t="shared" ca="1" si="267"/>
        <v>1</v>
      </c>
      <c r="K3383">
        <f t="shared" ca="1" si="268"/>
        <v>0</v>
      </c>
      <c r="L3383" s="65">
        <v>3377</v>
      </c>
      <c r="M3383" s="71">
        <f t="shared" ca="1" si="264"/>
        <v>0.98875931791403482</v>
      </c>
      <c r="N3383" s="65"/>
    </row>
    <row r="3384" spans="1:14" x14ac:dyDescent="0.25">
      <c r="A3384" s="2">
        <v>3378</v>
      </c>
      <c r="B3384" s="11">
        <f t="shared" ca="1" si="266"/>
        <v>1</v>
      </c>
      <c r="C3384" s="26">
        <f t="shared" ca="1" si="265"/>
        <v>0.26161466130453082</v>
      </c>
      <c r="J3384">
        <f t="shared" ca="1" si="267"/>
        <v>1</v>
      </c>
      <c r="K3384">
        <f t="shared" ca="1" si="268"/>
        <v>0</v>
      </c>
      <c r="L3384" s="65">
        <v>3378</v>
      </c>
      <c r="M3384" s="71">
        <f t="shared" ca="1" si="264"/>
        <v>3.503022413932428</v>
      </c>
      <c r="N3384" s="65"/>
    </row>
    <row r="3385" spans="1:14" x14ac:dyDescent="0.25">
      <c r="A3385" s="2">
        <v>3379</v>
      </c>
      <c r="B3385" s="11">
        <f t="shared" ca="1" si="266"/>
        <v>1</v>
      </c>
      <c r="C3385" s="26">
        <f t="shared" ca="1" si="265"/>
        <v>0.22278319830311366</v>
      </c>
      <c r="J3385">
        <f t="shared" ca="1" si="267"/>
        <v>0</v>
      </c>
      <c r="K3385">
        <f t="shared" ca="1" si="268"/>
        <v>0</v>
      </c>
      <c r="L3385" s="65">
        <v>3379</v>
      </c>
      <c r="M3385" s="71">
        <f t="shared" ca="1" si="264"/>
        <v>1.1458504968676215</v>
      </c>
      <c r="N3385" s="65"/>
    </row>
    <row r="3386" spans="1:14" x14ac:dyDescent="0.25">
      <c r="A3386" s="2">
        <v>3380</v>
      </c>
      <c r="B3386" s="11">
        <f t="shared" ca="1" si="266"/>
        <v>0</v>
      </c>
      <c r="C3386" s="26">
        <f t="shared" ca="1" si="265"/>
        <v>0.98365344343118521</v>
      </c>
      <c r="J3386">
        <f t="shared" ca="1" si="267"/>
        <v>0</v>
      </c>
      <c r="K3386">
        <f t="shared" ca="1" si="268"/>
        <v>1</v>
      </c>
      <c r="L3386" s="65">
        <v>3380</v>
      </c>
      <c r="M3386" s="71">
        <f t="shared" ca="1" si="264"/>
        <v>0</v>
      </c>
      <c r="N3386" s="65"/>
    </row>
    <row r="3387" spans="1:14" x14ac:dyDescent="0.25">
      <c r="A3387" s="2">
        <v>3381</v>
      </c>
      <c r="B3387" s="11">
        <f t="shared" ca="1" si="266"/>
        <v>0</v>
      </c>
      <c r="C3387" s="26">
        <f t="shared" ca="1" si="265"/>
        <v>0.76394593678407585</v>
      </c>
      <c r="J3387">
        <f t="shared" ca="1" si="267"/>
        <v>0</v>
      </c>
      <c r="K3387">
        <f t="shared" ca="1" si="268"/>
        <v>0</v>
      </c>
      <c r="L3387" s="65">
        <v>3381</v>
      </c>
      <c r="M3387" s="71">
        <f t="shared" ca="1" si="264"/>
        <v>0</v>
      </c>
      <c r="N3387" s="65"/>
    </row>
    <row r="3388" spans="1:14" x14ac:dyDescent="0.25">
      <c r="A3388" s="2">
        <v>3382</v>
      </c>
      <c r="B3388" s="11">
        <f t="shared" ca="1" si="266"/>
        <v>1</v>
      </c>
      <c r="C3388" s="26">
        <f t="shared" ca="1" si="265"/>
        <v>0.6620761268938502</v>
      </c>
      <c r="J3388">
        <f t="shared" ca="1" si="267"/>
        <v>1</v>
      </c>
      <c r="K3388">
        <f t="shared" ca="1" si="268"/>
        <v>0</v>
      </c>
      <c r="L3388" s="65">
        <v>3382</v>
      </c>
      <c r="M3388" s="71">
        <f t="shared" ca="1" si="264"/>
        <v>0.11887266893926146</v>
      </c>
      <c r="N3388" s="65"/>
    </row>
    <row r="3389" spans="1:14" x14ac:dyDescent="0.25">
      <c r="A3389" s="2">
        <v>3383</v>
      </c>
      <c r="B3389" s="11">
        <f t="shared" ca="1" si="266"/>
        <v>1</v>
      </c>
      <c r="C3389" s="26">
        <f t="shared" ca="1" si="265"/>
        <v>5.7236380756027327E-2</v>
      </c>
      <c r="J3389">
        <f t="shared" ca="1" si="267"/>
        <v>1</v>
      </c>
      <c r="K3389">
        <f t="shared" ca="1" si="268"/>
        <v>0</v>
      </c>
      <c r="L3389" s="65">
        <v>3383</v>
      </c>
      <c r="M3389" s="71">
        <f t="shared" ca="1" si="264"/>
        <v>7.0864690507250225</v>
      </c>
      <c r="N3389" s="65"/>
    </row>
    <row r="3390" spans="1:14" x14ac:dyDescent="0.25">
      <c r="A3390" s="2">
        <v>3384</v>
      </c>
      <c r="B3390" s="11">
        <f t="shared" ca="1" si="266"/>
        <v>1</v>
      </c>
      <c r="C3390" s="26">
        <f t="shared" ca="1" si="265"/>
        <v>0.76232180268736516</v>
      </c>
      <c r="J3390">
        <f t="shared" ca="1" si="267"/>
        <v>1</v>
      </c>
      <c r="K3390">
        <f t="shared" ca="1" si="268"/>
        <v>0</v>
      </c>
      <c r="L3390" s="65">
        <v>3384</v>
      </c>
      <c r="M3390" s="71">
        <f t="shared" ca="1" si="264"/>
        <v>0.27564276159600876</v>
      </c>
      <c r="N3390" s="65"/>
    </row>
    <row r="3391" spans="1:14" x14ac:dyDescent="0.25">
      <c r="A3391" s="2">
        <v>3385</v>
      </c>
      <c r="B3391" s="11">
        <f t="shared" ca="1" si="266"/>
        <v>1</v>
      </c>
      <c r="C3391" s="26">
        <f t="shared" ca="1" si="265"/>
        <v>0.65875845145628453</v>
      </c>
      <c r="J3391">
        <f t="shared" ca="1" si="267"/>
        <v>1</v>
      </c>
      <c r="K3391">
        <f t="shared" ca="1" si="268"/>
        <v>0</v>
      </c>
      <c r="L3391" s="65">
        <v>3385</v>
      </c>
      <c r="M3391" s="71">
        <f t="shared" ca="1" si="264"/>
        <v>12.552353780257889</v>
      </c>
      <c r="N3391" s="65"/>
    </row>
    <row r="3392" spans="1:14" x14ac:dyDescent="0.25">
      <c r="A3392" s="2">
        <v>3386</v>
      </c>
      <c r="B3392" s="11">
        <f t="shared" ca="1" si="266"/>
        <v>1</v>
      </c>
      <c r="C3392" s="26">
        <f t="shared" ca="1" si="265"/>
        <v>0.28778743133518891</v>
      </c>
      <c r="J3392">
        <f t="shared" ca="1" si="267"/>
        <v>0</v>
      </c>
      <c r="K3392">
        <f t="shared" ca="1" si="268"/>
        <v>0</v>
      </c>
      <c r="L3392" s="65">
        <v>3386</v>
      </c>
      <c r="M3392" s="71">
        <f t="shared" ca="1" si="264"/>
        <v>1.3601540850574898</v>
      </c>
      <c r="N3392" s="65"/>
    </row>
    <row r="3393" spans="1:14" x14ac:dyDescent="0.25">
      <c r="A3393" s="2">
        <v>3387</v>
      </c>
      <c r="B3393" s="11">
        <f t="shared" ca="1" si="266"/>
        <v>0</v>
      </c>
      <c r="C3393" s="26">
        <f t="shared" ca="1" si="265"/>
        <v>0.8943490305108982</v>
      </c>
      <c r="J3393">
        <f t="shared" ca="1" si="267"/>
        <v>0</v>
      </c>
      <c r="K3393">
        <f t="shared" ca="1" si="268"/>
        <v>0</v>
      </c>
      <c r="L3393" s="65">
        <v>3387</v>
      </c>
      <c r="M3393" s="71">
        <f t="shared" ca="1" si="264"/>
        <v>0</v>
      </c>
      <c r="N3393" s="65"/>
    </row>
    <row r="3394" spans="1:14" x14ac:dyDescent="0.25">
      <c r="A3394" s="2">
        <v>3388</v>
      </c>
      <c r="B3394" s="11">
        <f t="shared" ca="1" si="266"/>
        <v>1</v>
      </c>
      <c r="C3394" s="26">
        <f t="shared" ca="1" si="265"/>
        <v>0.23720124999216396</v>
      </c>
      <c r="J3394">
        <f t="shared" ca="1" si="267"/>
        <v>1</v>
      </c>
      <c r="K3394">
        <f t="shared" ca="1" si="268"/>
        <v>0</v>
      </c>
      <c r="L3394" s="65">
        <v>3388</v>
      </c>
      <c r="M3394" s="71">
        <f t="shared" ca="1" si="264"/>
        <v>6.1690491894270183</v>
      </c>
      <c r="N3394" s="65"/>
    </row>
    <row r="3395" spans="1:14" x14ac:dyDescent="0.25">
      <c r="A3395" s="2">
        <v>3389</v>
      </c>
      <c r="B3395" s="11">
        <f t="shared" ca="1" si="266"/>
        <v>1</v>
      </c>
      <c r="C3395" s="26">
        <f t="shared" ca="1" si="265"/>
        <v>0.4597848141544838</v>
      </c>
      <c r="J3395">
        <f t="shared" ca="1" si="267"/>
        <v>1</v>
      </c>
      <c r="K3395">
        <f t="shared" ca="1" si="268"/>
        <v>0</v>
      </c>
      <c r="L3395" s="65">
        <v>3389</v>
      </c>
      <c r="M3395" s="71">
        <f t="shared" ca="1" si="264"/>
        <v>3.162121493021985</v>
      </c>
      <c r="N3395" s="65"/>
    </row>
    <row r="3396" spans="1:14" x14ac:dyDescent="0.25">
      <c r="A3396" s="2">
        <v>3390</v>
      </c>
      <c r="B3396" s="11">
        <f t="shared" ca="1" si="266"/>
        <v>1</v>
      </c>
      <c r="C3396" s="26">
        <f t="shared" ca="1" si="265"/>
        <v>0.28554845470317236</v>
      </c>
      <c r="J3396">
        <f t="shared" ca="1" si="267"/>
        <v>1</v>
      </c>
      <c r="K3396">
        <f t="shared" ca="1" si="268"/>
        <v>0</v>
      </c>
      <c r="L3396" s="65">
        <v>3390</v>
      </c>
      <c r="M3396" s="71">
        <f t="shared" ca="1" si="264"/>
        <v>2.9799404692647111</v>
      </c>
      <c r="N3396" s="65"/>
    </row>
    <row r="3397" spans="1:14" x14ac:dyDescent="0.25">
      <c r="A3397" s="2">
        <v>3391</v>
      </c>
      <c r="B3397" s="11">
        <f t="shared" ca="1" si="266"/>
        <v>1</v>
      </c>
      <c r="C3397" s="26">
        <f t="shared" ca="1" si="265"/>
        <v>0.38723709742880785</v>
      </c>
      <c r="J3397">
        <f t="shared" ca="1" si="267"/>
        <v>1</v>
      </c>
      <c r="K3397">
        <f t="shared" ca="1" si="268"/>
        <v>0</v>
      </c>
      <c r="L3397" s="65">
        <v>3391</v>
      </c>
      <c r="M3397" s="71">
        <f t="shared" ca="1" si="264"/>
        <v>0.41885593853792047</v>
      </c>
      <c r="N3397" s="65"/>
    </row>
    <row r="3398" spans="1:14" x14ac:dyDescent="0.25">
      <c r="A3398" s="2">
        <v>3392</v>
      </c>
      <c r="B3398" s="11">
        <f t="shared" ca="1" si="266"/>
        <v>1</v>
      </c>
      <c r="C3398" s="26">
        <f t="shared" ca="1" si="265"/>
        <v>0.20515005244020268</v>
      </c>
      <c r="J3398">
        <f t="shared" ca="1" si="267"/>
        <v>1</v>
      </c>
      <c r="K3398">
        <f t="shared" ca="1" si="268"/>
        <v>0</v>
      </c>
      <c r="L3398" s="65">
        <v>3392</v>
      </c>
      <c r="M3398" s="71">
        <f t="shared" ca="1" si="264"/>
        <v>0.70185717029456884</v>
      </c>
      <c r="N3398" s="65"/>
    </row>
    <row r="3399" spans="1:14" x14ac:dyDescent="0.25">
      <c r="A3399" s="2">
        <v>3393</v>
      </c>
      <c r="B3399" s="11">
        <f t="shared" ca="1" si="266"/>
        <v>1</v>
      </c>
      <c r="C3399" s="26">
        <f t="shared" ca="1" si="265"/>
        <v>0.18062084035897275</v>
      </c>
      <c r="J3399">
        <f t="shared" ca="1" si="267"/>
        <v>1</v>
      </c>
      <c r="K3399">
        <f t="shared" ca="1" si="268"/>
        <v>0</v>
      </c>
      <c r="L3399" s="65">
        <v>3393</v>
      </c>
      <c r="M3399" s="71">
        <f t="shared" ref="M3399:M3462" ca="1" si="269">IF(B3399&gt;0,-LN(1-(RAND()))/lambda,0)</f>
        <v>6.7917589850471423</v>
      </c>
      <c r="N3399" s="65"/>
    </row>
    <row r="3400" spans="1:14" x14ac:dyDescent="0.25">
      <c r="A3400" s="2">
        <v>3394</v>
      </c>
      <c r="B3400" s="11">
        <f t="shared" ca="1" si="266"/>
        <v>1</v>
      </c>
      <c r="C3400" s="26">
        <f t="shared" ref="C3400:C3463" ca="1" si="270">RAND()</f>
        <v>0.69608860865491895</v>
      </c>
      <c r="J3400">
        <f t="shared" ca="1" si="267"/>
        <v>1</v>
      </c>
      <c r="K3400">
        <f t="shared" ca="1" si="268"/>
        <v>0</v>
      </c>
      <c r="L3400" s="65">
        <v>3394</v>
      </c>
      <c r="M3400" s="71">
        <f t="shared" ca="1" si="269"/>
        <v>1.474346924380981</v>
      </c>
      <c r="N3400" s="65"/>
    </row>
    <row r="3401" spans="1:14" x14ac:dyDescent="0.25">
      <c r="A3401" s="2">
        <v>3395</v>
      </c>
      <c r="B3401" s="11">
        <f t="shared" ca="1" si="266"/>
        <v>1</v>
      </c>
      <c r="C3401" s="26">
        <f t="shared" ca="1" si="270"/>
        <v>0.46047281820648478</v>
      </c>
      <c r="J3401">
        <f t="shared" ca="1" si="267"/>
        <v>1</v>
      </c>
      <c r="K3401">
        <f t="shared" ca="1" si="268"/>
        <v>0</v>
      </c>
      <c r="L3401" s="65">
        <v>3395</v>
      </c>
      <c r="M3401" s="71">
        <f t="shared" ca="1" si="269"/>
        <v>5.8090208845303222</v>
      </c>
      <c r="N3401" s="65"/>
    </row>
    <row r="3402" spans="1:14" x14ac:dyDescent="0.25">
      <c r="A3402" s="2">
        <v>3396</v>
      </c>
      <c r="B3402" s="11">
        <f t="shared" ca="1" si="266"/>
        <v>1</v>
      </c>
      <c r="C3402" s="26">
        <f t="shared" ca="1" si="270"/>
        <v>0.22122655104105315</v>
      </c>
      <c r="J3402">
        <f t="shared" ca="1" si="267"/>
        <v>0</v>
      </c>
      <c r="K3402">
        <f t="shared" ca="1" si="268"/>
        <v>0</v>
      </c>
      <c r="L3402" s="65">
        <v>3396</v>
      </c>
      <c r="M3402" s="71">
        <f t="shared" ca="1" si="269"/>
        <v>6.0711009053085849</v>
      </c>
      <c r="N3402" s="65"/>
    </row>
    <row r="3403" spans="1:14" x14ac:dyDescent="0.25">
      <c r="A3403" s="2">
        <v>3397</v>
      </c>
      <c r="B3403" s="11">
        <f t="shared" ca="1" si="266"/>
        <v>0</v>
      </c>
      <c r="C3403" s="26">
        <f t="shared" ca="1" si="270"/>
        <v>0.81804809514532673</v>
      </c>
      <c r="J3403">
        <f t="shared" ca="1" si="267"/>
        <v>0</v>
      </c>
      <c r="K3403">
        <f t="shared" ca="1" si="268"/>
        <v>0</v>
      </c>
      <c r="L3403" s="65">
        <v>3397</v>
      </c>
      <c r="M3403" s="71">
        <f t="shared" ca="1" si="269"/>
        <v>0</v>
      </c>
      <c r="N3403" s="65"/>
    </row>
    <row r="3404" spans="1:14" x14ac:dyDescent="0.25">
      <c r="A3404" s="2">
        <v>3398</v>
      </c>
      <c r="B3404" s="11">
        <f t="shared" ca="1" si="266"/>
        <v>1</v>
      </c>
      <c r="C3404" s="26">
        <f t="shared" ca="1" si="270"/>
        <v>0.63561407055356578</v>
      </c>
      <c r="J3404">
        <f t="shared" ca="1" si="267"/>
        <v>1</v>
      </c>
      <c r="K3404">
        <f t="shared" ca="1" si="268"/>
        <v>0</v>
      </c>
      <c r="L3404" s="65">
        <v>3398</v>
      </c>
      <c r="M3404" s="71">
        <f t="shared" ca="1" si="269"/>
        <v>4.6045977230509578</v>
      </c>
      <c r="N3404" s="65"/>
    </row>
    <row r="3405" spans="1:14" x14ac:dyDescent="0.25">
      <c r="A3405" s="2">
        <v>3399</v>
      </c>
      <c r="B3405" s="11">
        <f t="shared" ca="1" si="266"/>
        <v>1</v>
      </c>
      <c r="C3405" s="26">
        <f t="shared" ca="1" si="270"/>
        <v>0.34669157025405783</v>
      </c>
      <c r="J3405">
        <f t="shared" ca="1" si="267"/>
        <v>1</v>
      </c>
      <c r="K3405">
        <f t="shared" ca="1" si="268"/>
        <v>0</v>
      </c>
      <c r="L3405" s="65">
        <v>3399</v>
      </c>
      <c r="M3405" s="71">
        <f t="shared" ca="1" si="269"/>
        <v>6.7326936085999849</v>
      </c>
      <c r="N3405" s="65"/>
    </row>
    <row r="3406" spans="1:14" x14ac:dyDescent="0.25">
      <c r="A3406" s="2">
        <v>3400</v>
      </c>
      <c r="B3406" s="11">
        <f t="shared" ca="1" si="266"/>
        <v>1</v>
      </c>
      <c r="C3406" s="26">
        <f t="shared" ca="1" si="270"/>
        <v>0.61664559090435234</v>
      </c>
      <c r="J3406">
        <f t="shared" ca="1" si="267"/>
        <v>0</v>
      </c>
      <c r="K3406">
        <f t="shared" ca="1" si="268"/>
        <v>0</v>
      </c>
      <c r="L3406" s="65">
        <v>3400</v>
      </c>
      <c r="M3406" s="71">
        <f t="shared" ca="1" si="269"/>
        <v>3.678179938697006</v>
      </c>
      <c r="N3406" s="65"/>
    </row>
    <row r="3407" spans="1:14" x14ac:dyDescent="0.25">
      <c r="A3407" s="2">
        <v>3401</v>
      </c>
      <c r="B3407" s="11">
        <f t="shared" ca="1" si="266"/>
        <v>0</v>
      </c>
      <c r="C3407" s="26">
        <f t="shared" ca="1" si="270"/>
        <v>0.8133848694797321</v>
      </c>
      <c r="J3407">
        <f t="shared" ca="1" si="267"/>
        <v>0</v>
      </c>
      <c r="K3407">
        <f t="shared" ca="1" si="268"/>
        <v>1</v>
      </c>
      <c r="L3407" s="65">
        <v>3401</v>
      </c>
      <c r="M3407" s="71">
        <f t="shared" ca="1" si="269"/>
        <v>0</v>
      </c>
      <c r="N3407" s="65"/>
    </row>
    <row r="3408" spans="1:14" x14ac:dyDescent="0.25">
      <c r="A3408" s="2">
        <v>3402</v>
      </c>
      <c r="B3408" s="11">
        <f t="shared" ca="1" si="266"/>
        <v>0</v>
      </c>
      <c r="C3408" s="26">
        <f t="shared" ca="1" si="270"/>
        <v>0.79593060140472205</v>
      </c>
      <c r="J3408">
        <f t="shared" ca="1" si="267"/>
        <v>0</v>
      </c>
      <c r="K3408">
        <f t="shared" ca="1" si="268"/>
        <v>0</v>
      </c>
      <c r="L3408" s="65">
        <v>3402</v>
      </c>
      <c r="M3408" s="71">
        <f t="shared" ca="1" si="269"/>
        <v>0</v>
      </c>
      <c r="N3408" s="65"/>
    </row>
    <row r="3409" spans="1:14" x14ac:dyDescent="0.25">
      <c r="A3409" s="2">
        <v>3403</v>
      </c>
      <c r="B3409" s="11">
        <f t="shared" ca="1" si="266"/>
        <v>1</v>
      </c>
      <c r="C3409" s="26">
        <f t="shared" ca="1" si="270"/>
        <v>8.6114794913430215E-2</v>
      </c>
      <c r="J3409">
        <f t="shared" ca="1" si="267"/>
        <v>1</v>
      </c>
      <c r="K3409">
        <f t="shared" ca="1" si="268"/>
        <v>0</v>
      </c>
      <c r="L3409" s="65">
        <v>3403</v>
      </c>
      <c r="M3409" s="71">
        <f t="shared" ca="1" si="269"/>
        <v>3.3592852883348581</v>
      </c>
      <c r="N3409" s="65"/>
    </row>
    <row r="3410" spans="1:14" x14ac:dyDescent="0.25">
      <c r="A3410" s="2">
        <v>3404</v>
      </c>
      <c r="B3410" s="11">
        <f t="shared" ca="1" si="266"/>
        <v>1</v>
      </c>
      <c r="C3410" s="26">
        <f t="shared" ca="1" si="270"/>
        <v>0.42537489957898811</v>
      </c>
      <c r="J3410">
        <f t="shared" ca="1" si="267"/>
        <v>1</v>
      </c>
      <c r="K3410">
        <f t="shared" ca="1" si="268"/>
        <v>0</v>
      </c>
      <c r="L3410" s="65">
        <v>3404</v>
      </c>
      <c r="M3410" s="71">
        <f t="shared" ca="1" si="269"/>
        <v>2.3842257704383033E-2</v>
      </c>
      <c r="N3410" s="65"/>
    </row>
    <row r="3411" spans="1:14" x14ac:dyDescent="0.25">
      <c r="A3411" s="2">
        <v>3405</v>
      </c>
      <c r="B3411" s="11">
        <f t="shared" ca="1" si="266"/>
        <v>1</v>
      </c>
      <c r="C3411" s="26">
        <f t="shared" ca="1" si="270"/>
        <v>0.72484187331242123</v>
      </c>
      <c r="J3411">
        <f t="shared" ca="1" si="267"/>
        <v>1</v>
      </c>
      <c r="K3411">
        <f t="shared" ca="1" si="268"/>
        <v>0</v>
      </c>
      <c r="L3411" s="65">
        <v>3405</v>
      </c>
      <c r="M3411" s="71">
        <f t="shared" ca="1" si="269"/>
        <v>3.3086728313439915</v>
      </c>
      <c r="N3411" s="65"/>
    </row>
    <row r="3412" spans="1:14" x14ac:dyDescent="0.25">
      <c r="A3412" s="2">
        <v>3406</v>
      </c>
      <c r="B3412" s="11">
        <f t="shared" ca="1" si="266"/>
        <v>1</v>
      </c>
      <c r="C3412" s="26">
        <f t="shared" ca="1" si="270"/>
        <v>0.1532777818613944</v>
      </c>
      <c r="J3412">
        <f t="shared" ca="1" si="267"/>
        <v>1</v>
      </c>
      <c r="K3412">
        <f t="shared" ca="1" si="268"/>
        <v>0</v>
      </c>
      <c r="L3412" s="65">
        <v>3406</v>
      </c>
      <c r="M3412" s="71">
        <f t="shared" ca="1" si="269"/>
        <v>3.1744560999631037</v>
      </c>
      <c r="N3412" s="65"/>
    </row>
    <row r="3413" spans="1:14" x14ac:dyDescent="0.25">
      <c r="A3413" s="2">
        <v>3407</v>
      </c>
      <c r="B3413" s="11">
        <f t="shared" ca="1" si="266"/>
        <v>1</v>
      </c>
      <c r="C3413" s="26">
        <f t="shared" ca="1" si="270"/>
        <v>0.63660546896152181</v>
      </c>
      <c r="J3413">
        <f t="shared" ca="1" si="267"/>
        <v>1</v>
      </c>
      <c r="K3413">
        <f t="shared" ca="1" si="268"/>
        <v>0</v>
      </c>
      <c r="L3413" s="65">
        <v>3407</v>
      </c>
      <c r="M3413" s="71">
        <f t="shared" ca="1" si="269"/>
        <v>8.7782959380013583</v>
      </c>
      <c r="N3413" s="65"/>
    </row>
    <row r="3414" spans="1:14" x14ac:dyDescent="0.25">
      <c r="A3414" s="2">
        <v>3408</v>
      </c>
      <c r="B3414" s="11">
        <f t="shared" ca="1" si="266"/>
        <v>1</v>
      </c>
      <c r="C3414" s="26">
        <f t="shared" ca="1" si="270"/>
        <v>0.36126220547971655</v>
      </c>
      <c r="J3414">
        <f t="shared" ca="1" si="267"/>
        <v>1</v>
      </c>
      <c r="K3414">
        <f t="shared" ca="1" si="268"/>
        <v>0</v>
      </c>
      <c r="L3414" s="65">
        <v>3408</v>
      </c>
      <c r="M3414" s="71">
        <f t="shared" ca="1" si="269"/>
        <v>4.6872207755386883</v>
      </c>
      <c r="N3414" s="65"/>
    </row>
    <row r="3415" spans="1:14" x14ac:dyDescent="0.25">
      <c r="A3415" s="2">
        <v>3409</v>
      </c>
      <c r="B3415" s="11">
        <f t="shared" ca="1" si="266"/>
        <v>1</v>
      </c>
      <c r="C3415" s="26">
        <f t="shared" ca="1" si="270"/>
        <v>0.68673029282981257</v>
      </c>
      <c r="J3415">
        <f t="shared" ca="1" si="267"/>
        <v>0</v>
      </c>
      <c r="K3415">
        <f t="shared" ca="1" si="268"/>
        <v>0</v>
      </c>
      <c r="L3415" s="65">
        <v>3409</v>
      </c>
      <c r="M3415" s="71">
        <f t="shared" ca="1" si="269"/>
        <v>9.2130625517082567</v>
      </c>
      <c r="N3415" s="65"/>
    </row>
    <row r="3416" spans="1:14" x14ac:dyDescent="0.25">
      <c r="A3416" s="2">
        <v>3410</v>
      </c>
      <c r="B3416" s="11">
        <f t="shared" ca="1" si="266"/>
        <v>0</v>
      </c>
      <c r="C3416" s="26">
        <f t="shared" ca="1" si="270"/>
        <v>0.96766047794788246</v>
      </c>
      <c r="J3416">
        <f t="shared" ca="1" si="267"/>
        <v>0</v>
      </c>
      <c r="K3416">
        <f t="shared" ca="1" si="268"/>
        <v>0</v>
      </c>
      <c r="L3416" s="65">
        <v>3410</v>
      </c>
      <c r="M3416" s="71">
        <f t="shared" ca="1" si="269"/>
        <v>0</v>
      </c>
      <c r="N3416" s="65"/>
    </row>
    <row r="3417" spans="1:14" x14ac:dyDescent="0.25">
      <c r="A3417" s="2">
        <v>3411</v>
      </c>
      <c r="B3417" s="11">
        <f t="shared" ca="1" si="266"/>
        <v>1</v>
      </c>
      <c r="C3417" s="26">
        <f t="shared" ca="1" si="270"/>
        <v>0.12165104881937394</v>
      </c>
      <c r="J3417">
        <f t="shared" ca="1" si="267"/>
        <v>1</v>
      </c>
      <c r="K3417">
        <f t="shared" ca="1" si="268"/>
        <v>0</v>
      </c>
      <c r="L3417" s="65">
        <v>3411</v>
      </c>
      <c r="M3417" s="71">
        <f t="shared" ca="1" si="269"/>
        <v>3.6722033226767006</v>
      </c>
      <c r="N3417" s="65"/>
    </row>
    <row r="3418" spans="1:14" x14ac:dyDescent="0.25">
      <c r="A3418" s="2">
        <v>3412</v>
      </c>
      <c r="B3418" s="11">
        <f t="shared" ca="1" si="266"/>
        <v>1</v>
      </c>
      <c r="C3418" s="26">
        <f t="shared" ca="1" si="270"/>
        <v>0.77042847933399938</v>
      </c>
      <c r="J3418">
        <f t="shared" ca="1" si="267"/>
        <v>0</v>
      </c>
      <c r="K3418">
        <f t="shared" ca="1" si="268"/>
        <v>0</v>
      </c>
      <c r="L3418" s="65">
        <v>3412</v>
      </c>
      <c r="M3418" s="71">
        <f t="shared" ca="1" si="269"/>
        <v>7.0588862872987139</v>
      </c>
      <c r="N3418" s="65"/>
    </row>
    <row r="3419" spans="1:14" x14ac:dyDescent="0.25">
      <c r="A3419" s="2">
        <v>3413</v>
      </c>
      <c r="B3419" s="11">
        <f t="shared" ca="1" si="266"/>
        <v>0</v>
      </c>
      <c r="C3419" s="26">
        <f t="shared" ca="1" si="270"/>
        <v>0.81558872058430687</v>
      </c>
      <c r="J3419">
        <f t="shared" ca="1" si="267"/>
        <v>0</v>
      </c>
      <c r="K3419">
        <f t="shared" ca="1" si="268"/>
        <v>0</v>
      </c>
      <c r="L3419" s="65">
        <v>3413</v>
      </c>
      <c r="M3419" s="71">
        <f t="shared" ca="1" si="269"/>
        <v>0</v>
      </c>
      <c r="N3419" s="65"/>
    </row>
    <row r="3420" spans="1:14" x14ac:dyDescent="0.25">
      <c r="A3420" s="2">
        <v>3414</v>
      </c>
      <c r="B3420" s="11">
        <f t="shared" ca="1" si="266"/>
        <v>1</v>
      </c>
      <c r="C3420" s="26">
        <f t="shared" ca="1" si="270"/>
        <v>0.34692164676127735</v>
      </c>
      <c r="J3420">
        <f t="shared" ca="1" si="267"/>
        <v>1</v>
      </c>
      <c r="K3420">
        <f t="shared" ca="1" si="268"/>
        <v>0</v>
      </c>
      <c r="L3420" s="65">
        <v>3414</v>
      </c>
      <c r="M3420" s="71">
        <f t="shared" ca="1" si="269"/>
        <v>0.85811365513106386</v>
      </c>
      <c r="N3420" s="65"/>
    </row>
    <row r="3421" spans="1:14" x14ac:dyDescent="0.25">
      <c r="A3421" s="2">
        <v>3415</v>
      </c>
      <c r="B3421" s="11">
        <f t="shared" ca="1" si="266"/>
        <v>1</v>
      </c>
      <c r="C3421" s="26">
        <f t="shared" ca="1" si="270"/>
        <v>0.2551907082534387</v>
      </c>
      <c r="J3421">
        <f t="shared" ca="1" si="267"/>
        <v>1</v>
      </c>
      <c r="K3421">
        <f t="shared" ca="1" si="268"/>
        <v>0</v>
      </c>
      <c r="L3421" s="65">
        <v>3415</v>
      </c>
      <c r="M3421" s="71">
        <f t="shared" ca="1" si="269"/>
        <v>2.4930292400766887</v>
      </c>
      <c r="N3421" s="65"/>
    </row>
    <row r="3422" spans="1:14" x14ac:dyDescent="0.25">
      <c r="A3422" s="2">
        <v>3416</v>
      </c>
      <c r="B3422" s="11">
        <f t="shared" ca="1" si="266"/>
        <v>1</v>
      </c>
      <c r="C3422" s="26">
        <f t="shared" ca="1" si="270"/>
        <v>0.7632283609776086</v>
      </c>
      <c r="J3422">
        <f t="shared" ca="1" si="267"/>
        <v>1</v>
      </c>
      <c r="K3422">
        <f t="shared" ca="1" si="268"/>
        <v>0</v>
      </c>
      <c r="L3422" s="65">
        <v>3416</v>
      </c>
      <c r="M3422" s="71">
        <f t="shared" ca="1" si="269"/>
        <v>10.253909263617595</v>
      </c>
      <c r="N3422" s="65"/>
    </row>
    <row r="3423" spans="1:14" x14ac:dyDescent="0.25">
      <c r="A3423" s="2">
        <v>3417</v>
      </c>
      <c r="B3423" s="11">
        <f t="shared" ca="1" si="266"/>
        <v>1</v>
      </c>
      <c r="C3423" s="26">
        <f t="shared" ca="1" si="270"/>
        <v>0.63809630782021909</v>
      </c>
      <c r="J3423">
        <f t="shared" ca="1" si="267"/>
        <v>1</v>
      </c>
      <c r="K3423">
        <f t="shared" ca="1" si="268"/>
        <v>0</v>
      </c>
      <c r="L3423" s="65">
        <v>3417</v>
      </c>
      <c r="M3423" s="71">
        <f t="shared" ca="1" si="269"/>
        <v>2.732999848738729</v>
      </c>
      <c r="N3423" s="65"/>
    </row>
    <row r="3424" spans="1:14" x14ac:dyDescent="0.25">
      <c r="A3424" s="2">
        <v>3418</v>
      </c>
      <c r="B3424" s="11">
        <f t="shared" ca="1" si="266"/>
        <v>1</v>
      </c>
      <c r="C3424" s="26">
        <f t="shared" ca="1" si="270"/>
        <v>0.40308328453228648</v>
      </c>
      <c r="J3424">
        <f t="shared" ca="1" si="267"/>
        <v>1</v>
      </c>
      <c r="K3424">
        <f t="shared" ca="1" si="268"/>
        <v>0</v>
      </c>
      <c r="L3424" s="65">
        <v>3418</v>
      </c>
      <c r="M3424" s="71">
        <f t="shared" ca="1" si="269"/>
        <v>5.9959664704115117</v>
      </c>
      <c r="N3424" s="65"/>
    </row>
    <row r="3425" spans="1:14" x14ac:dyDescent="0.25">
      <c r="A3425" s="2">
        <v>3419</v>
      </c>
      <c r="B3425" s="11">
        <f t="shared" ca="1" si="266"/>
        <v>1</v>
      </c>
      <c r="C3425" s="26">
        <f t="shared" ca="1" si="270"/>
        <v>0.62634533354542898</v>
      </c>
      <c r="J3425">
        <f t="shared" ca="1" si="267"/>
        <v>1</v>
      </c>
      <c r="K3425">
        <f t="shared" ca="1" si="268"/>
        <v>0</v>
      </c>
      <c r="L3425" s="65">
        <v>3419</v>
      </c>
      <c r="M3425" s="71">
        <f t="shared" ca="1" si="269"/>
        <v>6.2881436963530311</v>
      </c>
      <c r="N3425" s="65"/>
    </row>
    <row r="3426" spans="1:14" x14ac:dyDescent="0.25">
      <c r="A3426" s="2">
        <v>3420</v>
      </c>
      <c r="B3426" s="11">
        <f t="shared" ca="1" si="266"/>
        <v>1</v>
      </c>
      <c r="C3426" s="26">
        <f t="shared" ca="1" si="270"/>
        <v>0.42179147228736924</v>
      </c>
      <c r="J3426">
        <f t="shared" ca="1" si="267"/>
        <v>0</v>
      </c>
      <c r="K3426">
        <f t="shared" ca="1" si="268"/>
        <v>0</v>
      </c>
      <c r="L3426" s="65">
        <v>3420</v>
      </c>
      <c r="M3426" s="71">
        <f t="shared" ca="1" si="269"/>
        <v>1.9104138499541099</v>
      </c>
      <c r="N3426" s="65"/>
    </row>
    <row r="3427" spans="1:14" x14ac:dyDescent="0.25">
      <c r="A3427" s="2">
        <v>3421</v>
      </c>
      <c r="B3427" s="11">
        <f t="shared" ca="1" si="266"/>
        <v>0</v>
      </c>
      <c r="C3427" s="26">
        <f t="shared" ca="1" si="270"/>
        <v>0.85019694090229425</v>
      </c>
      <c r="J3427">
        <f t="shared" ca="1" si="267"/>
        <v>0</v>
      </c>
      <c r="K3427">
        <f t="shared" ca="1" si="268"/>
        <v>1</v>
      </c>
      <c r="L3427" s="65">
        <v>3421</v>
      </c>
      <c r="M3427" s="71">
        <f t="shared" ca="1" si="269"/>
        <v>0</v>
      </c>
      <c r="N3427" s="65"/>
    </row>
    <row r="3428" spans="1:14" x14ac:dyDescent="0.25">
      <c r="A3428" s="2">
        <v>3422</v>
      </c>
      <c r="B3428" s="11">
        <f t="shared" ca="1" si="266"/>
        <v>0</v>
      </c>
      <c r="C3428" s="26">
        <f t="shared" ca="1" si="270"/>
        <v>0.94909151644427614</v>
      </c>
      <c r="J3428">
        <f t="shared" ca="1" si="267"/>
        <v>0</v>
      </c>
      <c r="K3428">
        <f t="shared" ca="1" si="268"/>
        <v>0</v>
      </c>
      <c r="L3428" s="65">
        <v>3422</v>
      </c>
      <c r="M3428" s="71">
        <f t="shared" ca="1" si="269"/>
        <v>0</v>
      </c>
      <c r="N3428" s="65"/>
    </row>
    <row r="3429" spans="1:14" x14ac:dyDescent="0.25">
      <c r="A3429" s="2">
        <v>3423</v>
      </c>
      <c r="B3429" s="11">
        <f t="shared" ca="1" si="266"/>
        <v>1</v>
      </c>
      <c r="C3429" s="26">
        <f t="shared" ca="1" si="270"/>
        <v>0.26360290714775492</v>
      </c>
      <c r="J3429">
        <f t="shared" ca="1" si="267"/>
        <v>0</v>
      </c>
      <c r="K3429">
        <f t="shared" ca="1" si="268"/>
        <v>0</v>
      </c>
      <c r="L3429" s="65">
        <v>3423</v>
      </c>
      <c r="M3429" s="71">
        <f t="shared" ca="1" si="269"/>
        <v>1.5316288753741218</v>
      </c>
      <c r="N3429" s="65"/>
    </row>
    <row r="3430" spans="1:14" x14ac:dyDescent="0.25">
      <c r="A3430" s="2">
        <v>3424</v>
      </c>
      <c r="B3430" s="11">
        <f t="shared" ca="1" si="266"/>
        <v>0</v>
      </c>
      <c r="C3430" s="26">
        <f t="shared" ca="1" si="270"/>
        <v>0.81409769995843062</v>
      </c>
      <c r="J3430">
        <f t="shared" ca="1" si="267"/>
        <v>0</v>
      </c>
      <c r="K3430">
        <f t="shared" ca="1" si="268"/>
        <v>1</v>
      </c>
      <c r="L3430" s="65">
        <v>3424</v>
      </c>
      <c r="M3430" s="71">
        <f t="shared" ca="1" si="269"/>
        <v>0</v>
      </c>
      <c r="N3430" s="65"/>
    </row>
    <row r="3431" spans="1:14" x14ac:dyDescent="0.25">
      <c r="A3431" s="2">
        <v>3425</v>
      </c>
      <c r="B3431" s="11">
        <f t="shared" ca="1" si="266"/>
        <v>0</v>
      </c>
      <c r="C3431" s="26">
        <f t="shared" ca="1" si="270"/>
        <v>0.92097563867789523</v>
      </c>
      <c r="J3431">
        <f t="shared" ca="1" si="267"/>
        <v>0</v>
      </c>
      <c r="K3431">
        <f t="shared" ca="1" si="268"/>
        <v>0</v>
      </c>
      <c r="L3431" s="65">
        <v>3425</v>
      </c>
      <c r="M3431" s="71">
        <f t="shared" ca="1" si="269"/>
        <v>0</v>
      </c>
      <c r="N3431" s="65"/>
    </row>
    <row r="3432" spans="1:14" x14ac:dyDescent="0.25">
      <c r="A3432" s="2">
        <v>3426</v>
      </c>
      <c r="B3432" s="11">
        <f t="shared" ca="1" si="266"/>
        <v>1</v>
      </c>
      <c r="C3432" s="26">
        <f t="shared" ca="1" si="270"/>
        <v>0.70638075366839537</v>
      </c>
      <c r="J3432">
        <f t="shared" ca="1" si="267"/>
        <v>1</v>
      </c>
      <c r="K3432">
        <f t="shared" ca="1" si="268"/>
        <v>0</v>
      </c>
      <c r="L3432" s="65">
        <v>3426</v>
      </c>
      <c r="M3432" s="71">
        <f t="shared" ca="1" si="269"/>
        <v>24.921346470243563</v>
      </c>
      <c r="N3432" s="65"/>
    </row>
    <row r="3433" spans="1:14" x14ac:dyDescent="0.25">
      <c r="A3433" s="2">
        <v>3427</v>
      </c>
      <c r="B3433" s="11">
        <f t="shared" ca="1" si="266"/>
        <v>1</v>
      </c>
      <c r="C3433" s="26">
        <f t="shared" ca="1" si="270"/>
        <v>0.79661489981713396</v>
      </c>
      <c r="J3433">
        <f t="shared" ca="1" si="267"/>
        <v>1</v>
      </c>
      <c r="K3433">
        <f t="shared" ca="1" si="268"/>
        <v>0</v>
      </c>
      <c r="L3433" s="65">
        <v>3427</v>
      </c>
      <c r="M3433" s="71">
        <f t="shared" ca="1" si="269"/>
        <v>6.6048443885590373</v>
      </c>
      <c r="N3433" s="65"/>
    </row>
    <row r="3434" spans="1:14" x14ac:dyDescent="0.25">
      <c r="A3434" s="2">
        <v>3428</v>
      </c>
      <c r="B3434" s="11">
        <f t="shared" ca="1" si="266"/>
        <v>1</v>
      </c>
      <c r="C3434" s="26">
        <f t="shared" ca="1" si="270"/>
        <v>0.77609146354976222</v>
      </c>
      <c r="J3434">
        <f t="shared" ca="1" si="267"/>
        <v>0</v>
      </c>
      <c r="K3434">
        <f t="shared" ca="1" si="268"/>
        <v>0</v>
      </c>
      <c r="L3434" s="65">
        <v>3428</v>
      </c>
      <c r="M3434" s="71">
        <f t="shared" ca="1" si="269"/>
        <v>0.78809132861311193</v>
      </c>
      <c r="N3434" s="65"/>
    </row>
    <row r="3435" spans="1:14" x14ac:dyDescent="0.25">
      <c r="A3435" s="2">
        <v>3429</v>
      </c>
      <c r="B3435" s="11">
        <f t="shared" ca="1" si="266"/>
        <v>0</v>
      </c>
      <c r="C3435" s="26">
        <f t="shared" ca="1" si="270"/>
        <v>0.80812254869667643</v>
      </c>
      <c r="J3435">
        <f t="shared" ca="1" si="267"/>
        <v>0</v>
      </c>
      <c r="K3435">
        <f t="shared" ca="1" si="268"/>
        <v>1</v>
      </c>
      <c r="L3435" s="65">
        <v>3429</v>
      </c>
      <c r="M3435" s="71">
        <f t="shared" ca="1" si="269"/>
        <v>0</v>
      </c>
      <c r="N3435" s="65"/>
    </row>
    <row r="3436" spans="1:14" x14ac:dyDescent="0.25">
      <c r="A3436" s="2">
        <v>3430</v>
      </c>
      <c r="B3436" s="11">
        <f t="shared" ca="1" si="266"/>
        <v>0</v>
      </c>
      <c r="C3436" s="26">
        <f t="shared" ca="1" si="270"/>
        <v>0.72171286666287537</v>
      </c>
      <c r="J3436">
        <f t="shared" ca="1" si="267"/>
        <v>0</v>
      </c>
      <c r="K3436">
        <f t="shared" ca="1" si="268"/>
        <v>0</v>
      </c>
      <c r="L3436" s="65">
        <v>3430</v>
      </c>
      <c r="M3436" s="71">
        <f t="shared" ca="1" si="269"/>
        <v>0</v>
      </c>
      <c r="N3436" s="65"/>
    </row>
    <row r="3437" spans="1:14" x14ac:dyDescent="0.25">
      <c r="A3437" s="2">
        <v>3431</v>
      </c>
      <c r="B3437" s="11">
        <f t="shared" ca="1" si="266"/>
        <v>1</v>
      </c>
      <c r="C3437" s="26">
        <f t="shared" ca="1" si="270"/>
        <v>0.69990334697459777</v>
      </c>
      <c r="J3437">
        <f t="shared" ca="1" si="267"/>
        <v>1</v>
      </c>
      <c r="K3437">
        <f t="shared" ca="1" si="268"/>
        <v>0</v>
      </c>
      <c r="L3437" s="65">
        <v>3431</v>
      </c>
      <c r="M3437" s="71">
        <f t="shared" ca="1" si="269"/>
        <v>1.4714579542195494</v>
      </c>
      <c r="N3437" s="65"/>
    </row>
    <row r="3438" spans="1:14" x14ac:dyDescent="0.25">
      <c r="A3438" s="2">
        <v>3432</v>
      </c>
      <c r="B3438" s="11">
        <f t="shared" ca="1" si="266"/>
        <v>1</v>
      </c>
      <c r="C3438" s="26">
        <f t="shared" ca="1" si="270"/>
        <v>9.4759959608818889E-2</v>
      </c>
      <c r="J3438">
        <f t="shared" ca="1" si="267"/>
        <v>0</v>
      </c>
      <c r="K3438">
        <f t="shared" ca="1" si="268"/>
        <v>0</v>
      </c>
      <c r="L3438" s="65">
        <v>3432</v>
      </c>
      <c r="M3438" s="71">
        <f t="shared" ca="1" si="269"/>
        <v>5.9107960536959139</v>
      </c>
      <c r="N3438" s="65"/>
    </row>
    <row r="3439" spans="1:14" x14ac:dyDescent="0.25">
      <c r="A3439" s="2">
        <v>3433</v>
      </c>
      <c r="B3439" s="11">
        <f t="shared" ref="B3439:B3502" ca="1" si="271">IF(B3438&gt;0,IF(C3439&lt;pww,1,0),IF(C3439&lt;pdw,1,0))</f>
        <v>0</v>
      </c>
      <c r="C3439" s="26">
        <f t="shared" ca="1" si="270"/>
        <v>0.89347073828816082</v>
      </c>
      <c r="J3439">
        <f t="shared" ref="J3439:J3502" ca="1" si="272">IF(AND(B3439,B3440),1,0)</f>
        <v>0</v>
      </c>
      <c r="K3439">
        <f t="shared" ref="K3439:K3502" ca="1" si="273">IF(AND(NOT(B3439),NOT(B3440)),1,0)</f>
        <v>0</v>
      </c>
      <c r="L3439" s="65">
        <v>3433</v>
      </c>
      <c r="M3439" s="71">
        <f t="shared" ca="1" si="269"/>
        <v>0</v>
      </c>
      <c r="N3439" s="65"/>
    </row>
    <row r="3440" spans="1:14" x14ac:dyDescent="0.25">
      <c r="A3440" s="2">
        <v>3434</v>
      </c>
      <c r="B3440" s="11">
        <f t="shared" ca="1" si="271"/>
        <v>1</v>
      </c>
      <c r="C3440" s="26">
        <f t="shared" ca="1" si="270"/>
        <v>0.28495811881046695</v>
      </c>
      <c r="J3440">
        <f t="shared" ca="1" si="272"/>
        <v>1</v>
      </c>
      <c r="K3440">
        <f t="shared" ca="1" si="273"/>
        <v>0</v>
      </c>
      <c r="L3440" s="65">
        <v>3434</v>
      </c>
      <c r="M3440" s="71">
        <f t="shared" ca="1" si="269"/>
        <v>8.103132416716635</v>
      </c>
      <c r="N3440" s="65"/>
    </row>
    <row r="3441" spans="1:14" x14ac:dyDescent="0.25">
      <c r="A3441" s="2">
        <v>3435</v>
      </c>
      <c r="B3441" s="11">
        <f t="shared" ca="1" si="271"/>
        <v>1</v>
      </c>
      <c r="C3441" s="26">
        <f t="shared" ca="1" si="270"/>
        <v>0.38153615835116483</v>
      </c>
      <c r="J3441">
        <f t="shared" ca="1" si="272"/>
        <v>0</v>
      </c>
      <c r="K3441">
        <f t="shared" ca="1" si="273"/>
        <v>0</v>
      </c>
      <c r="L3441" s="65">
        <v>3435</v>
      </c>
      <c r="M3441" s="71">
        <f t="shared" ca="1" si="269"/>
        <v>0.38944744886494909</v>
      </c>
      <c r="N3441" s="65"/>
    </row>
    <row r="3442" spans="1:14" x14ac:dyDescent="0.25">
      <c r="A3442" s="2">
        <v>3436</v>
      </c>
      <c r="B3442" s="11">
        <f t="shared" ca="1" si="271"/>
        <v>0</v>
      </c>
      <c r="C3442" s="26">
        <f t="shared" ca="1" si="270"/>
        <v>0.91603324799119912</v>
      </c>
      <c r="J3442">
        <f t="shared" ca="1" si="272"/>
        <v>0</v>
      </c>
      <c r="K3442">
        <f t="shared" ca="1" si="273"/>
        <v>0</v>
      </c>
      <c r="L3442" s="65">
        <v>3436</v>
      </c>
      <c r="M3442" s="71">
        <f t="shared" ca="1" si="269"/>
        <v>0</v>
      </c>
      <c r="N3442" s="65"/>
    </row>
    <row r="3443" spans="1:14" x14ac:dyDescent="0.25">
      <c r="A3443" s="2">
        <v>3437</v>
      </c>
      <c r="B3443" s="11">
        <f t="shared" ca="1" si="271"/>
        <v>1</v>
      </c>
      <c r="C3443" s="26">
        <f t="shared" ca="1" si="270"/>
        <v>0.36575838984323827</v>
      </c>
      <c r="J3443">
        <f t="shared" ca="1" si="272"/>
        <v>1</v>
      </c>
      <c r="K3443">
        <f t="shared" ca="1" si="273"/>
        <v>0</v>
      </c>
      <c r="L3443" s="65">
        <v>3437</v>
      </c>
      <c r="M3443" s="71">
        <f t="shared" ca="1" si="269"/>
        <v>2.2047633828049791</v>
      </c>
      <c r="N3443" s="65"/>
    </row>
    <row r="3444" spans="1:14" x14ac:dyDescent="0.25">
      <c r="A3444" s="2">
        <v>3438</v>
      </c>
      <c r="B3444" s="11">
        <f t="shared" ca="1" si="271"/>
        <v>1</v>
      </c>
      <c r="C3444" s="26">
        <f t="shared" ca="1" si="270"/>
        <v>0.54829379882507878</v>
      </c>
      <c r="J3444">
        <f t="shared" ca="1" si="272"/>
        <v>1</v>
      </c>
      <c r="K3444">
        <f t="shared" ca="1" si="273"/>
        <v>0</v>
      </c>
      <c r="L3444" s="65">
        <v>3438</v>
      </c>
      <c r="M3444" s="71">
        <f t="shared" ca="1" si="269"/>
        <v>0.74746292015643634</v>
      </c>
      <c r="N3444" s="65"/>
    </row>
    <row r="3445" spans="1:14" x14ac:dyDescent="0.25">
      <c r="A3445" s="2">
        <v>3439</v>
      </c>
      <c r="B3445" s="11">
        <f t="shared" ca="1" si="271"/>
        <v>1</v>
      </c>
      <c r="C3445" s="26">
        <f t="shared" ca="1" si="270"/>
        <v>0.79134712086033188</v>
      </c>
      <c r="J3445">
        <f t="shared" ca="1" si="272"/>
        <v>1</v>
      </c>
      <c r="K3445">
        <f t="shared" ca="1" si="273"/>
        <v>0</v>
      </c>
      <c r="L3445" s="65">
        <v>3439</v>
      </c>
      <c r="M3445" s="71">
        <f t="shared" ca="1" si="269"/>
        <v>1.5247500286766869</v>
      </c>
      <c r="N3445" s="65"/>
    </row>
    <row r="3446" spans="1:14" x14ac:dyDescent="0.25">
      <c r="A3446" s="2">
        <v>3440</v>
      </c>
      <c r="B3446" s="11">
        <f t="shared" ca="1" si="271"/>
        <v>1</v>
      </c>
      <c r="C3446" s="26">
        <f t="shared" ca="1" si="270"/>
        <v>0.23311535279731266</v>
      </c>
      <c r="J3446">
        <f t="shared" ca="1" si="272"/>
        <v>1</v>
      </c>
      <c r="K3446">
        <f t="shared" ca="1" si="273"/>
        <v>0</v>
      </c>
      <c r="L3446" s="65">
        <v>3440</v>
      </c>
      <c r="M3446" s="71">
        <f t="shared" ca="1" si="269"/>
        <v>3.5816415612689712</v>
      </c>
      <c r="N3446" s="65"/>
    </row>
    <row r="3447" spans="1:14" x14ac:dyDescent="0.25">
      <c r="A3447" s="2">
        <v>3441</v>
      </c>
      <c r="B3447" s="11">
        <f t="shared" ca="1" si="271"/>
        <v>1</v>
      </c>
      <c r="C3447" s="26">
        <f t="shared" ca="1" si="270"/>
        <v>0.5374788986082073</v>
      </c>
      <c r="J3447">
        <f t="shared" ca="1" si="272"/>
        <v>1</v>
      </c>
      <c r="K3447">
        <f t="shared" ca="1" si="273"/>
        <v>0</v>
      </c>
      <c r="L3447" s="65">
        <v>3441</v>
      </c>
      <c r="M3447" s="71">
        <f t="shared" ca="1" si="269"/>
        <v>14.14438905186304</v>
      </c>
      <c r="N3447" s="65"/>
    </row>
    <row r="3448" spans="1:14" x14ac:dyDescent="0.25">
      <c r="A3448" s="2">
        <v>3442</v>
      </c>
      <c r="B3448" s="11">
        <f t="shared" ca="1" si="271"/>
        <v>1</v>
      </c>
      <c r="C3448" s="26">
        <f t="shared" ca="1" si="270"/>
        <v>6.9710477392736836E-2</v>
      </c>
      <c r="J3448">
        <f t="shared" ca="1" si="272"/>
        <v>0</v>
      </c>
      <c r="K3448">
        <f t="shared" ca="1" si="273"/>
        <v>0</v>
      </c>
      <c r="L3448" s="65">
        <v>3442</v>
      </c>
      <c r="M3448" s="71">
        <f t="shared" ca="1" si="269"/>
        <v>3.2757443036341399E-2</v>
      </c>
      <c r="N3448" s="65"/>
    </row>
    <row r="3449" spans="1:14" x14ac:dyDescent="0.25">
      <c r="A3449" s="2">
        <v>3443</v>
      </c>
      <c r="B3449" s="11">
        <f t="shared" ca="1" si="271"/>
        <v>0</v>
      </c>
      <c r="C3449" s="26">
        <f t="shared" ca="1" si="270"/>
        <v>0.95504407055963125</v>
      </c>
      <c r="J3449">
        <f t="shared" ca="1" si="272"/>
        <v>0</v>
      </c>
      <c r="K3449">
        <f t="shared" ca="1" si="273"/>
        <v>0</v>
      </c>
      <c r="L3449" s="65">
        <v>3443</v>
      </c>
      <c r="M3449" s="71">
        <f t="shared" ca="1" si="269"/>
        <v>0</v>
      </c>
      <c r="N3449" s="65"/>
    </row>
    <row r="3450" spans="1:14" x14ac:dyDescent="0.25">
      <c r="A3450" s="2">
        <v>3444</v>
      </c>
      <c r="B3450" s="11">
        <f t="shared" ca="1" si="271"/>
        <v>1</v>
      </c>
      <c r="C3450" s="26">
        <f t="shared" ca="1" si="270"/>
        <v>0.28604490066460142</v>
      </c>
      <c r="J3450">
        <f t="shared" ca="1" si="272"/>
        <v>1</v>
      </c>
      <c r="K3450">
        <f t="shared" ca="1" si="273"/>
        <v>0</v>
      </c>
      <c r="L3450" s="65">
        <v>3444</v>
      </c>
      <c r="M3450" s="71">
        <f t="shared" ca="1" si="269"/>
        <v>6.9722916490548252</v>
      </c>
      <c r="N3450" s="65"/>
    </row>
    <row r="3451" spans="1:14" x14ac:dyDescent="0.25">
      <c r="A3451" s="2">
        <v>3445</v>
      </c>
      <c r="B3451" s="11">
        <f t="shared" ca="1" si="271"/>
        <v>1</v>
      </c>
      <c r="C3451" s="26">
        <f t="shared" ca="1" si="270"/>
        <v>0.35764272051754853</v>
      </c>
      <c r="J3451">
        <f t="shared" ca="1" si="272"/>
        <v>1</v>
      </c>
      <c r="K3451">
        <f t="shared" ca="1" si="273"/>
        <v>0</v>
      </c>
      <c r="L3451" s="65">
        <v>3445</v>
      </c>
      <c r="M3451" s="71">
        <f t="shared" ca="1" si="269"/>
        <v>4.6592224531642072</v>
      </c>
      <c r="N3451" s="65"/>
    </row>
    <row r="3452" spans="1:14" x14ac:dyDescent="0.25">
      <c r="A3452" s="2">
        <v>3446</v>
      </c>
      <c r="B3452" s="11">
        <f t="shared" ca="1" si="271"/>
        <v>1</v>
      </c>
      <c r="C3452" s="26">
        <f t="shared" ca="1" si="270"/>
        <v>0.74954677013114734</v>
      </c>
      <c r="J3452">
        <f t="shared" ca="1" si="272"/>
        <v>1</v>
      </c>
      <c r="K3452">
        <f t="shared" ca="1" si="273"/>
        <v>0</v>
      </c>
      <c r="L3452" s="65">
        <v>3446</v>
      </c>
      <c r="M3452" s="71">
        <f t="shared" ca="1" si="269"/>
        <v>4.0456867754084831</v>
      </c>
      <c r="N3452" s="65"/>
    </row>
    <row r="3453" spans="1:14" x14ac:dyDescent="0.25">
      <c r="A3453" s="2">
        <v>3447</v>
      </c>
      <c r="B3453" s="11">
        <f t="shared" ca="1" si="271"/>
        <v>1</v>
      </c>
      <c r="C3453" s="26">
        <f t="shared" ca="1" si="270"/>
        <v>0.67738847563028026</v>
      </c>
      <c r="J3453">
        <f t="shared" ca="1" si="272"/>
        <v>1</v>
      </c>
      <c r="K3453">
        <f t="shared" ca="1" si="273"/>
        <v>0</v>
      </c>
      <c r="L3453" s="65">
        <v>3447</v>
      </c>
      <c r="M3453" s="71">
        <f t="shared" ca="1" si="269"/>
        <v>11.217640406437352</v>
      </c>
      <c r="N3453" s="65"/>
    </row>
    <row r="3454" spans="1:14" x14ac:dyDescent="0.25">
      <c r="A3454" s="2">
        <v>3448</v>
      </c>
      <c r="B3454" s="11">
        <f t="shared" ca="1" si="271"/>
        <v>1</v>
      </c>
      <c r="C3454" s="26">
        <f t="shared" ca="1" si="270"/>
        <v>0.36880857582227089</v>
      </c>
      <c r="J3454">
        <f t="shared" ca="1" si="272"/>
        <v>0</v>
      </c>
      <c r="K3454">
        <f t="shared" ca="1" si="273"/>
        <v>0</v>
      </c>
      <c r="L3454" s="65">
        <v>3448</v>
      </c>
      <c r="M3454" s="71">
        <f t="shared" ca="1" si="269"/>
        <v>1.4678853980748234</v>
      </c>
      <c r="N3454" s="65"/>
    </row>
    <row r="3455" spans="1:14" x14ac:dyDescent="0.25">
      <c r="A3455" s="2">
        <v>3449</v>
      </c>
      <c r="B3455" s="11">
        <f t="shared" ca="1" si="271"/>
        <v>0</v>
      </c>
      <c r="C3455" s="26">
        <f t="shared" ca="1" si="270"/>
        <v>0.91089505597899922</v>
      </c>
      <c r="J3455">
        <f t="shared" ca="1" si="272"/>
        <v>0</v>
      </c>
      <c r="K3455">
        <f t="shared" ca="1" si="273"/>
        <v>1</v>
      </c>
      <c r="L3455" s="65">
        <v>3449</v>
      </c>
      <c r="M3455" s="71">
        <f t="shared" ca="1" si="269"/>
        <v>0</v>
      </c>
      <c r="N3455" s="65"/>
    </row>
    <row r="3456" spans="1:14" x14ac:dyDescent="0.25">
      <c r="A3456" s="2">
        <v>3450</v>
      </c>
      <c r="B3456" s="11">
        <f t="shared" ca="1" si="271"/>
        <v>0</v>
      </c>
      <c r="C3456" s="26">
        <f t="shared" ca="1" si="270"/>
        <v>0.84646163430073251</v>
      </c>
      <c r="J3456">
        <f t="shared" ca="1" si="272"/>
        <v>0</v>
      </c>
      <c r="K3456">
        <f t="shared" ca="1" si="273"/>
        <v>0</v>
      </c>
      <c r="L3456" s="65">
        <v>3450</v>
      </c>
      <c r="M3456" s="71">
        <f t="shared" ca="1" si="269"/>
        <v>0</v>
      </c>
      <c r="N3456" s="65"/>
    </row>
    <row r="3457" spans="1:14" x14ac:dyDescent="0.25">
      <c r="A3457" s="2">
        <v>3451</v>
      </c>
      <c r="B3457" s="11">
        <f t="shared" ca="1" si="271"/>
        <v>1</v>
      </c>
      <c r="C3457" s="26">
        <f t="shared" ca="1" si="270"/>
        <v>0.12511084729968502</v>
      </c>
      <c r="J3457">
        <f t="shared" ca="1" si="272"/>
        <v>1</v>
      </c>
      <c r="K3457">
        <f t="shared" ca="1" si="273"/>
        <v>0</v>
      </c>
      <c r="L3457" s="65">
        <v>3451</v>
      </c>
      <c r="M3457" s="71">
        <f t="shared" ca="1" si="269"/>
        <v>3.1800998804665217</v>
      </c>
      <c r="N3457" s="65"/>
    </row>
    <row r="3458" spans="1:14" x14ac:dyDescent="0.25">
      <c r="A3458" s="2">
        <v>3452</v>
      </c>
      <c r="B3458" s="11">
        <f t="shared" ca="1" si="271"/>
        <v>1</v>
      </c>
      <c r="C3458" s="26">
        <f t="shared" ca="1" si="270"/>
        <v>0.10256895600542015</v>
      </c>
      <c r="J3458">
        <f t="shared" ca="1" si="272"/>
        <v>1</v>
      </c>
      <c r="K3458">
        <f t="shared" ca="1" si="273"/>
        <v>0</v>
      </c>
      <c r="L3458" s="65">
        <v>3452</v>
      </c>
      <c r="M3458" s="71">
        <f t="shared" ca="1" si="269"/>
        <v>2.8440367979107051</v>
      </c>
      <c r="N3458" s="65"/>
    </row>
    <row r="3459" spans="1:14" x14ac:dyDescent="0.25">
      <c r="A3459" s="2">
        <v>3453</v>
      </c>
      <c r="B3459" s="11">
        <f t="shared" ca="1" si="271"/>
        <v>1</v>
      </c>
      <c r="C3459" s="26">
        <f t="shared" ca="1" si="270"/>
        <v>0.52275904281454111</v>
      </c>
      <c r="J3459">
        <f t="shared" ca="1" si="272"/>
        <v>1</v>
      </c>
      <c r="K3459">
        <f t="shared" ca="1" si="273"/>
        <v>0</v>
      </c>
      <c r="L3459" s="65">
        <v>3453</v>
      </c>
      <c r="M3459" s="71">
        <f t="shared" ca="1" si="269"/>
        <v>0.83644808607156595</v>
      </c>
      <c r="N3459" s="65"/>
    </row>
    <row r="3460" spans="1:14" x14ac:dyDescent="0.25">
      <c r="A3460" s="2">
        <v>3454</v>
      </c>
      <c r="B3460" s="11">
        <f t="shared" ca="1" si="271"/>
        <v>1</v>
      </c>
      <c r="C3460" s="26">
        <f t="shared" ca="1" si="270"/>
        <v>0.67799905516270209</v>
      </c>
      <c r="J3460">
        <f t="shared" ca="1" si="272"/>
        <v>1</v>
      </c>
      <c r="K3460">
        <f t="shared" ca="1" si="273"/>
        <v>0</v>
      </c>
      <c r="L3460" s="65">
        <v>3454</v>
      </c>
      <c r="M3460" s="71">
        <f t="shared" ca="1" si="269"/>
        <v>0.31541445078193575</v>
      </c>
      <c r="N3460" s="65"/>
    </row>
    <row r="3461" spans="1:14" x14ac:dyDescent="0.25">
      <c r="A3461" s="2">
        <v>3455</v>
      </c>
      <c r="B3461" s="11">
        <f t="shared" ca="1" si="271"/>
        <v>1</v>
      </c>
      <c r="C3461" s="26">
        <f t="shared" ca="1" si="270"/>
        <v>0.7718579124454793</v>
      </c>
      <c r="J3461">
        <f t="shared" ca="1" si="272"/>
        <v>1</v>
      </c>
      <c r="K3461">
        <f t="shared" ca="1" si="273"/>
        <v>0</v>
      </c>
      <c r="L3461" s="65">
        <v>3455</v>
      </c>
      <c r="M3461" s="71">
        <f t="shared" ca="1" si="269"/>
        <v>5.1169079076821866</v>
      </c>
      <c r="N3461" s="65"/>
    </row>
    <row r="3462" spans="1:14" x14ac:dyDescent="0.25">
      <c r="A3462" s="2">
        <v>3456</v>
      </c>
      <c r="B3462" s="11">
        <f t="shared" ca="1" si="271"/>
        <v>1</v>
      </c>
      <c r="C3462" s="26">
        <f t="shared" ca="1" si="270"/>
        <v>0.57266806349605615</v>
      </c>
      <c r="J3462">
        <f t="shared" ca="1" si="272"/>
        <v>1</v>
      </c>
      <c r="K3462">
        <f t="shared" ca="1" si="273"/>
        <v>0</v>
      </c>
      <c r="L3462" s="65">
        <v>3456</v>
      </c>
      <c r="M3462" s="71">
        <f t="shared" ca="1" si="269"/>
        <v>5.3644011728399548</v>
      </c>
      <c r="N3462" s="65"/>
    </row>
    <row r="3463" spans="1:14" x14ac:dyDescent="0.25">
      <c r="A3463" s="2">
        <v>3457</v>
      </c>
      <c r="B3463" s="11">
        <f t="shared" ca="1" si="271"/>
        <v>1</v>
      </c>
      <c r="C3463" s="26">
        <f t="shared" ca="1" si="270"/>
        <v>0.73661421200403432</v>
      </c>
      <c r="J3463">
        <f t="shared" ca="1" si="272"/>
        <v>0</v>
      </c>
      <c r="K3463">
        <f t="shared" ca="1" si="273"/>
        <v>0</v>
      </c>
      <c r="L3463" s="65">
        <v>3457</v>
      </c>
      <c r="M3463" s="71">
        <f t="shared" ref="M3463:M3526" ca="1" si="274">IF(B3463&gt;0,-LN(1-(RAND()))/lambda,0)</f>
        <v>1.0126497919279682</v>
      </c>
      <c r="N3463" s="65"/>
    </row>
    <row r="3464" spans="1:14" x14ac:dyDescent="0.25">
      <c r="A3464" s="2">
        <v>3458</v>
      </c>
      <c r="B3464" s="11">
        <f t="shared" ca="1" si="271"/>
        <v>0</v>
      </c>
      <c r="C3464" s="26">
        <f t="shared" ref="C3464:C3527" ca="1" si="275">RAND()</f>
        <v>0.88373292703336659</v>
      </c>
      <c r="J3464">
        <f t="shared" ca="1" si="272"/>
        <v>0</v>
      </c>
      <c r="K3464">
        <f t="shared" ca="1" si="273"/>
        <v>0</v>
      </c>
      <c r="L3464" s="65">
        <v>3458</v>
      </c>
      <c r="M3464" s="71">
        <f t="shared" ca="1" si="274"/>
        <v>0</v>
      </c>
      <c r="N3464" s="65"/>
    </row>
    <row r="3465" spans="1:14" x14ac:dyDescent="0.25">
      <c r="A3465" s="2">
        <v>3459</v>
      </c>
      <c r="B3465" s="11">
        <f t="shared" ca="1" si="271"/>
        <v>1</v>
      </c>
      <c r="C3465" s="26">
        <f t="shared" ca="1" si="275"/>
        <v>0.33363191163424244</v>
      </c>
      <c r="J3465">
        <f t="shared" ca="1" si="272"/>
        <v>1</v>
      </c>
      <c r="K3465">
        <f t="shared" ca="1" si="273"/>
        <v>0</v>
      </c>
      <c r="L3465" s="65">
        <v>3459</v>
      </c>
      <c r="M3465" s="71">
        <f t="shared" ca="1" si="274"/>
        <v>2.2843346543947955</v>
      </c>
      <c r="N3465" s="65"/>
    </row>
    <row r="3466" spans="1:14" x14ac:dyDescent="0.25">
      <c r="A3466" s="2">
        <v>3460</v>
      </c>
      <c r="B3466" s="11">
        <f t="shared" ca="1" si="271"/>
        <v>1</v>
      </c>
      <c r="C3466" s="26">
        <f t="shared" ca="1" si="275"/>
        <v>0.53790184419476694</v>
      </c>
      <c r="J3466">
        <f t="shared" ca="1" si="272"/>
        <v>1</v>
      </c>
      <c r="K3466">
        <f t="shared" ca="1" si="273"/>
        <v>0</v>
      </c>
      <c r="L3466" s="65">
        <v>3460</v>
      </c>
      <c r="M3466" s="71">
        <f t="shared" ca="1" si="274"/>
        <v>0.81271672544224738</v>
      </c>
      <c r="N3466" s="65"/>
    </row>
    <row r="3467" spans="1:14" x14ac:dyDescent="0.25">
      <c r="A3467" s="2">
        <v>3461</v>
      </c>
      <c r="B3467" s="11">
        <f t="shared" ca="1" si="271"/>
        <v>1</v>
      </c>
      <c r="C3467" s="26">
        <f t="shared" ca="1" si="275"/>
        <v>0.25804617167768251</v>
      </c>
      <c r="J3467">
        <f t="shared" ca="1" si="272"/>
        <v>1</v>
      </c>
      <c r="K3467">
        <f t="shared" ca="1" si="273"/>
        <v>0</v>
      </c>
      <c r="L3467" s="65">
        <v>3461</v>
      </c>
      <c r="M3467" s="71">
        <f t="shared" ca="1" si="274"/>
        <v>2.0212214530905377</v>
      </c>
      <c r="N3467" s="65"/>
    </row>
    <row r="3468" spans="1:14" x14ac:dyDescent="0.25">
      <c r="A3468" s="2">
        <v>3462</v>
      </c>
      <c r="B3468" s="11">
        <f t="shared" ca="1" si="271"/>
        <v>1</v>
      </c>
      <c r="C3468" s="26">
        <f t="shared" ca="1" si="275"/>
        <v>0.37874544102697305</v>
      </c>
      <c r="J3468">
        <f t="shared" ca="1" si="272"/>
        <v>0</v>
      </c>
      <c r="K3468">
        <f t="shared" ca="1" si="273"/>
        <v>0</v>
      </c>
      <c r="L3468" s="65">
        <v>3462</v>
      </c>
      <c r="M3468" s="71">
        <f t="shared" ca="1" si="274"/>
        <v>11.843694313840242</v>
      </c>
      <c r="N3468" s="65"/>
    </row>
    <row r="3469" spans="1:14" x14ac:dyDescent="0.25">
      <c r="A3469" s="2">
        <v>3463</v>
      </c>
      <c r="B3469" s="11">
        <f t="shared" ca="1" si="271"/>
        <v>0</v>
      </c>
      <c r="C3469" s="26">
        <f t="shared" ca="1" si="275"/>
        <v>0.92784395576914358</v>
      </c>
      <c r="J3469">
        <f t="shared" ca="1" si="272"/>
        <v>0</v>
      </c>
      <c r="K3469">
        <f t="shared" ca="1" si="273"/>
        <v>0</v>
      </c>
      <c r="L3469" s="65">
        <v>3463</v>
      </c>
      <c r="M3469" s="71">
        <f t="shared" ca="1" si="274"/>
        <v>0</v>
      </c>
      <c r="N3469" s="65"/>
    </row>
    <row r="3470" spans="1:14" x14ac:dyDescent="0.25">
      <c r="A3470" s="2">
        <v>3464</v>
      </c>
      <c r="B3470" s="11">
        <f t="shared" ca="1" si="271"/>
        <v>1</v>
      </c>
      <c r="C3470" s="26">
        <f t="shared" ca="1" si="275"/>
        <v>0.32622104332119806</v>
      </c>
      <c r="J3470">
        <f t="shared" ca="1" si="272"/>
        <v>1</v>
      </c>
      <c r="K3470">
        <f t="shared" ca="1" si="273"/>
        <v>0</v>
      </c>
      <c r="L3470" s="65">
        <v>3464</v>
      </c>
      <c r="M3470" s="71">
        <f t="shared" ca="1" si="274"/>
        <v>0.45086401444665269</v>
      </c>
      <c r="N3470" s="65"/>
    </row>
    <row r="3471" spans="1:14" x14ac:dyDescent="0.25">
      <c r="A3471" s="2">
        <v>3465</v>
      </c>
      <c r="B3471" s="11">
        <f t="shared" ca="1" si="271"/>
        <v>1</v>
      </c>
      <c r="C3471" s="26">
        <f t="shared" ca="1" si="275"/>
        <v>0.36874765806717691</v>
      </c>
      <c r="J3471">
        <f t="shared" ca="1" si="272"/>
        <v>1</v>
      </c>
      <c r="K3471">
        <f t="shared" ca="1" si="273"/>
        <v>0</v>
      </c>
      <c r="L3471" s="65">
        <v>3465</v>
      </c>
      <c r="M3471" s="71">
        <f t="shared" ca="1" si="274"/>
        <v>9.0526137975812393</v>
      </c>
      <c r="N3471" s="65"/>
    </row>
    <row r="3472" spans="1:14" x14ac:dyDescent="0.25">
      <c r="A3472" s="2">
        <v>3466</v>
      </c>
      <c r="B3472" s="11">
        <f t="shared" ca="1" si="271"/>
        <v>1</v>
      </c>
      <c r="C3472" s="26">
        <f t="shared" ca="1" si="275"/>
        <v>0.60151102254107347</v>
      </c>
      <c r="J3472">
        <f t="shared" ca="1" si="272"/>
        <v>1</v>
      </c>
      <c r="K3472">
        <f t="shared" ca="1" si="273"/>
        <v>0</v>
      </c>
      <c r="L3472" s="65">
        <v>3466</v>
      </c>
      <c r="M3472" s="71">
        <f t="shared" ca="1" si="274"/>
        <v>2.6772966427725233</v>
      </c>
      <c r="N3472" s="65"/>
    </row>
    <row r="3473" spans="1:14" x14ac:dyDescent="0.25">
      <c r="A3473" s="2">
        <v>3467</v>
      </c>
      <c r="B3473" s="11">
        <f t="shared" ca="1" si="271"/>
        <v>1</v>
      </c>
      <c r="C3473" s="26">
        <f t="shared" ca="1" si="275"/>
        <v>0.43829019916909506</v>
      </c>
      <c r="J3473">
        <f t="shared" ca="1" si="272"/>
        <v>1</v>
      </c>
      <c r="K3473">
        <f t="shared" ca="1" si="273"/>
        <v>0</v>
      </c>
      <c r="L3473" s="65">
        <v>3467</v>
      </c>
      <c r="M3473" s="71">
        <f t="shared" ca="1" si="274"/>
        <v>0.78047456995926945</v>
      </c>
      <c r="N3473" s="65"/>
    </row>
    <row r="3474" spans="1:14" x14ac:dyDescent="0.25">
      <c r="A3474" s="2">
        <v>3468</v>
      </c>
      <c r="B3474" s="11">
        <f t="shared" ca="1" si="271"/>
        <v>1</v>
      </c>
      <c r="C3474" s="26">
        <f t="shared" ca="1" si="275"/>
        <v>0.71884228601435629</v>
      </c>
      <c r="J3474">
        <f t="shared" ca="1" si="272"/>
        <v>1</v>
      </c>
      <c r="K3474">
        <f t="shared" ca="1" si="273"/>
        <v>0</v>
      </c>
      <c r="L3474" s="65">
        <v>3468</v>
      </c>
      <c r="M3474" s="71">
        <f t="shared" ca="1" si="274"/>
        <v>0.39268017672871686</v>
      </c>
      <c r="N3474" s="65"/>
    </row>
    <row r="3475" spans="1:14" x14ac:dyDescent="0.25">
      <c r="A3475" s="2">
        <v>3469</v>
      </c>
      <c r="B3475" s="11">
        <f t="shared" ca="1" si="271"/>
        <v>1</v>
      </c>
      <c r="C3475" s="26">
        <f t="shared" ca="1" si="275"/>
        <v>0.78020470706230727</v>
      </c>
      <c r="J3475">
        <f t="shared" ca="1" si="272"/>
        <v>1</v>
      </c>
      <c r="K3475">
        <f t="shared" ca="1" si="273"/>
        <v>0</v>
      </c>
      <c r="L3475" s="65">
        <v>3469</v>
      </c>
      <c r="M3475" s="71">
        <f t="shared" ca="1" si="274"/>
        <v>4.5199276571267593</v>
      </c>
      <c r="N3475" s="65"/>
    </row>
    <row r="3476" spans="1:14" x14ac:dyDescent="0.25">
      <c r="A3476" s="2">
        <v>3470</v>
      </c>
      <c r="B3476" s="11">
        <f t="shared" ca="1" si="271"/>
        <v>1</v>
      </c>
      <c r="C3476" s="26">
        <f t="shared" ca="1" si="275"/>
        <v>0.17507493598333079</v>
      </c>
      <c r="J3476">
        <f t="shared" ca="1" si="272"/>
        <v>1</v>
      </c>
      <c r="K3476">
        <f t="shared" ca="1" si="273"/>
        <v>0</v>
      </c>
      <c r="L3476" s="65">
        <v>3470</v>
      </c>
      <c r="M3476" s="71">
        <f t="shared" ca="1" si="274"/>
        <v>1.3888048291403163</v>
      </c>
      <c r="N3476" s="65"/>
    </row>
    <row r="3477" spans="1:14" x14ac:dyDescent="0.25">
      <c r="A3477" s="2">
        <v>3471</v>
      </c>
      <c r="B3477" s="11">
        <f t="shared" ca="1" si="271"/>
        <v>1</v>
      </c>
      <c r="C3477" s="26">
        <f t="shared" ca="1" si="275"/>
        <v>6.0486128572858622E-3</v>
      </c>
      <c r="J3477">
        <f t="shared" ca="1" si="272"/>
        <v>1</v>
      </c>
      <c r="K3477">
        <f t="shared" ca="1" si="273"/>
        <v>0</v>
      </c>
      <c r="L3477" s="65">
        <v>3471</v>
      </c>
      <c r="M3477" s="71">
        <f t="shared" ca="1" si="274"/>
        <v>0.31714919065844405</v>
      </c>
      <c r="N3477" s="65"/>
    </row>
    <row r="3478" spans="1:14" x14ac:dyDescent="0.25">
      <c r="A3478" s="2">
        <v>3472</v>
      </c>
      <c r="B3478" s="11">
        <f t="shared" ca="1" si="271"/>
        <v>1</v>
      </c>
      <c r="C3478" s="26">
        <f t="shared" ca="1" si="275"/>
        <v>0.14070894933737144</v>
      </c>
      <c r="J3478">
        <f t="shared" ca="1" si="272"/>
        <v>1</v>
      </c>
      <c r="K3478">
        <f t="shared" ca="1" si="273"/>
        <v>0</v>
      </c>
      <c r="L3478" s="65">
        <v>3472</v>
      </c>
      <c r="M3478" s="71">
        <f t="shared" ca="1" si="274"/>
        <v>5.0131286767618395</v>
      </c>
      <c r="N3478" s="65"/>
    </row>
    <row r="3479" spans="1:14" x14ac:dyDescent="0.25">
      <c r="A3479" s="2">
        <v>3473</v>
      </c>
      <c r="B3479" s="11">
        <f t="shared" ca="1" si="271"/>
        <v>1</v>
      </c>
      <c r="C3479" s="26">
        <f t="shared" ca="1" si="275"/>
        <v>0.68004322847389786</v>
      </c>
      <c r="J3479">
        <f t="shared" ca="1" si="272"/>
        <v>1</v>
      </c>
      <c r="K3479">
        <f t="shared" ca="1" si="273"/>
        <v>0</v>
      </c>
      <c r="L3479" s="65">
        <v>3473</v>
      </c>
      <c r="M3479" s="71">
        <f t="shared" ca="1" si="274"/>
        <v>4.9298679952518727</v>
      </c>
      <c r="N3479" s="65"/>
    </row>
    <row r="3480" spans="1:14" x14ac:dyDescent="0.25">
      <c r="A3480" s="2">
        <v>3474</v>
      </c>
      <c r="B3480" s="11">
        <f t="shared" ca="1" si="271"/>
        <v>1</v>
      </c>
      <c r="C3480" s="26">
        <f t="shared" ca="1" si="275"/>
        <v>9.8467784024491856E-4</v>
      </c>
      <c r="J3480">
        <f t="shared" ca="1" si="272"/>
        <v>1</v>
      </c>
      <c r="K3480">
        <f t="shared" ca="1" si="273"/>
        <v>0</v>
      </c>
      <c r="L3480" s="65">
        <v>3474</v>
      </c>
      <c r="M3480" s="71">
        <f t="shared" ca="1" si="274"/>
        <v>8.0225370271689744</v>
      </c>
      <c r="N3480" s="65"/>
    </row>
    <row r="3481" spans="1:14" x14ac:dyDescent="0.25">
      <c r="A3481" s="2">
        <v>3475</v>
      </c>
      <c r="B3481" s="11">
        <f t="shared" ca="1" si="271"/>
        <v>1</v>
      </c>
      <c r="C3481" s="26">
        <f t="shared" ca="1" si="275"/>
        <v>0.1009896916660612</v>
      </c>
      <c r="J3481">
        <f t="shared" ca="1" si="272"/>
        <v>1</v>
      </c>
      <c r="K3481">
        <f t="shared" ca="1" si="273"/>
        <v>0</v>
      </c>
      <c r="L3481" s="65">
        <v>3475</v>
      </c>
      <c r="M3481" s="71">
        <f t="shared" ca="1" si="274"/>
        <v>2.3758872835203335</v>
      </c>
      <c r="N3481" s="65"/>
    </row>
    <row r="3482" spans="1:14" x14ac:dyDescent="0.25">
      <c r="A3482" s="2">
        <v>3476</v>
      </c>
      <c r="B3482" s="11">
        <f t="shared" ca="1" si="271"/>
        <v>1</v>
      </c>
      <c r="C3482" s="26">
        <f t="shared" ca="1" si="275"/>
        <v>0.63012448821225076</v>
      </c>
      <c r="J3482">
        <f t="shared" ca="1" si="272"/>
        <v>1</v>
      </c>
      <c r="K3482">
        <f t="shared" ca="1" si="273"/>
        <v>0</v>
      </c>
      <c r="L3482" s="65">
        <v>3476</v>
      </c>
      <c r="M3482" s="71">
        <f t="shared" ca="1" si="274"/>
        <v>3.872823978780719</v>
      </c>
      <c r="N3482" s="65"/>
    </row>
    <row r="3483" spans="1:14" x14ac:dyDescent="0.25">
      <c r="A3483" s="2">
        <v>3477</v>
      </c>
      <c r="B3483" s="11">
        <f t="shared" ca="1" si="271"/>
        <v>1</v>
      </c>
      <c r="C3483" s="26">
        <f t="shared" ca="1" si="275"/>
        <v>0.34039492742873045</v>
      </c>
      <c r="J3483">
        <f t="shared" ca="1" si="272"/>
        <v>1</v>
      </c>
      <c r="K3483">
        <f t="shared" ca="1" si="273"/>
        <v>0</v>
      </c>
      <c r="L3483" s="65">
        <v>3477</v>
      </c>
      <c r="M3483" s="71">
        <f t="shared" ca="1" si="274"/>
        <v>15.238230426532391</v>
      </c>
      <c r="N3483" s="65"/>
    </row>
    <row r="3484" spans="1:14" x14ac:dyDescent="0.25">
      <c r="A3484" s="2">
        <v>3478</v>
      </c>
      <c r="B3484" s="11">
        <f t="shared" ca="1" si="271"/>
        <v>1</v>
      </c>
      <c r="C3484" s="26">
        <f t="shared" ca="1" si="275"/>
        <v>3.9858908163182827E-2</v>
      </c>
      <c r="J3484">
        <f t="shared" ca="1" si="272"/>
        <v>1</v>
      </c>
      <c r="K3484">
        <f t="shared" ca="1" si="273"/>
        <v>0</v>
      </c>
      <c r="L3484" s="65">
        <v>3478</v>
      </c>
      <c r="M3484" s="71">
        <f t="shared" ca="1" si="274"/>
        <v>3.3459423187946844</v>
      </c>
      <c r="N3484" s="65"/>
    </row>
    <row r="3485" spans="1:14" x14ac:dyDescent="0.25">
      <c r="A3485" s="2">
        <v>3479</v>
      </c>
      <c r="B3485" s="11">
        <f t="shared" ca="1" si="271"/>
        <v>1</v>
      </c>
      <c r="C3485" s="26">
        <f t="shared" ca="1" si="275"/>
        <v>0.35471931779645427</v>
      </c>
      <c r="J3485">
        <f t="shared" ca="1" si="272"/>
        <v>1</v>
      </c>
      <c r="K3485">
        <f t="shared" ca="1" si="273"/>
        <v>0</v>
      </c>
      <c r="L3485" s="65">
        <v>3479</v>
      </c>
      <c r="M3485" s="71">
        <f t="shared" ca="1" si="274"/>
        <v>0.93833955152871185</v>
      </c>
      <c r="N3485" s="65"/>
    </row>
    <row r="3486" spans="1:14" x14ac:dyDescent="0.25">
      <c r="A3486" s="2">
        <v>3480</v>
      </c>
      <c r="B3486" s="11">
        <f t="shared" ca="1" si="271"/>
        <v>1</v>
      </c>
      <c r="C3486" s="26">
        <f t="shared" ca="1" si="275"/>
        <v>2.2532533961698298E-2</v>
      </c>
      <c r="J3486">
        <f t="shared" ca="1" si="272"/>
        <v>1</v>
      </c>
      <c r="K3486">
        <f t="shared" ca="1" si="273"/>
        <v>0</v>
      </c>
      <c r="L3486" s="65">
        <v>3480</v>
      </c>
      <c r="M3486" s="71">
        <f t="shared" ca="1" si="274"/>
        <v>0.39962083755052041</v>
      </c>
      <c r="N3486" s="65"/>
    </row>
    <row r="3487" spans="1:14" x14ac:dyDescent="0.25">
      <c r="A3487" s="2">
        <v>3481</v>
      </c>
      <c r="B3487" s="11">
        <f t="shared" ca="1" si="271"/>
        <v>1</v>
      </c>
      <c r="C3487" s="26">
        <f t="shared" ca="1" si="275"/>
        <v>0.24708470807504479</v>
      </c>
      <c r="J3487">
        <f t="shared" ca="1" si="272"/>
        <v>1</v>
      </c>
      <c r="K3487">
        <f t="shared" ca="1" si="273"/>
        <v>0</v>
      </c>
      <c r="L3487" s="65">
        <v>3481</v>
      </c>
      <c r="M3487" s="71">
        <f t="shared" ca="1" si="274"/>
        <v>2.4292110529132094</v>
      </c>
      <c r="N3487" s="65"/>
    </row>
    <row r="3488" spans="1:14" x14ac:dyDescent="0.25">
      <c r="A3488" s="2">
        <v>3482</v>
      </c>
      <c r="B3488" s="11">
        <f t="shared" ca="1" si="271"/>
        <v>1</v>
      </c>
      <c r="C3488" s="26">
        <f t="shared" ca="1" si="275"/>
        <v>0.16221170664459938</v>
      </c>
      <c r="J3488">
        <f t="shared" ca="1" si="272"/>
        <v>1</v>
      </c>
      <c r="K3488">
        <f t="shared" ca="1" si="273"/>
        <v>0</v>
      </c>
      <c r="L3488" s="65">
        <v>3482</v>
      </c>
      <c r="M3488" s="71">
        <f t="shared" ca="1" si="274"/>
        <v>0.45361936379916001</v>
      </c>
      <c r="N3488" s="65"/>
    </row>
    <row r="3489" spans="1:14" x14ac:dyDescent="0.25">
      <c r="A3489" s="2">
        <v>3483</v>
      </c>
      <c r="B3489" s="11">
        <f t="shared" ca="1" si="271"/>
        <v>1</v>
      </c>
      <c r="C3489" s="26">
        <f t="shared" ca="1" si="275"/>
        <v>0.28574337481703638</v>
      </c>
      <c r="J3489">
        <f t="shared" ca="1" si="272"/>
        <v>1</v>
      </c>
      <c r="K3489">
        <f t="shared" ca="1" si="273"/>
        <v>0</v>
      </c>
      <c r="L3489" s="65">
        <v>3483</v>
      </c>
      <c r="M3489" s="71">
        <f t="shared" ca="1" si="274"/>
        <v>12.796794959859467</v>
      </c>
      <c r="N3489" s="65"/>
    </row>
    <row r="3490" spans="1:14" x14ac:dyDescent="0.25">
      <c r="A3490" s="2">
        <v>3484</v>
      </c>
      <c r="B3490" s="11">
        <f t="shared" ca="1" si="271"/>
        <v>1</v>
      </c>
      <c r="C3490" s="26">
        <f t="shared" ca="1" si="275"/>
        <v>0.61598600763241484</v>
      </c>
      <c r="J3490">
        <f t="shared" ca="1" si="272"/>
        <v>1</v>
      </c>
      <c r="K3490">
        <f t="shared" ca="1" si="273"/>
        <v>0</v>
      </c>
      <c r="L3490" s="65">
        <v>3484</v>
      </c>
      <c r="M3490" s="71">
        <f t="shared" ca="1" si="274"/>
        <v>3.4731817864099015</v>
      </c>
      <c r="N3490" s="65"/>
    </row>
    <row r="3491" spans="1:14" x14ac:dyDescent="0.25">
      <c r="A3491" s="2">
        <v>3485</v>
      </c>
      <c r="B3491" s="11">
        <f t="shared" ca="1" si="271"/>
        <v>1</v>
      </c>
      <c r="C3491" s="26">
        <f t="shared" ca="1" si="275"/>
        <v>0.67949096960633448</v>
      </c>
      <c r="J3491">
        <f t="shared" ca="1" si="272"/>
        <v>0</v>
      </c>
      <c r="K3491">
        <f t="shared" ca="1" si="273"/>
        <v>0</v>
      </c>
      <c r="L3491" s="65">
        <v>3485</v>
      </c>
      <c r="M3491" s="71">
        <f t="shared" ca="1" si="274"/>
        <v>5.4868633335302217</v>
      </c>
      <c r="N3491" s="65"/>
    </row>
    <row r="3492" spans="1:14" x14ac:dyDescent="0.25">
      <c r="A3492" s="2">
        <v>3486</v>
      </c>
      <c r="B3492" s="11">
        <f t="shared" ca="1" si="271"/>
        <v>0</v>
      </c>
      <c r="C3492" s="26">
        <f t="shared" ca="1" si="275"/>
        <v>0.92110889091016679</v>
      </c>
      <c r="J3492">
        <f t="shared" ca="1" si="272"/>
        <v>0</v>
      </c>
      <c r="K3492">
        <f t="shared" ca="1" si="273"/>
        <v>0</v>
      </c>
      <c r="L3492" s="65">
        <v>3486</v>
      </c>
      <c r="M3492" s="71">
        <f t="shared" ca="1" si="274"/>
        <v>0</v>
      </c>
      <c r="N3492" s="65"/>
    </row>
    <row r="3493" spans="1:14" x14ac:dyDescent="0.25">
      <c r="A3493" s="2">
        <v>3487</v>
      </c>
      <c r="B3493" s="11">
        <f t="shared" ca="1" si="271"/>
        <v>1</v>
      </c>
      <c r="C3493" s="26">
        <f t="shared" ca="1" si="275"/>
        <v>0.66535467116613412</v>
      </c>
      <c r="J3493">
        <f t="shared" ca="1" si="272"/>
        <v>1</v>
      </c>
      <c r="K3493">
        <f t="shared" ca="1" si="273"/>
        <v>0</v>
      </c>
      <c r="L3493" s="65">
        <v>3487</v>
      </c>
      <c r="M3493" s="71">
        <f t="shared" ca="1" si="274"/>
        <v>4.5240433930893147</v>
      </c>
      <c r="N3493" s="65"/>
    </row>
    <row r="3494" spans="1:14" x14ac:dyDescent="0.25">
      <c r="A3494" s="2">
        <v>3488</v>
      </c>
      <c r="B3494" s="11">
        <f t="shared" ca="1" si="271"/>
        <v>1</v>
      </c>
      <c r="C3494" s="26">
        <f t="shared" ca="1" si="275"/>
        <v>0.59966214276012175</v>
      </c>
      <c r="J3494">
        <f t="shared" ca="1" si="272"/>
        <v>1</v>
      </c>
      <c r="K3494">
        <f t="shared" ca="1" si="273"/>
        <v>0</v>
      </c>
      <c r="L3494" s="65">
        <v>3488</v>
      </c>
      <c r="M3494" s="71">
        <f t="shared" ca="1" si="274"/>
        <v>1.3305248764655635</v>
      </c>
      <c r="N3494" s="65"/>
    </row>
    <row r="3495" spans="1:14" x14ac:dyDescent="0.25">
      <c r="A3495" s="2">
        <v>3489</v>
      </c>
      <c r="B3495" s="11">
        <f t="shared" ca="1" si="271"/>
        <v>1</v>
      </c>
      <c r="C3495" s="26">
        <f t="shared" ca="1" si="275"/>
        <v>0.44775411221520378</v>
      </c>
      <c r="J3495">
        <f t="shared" ca="1" si="272"/>
        <v>1</v>
      </c>
      <c r="K3495">
        <f t="shared" ca="1" si="273"/>
        <v>0</v>
      </c>
      <c r="L3495" s="65">
        <v>3489</v>
      </c>
      <c r="M3495" s="71">
        <f t="shared" ca="1" si="274"/>
        <v>1.5350965934166918</v>
      </c>
      <c r="N3495" s="65"/>
    </row>
    <row r="3496" spans="1:14" x14ac:dyDescent="0.25">
      <c r="A3496" s="2">
        <v>3490</v>
      </c>
      <c r="B3496" s="11">
        <f t="shared" ca="1" si="271"/>
        <v>1</v>
      </c>
      <c r="C3496" s="26">
        <f t="shared" ca="1" si="275"/>
        <v>0.24953674016711591</v>
      </c>
      <c r="J3496">
        <f t="shared" ca="1" si="272"/>
        <v>1</v>
      </c>
      <c r="K3496">
        <f t="shared" ca="1" si="273"/>
        <v>0</v>
      </c>
      <c r="L3496" s="65">
        <v>3490</v>
      </c>
      <c r="M3496" s="71">
        <f t="shared" ca="1" si="274"/>
        <v>3.0737513172561557</v>
      </c>
      <c r="N3496" s="65"/>
    </row>
    <row r="3497" spans="1:14" x14ac:dyDescent="0.25">
      <c r="A3497" s="2">
        <v>3491</v>
      </c>
      <c r="B3497" s="11">
        <f t="shared" ca="1" si="271"/>
        <v>1</v>
      </c>
      <c r="C3497" s="26">
        <f t="shared" ca="1" si="275"/>
        <v>0.77877303365803463</v>
      </c>
      <c r="J3497">
        <f t="shared" ca="1" si="272"/>
        <v>1</v>
      </c>
      <c r="K3497">
        <f t="shared" ca="1" si="273"/>
        <v>0</v>
      </c>
      <c r="L3497" s="65">
        <v>3491</v>
      </c>
      <c r="M3497" s="71">
        <f t="shared" ca="1" si="274"/>
        <v>0.94969395163645542</v>
      </c>
      <c r="N3497" s="65"/>
    </row>
    <row r="3498" spans="1:14" x14ac:dyDescent="0.25">
      <c r="A3498" s="2">
        <v>3492</v>
      </c>
      <c r="B3498" s="11">
        <f t="shared" ca="1" si="271"/>
        <v>1</v>
      </c>
      <c r="C3498" s="26">
        <f t="shared" ca="1" si="275"/>
        <v>0.36948633525213748</v>
      </c>
      <c r="J3498">
        <f t="shared" ca="1" si="272"/>
        <v>1</v>
      </c>
      <c r="K3498">
        <f t="shared" ca="1" si="273"/>
        <v>0</v>
      </c>
      <c r="L3498" s="65">
        <v>3492</v>
      </c>
      <c r="M3498" s="71">
        <f t="shared" ca="1" si="274"/>
        <v>10.622402900247232</v>
      </c>
      <c r="N3498" s="65"/>
    </row>
    <row r="3499" spans="1:14" x14ac:dyDescent="0.25">
      <c r="A3499" s="2">
        <v>3493</v>
      </c>
      <c r="B3499" s="11">
        <f t="shared" ca="1" si="271"/>
        <v>1</v>
      </c>
      <c r="C3499" s="26">
        <f t="shared" ca="1" si="275"/>
        <v>0.49952584681594658</v>
      </c>
      <c r="J3499">
        <f t="shared" ca="1" si="272"/>
        <v>1</v>
      </c>
      <c r="K3499">
        <f t="shared" ca="1" si="273"/>
        <v>0</v>
      </c>
      <c r="L3499" s="65">
        <v>3493</v>
      </c>
      <c r="M3499" s="71">
        <f t="shared" ca="1" si="274"/>
        <v>1.957377669537238</v>
      </c>
      <c r="N3499" s="65"/>
    </row>
    <row r="3500" spans="1:14" x14ac:dyDescent="0.25">
      <c r="A3500" s="2">
        <v>3494</v>
      </c>
      <c r="B3500" s="11">
        <f t="shared" ca="1" si="271"/>
        <v>1</v>
      </c>
      <c r="C3500" s="26">
        <f t="shared" ca="1" si="275"/>
        <v>0.35927902931668398</v>
      </c>
      <c r="J3500">
        <f t="shared" ca="1" si="272"/>
        <v>1</v>
      </c>
      <c r="K3500">
        <f t="shared" ca="1" si="273"/>
        <v>0</v>
      </c>
      <c r="L3500" s="65">
        <v>3494</v>
      </c>
      <c r="M3500" s="71">
        <f t="shared" ca="1" si="274"/>
        <v>14.356960955954182</v>
      </c>
      <c r="N3500" s="65"/>
    </row>
    <row r="3501" spans="1:14" x14ac:dyDescent="0.25">
      <c r="A3501" s="2">
        <v>3495</v>
      </c>
      <c r="B3501" s="11">
        <f t="shared" ca="1" si="271"/>
        <v>1</v>
      </c>
      <c r="C3501" s="26">
        <f t="shared" ca="1" si="275"/>
        <v>0.79691051959833004</v>
      </c>
      <c r="J3501">
        <f t="shared" ca="1" si="272"/>
        <v>1</v>
      </c>
      <c r="K3501">
        <f t="shared" ca="1" si="273"/>
        <v>0</v>
      </c>
      <c r="L3501" s="65">
        <v>3495</v>
      </c>
      <c r="M3501" s="71">
        <f t="shared" ca="1" si="274"/>
        <v>4.4058277424222734</v>
      </c>
      <c r="N3501" s="65"/>
    </row>
    <row r="3502" spans="1:14" x14ac:dyDescent="0.25">
      <c r="A3502" s="2">
        <v>3496</v>
      </c>
      <c r="B3502" s="11">
        <f t="shared" ca="1" si="271"/>
        <v>1</v>
      </c>
      <c r="C3502" s="26">
        <f t="shared" ca="1" si="275"/>
        <v>0.54535381540892258</v>
      </c>
      <c r="J3502">
        <f t="shared" ca="1" si="272"/>
        <v>1</v>
      </c>
      <c r="K3502">
        <f t="shared" ca="1" si="273"/>
        <v>0</v>
      </c>
      <c r="L3502" s="65">
        <v>3496</v>
      </c>
      <c r="M3502" s="71">
        <f t="shared" ca="1" si="274"/>
        <v>0.64748042686290774</v>
      </c>
      <c r="N3502" s="65"/>
    </row>
    <row r="3503" spans="1:14" x14ac:dyDescent="0.25">
      <c r="A3503" s="2">
        <v>3497</v>
      </c>
      <c r="B3503" s="11">
        <f t="shared" ref="B3503:B3566" ca="1" si="276">IF(B3502&gt;0,IF(C3503&lt;pww,1,0),IF(C3503&lt;pdw,1,0))</f>
        <v>1</v>
      </c>
      <c r="C3503" s="26">
        <f t="shared" ca="1" si="275"/>
        <v>0.59097190787960807</v>
      </c>
      <c r="J3503">
        <f t="shared" ref="J3503:J3566" ca="1" si="277">IF(AND(B3503,B3504),1,0)</f>
        <v>1</v>
      </c>
      <c r="K3503">
        <f t="shared" ref="K3503:K3566" ca="1" si="278">IF(AND(NOT(B3503),NOT(B3504)),1,0)</f>
        <v>0</v>
      </c>
      <c r="L3503" s="65">
        <v>3497</v>
      </c>
      <c r="M3503" s="71">
        <f t="shared" ca="1" si="274"/>
        <v>14.389088460174502</v>
      </c>
      <c r="N3503" s="65"/>
    </row>
    <row r="3504" spans="1:14" x14ac:dyDescent="0.25">
      <c r="A3504" s="2">
        <v>3498</v>
      </c>
      <c r="B3504" s="11">
        <f t="shared" ca="1" si="276"/>
        <v>1</v>
      </c>
      <c r="C3504" s="26">
        <f t="shared" ca="1" si="275"/>
        <v>8.1255971114434278E-2</v>
      </c>
      <c r="J3504">
        <f t="shared" ca="1" si="277"/>
        <v>1</v>
      </c>
      <c r="K3504">
        <f t="shared" ca="1" si="278"/>
        <v>0</v>
      </c>
      <c r="L3504" s="65">
        <v>3498</v>
      </c>
      <c r="M3504" s="71">
        <f t="shared" ca="1" si="274"/>
        <v>1.7726116296819132</v>
      </c>
      <c r="N3504" s="65"/>
    </row>
    <row r="3505" spans="1:14" x14ac:dyDescent="0.25">
      <c r="A3505" s="2">
        <v>3499</v>
      </c>
      <c r="B3505" s="11">
        <f t="shared" ca="1" si="276"/>
        <v>1</v>
      </c>
      <c r="C3505" s="26">
        <f t="shared" ca="1" si="275"/>
        <v>0.38663683048425057</v>
      </c>
      <c r="J3505">
        <f t="shared" ca="1" si="277"/>
        <v>1</v>
      </c>
      <c r="K3505">
        <f t="shared" ca="1" si="278"/>
        <v>0</v>
      </c>
      <c r="L3505" s="65">
        <v>3499</v>
      </c>
      <c r="M3505" s="71">
        <f t="shared" ca="1" si="274"/>
        <v>0.61615063950922933</v>
      </c>
      <c r="N3505" s="65"/>
    </row>
    <row r="3506" spans="1:14" x14ac:dyDescent="0.25">
      <c r="A3506" s="2">
        <v>3500</v>
      </c>
      <c r="B3506" s="11">
        <f t="shared" ca="1" si="276"/>
        <v>1</v>
      </c>
      <c r="C3506" s="26">
        <f t="shared" ca="1" si="275"/>
        <v>0.69402486285157405</v>
      </c>
      <c r="J3506">
        <f t="shared" ca="1" si="277"/>
        <v>1</v>
      </c>
      <c r="K3506">
        <f t="shared" ca="1" si="278"/>
        <v>0</v>
      </c>
      <c r="L3506" s="65">
        <v>3500</v>
      </c>
      <c r="M3506" s="71">
        <f t="shared" ca="1" si="274"/>
        <v>1.0968940617660692</v>
      </c>
      <c r="N3506" s="65"/>
    </row>
    <row r="3507" spans="1:14" x14ac:dyDescent="0.25">
      <c r="A3507" s="2">
        <v>3501</v>
      </c>
      <c r="B3507" s="11">
        <f t="shared" ca="1" si="276"/>
        <v>1</v>
      </c>
      <c r="C3507" s="26">
        <f t="shared" ca="1" si="275"/>
        <v>0.24152752868086291</v>
      </c>
      <c r="J3507">
        <f t="shared" ca="1" si="277"/>
        <v>0</v>
      </c>
      <c r="K3507">
        <f t="shared" ca="1" si="278"/>
        <v>0</v>
      </c>
      <c r="L3507" s="65">
        <v>3501</v>
      </c>
      <c r="M3507" s="71">
        <f t="shared" ca="1" si="274"/>
        <v>24.827843171584689</v>
      </c>
      <c r="N3507" s="65"/>
    </row>
    <row r="3508" spans="1:14" x14ac:dyDescent="0.25">
      <c r="A3508" s="2">
        <v>3502</v>
      </c>
      <c r="B3508" s="11">
        <f t="shared" ca="1" si="276"/>
        <v>0</v>
      </c>
      <c r="C3508" s="26">
        <f t="shared" ca="1" si="275"/>
        <v>0.90957916727328436</v>
      </c>
      <c r="J3508">
        <f t="shared" ca="1" si="277"/>
        <v>0</v>
      </c>
      <c r="K3508">
        <f t="shared" ca="1" si="278"/>
        <v>0</v>
      </c>
      <c r="L3508" s="65">
        <v>3502</v>
      </c>
      <c r="M3508" s="71">
        <f t="shared" ca="1" si="274"/>
        <v>0</v>
      </c>
      <c r="N3508" s="65"/>
    </row>
    <row r="3509" spans="1:14" x14ac:dyDescent="0.25">
      <c r="A3509" s="2">
        <v>3503</v>
      </c>
      <c r="B3509" s="11">
        <f t="shared" ca="1" si="276"/>
        <v>1</v>
      </c>
      <c r="C3509" s="26">
        <f t="shared" ca="1" si="275"/>
        <v>0.42019101277347382</v>
      </c>
      <c r="J3509">
        <f t="shared" ca="1" si="277"/>
        <v>1</v>
      </c>
      <c r="K3509">
        <f t="shared" ca="1" si="278"/>
        <v>0</v>
      </c>
      <c r="L3509" s="65">
        <v>3503</v>
      </c>
      <c r="M3509" s="71">
        <f t="shared" ca="1" si="274"/>
        <v>2.9238844916247784</v>
      </c>
      <c r="N3509" s="65"/>
    </row>
    <row r="3510" spans="1:14" x14ac:dyDescent="0.25">
      <c r="A3510" s="2">
        <v>3504</v>
      </c>
      <c r="B3510" s="11">
        <f t="shared" ca="1" si="276"/>
        <v>1</v>
      </c>
      <c r="C3510" s="26">
        <f t="shared" ca="1" si="275"/>
        <v>0.67997026622848145</v>
      </c>
      <c r="J3510">
        <f t="shared" ca="1" si="277"/>
        <v>1</v>
      </c>
      <c r="K3510">
        <f t="shared" ca="1" si="278"/>
        <v>0</v>
      </c>
      <c r="L3510" s="65">
        <v>3504</v>
      </c>
      <c r="M3510" s="71">
        <f t="shared" ca="1" si="274"/>
        <v>1.1670121526912098</v>
      </c>
      <c r="N3510" s="65"/>
    </row>
    <row r="3511" spans="1:14" x14ac:dyDescent="0.25">
      <c r="A3511" s="2">
        <v>3505</v>
      </c>
      <c r="B3511" s="11">
        <f t="shared" ca="1" si="276"/>
        <v>1</v>
      </c>
      <c r="C3511" s="26">
        <f t="shared" ca="1" si="275"/>
        <v>0.77160287973573405</v>
      </c>
      <c r="J3511">
        <f t="shared" ca="1" si="277"/>
        <v>1</v>
      </c>
      <c r="K3511">
        <f t="shared" ca="1" si="278"/>
        <v>0</v>
      </c>
      <c r="L3511" s="65">
        <v>3505</v>
      </c>
      <c r="M3511" s="71">
        <f t="shared" ca="1" si="274"/>
        <v>3.598105969911368</v>
      </c>
      <c r="N3511" s="65"/>
    </row>
    <row r="3512" spans="1:14" x14ac:dyDescent="0.25">
      <c r="A3512" s="2">
        <v>3506</v>
      </c>
      <c r="B3512" s="11">
        <f t="shared" ca="1" si="276"/>
        <v>1</v>
      </c>
      <c r="C3512" s="26">
        <f t="shared" ca="1" si="275"/>
        <v>0.58321728845739451</v>
      </c>
      <c r="J3512">
        <f t="shared" ca="1" si="277"/>
        <v>1</v>
      </c>
      <c r="K3512">
        <f t="shared" ca="1" si="278"/>
        <v>0</v>
      </c>
      <c r="L3512" s="65">
        <v>3506</v>
      </c>
      <c r="M3512" s="71">
        <f t="shared" ca="1" si="274"/>
        <v>3.9695402556198154</v>
      </c>
      <c r="N3512" s="65"/>
    </row>
    <row r="3513" spans="1:14" x14ac:dyDescent="0.25">
      <c r="A3513" s="2">
        <v>3507</v>
      </c>
      <c r="B3513" s="11">
        <f t="shared" ca="1" si="276"/>
        <v>1</v>
      </c>
      <c r="C3513" s="26">
        <f t="shared" ca="1" si="275"/>
        <v>0.51457604609719643</v>
      </c>
      <c r="J3513">
        <f t="shared" ca="1" si="277"/>
        <v>1</v>
      </c>
      <c r="K3513">
        <f t="shared" ca="1" si="278"/>
        <v>0</v>
      </c>
      <c r="L3513" s="65">
        <v>3507</v>
      </c>
      <c r="M3513" s="71">
        <f t="shared" ca="1" si="274"/>
        <v>12.429649522789214</v>
      </c>
      <c r="N3513" s="65"/>
    </row>
    <row r="3514" spans="1:14" x14ac:dyDescent="0.25">
      <c r="A3514" s="2">
        <v>3508</v>
      </c>
      <c r="B3514" s="11">
        <f t="shared" ca="1" si="276"/>
        <v>1</v>
      </c>
      <c r="C3514" s="26">
        <f t="shared" ca="1" si="275"/>
        <v>0.47479979840386599</v>
      </c>
      <c r="J3514">
        <f t="shared" ca="1" si="277"/>
        <v>1</v>
      </c>
      <c r="K3514">
        <f t="shared" ca="1" si="278"/>
        <v>0</v>
      </c>
      <c r="L3514" s="65">
        <v>3508</v>
      </c>
      <c r="M3514" s="71">
        <f t="shared" ca="1" si="274"/>
        <v>4.4473266813838483</v>
      </c>
      <c r="N3514" s="65"/>
    </row>
    <row r="3515" spans="1:14" x14ac:dyDescent="0.25">
      <c r="A3515" s="2">
        <v>3509</v>
      </c>
      <c r="B3515" s="11">
        <f t="shared" ca="1" si="276"/>
        <v>1</v>
      </c>
      <c r="C3515" s="26">
        <f t="shared" ca="1" si="275"/>
        <v>0.69262948659578338</v>
      </c>
      <c r="J3515">
        <f t="shared" ca="1" si="277"/>
        <v>1</v>
      </c>
      <c r="K3515">
        <f t="shared" ca="1" si="278"/>
        <v>0</v>
      </c>
      <c r="L3515" s="65">
        <v>3509</v>
      </c>
      <c r="M3515" s="71">
        <f t="shared" ca="1" si="274"/>
        <v>2.2224809114191144</v>
      </c>
      <c r="N3515" s="65"/>
    </row>
    <row r="3516" spans="1:14" x14ac:dyDescent="0.25">
      <c r="A3516" s="2">
        <v>3510</v>
      </c>
      <c r="B3516" s="11">
        <f t="shared" ca="1" si="276"/>
        <v>1</v>
      </c>
      <c r="C3516" s="26">
        <f t="shared" ca="1" si="275"/>
        <v>1.3820515973602787E-2</v>
      </c>
      <c r="J3516">
        <f t="shared" ca="1" si="277"/>
        <v>1</v>
      </c>
      <c r="K3516">
        <f t="shared" ca="1" si="278"/>
        <v>0</v>
      </c>
      <c r="L3516" s="65">
        <v>3510</v>
      </c>
      <c r="M3516" s="71">
        <f t="shared" ca="1" si="274"/>
        <v>7.2912767850644086E-2</v>
      </c>
      <c r="N3516" s="65"/>
    </row>
    <row r="3517" spans="1:14" x14ac:dyDescent="0.25">
      <c r="A3517" s="2">
        <v>3511</v>
      </c>
      <c r="B3517" s="11">
        <f t="shared" ca="1" si="276"/>
        <v>1</v>
      </c>
      <c r="C3517" s="26">
        <f t="shared" ca="1" si="275"/>
        <v>0.29524059299982153</v>
      </c>
      <c r="J3517">
        <f t="shared" ca="1" si="277"/>
        <v>1</v>
      </c>
      <c r="K3517">
        <f t="shared" ca="1" si="278"/>
        <v>0</v>
      </c>
      <c r="L3517" s="65">
        <v>3511</v>
      </c>
      <c r="M3517" s="71">
        <f t="shared" ca="1" si="274"/>
        <v>2.5154588053835281</v>
      </c>
      <c r="N3517" s="65"/>
    </row>
    <row r="3518" spans="1:14" x14ac:dyDescent="0.25">
      <c r="A3518" s="2">
        <v>3512</v>
      </c>
      <c r="B3518" s="11">
        <f t="shared" ca="1" si="276"/>
        <v>1</v>
      </c>
      <c r="C3518" s="26">
        <f t="shared" ca="1" si="275"/>
        <v>0.34159297424119972</v>
      </c>
      <c r="J3518">
        <f t="shared" ca="1" si="277"/>
        <v>1</v>
      </c>
      <c r="K3518">
        <f t="shared" ca="1" si="278"/>
        <v>0</v>
      </c>
      <c r="L3518" s="65">
        <v>3512</v>
      </c>
      <c r="M3518" s="71">
        <f t="shared" ca="1" si="274"/>
        <v>19.706527452277285</v>
      </c>
      <c r="N3518" s="65"/>
    </row>
    <row r="3519" spans="1:14" x14ac:dyDescent="0.25">
      <c r="A3519" s="2">
        <v>3513</v>
      </c>
      <c r="B3519" s="11">
        <f t="shared" ca="1" si="276"/>
        <v>1</v>
      </c>
      <c r="C3519" s="26">
        <f t="shared" ca="1" si="275"/>
        <v>0.10308705953256059</v>
      </c>
      <c r="J3519">
        <f t="shared" ca="1" si="277"/>
        <v>1</v>
      </c>
      <c r="K3519">
        <f t="shared" ca="1" si="278"/>
        <v>0</v>
      </c>
      <c r="L3519" s="65">
        <v>3513</v>
      </c>
      <c r="M3519" s="71">
        <f t="shared" ca="1" si="274"/>
        <v>2.7838536452233131</v>
      </c>
      <c r="N3519" s="65"/>
    </row>
    <row r="3520" spans="1:14" x14ac:dyDescent="0.25">
      <c r="A3520" s="2">
        <v>3514</v>
      </c>
      <c r="B3520" s="11">
        <f t="shared" ca="1" si="276"/>
        <v>1</v>
      </c>
      <c r="C3520" s="26">
        <f t="shared" ca="1" si="275"/>
        <v>3.1452542739057288E-2</v>
      </c>
      <c r="J3520">
        <f t="shared" ca="1" si="277"/>
        <v>1</v>
      </c>
      <c r="K3520">
        <f t="shared" ca="1" si="278"/>
        <v>0</v>
      </c>
      <c r="L3520" s="65">
        <v>3514</v>
      </c>
      <c r="M3520" s="71">
        <f t="shared" ca="1" si="274"/>
        <v>6.6032628007605352</v>
      </c>
      <c r="N3520" s="65"/>
    </row>
    <row r="3521" spans="1:14" x14ac:dyDescent="0.25">
      <c r="A3521" s="2">
        <v>3515</v>
      </c>
      <c r="B3521" s="11">
        <f t="shared" ca="1" si="276"/>
        <v>1</v>
      </c>
      <c r="C3521" s="26">
        <f t="shared" ca="1" si="275"/>
        <v>0.13593775426864496</v>
      </c>
      <c r="J3521">
        <f t="shared" ca="1" si="277"/>
        <v>1</v>
      </c>
      <c r="K3521">
        <f t="shared" ca="1" si="278"/>
        <v>0</v>
      </c>
      <c r="L3521" s="65">
        <v>3515</v>
      </c>
      <c r="M3521" s="71">
        <f t="shared" ca="1" si="274"/>
        <v>9.8448017445049898E-2</v>
      </c>
      <c r="N3521" s="65"/>
    </row>
    <row r="3522" spans="1:14" x14ac:dyDescent="0.25">
      <c r="A3522" s="2">
        <v>3516</v>
      </c>
      <c r="B3522" s="11">
        <f t="shared" ca="1" si="276"/>
        <v>1</v>
      </c>
      <c r="C3522" s="26">
        <f t="shared" ca="1" si="275"/>
        <v>0.52244856096260772</v>
      </c>
      <c r="J3522">
        <f t="shared" ca="1" si="277"/>
        <v>1</v>
      </c>
      <c r="K3522">
        <f t="shared" ca="1" si="278"/>
        <v>0</v>
      </c>
      <c r="L3522" s="65">
        <v>3516</v>
      </c>
      <c r="M3522" s="71">
        <f t="shared" ca="1" si="274"/>
        <v>4.0531761123807186</v>
      </c>
      <c r="N3522" s="65"/>
    </row>
    <row r="3523" spans="1:14" x14ac:dyDescent="0.25">
      <c r="A3523" s="2">
        <v>3517</v>
      </c>
      <c r="B3523" s="11">
        <f t="shared" ca="1" si="276"/>
        <v>1</v>
      </c>
      <c r="C3523" s="26">
        <f t="shared" ca="1" si="275"/>
        <v>0.15049140065715627</v>
      </c>
      <c r="J3523">
        <f t="shared" ca="1" si="277"/>
        <v>0</v>
      </c>
      <c r="K3523">
        <f t="shared" ca="1" si="278"/>
        <v>0</v>
      </c>
      <c r="L3523" s="65">
        <v>3517</v>
      </c>
      <c r="M3523" s="71">
        <f t="shared" ca="1" si="274"/>
        <v>3.4544020328873986</v>
      </c>
      <c r="N3523" s="65"/>
    </row>
    <row r="3524" spans="1:14" x14ac:dyDescent="0.25">
      <c r="A3524" s="2">
        <v>3518</v>
      </c>
      <c r="B3524" s="11">
        <f t="shared" ca="1" si="276"/>
        <v>0</v>
      </c>
      <c r="C3524" s="26">
        <f t="shared" ca="1" si="275"/>
        <v>0.81556236166728213</v>
      </c>
      <c r="J3524">
        <f t="shared" ca="1" si="277"/>
        <v>0</v>
      </c>
      <c r="K3524">
        <f t="shared" ca="1" si="278"/>
        <v>0</v>
      </c>
      <c r="L3524" s="65">
        <v>3518</v>
      </c>
      <c r="M3524" s="71">
        <f t="shared" ca="1" si="274"/>
        <v>0</v>
      </c>
      <c r="N3524" s="65"/>
    </row>
    <row r="3525" spans="1:14" x14ac:dyDescent="0.25">
      <c r="A3525" s="2">
        <v>3519</v>
      </c>
      <c r="B3525" s="11">
        <f t="shared" ca="1" si="276"/>
        <v>1</v>
      </c>
      <c r="C3525" s="26">
        <f t="shared" ca="1" si="275"/>
        <v>0.69052639154255124</v>
      </c>
      <c r="J3525">
        <f t="shared" ca="1" si="277"/>
        <v>1</v>
      </c>
      <c r="K3525">
        <f t="shared" ca="1" si="278"/>
        <v>0</v>
      </c>
      <c r="L3525" s="65">
        <v>3519</v>
      </c>
      <c r="M3525" s="71">
        <f t="shared" ca="1" si="274"/>
        <v>7.8145807992581249</v>
      </c>
      <c r="N3525" s="65"/>
    </row>
    <row r="3526" spans="1:14" x14ac:dyDescent="0.25">
      <c r="A3526" s="2">
        <v>3520</v>
      </c>
      <c r="B3526" s="11">
        <f t="shared" ca="1" si="276"/>
        <v>1</v>
      </c>
      <c r="C3526" s="26">
        <f t="shared" ca="1" si="275"/>
        <v>0.55626920574342587</v>
      </c>
      <c r="J3526">
        <f t="shared" ca="1" si="277"/>
        <v>1</v>
      </c>
      <c r="K3526">
        <f t="shared" ca="1" si="278"/>
        <v>0</v>
      </c>
      <c r="L3526" s="65">
        <v>3520</v>
      </c>
      <c r="M3526" s="71">
        <f t="shared" ca="1" si="274"/>
        <v>2.9629484993978021</v>
      </c>
      <c r="N3526" s="65"/>
    </row>
    <row r="3527" spans="1:14" x14ac:dyDescent="0.25">
      <c r="A3527" s="2">
        <v>3521</v>
      </c>
      <c r="B3527" s="11">
        <f t="shared" ca="1" si="276"/>
        <v>1</v>
      </c>
      <c r="C3527" s="26">
        <f t="shared" ca="1" si="275"/>
        <v>0.58556305900414585</v>
      </c>
      <c r="J3527">
        <f t="shared" ca="1" si="277"/>
        <v>1</v>
      </c>
      <c r="K3527">
        <f t="shared" ca="1" si="278"/>
        <v>0</v>
      </c>
      <c r="L3527" s="65">
        <v>3521</v>
      </c>
      <c r="M3527" s="71">
        <f t="shared" ref="M3527:M3590" ca="1" si="279">IF(B3527&gt;0,-LN(1-(RAND()))/lambda,0)</f>
        <v>5.6350239902545249</v>
      </c>
      <c r="N3527" s="65"/>
    </row>
    <row r="3528" spans="1:14" x14ac:dyDescent="0.25">
      <c r="A3528" s="2">
        <v>3522</v>
      </c>
      <c r="B3528" s="11">
        <f t="shared" ca="1" si="276"/>
        <v>1</v>
      </c>
      <c r="C3528" s="26">
        <f t="shared" ref="C3528:C3591" ca="1" si="280">RAND()</f>
        <v>7.0952145119478227E-2</v>
      </c>
      <c r="J3528">
        <f t="shared" ca="1" si="277"/>
        <v>1</v>
      </c>
      <c r="K3528">
        <f t="shared" ca="1" si="278"/>
        <v>0</v>
      </c>
      <c r="L3528" s="65">
        <v>3522</v>
      </c>
      <c r="M3528" s="71">
        <f t="shared" ca="1" si="279"/>
        <v>0.36712465594418098</v>
      </c>
      <c r="N3528" s="65"/>
    </row>
    <row r="3529" spans="1:14" x14ac:dyDescent="0.25">
      <c r="A3529" s="2">
        <v>3523</v>
      </c>
      <c r="B3529" s="11">
        <f t="shared" ca="1" si="276"/>
        <v>1</v>
      </c>
      <c r="C3529" s="26">
        <f t="shared" ca="1" si="280"/>
        <v>0.29818428683747122</v>
      </c>
      <c r="J3529">
        <f t="shared" ca="1" si="277"/>
        <v>0</v>
      </c>
      <c r="K3529">
        <f t="shared" ca="1" si="278"/>
        <v>0</v>
      </c>
      <c r="L3529" s="65">
        <v>3523</v>
      </c>
      <c r="M3529" s="71">
        <f t="shared" ca="1" si="279"/>
        <v>6.9647787847371738</v>
      </c>
      <c r="N3529" s="65"/>
    </row>
    <row r="3530" spans="1:14" x14ac:dyDescent="0.25">
      <c r="A3530" s="2">
        <v>3524</v>
      </c>
      <c r="B3530" s="11">
        <f t="shared" ca="1" si="276"/>
        <v>0</v>
      </c>
      <c r="C3530" s="26">
        <f t="shared" ca="1" si="280"/>
        <v>0.84324115956484869</v>
      </c>
      <c r="J3530">
        <f t="shared" ca="1" si="277"/>
        <v>0</v>
      </c>
      <c r="K3530">
        <f t="shared" ca="1" si="278"/>
        <v>0</v>
      </c>
      <c r="L3530" s="65">
        <v>3524</v>
      </c>
      <c r="M3530" s="71">
        <f t="shared" ca="1" si="279"/>
        <v>0</v>
      </c>
      <c r="N3530" s="65"/>
    </row>
    <row r="3531" spans="1:14" x14ac:dyDescent="0.25">
      <c r="A3531" s="2">
        <v>3525</v>
      </c>
      <c r="B3531" s="11">
        <f t="shared" ca="1" si="276"/>
        <v>1</v>
      </c>
      <c r="C3531" s="26">
        <f t="shared" ca="1" si="280"/>
        <v>0.23575412795918915</v>
      </c>
      <c r="J3531">
        <f t="shared" ca="1" si="277"/>
        <v>1</v>
      </c>
      <c r="K3531">
        <f t="shared" ca="1" si="278"/>
        <v>0</v>
      </c>
      <c r="L3531" s="65">
        <v>3525</v>
      </c>
      <c r="M3531" s="71">
        <f t="shared" ca="1" si="279"/>
        <v>6.714058499600446</v>
      </c>
      <c r="N3531" s="65"/>
    </row>
    <row r="3532" spans="1:14" x14ac:dyDescent="0.25">
      <c r="A3532" s="2">
        <v>3526</v>
      </c>
      <c r="B3532" s="11">
        <f t="shared" ca="1" si="276"/>
        <v>1</v>
      </c>
      <c r="C3532" s="26">
        <f t="shared" ca="1" si="280"/>
        <v>0.48652940268508971</v>
      </c>
      <c r="J3532">
        <f t="shared" ca="1" si="277"/>
        <v>1</v>
      </c>
      <c r="K3532">
        <f t="shared" ca="1" si="278"/>
        <v>0</v>
      </c>
      <c r="L3532" s="65">
        <v>3526</v>
      </c>
      <c r="M3532" s="71">
        <f t="shared" ca="1" si="279"/>
        <v>6.3905811843999691</v>
      </c>
      <c r="N3532" s="65"/>
    </row>
    <row r="3533" spans="1:14" x14ac:dyDescent="0.25">
      <c r="A3533" s="2">
        <v>3527</v>
      </c>
      <c r="B3533" s="11">
        <f t="shared" ca="1" si="276"/>
        <v>1</v>
      </c>
      <c r="C3533" s="26">
        <f t="shared" ca="1" si="280"/>
        <v>0.77841354657062323</v>
      </c>
      <c r="J3533">
        <f t="shared" ca="1" si="277"/>
        <v>0</v>
      </c>
      <c r="K3533">
        <f t="shared" ca="1" si="278"/>
        <v>0</v>
      </c>
      <c r="L3533" s="65">
        <v>3527</v>
      </c>
      <c r="M3533" s="71">
        <f t="shared" ca="1" si="279"/>
        <v>8.4142543929753</v>
      </c>
      <c r="N3533" s="65"/>
    </row>
    <row r="3534" spans="1:14" x14ac:dyDescent="0.25">
      <c r="A3534" s="2">
        <v>3528</v>
      </c>
      <c r="B3534" s="11">
        <f t="shared" ca="1" si="276"/>
        <v>0</v>
      </c>
      <c r="C3534" s="26">
        <f t="shared" ca="1" si="280"/>
        <v>0.83839309915614169</v>
      </c>
      <c r="J3534">
        <f t="shared" ca="1" si="277"/>
        <v>0</v>
      </c>
      <c r="K3534">
        <f t="shared" ca="1" si="278"/>
        <v>0</v>
      </c>
      <c r="L3534" s="65">
        <v>3528</v>
      </c>
      <c r="M3534" s="71">
        <f t="shared" ca="1" si="279"/>
        <v>0</v>
      </c>
      <c r="N3534" s="65"/>
    </row>
    <row r="3535" spans="1:14" x14ac:dyDescent="0.25">
      <c r="A3535" s="2">
        <v>3529</v>
      </c>
      <c r="B3535" s="11">
        <f t="shared" ca="1" si="276"/>
        <v>1</v>
      </c>
      <c r="C3535" s="26">
        <f t="shared" ca="1" si="280"/>
        <v>0.20765436210762467</v>
      </c>
      <c r="J3535">
        <f t="shared" ca="1" si="277"/>
        <v>1</v>
      </c>
      <c r="K3535">
        <f t="shared" ca="1" si="278"/>
        <v>0</v>
      </c>
      <c r="L3535" s="65">
        <v>3529</v>
      </c>
      <c r="M3535" s="71">
        <f t="shared" ca="1" si="279"/>
        <v>8.5818950543376502</v>
      </c>
      <c r="N3535" s="65"/>
    </row>
    <row r="3536" spans="1:14" x14ac:dyDescent="0.25">
      <c r="A3536" s="2">
        <v>3530</v>
      </c>
      <c r="B3536" s="11">
        <f t="shared" ca="1" si="276"/>
        <v>1</v>
      </c>
      <c r="C3536" s="26">
        <f t="shared" ca="1" si="280"/>
        <v>0.11727656722742485</v>
      </c>
      <c r="J3536">
        <f t="shared" ca="1" si="277"/>
        <v>1</v>
      </c>
      <c r="K3536">
        <f t="shared" ca="1" si="278"/>
        <v>0</v>
      </c>
      <c r="L3536" s="65">
        <v>3530</v>
      </c>
      <c r="M3536" s="71">
        <f t="shared" ca="1" si="279"/>
        <v>8.3770049670285864</v>
      </c>
      <c r="N3536" s="65"/>
    </row>
    <row r="3537" spans="1:14" x14ac:dyDescent="0.25">
      <c r="A3537" s="2">
        <v>3531</v>
      </c>
      <c r="B3537" s="11">
        <f t="shared" ca="1" si="276"/>
        <v>1</v>
      </c>
      <c r="C3537" s="26">
        <f t="shared" ca="1" si="280"/>
        <v>0.34172594056008576</v>
      </c>
      <c r="J3537">
        <f t="shared" ca="1" si="277"/>
        <v>1</v>
      </c>
      <c r="K3537">
        <f t="shared" ca="1" si="278"/>
        <v>0</v>
      </c>
      <c r="L3537" s="65">
        <v>3531</v>
      </c>
      <c r="M3537" s="71">
        <f t="shared" ca="1" si="279"/>
        <v>2.640727845342504</v>
      </c>
      <c r="N3537" s="65"/>
    </row>
    <row r="3538" spans="1:14" x14ac:dyDescent="0.25">
      <c r="A3538" s="2">
        <v>3532</v>
      </c>
      <c r="B3538" s="11">
        <f t="shared" ca="1" si="276"/>
        <v>1</v>
      </c>
      <c r="C3538" s="26">
        <f t="shared" ca="1" si="280"/>
        <v>0.73560629975616643</v>
      </c>
      <c r="J3538">
        <f t="shared" ca="1" si="277"/>
        <v>0</v>
      </c>
      <c r="K3538">
        <f t="shared" ca="1" si="278"/>
        <v>0</v>
      </c>
      <c r="L3538" s="65">
        <v>3532</v>
      </c>
      <c r="M3538" s="71">
        <f t="shared" ca="1" si="279"/>
        <v>2.9556273771504364</v>
      </c>
      <c r="N3538" s="65"/>
    </row>
    <row r="3539" spans="1:14" x14ac:dyDescent="0.25">
      <c r="A3539" s="2">
        <v>3533</v>
      </c>
      <c r="B3539" s="11">
        <f t="shared" ca="1" si="276"/>
        <v>0</v>
      </c>
      <c r="C3539" s="26">
        <f t="shared" ca="1" si="280"/>
        <v>0.91134689271567293</v>
      </c>
      <c r="J3539">
        <f t="shared" ca="1" si="277"/>
        <v>0</v>
      </c>
      <c r="K3539">
        <f t="shared" ca="1" si="278"/>
        <v>1</v>
      </c>
      <c r="L3539" s="65">
        <v>3533</v>
      </c>
      <c r="M3539" s="71">
        <f t="shared" ca="1" si="279"/>
        <v>0</v>
      </c>
      <c r="N3539" s="65"/>
    </row>
    <row r="3540" spans="1:14" x14ac:dyDescent="0.25">
      <c r="A3540" s="2">
        <v>3534</v>
      </c>
      <c r="B3540" s="11">
        <f t="shared" ca="1" si="276"/>
        <v>0</v>
      </c>
      <c r="C3540" s="26">
        <f t="shared" ca="1" si="280"/>
        <v>0.76088972543875721</v>
      </c>
      <c r="J3540">
        <f t="shared" ca="1" si="277"/>
        <v>0</v>
      </c>
      <c r="K3540">
        <f t="shared" ca="1" si="278"/>
        <v>0</v>
      </c>
      <c r="L3540" s="65">
        <v>3534</v>
      </c>
      <c r="M3540" s="71">
        <f t="shared" ca="1" si="279"/>
        <v>0</v>
      </c>
      <c r="N3540" s="65"/>
    </row>
    <row r="3541" spans="1:14" x14ac:dyDescent="0.25">
      <c r="A3541" s="2">
        <v>3535</v>
      </c>
      <c r="B3541" s="11">
        <f t="shared" ca="1" si="276"/>
        <v>1</v>
      </c>
      <c r="C3541" s="26">
        <f t="shared" ca="1" si="280"/>
        <v>0.46741494845368747</v>
      </c>
      <c r="J3541">
        <f t="shared" ca="1" si="277"/>
        <v>1</v>
      </c>
      <c r="K3541">
        <f t="shared" ca="1" si="278"/>
        <v>0</v>
      </c>
      <c r="L3541" s="65">
        <v>3535</v>
      </c>
      <c r="M3541" s="71">
        <f t="shared" ca="1" si="279"/>
        <v>3.4944082528030362</v>
      </c>
      <c r="N3541" s="65"/>
    </row>
    <row r="3542" spans="1:14" x14ac:dyDescent="0.25">
      <c r="A3542" s="2">
        <v>3536</v>
      </c>
      <c r="B3542" s="11">
        <f t="shared" ca="1" si="276"/>
        <v>1</v>
      </c>
      <c r="C3542" s="26">
        <f t="shared" ca="1" si="280"/>
        <v>0.32224436281730973</v>
      </c>
      <c r="J3542">
        <f t="shared" ca="1" si="277"/>
        <v>1</v>
      </c>
      <c r="K3542">
        <f t="shared" ca="1" si="278"/>
        <v>0</v>
      </c>
      <c r="L3542" s="65">
        <v>3536</v>
      </c>
      <c r="M3542" s="71">
        <f t="shared" ca="1" si="279"/>
        <v>2.6157474255015729</v>
      </c>
      <c r="N3542" s="65"/>
    </row>
    <row r="3543" spans="1:14" x14ac:dyDescent="0.25">
      <c r="A3543" s="2">
        <v>3537</v>
      </c>
      <c r="B3543" s="11">
        <f t="shared" ca="1" si="276"/>
        <v>1</v>
      </c>
      <c r="C3543" s="26">
        <f t="shared" ca="1" si="280"/>
        <v>0.5506915101578056</v>
      </c>
      <c r="J3543">
        <f t="shared" ca="1" si="277"/>
        <v>1</v>
      </c>
      <c r="K3543">
        <f t="shared" ca="1" si="278"/>
        <v>0</v>
      </c>
      <c r="L3543" s="65">
        <v>3537</v>
      </c>
      <c r="M3543" s="71">
        <f t="shared" ca="1" si="279"/>
        <v>10.829571714908864</v>
      </c>
      <c r="N3543" s="65"/>
    </row>
    <row r="3544" spans="1:14" x14ac:dyDescent="0.25">
      <c r="A3544" s="2">
        <v>3538</v>
      </c>
      <c r="B3544" s="11">
        <f t="shared" ca="1" si="276"/>
        <v>1</v>
      </c>
      <c r="C3544" s="26">
        <f t="shared" ca="1" si="280"/>
        <v>0.14692738465005828</v>
      </c>
      <c r="J3544">
        <f t="shared" ca="1" si="277"/>
        <v>1</v>
      </c>
      <c r="K3544">
        <f t="shared" ca="1" si="278"/>
        <v>0</v>
      </c>
      <c r="L3544" s="65">
        <v>3538</v>
      </c>
      <c r="M3544" s="71">
        <f t="shared" ca="1" si="279"/>
        <v>1.1307164848609288</v>
      </c>
      <c r="N3544" s="65"/>
    </row>
    <row r="3545" spans="1:14" x14ac:dyDescent="0.25">
      <c r="A3545" s="2">
        <v>3539</v>
      </c>
      <c r="B3545" s="11">
        <f t="shared" ca="1" si="276"/>
        <v>1</v>
      </c>
      <c r="C3545" s="26">
        <f t="shared" ca="1" si="280"/>
        <v>0.5191068340775985</v>
      </c>
      <c r="J3545">
        <f t="shared" ca="1" si="277"/>
        <v>1</v>
      </c>
      <c r="K3545">
        <f t="shared" ca="1" si="278"/>
        <v>0</v>
      </c>
      <c r="L3545" s="65">
        <v>3539</v>
      </c>
      <c r="M3545" s="71">
        <f t="shared" ca="1" si="279"/>
        <v>2.3536530647452807</v>
      </c>
      <c r="N3545" s="65"/>
    </row>
    <row r="3546" spans="1:14" x14ac:dyDescent="0.25">
      <c r="A3546" s="2">
        <v>3540</v>
      </c>
      <c r="B3546" s="11">
        <f t="shared" ca="1" si="276"/>
        <v>1</v>
      </c>
      <c r="C3546" s="26">
        <f t="shared" ca="1" si="280"/>
        <v>0.1256487074178112</v>
      </c>
      <c r="J3546">
        <f t="shared" ca="1" si="277"/>
        <v>1</v>
      </c>
      <c r="K3546">
        <f t="shared" ca="1" si="278"/>
        <v>0</v>
      </c>
      <c r="L3546" s="65">
        <v>3540</v>
      </c>
      <c r="M3546" s="71">
        <f t="shared" ca="1" si="279"/>
        <v>0.73627932797059015</v>
      </c>
      <c r="N3546" s="65"/>
    </row>
    <row r="3547" spans="1:14" x14ac:dyDescent="0.25">
      <c r="A3547" s="2">
        <v>3541</v>
      </c>
      <c r="B3547" s="11">
        <f t="shared" ca="1" si="276"/>
        <v>1</v>
      </c>
      <c r="C3547" s="26">
        <f t="shared" ca="1" si="280"/>
        <v>0.71182456621294177</v>
      </c>
      <c r="J3547">
        <f t="shared" ca="1" si="277"/>
        <v>1</v>
      </c>
      <c r="K3547">
        <f t="shared" ca="1" si="278"/>
        <v>0</v>
      </c>
      <c r="L3547" s="65">
        <v>3541</v>
      </c>
      <c r="M3547" s="71">
        <f t="shared" ca="1" si="279"/>
        <v>12.472905790937324</v>
      </c>
      <c r="N3547" s="65"/>
    </row>
    <row r="3548" spans="1:14" x14ac:dyDescent="0.25">
      <c r="A3548" s="2">
        <v>3542</v>
      </c>
      <c r="B3548" s="11">
        <f t="shared" ca="1" si="276"/>
        <v>1</v>
      </c>
      <c r="C3548" s="26">
        <f t="shared" ca="1" si="280"/>
        <v>0.2836964907842926</v>
      </c>
      <c r="J3548">
        <f t="shared" ca="1" si="277"/>
        <v>0</v>
      </c>
      <c r="K3548">
        <f t="shared" ca="1" si="278"/>
        <v>0</v>
      </c>
      <c r="L3548" s="65">
        <v>3542</v>
      </c>
      <c r="M3548" s="71">
        <f t="shared" ca="1" si="279"/>
        <v>6.5201636836004209</v>
      </c>
      <c r="N3548" s="65"/>
    </row>
    <row r="3549" spans="1:14" x14ac:dyDescent="0.25">
      <c r="A3549" s="2">
        <v>3543</v>
      </c>
      <c r="B3549" s="11">
        <f t="shared" ca="1" si="276"/>
        <v>0</v>
      </c>
      <c r="C3549" s="26">
        <f t="shared" ca="1" si="280"/>
        <v>0.90494278087135938</v>
      </c>
      <c r="J3549">
        <f t="shared" ca="1" si="277"/>
        <v>0</v>
      </c>
      <c r="K3549">
        <f t="shared" ca="1" si="278"/>
        <v>0</v>
      </c>
      <c r="L3549" s="65">
        <v>3543</v>
      </c>
      <c r="M3549" s="71">
        <f t="shared" ca="1" si="279"/>
        <v>0</v>
      </c>
      <c r="N3549" s="65"/>
    </row>
    <row r="3550" spans="1:14" x14ac:dyDescent="0.25">
      <c r="A3550" s="2">
        <v>3544</v>
      </c>
      <c r="B3550" s="11">
        <f t="shared" ca="1" si="276"/>
        <v>1</v>
      </c>
      <c r="C3550" s="26">
        <f t="shared" ca="1" si="280"/>
        <v>0.12748572991055784</v>
      </c>
      <c r="J3550">
        <f t="shared" ca="1" si="277"/>
        <v>1</v>
      </c>
      <c r="K3550">
        <f t="shared" ca="1" si="278"/>
        <v>0</v>
      </c>
      <c r="L3550" s="65">
        <v>3544</v>
      </c>
      <c r="M3550" s="71">
        <f t="shared" ca="1" si="279"/>
        <v>3.8671804762958968</v>
      </c>
      <c r="N3550" s="65"/>
    </row>
    <row r="3551" spans="1:14" x14ac:dyDescent="0.25">
      <c r="A3551" s="2">
        <v>3545</v>
      </c>
      <c r="B3551" s="11">
        <f t="shared" ca="1" si="276"/>
        <v>1</v>
      </c>
      <c r="C3551" s="26">
        <f t="shared" ca="1" si="280"/>
        <v>0.23617749306271174</v>
      </c>
      <c r="J3551">
        <f t="shared" ca="1" si="277"/>
        <v>0</v>
      </c>
      <c r="K3551">
        <f t="shared" ca="1" si="278"/>
        <v>0</v>
      </c>
      <c r="L3551" s="65">
        <v>3545</v>
      </c>
      <c r="M3551" s="71">
        <f t="shared" ca="1" si="279"/>
        <v>0.46192081165013205</v>
      </c>
      <c r="N3551" s="65"/>
    </row>
    <row r="3552" spans="1:14" x14ac:dyDescent="0.25">
      <c r="A3552" s="2">
        <v>3546</v>
      </c>
      <c r="B3552" s="11">
        <f t="shared" ca="1" si="276"/>
        <v>0</v>
      </c>
      <c r="C3552" s="26">
        <f t="shared" ca="1" si="280"/>
        <v>0.97850663919098824</v>
      </c>
      <c r="J3552">
        <f t="shared" ca="1" si="277"/>
        <v>0</v>
      </c>
      <c r="K3552">
        <f t="shared" ca="1" si="278"/>
        <v>0</v>
      </c>
      <c r="L3552" s="65">
        <v>3546</v>
      </c>
      <c r="M3552" s="71">
        <f t="shared" ca="1" si="279"/>
        <v>0</v>
      </c>
      <c r="N3552" s="65"/>
    </row>
    <row r="3553" spans="1:14" x14ac:dyDescent="0.25">
      <c r="A3553" s="2">
        <v>3547</v>
      </c>
      <c r="B3553" s="11">
        <f t="shared" ca="1" si="276"/>
        <v>1</v>
      </c>
      <c r="C3553" s="26">
        <f t="shared" ca="1" si="280"/>
        <v>0.13045023907774789</v>
      </c>
      <c r="J3553">
        <f t="shared" ca="1" si="277"/>
        <v>1</v>
      </c>
      <c r="K3553">
        <f t="shared" ca="1" si="278"/>
        <v>0</v>
      </c>
      <c r="L3553" s="65">
        <v>3547</v>
      </c>
      <c r="M3553" s="71">
        <f t="shared" ca="1" si="279"/>
        <v>6.2783612758558123</v>
      </c>
      <c r="N3553" s="65"/>
    </row>
    <row r="3554" spans="1:14" x14ac:dyDescent="0.25">
      <c r="A3554" s="2">
        <v>3548</v>
      </c>
      <c r="B3554" s="11">
        <f t="shared" ca="1" si="276"/>
        <v>1</v>
      </c>
      <c r="C3554" s="26">
        <f t="shared" ca="1" si="280"/>
        <v>0.53092138266866706</v>
      </c>
      <c r="J3554">
        <f t="shared" ca="1" si="277"/>
        <v>1</v>
      </c>
      <c r="K3554">
        <f t="shared" ca="1" si="278"/>
        <v>0</v>
      </c>
      <c r="L3554" s="65">
        <v>3548</v>
      </c>
      <c r="M3554" s="71">
        <f t="shared" ca="1" si="279"/>
        <v>1.8309779700842439</v>
      </c>
      <c r="N3554" s="65"/>
    </row>
    <row r="3555" spans="1:14" x14ac:dyDescent="0.25">
      <c r="A3555" s="2">
        <v>3549</v>
      </c>
      <c r="B3555" s="11">
        <f t="shared" ca="1" si="276"/>
        <v>1</v>
      </c>
      <c r="C3555" s="26">
        <f t="shared" ca="1" si="280"/>
        <v>0.47881276619239899</v>
      </c>
      <c r="J3555">
        <f t="shared" ca="1" si="277"/>
        <v>1</v>
      </c>
      <c r="K3555">
        <f t="shared" ca="1" si="278"/>
        <v>0</v>
      </c>
      <c r="L3555" s="65">
        <v>3549</v>
      </c>
      <c r="M3555" s="71">
        <f t="shared" ca="1" si="279"/>
        <v>2.6357011432400594</v>
      </c>
      <c r="N3555" s="65"/>
    </row>
    <row r="3556" spans="1:14" x14ac:dyDescent="0.25">
      <c r="A3556" s="2">
        <v>3550</v>
      </c>
      <c r="B3556" s="11">
        <f t="shared" ca="1" si="276"/>
        <v>1</v>
      </c>
      <c r="C3556" s="26">
        <f t="shared" ca="1" si="280"/>
        <v>0.3709060966115576</v>
      </c>
      <c r="J3556">
        <f t="shared" ca="1" si="277"/>
        <v>1</v>
      </c>
      <c r="K3556">
        <f t="shared" ca="1" si="278"/>
        <v>0</v>
      </c>
      <c r="L3556" s="65">
        <v>3550</v>
      </c>
      <c r="M3556" s="71">
        <f t="shared" ca="1" si="279"/>
        <v>5.6267486846740589</v>
      </c>
      <c r="N3556" s="65"/>
    </row>
    <row r="3557" spans="1:14" x14ac:dyDescent="0.25">
      <c r="A3557" s="2">
        <v>3551</v>
      </c>
      <c r="B3557" s="11">
        <f t="shared" ca="1" si="276"/>
        <v>1</v>
      </c>
      <c r="C3557" s="26">
        <f t="shared" ca="1" si="280"/>
        <v>0.63880124867936361</v>
      </c>
      <c r="J3557">
        <f t="shared" ca="1" si="277"/>
        <v>0</v>
      </c>
      <c r="K3557">
        <f t="shared" ca="1" si="278"/>
        <v>0</v>
      </c>
      <c r="L3557" s="65">
        <v>3551</v>
      </c>
      <c r="M3557" s="71">
        <f t="shared" ca="1" si="279"/>
        <v>6.0826591888043415</v>
      </c>
      <c r="N3557" s="65"/>
    </row>
    <row r="3558" spans="1:14" x14ac:dyDescent="0.25">
      <c r="A3558" s="2">
        <v>3552</v>
      </c>
      <c r="B3558" s="11">
        <f t="shared" ca="1" si="276"/>
        <v>0</v>
      </c>
      <c r="C3558" s="26">
        <f t="shared" ca="1" si="280"/>
        <v>0.85164086561736618</v>
      </c>
      <c r="J3558">
        <f t="shared" ca="1" si="277"/>
        <v>0</v>
      </c>
      <c r="K3558">
        <f t="shared" ca="1" si="278"/>
        <v>1</v>
      </c>
      <c r="L3558" s="65">
        <v>3552</v>
      </c>
      <c r="M3558" s="71">
        <f t="shared" ca="1" si="279"/>
        <v>0</v>
      </c>
      <c r="N3558" s="65"/>
    </row>
    <row r="3559" spans="1:14" x14ac:dyDescent="0.25">
      <c r="A3559" s="2">
        <v>3553</v>
      </c>
      <c r="B3559" s="11">
        <f t="shared" ca="1" si="276"/>
        <v>0</v>
      </c>
      <c r="C3559" s="26">
        <f t="shared" ca="1" si="280"/>
        <v>0.92801627028096667</v>
      </c>
      <c r="J3559">
        <f t="shared" ca="1" si="277"/>
        <v>0</v>
      </c>
      <c r="K3559">
        <f t="shared" ca="1" si="278"/>
        <v>1</v>
      </c>
      <c r="L3559" s="65">
        <v>3553</v>
      </c>
      <c r="M3559" s="71">
        <f t="shared" ca="1" si="279"/>
        <v>0</v>
      </c>
      <c r="N3559" s="65"/>
    </row>
    <row r="3560" spans="1:14" x14ac:dyDescent="0.25">
      <c r="A3560" s="2">
        <v>3554</v>
      </c>
      <c r="B3560" s="11">
        <f t="shared" ca="1" si="276"/>
        <v>0</v>
      </c>
      <c r="C3560" s="26">
        <f t="shared" ca="1" si="280"/>
        <v>0.89610045437861974</v>
      </c>
      <c r="J3560">
        <f t="shared" ca="1" si="277"/>
        <v>0</v>
      </c>
      <c r="K3560">
        <f t="shared" ca="1" si="278"/>
        <v>0</v>
      </c>
      <c r="L3560" s="65">
        <v>3554</v>
      </c>
      <c r="M3560" s="71">
        <f t="shared" ca="1" si="279"/>
        <v>0</v>
      </c>
      <c r="N3560" s="65"/>
    </row>
    <row r="3561" spans="1:14" x14ac:dyDescent="0.25">
      <c r="A3561" s="2">
        <v>3555</v>
      </c>
      <c r="B3561" s="11">
        <f t="shared" ca="1" si="276"/>
        <v>1</v>
      </c>
      <c r="C3561" s="26">
        <f t="shared" ca="1" si="280"/>
        <v>0.53957539336426064</v>
      </c>
      <c r="J3561">
        <f t="shared" ca="1" si="277"/>
        <v>1</v>
      </c>
      <c r="K3561">
        <f t="shared" ca="1" si="278"/>
        <v>0</v>
      </c>
      <c r="L3561" s="65">
        <v>3555</v>
      </c>
      <c r="M3561" s="71">
        <f t="shared" ca="1" si="279"/>
        <v>0.4480588895933868</v>
      </c>
      <c r="N3561" s="65"/>
    </row>
    <row r="3562" spans="1:14" x14ac:dyDescent="0.25">
      <c r="A3562" s="2">
        <v>3556</v>
      </c>
      <c r="B3562" s="11">
        <f t="shared" ca="1" si="276"/>
        <v>1</v>
      </c>
      <c r="C3562" s="26">
        <f t="shared" ca="1" si="280"/>
        <v>0.57536108459027524</v>
      </c>
      <c r="J3562">
        <f t="shared" ca="1" si="277"/>
        <v>1</v>
      </c>
      <c r="K3562">
        <f t="shared" ca="1" si="278"/>
        <v>0</v>
      </c>
      <c r="L3562" s="65">
        <v>3556</v>
      </c>
      <c r="M3562" s="71">
        <f t="shared" ca="1" si="279"/>
        <v>6.802025803987509</v>
      </c>
      <c r="N3562" s="65"/>
    </row>
    <row r="3563" spans="1:14" x14ac:dyDescent="0.25">
      <c r="A3563" s="2">
        <v>3557</v>
      </c>
      <c r="B3563" s="11">
        <f t="shared" ca="1" si="276"/>
        <v>1</v>
      </c>
      <c r="C3563" s="26">
        <f t="shared" ca="1" si="280"/>
        <v>0.13074021369954314</v>
      </c>
      <c r="J3563">
        <f t="shared" ca="1" si="277"/>
        <v>1</v>
      </c>
      <c r="K3563">
        <f t="shared" ca="1" si="278"/>
        <v>0</v>
      </c>
      <c r="L3563" s="65">
        <v>3557</v>
      </c>
      <c r="M3563" s="71">
        <f t="shared" ca="1" si="279"/>
        <v>2.1598990201742176</v>
      </c>
      <c r="N3563" s="65"/>
    </row>
    <row r="3564" spans="1:14" x14ac:dyDescent="0.25">
      <c r="A3564" s="2">
        <v>3558</v>
      </c>
      <c r="B3564" s="11">
        <f t="shared" ca="1" si="276"/>
        <v>1</v>
      </c>
      <c r="C3564" s="26">
        <f t="shared" ca="1" si="280"/>
        <v>0.74721684476976713</v>
      </c>
      <c r="J3564">
        <f t="shared" ca="1" si="277"/>
        <v>1</v>
      </c>
      <c r="K3564">
        <f t="shared" ca="1" si="278"/>
        <v>0</v>
      </c>
      <c r="L3564" s="65">
        <v>3558</v>
      </c>
      <c r="M3564" s="71">
        <f t="shared" ca="1" si="279"/>
        <v>1.7257547584805877</v>
      </c>
      <c r="N3564" s="65"/>
    </row>
    <row r="3565" spans="1:14" x14ac:dyDescent="0.25">
      <c r="A3565" s="2">
        <v>3559</v>
      </c>
      <c r="B3565" s="11">
        <f t="shared" ca="1" si="276"/>
        <v>1</v>
      </c>
      <c r="C3565" s="26">
        <f t="shared" ca="1" si="280"/>
        <v>0.25985620971947399</v>
      </c>
      <c r="J3565">
        <f t="shared" ca="1" si="277"/>
        <v>1</v>
      </c>
      <c r="K3565">
        <f t="shared" ca="1" si="278"/>
        <v>0</v>
      </c>
      <c r="L3565" s="65">
        <v>3559</v>
      </c>
      <c r="M3565" s="71">
        <f t="shared" ca="1" si="279"/>
        <v>1.8896911839023582</v>
      </c>
      <c r="N3565" s="65"/>
    </row>
    <row r="3566" spans="1:14" x14ac:dyDescent="0.25">
      <c r="A3566" s="2">
        <v>3560</v>
      </c>
      <c r="B3566" s="11">
        <f t="shared" ca="1" si="276"/>
        <v>1</v>
      </c>
      <c r="C3566" s="26">
        <f t="shared" ca="1" si="280"/>
        <v>0.20303751599405717</v>
      </c>
      <c r="J3566">
        <f t="shared" ca="1" si="277"/>
        <v>1</v>
      </c>
      <c r="K3566">
        <f t="shared" ca="1" si="278"/>
        <v>0</v>
      </c>
      <c r="L3566" s="65">
        <v>3560</v>
      </c>
      <c r="M3566" s="71">
        <f t="shared" ca="1" si="279"/>
        <v>3.0573455998275034</v>
      </c>
      <c r="N3566" s="65"/>
    </row>
    <row r="3567" spans="1:14" x14ac:dyDescent="0.25">
      <c r="A3567" s="2">
        <v>3561</v>
      </c>
      <c r="B3567" s="11">
        <f t="shared" ref="B3567:B3630" ca="1" si="281">IF(B3566&gt;0,IF(C3567&lt;pww,1,0),IF(C3567&lt;pdw,1,0))</f>
        <v>1</v>
      </c>
      <c r="C3567" s="26">
        <f t="shared" ca="1" si="280"/>
        <v>0.36217072130092254</v>
      </c>
      <c r="J3567">
        <f t="shared" ref="J3567:J3630" ca="1" si="282">IF(AND(B3567,B3568),1,0)</f>
        <v>1</v>
      </c>
      <c r="K3567">
        <f t="shared" ref="K3567:K3630" ca="1" si="283">IF(AND(NOT(B3567),NOT(B3568)),1,0)</f>
        <v>0</v>
      </c>
      <c r="L3567" s="65">
        <v>3561</v>
      </c>
      <c r="M3567" s="71">
        <f t="shared" ca="1" si="279"/>
        <v>6.8713353233062175</v>
      </c>
      <c r="N3567" s="65"/>
    </row>
    <row r="3568" spans="1:14" x14ac:dyDescent="0.25">
      <c r="A3568" s="2">
        <v>3562</v>
      </c>
      <c r="B3568" s="11">
        <f t="shared" ca="1" si="281"/>
        <v>1</v>
      </c>
      <c r="C3568" s="26">
        <f t="shared" ca="1" si="280"/>
        <v>0.33546159999529446</v>
      </c>
      <c r="J3568">
        <f t="shared" ca="1" si="282"/>
        <v>1</v>
      </c>
      <c r="K3568">
        <f t="shared" ca="1" si="283"/>
        <v>0</v>
      </c>
      <c r="L3568" s="65">
        <v>3562</v>
      </c>
      <c r="M3568" s="71">
        <f t="shared" ca="1" si="279"/>
        <v>0.90660885585956674</v>
      </c>
      <c r="N3568" s="65"/>
    </row>
    <row r="3569" spans="1:14" x14ac:dyDescent="0.25">
      <c r="A3569" s="2">
        <v>3563</v>
      </c>
      <c r="B3569" s="11">
        <f t="shared" ca="1" si="281"/>
        <v>1</v>
      </c>
      <c r="C3569" s="26">
        <f t="shared" ca="1" si="280"/>
        <v>0.44124037708603436</v>
      </c>
      <c r="J3569">
        <f t="shared" ca="1" si="282"/>
        <v>1</v>
      </c>
      <c r="K3569">
        <f t="shared" ca="1" si="283"/>
        <v>0</v>
      </c>
      <c r="L3569" s="65">
        <v>3563</v>
      </c>
      <c r="M3569" s="71">
        <f t="shared" ca="1" si="279"/>
        <v>4.6577174640068275</v>
      </c>
      <c r="N3569" s="65"/>
    </row>
    <row r="3570" spans="1:14" x14ac:dyDescent="0.25">
      <c r="A3570" s="2">
        <v>3564</v>
      </c>
      <c r="B3570" s="11">
        <f t="shared" ca="1" si="281"/>
        <v>1</v>
      </c>
      <c r="C3570" s="26">
        <f t="shared" ca="1" si="280"/>
        <v>0.17135252559011915</v>
      </c>
      <c r="J3570">
        <f t="shared" ca="1" si="282"/>
        <v>1</v>
      </c>
      <c r="K3570">
        <f t="shared" ca="1" si="283"/>
        <v>0</v>
      </c>
      <c r="L3570" s="65">
        <v>3564</v>
      </c>
      <c r="M3570" s="71">
        <f t="shared" ca="1" si="279"/>
        <v>0.81567895095987364</v>
      </c>
      <c r="N3570" s="65"/>
    </row>
    <row r="3571" spans="1:14" x14ac:dyDescent="0.25">
      <c r="A3571" s="2">
        <v>3565</v>
      </c>
      <c r="B3571" s="11">
        <f t="shared" ca="1" si="281"/>
        <v>1</v>
      </c>
      <c r="C3571" s="26">
        <f t="shared" ca="1" si="280"/>
        <v>0.6345865712701243</v>
      </c>
      <c r="J3571">
        <f t="shared" ca="1" si="282"/>
        <v>1</v>
      </c>
      <c r="K3571">
        <f t="shared" ca="1" si="283"/>
        <v>0</v>
      </c>
      <c r="L3571" s="65">
        <v>3565</v>
      </c>
      <c r="M3571" s="71">
        <f t="shared" ca="1" si="279"/>
        <v>6.5692582686134831</v>
      </c>
      <c r="N3571" s="65"/>
    </row>
    <row r="3572" spans="1:14" x14ac:dyDescent="0.25">
      <c r="A3572" s="2">
        <v>3566</v>
      </c>
      <c r="B3572" s="11">
        <f t="shared" ca="1" si="281"/>
        <v>1</v>
      </c>
      <c r="C3572" s="26">
        <f t="shared" ca="1" si="280"/>
        <v>0.38202175455219034</v>
      </c>
      <c r="J3572">
        <f t="shared" ca="1" si="282"/>
        <v>1</v>
      </c>
      <c r="K3572">
        <f t="shared" ca="1" si="283"/>
        <v>0</v>
      </c>
      <c r="L3572" s="65">
        <v>3566</v>
      </c>
      <c r="M3572" s="71">
        <f t="shared" ca="1" si="279"/>
        <v>0.40705263357191757</v>
      </c>
      <c r="N3572" s="65"/>
    </row>
    <row r="3573" spans="1:14" x14ac:dyDescent="0.25">
      <c r="A3573" s="2">
        <v>3567</v>
      </c>
      <c r="B3573" s="11">
        <f t="shared" ca="1" si="281"/>
        <v>1</v>
      </c>
      <c r="C3573" s="26">
        <f t="shared" ca="1" si="280"/>
        <v>0.13904036149092158</v>
      </c>
      <c r="J3573">
        <f t="shared" ca="1" si="282"/>
        <v>1</v>
      </c>
      <c r="K3573">
        <f t="shared" ca="1" si="283"/>
        <v>0</v>
      </c>
      <c r="L3573" s="65">
        <v>3567</v>
      </c>
      <c r="M3573" s="71">
        <f t="shared" ca="1" si="279"/>
        <v>4.9895995874394208</v>
      </c>
      <c r="N3573" s="65"/>
    </row>
    <row r="3574" spans="1:14" x14ac:dyDescent="0.25">
      <c r="A3574" s="2">
        <v>3568</v>
      </c>
      <c r="B3574" s="11">
        <f t="shared" ca="1" si="281"/>
        <v>1</v>
      </c>
      <c r="C3574" s="26">
        <f t="shared" ca="1" si="280"/>
        <v>0.19230569587375779</v>
      </c>
      <c r="J3574">
        <f t="shared" ca="1" si="282"/>
        <v>1</v>
      </c>
      <c r="K3574">
        <f t="shared" ca="1" si="283"/>
        <v>0</v>
      </c>
      <c r="L3574" s="65">
        <v>3568</v>
      </c>
      <c r="M3574" s="71">
        <f t="shared" ca="1" si="279"/>
        <v>12.769686216536085</v>
      </c>
      <c r="N3574" s="65"/>
    </row>
    <row r="3575" spans="1:14" x14ac:dyDescent="0.25">
      <c r="A3575" s="2">
        <v>3569</v>
      </c>
      <c r="B3575" s="11">
        <f t="shared" ca="1" si="281"/>
        <v>1</v>
      </c>
      <c r="C3575" s="26">
        <f t="shared" ca="1" si="280"/>
        <v>0.69380379409711979</v>
      </c>
      <c r="J3575">
        <f t="shared" ca="1" si="282"/>
        <v>1</v>
      </c>
      <c r="K3575">
        <f t="shared" ca="1" si="283"/>
        <v>0</v>
      </c>
      <c r="L3575" s="65">
        <v>3569</v>
      </c>
      <c r="M3575" s="71">
        <f t="shared" ca="1" si="279"/>
        <v>8.6026129506238984</v>
      </c>
      <c r="N3575" s="65"/>
    </row>
    <row r="3576" spans="1:14" x14ac:dyDescent="0.25">
      <c r="A3576" s="2">
        <v>3570</v>
      </c>
      <c r="B3576" s="11">
        <f t="shared" ca="1" si="281"/>
        <v>1</v>
      </c>
      <c r="C3576" s="26">
        <f t="shared" ca="1" si="280"/>
        <v>0.56922640083305809</v>
      </c>
      <c r="J3576">
        <f t="shared" ca="1" si="282"/>
        <v>0</v>
      </c>
      <c r="K3576">
        <f t="shared" ca="1" si="283"/>
        <v>0</v>
      </c>
      <c r="L3576" s="65">
        <v>3570</v>
      </c>
      <c r="M3576" s="71">
        <f t="shared" ca="1" si="279"/>
        <v>5.1831363915442115</v>
      </c>
      <c r="N3576" s="65"/>
    </row>
    <row r="3577" spans="1:14" x14ac:dyDescent="0.25">
      <c r="A3577" s="2">
        <v>3571</v>
      </c>
      <c r="B3577" s="11">
        <f t="shared" ca="1" si="281"/>
        <v>0</v>
      </c>
      <c r="C3577" s="26">
        <f t="shared" ca="1" si="280"/>
        <v>0.92671453122625258</v>
      </c>
      <c r="J3577">
        <f t="shared" ca="1" si="282"/>
        <v>0</v>
      </c>
      <c r="K3577">
        <f t="shared" ca="1" si="283"/>
        <v>0</v>
      </c>
      <c r="L3577" s="65">
        <v>3571</v>
      </c>
      <c r="M3577" s="71">
        <f t="shared" ca="1" si="279"/>
        <v>0</v>
      </c>
      <c r="N3577" s="65"/>
    </row>
    <row r="3578" spans="1:14" x14ac:dyDescent="0.25">
      <c r="A3578" s="2">
        <v>3572</v>
      </c>
      <c r="B3578" s="11">
        <f t="shared" ca="1" si="281"/>
        <v>1</v>
      </c>
      <c r="C3578" s="26">
        <f t="shared" ca="1" si="280"/>
        <v>0.51404983799319082</v>
      </c>
      <c r="J3578">
        <f t="shared" ca="1" si="282"/>
        <v>1</v>
      </c>
      <c r="K3578">
        <f t="shared" ca="1" si="283"/>
        <v>0</v>
      </c>
      <c r="L3578" s="65">
        <v>3572</v>
      </c>
      <c r="M3578" s="71">
        <f t="shared" ca="1" si="279"/>
        <v>0.94305580038558223</v>
      </c>
      <c r="N3578" s="65"/>
    </row>
    <row r="3579" spans="1:14" x14ac:dyDescent="0.25">
      <c r="A3579" s="2">
        <v>3573</v>
      </c>
      <c r="B3579" s="11">
        <f t="shared" ca="1" si="281"/>
        <v>1</v>
      </c>
      <c r="C3579" s="26">
        <f t="shared" ca="1" si="280"/>
        <v>0.29647588064441288</v>
      </c>
      <c r="J3579">
        <f t="shared" ca="1" si="282"/>
        <v>1</v>
      </c>
      <c r="K3579">
        <f t="shared" ca="1" si="283"/>
        <v>0</v>
      </c>
      <c r="L3579" s="65">
        <v>3573</v>
      </c>
      <c r="M3579" s="71">
        <f t="shared" ca="1" si="279"/>
        <v>7.2374338423037328</v>
      </c>
      <c r="N3579" s="65"/>
    </row>
    <row r="3580" spans="1:14" x14ac:dyDescent="0.25">
      <c r="A3580" s="2">
        <v>3574</v>
      </c>
      <c r="B3580" s="11">
        <f t="shared" ca="1" si="281"/>
        <v>1</v>
      </c>
      <c r="C3580" s="26">
        <f t="shared" ca="1" si="280"/>
        <v>0.66564189837853194</v>
      </c>
      <c r="J3580">
        <f t="shared" ca="1" si="282"/>
        <v>1</v>
      </c>
      <c r="K3580">
        <f t="shared" ca="1" si="283"/>
        <v>0</v>
      </c>
      <c r="L3580" s="65">
        <v>3574</v>
      </c>
      <c r="M3580" s="71">
        <f t="shared" ca="1" si="279"/>
        <v>0.61829772801832195</v>
      </c>
      <c r="N3580" s="65"/>
    </row>
    <row r="3581" spans="1:14" x14ac:dyDescent="0.25">
      <c r="A3581" s="2">
        <v>3575</v>
      </c>
      <c r="B3581" s="11">
        <f t="shared" ca="1" si="281"/>
        <v>1</v>
      </c>
      <c r="C3581" s="26">
        <f t="shared" ca="1" si="280"/>
        <v>0.59803105151104974</v>
      </c>
      <c r="J3581">
        <f t="shared" ca="1" si="282"/>
        <v>0</v>
      </c>
      <c r="K3581">
        <f t="shared" ca="1" si="283"/>
        <v>0</v>
      </c>
      <c r="L3581" s="65">
        <v>3575</v>
      </c>
      <c r="M3581" s="71">
        <f t="shared" ca="1" si="279"/>
        <v>1.3514099665642023</v>
      </c>
      <c r="N3581" s="65"/>
    </row>
    <row r="3582" spans="1:14" x14ac:dyDescent="0.25">
      <c r="A3582" s="2">
        <v>3576</v>
      </c>
      <c r="B3582" s="11">
        <f t="shared" ca="1" si="281"/>
        <v>0</v>
      </c>
      <c r="C3582" s="26">
        <f t="shared" ca="1" si="280"/>
        <v>0.93147542787025417</v>
      </c>
      <c r="J3582">
        <f t="shared" ca="1" si="282"/>
        <v>0</v>
      </c>
      <c r="K3582">
        <f t="shared" ca="1" si="283"/>
        <v>0</v>
      </c>
      <c r="L3582" s="65">
        <v>3576</v>
      </c>
      <c r="M3582" s="71">
        <f t="shared" ca="1" si="279"/>
        <v>0</v>
      </c>
      <c r="N3582" s="65"/>
    </row>
    <row r="3583" spans="1:14" x14ac:dyDescent="0.25">
      <c r="A3583" s="2">
        <v>3577</v>
      </c>
      <c r="B3583" s="11">
        <f t="shared" ca="1" si="281"/>
        <v>1</v>
      </c>
      <c r="C3583" s="26">
        <f t="shared" ca="1" si="280"/>
        <v>0.23738373410118419</v>
      </c>
      <c r="J3583">
        <f t="shared" ca="1" si="282"/>
        <v>1</v>
      </c>
      <c r="K3583">
        <f t="shared" ca="1" si="283"/>
        <v>0</v>
      </c>
      <c r="L3583" s="65">
        <v>3577</v>
      </c>
      <c r="M3583" s="71">
        <f t="shared" ca="1" si="279"/>
        <v>2.2323378544691632</v>
      </c>
      <c r="N3583" s="65"/>
    </row>
    <row r="3584" spans="1:14" x14ac:dyDescent="0.25">
      <c r="A3584" s="2">
        <v>3578</v>
      </c>
      <c r="B3584" s="11">
        <f t="shared" ca="1" si="281"/>
        <v>1</v>
      </c>
      <c r="C3584" s="26">
        <f t="shared" ca="1" si="280"/>
        <v>0.73913669165237939</v>
      </c>
      <c r="J3584">
        <f t="shared" ca="1" si="282"/>
        <v>1</v>
      </c>
      <c r="K3584">
        <f t="shared" ca="1" si="283"/>
        <v>0</v>
      </c>
      <c r="L3584" s="65">
        <v>3578</v>
      </c>
      <c r="M3584" s="71">
        <f t="shared" ca="1" si="279"/>
        <v>2.7195220743228055E-2</v>
      </c>
      <c r="N3584" s="65"/>
    </row>
    <row r="3585" spans="1:14" x14ac:dyDescent="0.25">
      <c r="A3585" s="2">
        <v>3579</v>
      </c>
      <c r="B3585" s="11">
        <f t="shared" ca="1" si="281"/>
        <v>1</v>
      </c>
      <c r="C3585" s="26">
        <f t="shared" ca="1" si="280"/>
        <v>0.65032930363350805</v>
      </c>
      <c r="J3585">
        <f t="shared" ca="1" si="282"/>
        <v>1</v>
      </c>
      <c r="K3585">
        <f t="shared" ca="1" si="283"/>
        <v>0</v>
      </c>
      <c r="L3585" s="65">
        <v>3579</v>
      </c>
      <c r="M3585" s="71">
        <f t="shared" ca="1" si="279"/>
        <v>0.25071071653173771</v>
      </c>
      <c r="N3585" s="65"/>
    </row>
    <row r="3586" spans="1:14" x14ac:dyDescent="0.25">
      <c r="A3586" s="2">
        <v>3580</v>
      </c>
      <c r="B3586" s="11">
        <f t="shared" ca="1" si="281"/>
        <v>1</v>
      </c>
      <c r="C3586" s="26">
        <f t="shared" ca="1" si="280"/>
        <v>0.11817768371881476</v>
      </c>
      <c r="J3586">
        <f t="shared" ca="1" si="282"/>
        <v>0</v>
      </c>
      <c r="K3586">
        <f t="shared" ca="1" si="283"/>
        <v>0</v>
      </c>
      <c r="L3586" s="65">
        <v>3580</v>
      </c>
      <c r="M3586" s="71">
        <f t="shared" ca="1" si="279"/>
        <v>1.1734138151419096</v>
      </c>
      <c r="N3586" s="65"/>
    </row>
    <row r="3587" spans="1:14" x14ac:dyDescent="0.25">
      <c r="A3587" s="2">
        <v>3581</v>
      </c>
      <c r="B3587" s="11">
        <f t="shared" ca="1" si="281"/>
        <v>0</v>
      </c>
      <c r="C3587" s="26">
        <f t="shared" ca="1" si="280"/>
        <v>0.95762370546813236</v>
      </c>
      <c r="J3587">
        <f t="shared" ca="1" si="282"/>
        <v>0</v>
      </c>
      <c r="K3587">
        <f t="shared" ca="1" si="283"/>
        <v>1</v>
      </c>
      <c r="L3587" s="65">
        <v>3581</v>
      </c>
      <c r="M3587" s="71">
        <f t="shared" ca="1" si="279"/>
        <v>0</v>
      </c>
      <c r="N3587" s="65"/>
    </row>
    <row r="3588" spans="1:14" x14ac:dyDescent="0.25">
      <c r="A3588" s="2">
        <v>3582</v>
      </c>
      <c r="B3588" s="11">
        <f t="shared" ca="1" si="281"/>
        <v>0</v>
      </c>
      <c r="C3588" s="26">
        <f t="shared" ca="1" si="280"/>
        <v>0.76540916042405516</v>
      </c>
      <c r="J3588">
        <f t="shared" ca="1" si="282"/>
        <v>0</v>
      </c>
      <c r="K3588">
        <f t="shared" ca="1" si="283"/>
        <v>0</v>
      </c>
      <c r="L3588" s="65">
        <v>3582</v>
      </c>
      <c r="M3588" s="71">
        <f t="shared" ca="1" si="279"/>
        <v>0</v>
      </c>
      <c r="N3588" s="65"/>
    </row>
    <row r="3589" spans="1:14" x14ac:dyDescent="0.25">
      <c r="A3589" s="2">
        <v>3583</v>
      </c>
      <c r="B3589" s="11">
        <f t="shared" ca="1" si="281"/>
        <v>1</v>
      </c>
      <c r="C3589" s="26">
        <f t="shared" ca="1" si="280"/>
        <v>0.62086733972568753</v>
      </c>
      <c r="J3589">
        <f t="shared" ca="1" si="282"/>
        <v>0</v>
      </c>
      <c r="K3589">
        <f t="shared" ca="1" si="283"/>
        <v>0</v>
      </c>
      <c r="L3589" s="65">
        <v>3583</v>
      </c>
      <c r="M3589" s="71">
        <f t="shared" ca="1" si="279"/>
        <v>3.6188775122360841</v>
      </c>
      <c r="N3589" s="65"/>
    </row>
    <row r="3590" spans="1:14" x14ac:dyDescent="0.25">
      <c r="A3590" s="2">
        <v>3584</v>
      </c>
      <c r="B3590" s="11">
        <f t="shared" ca="1" si="281"/>
        <v>0</v>
      </c>
      <c r="C3590" s="26">
        <f t="shared" ca="1" si="280"/>
        <v>0.85547811997199275</v>
      </c>
      <c r="J3590">
        <f t="shared" ca="1" si="282"/>
        <v>0</v>
      </c>
      <c r="K3590">
        <f t="shared" ca="1" si="283"/>
        <v>1</v>
      </c>
      <c r="L3590" s="65">
        <v>3584</v>
      </c>
      <c r="M3590" s="71">
        <f t="shared" ca="1" si="279"/>
        <v>0</v>
      </c>
      <c r="N3590" s="65"/>
    </row>
    <row r="3591" spans="1:14" x14ac:dyDescent="0.25">
      <c r="A3591" s="2">
        <v>3585</v>
      </c>
      <c r="B3591" s="11">
        <f t="shared" ca="1" si="281"/>
        <v>0</v>
      </c>
      <c r="C3591" s="26">
        <f t="shared" ca="1" si="280"/>
        <v>0.75672042633031089</v>
      </c>
      <c r="J3591">
        <f t="shared" ca="1" si="282"/>
        <v>0</v>
      </c>
      <c r="K3591">
        <f t="shared" ca="1" si="283"/>
        <v>0</v>
      </c>
      <c r="L3591" s="65">
        <v>3585</v>
      </c>
      <c r="M3591" s="71">
        <f t="shared" ref="M3591:M3657" ca="1" si="284">IF(B3591&gt;0,-LN(1-(RAND()))/lambda,0)</f>
        <v>0</v>
      </c>
      <c r="N3591" s="65"/>
    </row>
    <row r="3592" spans="1:14" x14ac:dyDescent="0.25">
      <c r="A3592" s="2">
        <v>3586</v>
      </c>
      <c r="B3592" s="11">
        <f t="shared" ca="1" si="281"/>
        <v>1</v>
      </c>
      <c r="C3592" s="26">
        <f t="shared" ref="C3592:C3655" ca="1" si="285">RAND()</f>
        <v>0.19679524095181966</v>
      </c>
      <c r="J3592">
        <f t="shared" ca="1" si="282"/>
        <v>1</v>
      </c>
      <c r="K3592">
        <f t="shared" ca="1" si="283"/>
        <v>0</v>
      </c>
      <c r="L3592" s="65">
        <v>3586</v>
      </c>
      <c r="M3592" s="71">
        <f t="shared" ca="1" si="284"/>
        <v>5.2485785850038695</v>
      </c>
      <c r="N3592" s="65"/>
    </row>
    <row r="3593" spans="1:14" x14ac:dyDescent="0.25">
      <c r="A3593" s="2">
        <v>3587</v>
      </c>
      <c r="B3593" s="11">
        <f t="shared" ca="1" si="281"/>
        <v>1</v>
      </c>
      <c r="C3593" s="26">
        <f t="shared" ca="1" si="285"/>
        <v>3.8258002039522232E-2</v>
      </c>
      <c r="J3593">
        <f t="shared" ca="1" si="282"/>
        <v>0</v>
      </c>
      <c r="K3593">
        <f t="shared" ca="1" si="283"/>
        <v>0</v>
      </c>
      <c r="L3593" s="65">
        <v>3587</v>
      </c>
      <c r="M3593" s="71">
        <f t="shared" ca="1" si="284"/>
        <v>0.13824987663689708</v>
      </c>
      <c r="N3593" s="65"/>
    </row>
    <row r="3594" spans="1:14" x14ac:dyDescent="0.25">
      <c r="A3594" s="2">
        <v>3588</v>
      </c>
      <c r="B3594" s="11">
        <f t="shared" ca="1" si="281"/>
        <v>0</v>
      </c>
      <c r="C3594" s="26">
        <f t="shared" ca="1" si="285"/>
        <v>0.91543054043194994</v>
      </c>
      <c r="J3594">
        <f t="shared" ca="1" si="282"/>
        <v>0</v>
      </c>
      <c r="K3594">
        <f t="shared" ca="1" si="283"/>
        <v>0</v>
      </c>
      <c r="L3594" s="65">
        <v>3588</v>
      </c>
      <c r="M3594" s="71">
        <f t="shared" ca="1" si="284"/>
        <v>0</v>
      </c>
      <c r="N3594" s="65"/>
    </row>
    <row r="3595" spans="1:14" x14ac:dyDescent="0.25">
      <c r="A3595" s="2">
        <v>3589</v>
      </c>
      <c r="B3595" s="11">
        <f t="shared" ca="1" si="281"/>
        <v>1</v>
      </c>
      <c r="C3595" s="26">
        <f t="shared" ca="1" si="285"/>
        <v>0.63853508644437917</v>
      </c>
      <c r="J3595">
        <f t="shared" ca="1" si="282"/>
        <v>1</v>
      </c>
      <c r="K3595">
        <f t="shared" ca="1" si="283"/>
        <v>0</v>
      </c>
      <c r="L3595" s="65">
        <v>3589</v>
      </c>
      <c r="M3595" s="71">
        <f t="shared" ca="1" si="284"/>
        <v>4.0688397662759863</v>
      </c>
      <c r="N3595" s="65"/>
    </row>
    <row r="3596" spans="1:14" x14ac:dyDescent="0.25">
      <c r="A3596" s="2">
        <v>3590</v>
      </c>
      <c r="B3596" s="11">
        <f t="shared" ca="1" si="281"/>
        <v>1</v>
      </c>
      <c r="C3596" s="26">
        <f t="shared" ca="1" si="285"/>
        <v>0.77520313184065337</v>
      </c>
      <c r="J3596">
        <f t="shared" ca="1" si="282"/>
        <v>1</v>
      </c>
      <c r="K3596">
        <f t="shared" ca="1" si="283"/>
        <v>0</v>
      </c>
      <c r="L3596" s="65">
        <v>3590</v>
      </c>
      <c r="M3596" s="71">
        <f t="shared" ca="1" si="284"/>
        <v>2.5434285934421412</v>
      </c>
      <c r="N3596" s="65"/>
    </row>
    <row r="3597" spans="1:14" x14ac:dyDescent="0.25">
      <c r="A3597" s="2">
        <v>3591</v>
      </c>
      <c r="B3597" s="11">
        <f t="shared" ca="1" si="281"/>
        <v>1</v>
      </c>
      <c r="C3597" s="26">
        <f t="shared" ca="1" si="285"/>
        <v>0.54276349851853956</v>
      </c>
      <c r="J3597">
        <f t="shared" ca="1" si="282"/>
        <v>0</v>
      </c>
      <c r="K3597">
        <f t="shared" ca="1" si="283"/>
        <v>0</v>
      </c>
      <c r="L3597" s="65">
        <v>3591</v>
      </c>
      <c r="M3597" s="71">
        <f t="shared" ca="1" si="284"/>
        <v>1.0071730291837786</v>
      </c>
      <c r="N3597" s="65"/>
    </row>
    <row r="3598" spans="1:14" x14ac:dyDescent="0.25">
      <c r="A3598" s="2">
        <v>3592</v>
      </c>
      <c r="B3598" s="11">
        <f t="shared" ca="1" si="281"/>
        <v>0</v>
      </c>
      <c r="C3598" s="26">
        <f t="shared" ca="1" si="285"/>
        <v>0.92326100936899236</v>
      </c>
      <c r="J3598">
        <f t="shared" ca="1" si="282"/>
        <v>0</v>
      </c>
      <c r="K3598">
        <f t="shared" ca="1" si="283"/>
        <v>1</v>
      </c>
      <c r="L3598" s="65">
        <v>3592</v>
      </c>
      <c r="M3598" s="71">
        <f t="shared" ca="1" si="284"/>
        <v>0</v>
      </c>
      <c r="N3598" s="65"/>
    </row>
    <row r="3599" spans="1:14" x14ac:dyDescent="0.25">
      <c r="A3599" s="2">
        <v>3593</v>
      </c>
      <c r="B3599" s="11">
        <f t="shared" ca="1" si="281"/>
        <v>0</v>
      </c>
      <c r="C3599" s="26">
        <f t="shared" ca="1" si="285"/>
        <v>0.8947323378017118</v>
      </c>
      <c r="J3599">
        <f t="shared" ca="1" si="282"/>
        <v>0</v>
      </c>
      <c r="K3599">
        <f t="shared" ca="1" si="283"/>
        <v>0</v>
      </c>
      <c r="L3599" s="65">
        <v>3593</v>
      </c>
      <c r="M3599" s="71">
        <f t="shared" ca="1" si="284"/>
        <v>0</v>
      </c>
      <c r="N3599" s="65"/>
    </row>
    <row r="3600" spans="1:14" x14ac:dyDescent="0.25">
      <c r="A3600" s="2">
        <v>3594</v>
      </c>
      <c r="B3600" s="11">
        <f t="shared" ca="1" si="281"/>
        <v>1</v>
      </c>
      <c r="C3600" s="26">
        <f t="shared" ca="1" si="285"/>
        <v>0.18186309484864183</v>
      </c>
      <c r="J3600">
        <f t="shared" ca="1" si="282"/>
        <v>0</v>
      </c>
      <c r="K3600">
        <f t="shared" ca="1" si="283"/>
        <v>0</v>
      </c>
      <c r="L3600" s="65">
        <v>3594</v>
      </c>
      <c r="M3600" s="71">
        <f t="shared" ca="1" si="284"/>
        <v>10.704533730227753</v>
      </c>
      <c r="N3600" s="65"/>
    </row>
    <row r="3601" spans="1:14" x14ac:dyDescent="0.25">
      <c r="A3601" s="2">
        <v>3595</v>
      </c>
      <c r="B3601" s="11">
        <f t="shared" ca="1" si="281"/>
        <v>0</v>
      </c>
      <c r="C3601" s="26">
        <f t="shared" ca="1" si="285"/>
        <v>0.91779669650912121</v>
      </c>
      <c r="J3601">
        <f t="shared" ca="1" si="282"/>
        <v>0</v>
      </c>
      <c r="K3601">
        <f t="shared" ca="1" si="283"/>
        <v>1</v>
      </c>
      <c r="L3601" s="65">
        <v>3595</v>
      </c>
      <c r="M3601" s="71">
        <f t="shared" ca="1" si="284"/>
        <v>0</v>
      </c>
      <c r="N3601" s="65"/>
    </row>
    <row r="3602" spans="1:14" x14ac:dyDescent="0.25">
      <c r="A3602" s="2">
        <v>3596</v>
      </c>
      <c r="B3602" s="11">
        <f t="shared" ca="1" si="281"/>
        <v>0</v>
      </c>
      <c r="C3602" s="26">
        <f t="shared" ca="1" si="285"/>
        <v>0.77025727706018465</v>
      </c>
      <c r="J3602">
        <f t="shared" ca="1" si="282"/>
        <v>0</v>
      </c>
      <c r="K3602">
        <f t="shared" ca="1" si="283"/>
        <v>0</v>
      </c>
      <c r="L3602" s="65">
        <v>3596</v>
      </c>
      <c r="M3602" s="71">
        <f t="shared" ca="1" si="284"/>
        <v>0</v>
      </c>
      <c r="N3602" s="65"/>
    </row>
    <row r="3603" spans="1:14" x14ac:dyDescent="0.25">
      <c r="A3603" s="2">
        <v>3597</v>
      </c>
      <c r="B3603" s="11">
        <f t="shared" ca="1" si="281"/>
        <v>1</v>
      </c>
      <c r="C3603" s="26">
        <f t="shared" ca="1" si="285"/>
        <v>0.57849580011201152</v>
      </c>
      <c r="J3603">
        <f t="shared" ca="1" si="282"/>
        <v>1</v>
      </c>
      <c r="K3603">
        <f t="shared" ca="1" si="283"/>
        <v>0</v>
      </c>
      <c r="L3603" s="65">
        <v>3597</v>
      </c>
      <c r="M3603" s="71">
        <f t="shared" ca="1" si="284"/>
        <v>6.1475229576912405</v>
      </c>
      <c r="N3603" s="65"/>
    </row>
    <row r="3604" spans="1:14" x14ac:dyDescent="0.25">
      <c r="A3604" s="2">
        <v>3598</v>
      </c>
      <c r="B3604" s="11">
        <f t="shared" ca="1" si="281"/>
        <v>1</v>
      </c>
      <c r="C3604" s="26">
        <f t="shared" ca="1" si="285"/>
        <v>0.44595910942819406</v>
      </c>
      <c r="J3604">
        <f t="shared" ca="1" si="282"/>
        <v>1</v>
      </c>
      <c r="K3604">
        <f t="shared" ca="1" si="283"/>
        <v>0</v>
      </c>
      <c r="L3604" s="65">
        <v>3598</v>
      </c>
      <c r="M3604" s="71">
        <f t="shared" ca="1" si="284"/>
        <v>3.8088918764988788</v>
      </c>
      <c r="N3604" s="65"/>
    </row>
    <row r="3605" spans="1:14" x14ac:dyDescent="0.25">
      <c r="A3605" s="2">
        <v>3599</v>
      </c>
      <c r="B3605" s="11">
        <f t="shared" ca="1" si="281"/>
        <v>1</v>
      </c>
      <c r="C3605" s="26">
        <f t="shared" ca="1" si="285"/>
        <v>0.54442606896701873</v>
      </c>
      <c r="J3605">
        <f t="shared" ca="1" si="282"/>
        <v>1</v>
      </c>
      <c r="K3605">
        <f t="shared" ca="1" si="283"/>
        <v>0</v>
      </c>
      <c r="L3605" s="65">
        <v>3599</v>
      </c>
      <c r="M3605" s="71">
        <f t="shared" ca="1" si="284"/>
        <v>4.938454566539674</v>
      </c>
      <c r="N3605" s="65"/>
    </row>
    <row r="3606" spans="1:14" x14ac:dyDescent="0.25">
      <c r="A3606" s="2">
        <v>3600</v>
      </c>
      <c r="B3606" s="11">
        <f t="shared" ca="1" si="281"/>
        <v>1</v>
      </c>
      <c r="C3606" s="26">
        <f t="shared" ca="1" si="285"/>
        <v>0.21583870919018833</v>
      </c>
      <c r="J3606">
        <f t="shared" ca="1" si="282"/>
        <v>1</v>
      </c>
      <c r="K3606">
        <f t="shared" ca="1" si="283"/>
        <v>0</v>
      </c>
      <c r="L3606" s="65">
        <v>3600</v>
      </c>
      <c r="M3606" s="71">
        <f t="shared" ca="1" si="284"/>
        <v>6.097559137264227</v>
      </c>
      <c r="N3606" s="65"/>
    </row>
    <row r="3607" spans="1:14" x14ac:dyDescent="0.25">
      <c r="A3607" s="2">
        <v>3601</v>
      </c>
      <c r="B3607" s="11">
        <f t="shared" ca="1" si="281"/>
        <v>1</v>
      </c>
      <c r="C3607" s="26">
        <f t="shared" ca="1" si="285"/>
        <v>0.10949505635056722</v>
      </c>
      <c r="J3607">
        <f t="shared" ca="1" si="282"/>
        <v>1</v>
      </c>
      <c r="K3607">
        <f t="shared" ca="1" si="283"/>
        <v>0</v>
      </c>
      <c r="L3607" s="65">
        <v>3601</v>
      </c>
      <c r="M3607" s="71">
        <f t="shared" ca="1" si="284"/>
        <v>1.1229312738571799</v>
      </c>
      <c r="N3607" s="65"/>
    </row>
    <row r="3608" spans="1:14" x14ac:dyDescent="0.25">
      <c r="A3608" s="2">
        <v>3602</v>
      </c>
      <c r="B3608" s="11">
        <f t="shared" ca="1" si="281"/>
        <v>1</v>
      </c>
      <c r="C3608" s="26">
        <f t="shared" ca="1" si="285"/>
        <v>0.72697298898680029</v>
      </c>
      <c r="J3608">
        <f t="shared" ca="1" si="282"/>
        <v>0</v>
      </c>
      <c r="K3608">
        <f t="shared" ca="1" si="283"/>
        <v>0</v>
      </c>
      <c r="L3608" s="65">
        <v>3602</v>
      </c>
      <c r="M3608" s="71">
        <f t="shared" ca="1" si="284"/>
        <v>4.9552927623443246</v>
      </c>
      <c r="N3608" s="65"/>
    </row>
    <row r="3609" spans="1:14" x14ac:dyDescent="0.25">
      <c r="A3609" s="2">
        <v>3603</v>
      </c>
      <c r="B3609" s="11">
        <f t="shared" ca="1" si="281"/>
        <v>0</v>
      </c>
      <c r="C3609" s="26">
        <f t="shared" ca="1" si="285"/>
        <v>0.85727925037942254</v>
      </c>
      <c r="J3609">
        <f t="shared" ca="1" si="282"/>
        <v>0</v>
      </c>
      <c r="K3609">
        <f t="shared" ca="1" si="283"/>
        <v>0</v>
      </c>
      <c r="L3609" s="65">
        <v>3603</v>
      </c>
      <c r="M3609" s="71">
        <f t="shared" ca="1" si="284"/>
        <v>0</v>
      </c>
      <c r="N3609" s="65"/>
    </row>
    <row r="3610" spans="1:14" x14ac:dyDescent="0.25">
      <c r="A3610" s="2">
        <v>3604</v>
      </c>
      <c r="B3610" s="11">
        <f t="shared" ca="1" si="281"/>
        <v>1</v>
      </c>
      <c r="C3610" s="26">
        <f t="shared" ca="1" si="285"/>
        <v>0.65072618145679872</v>
      </c>
      <c r="J3610">
        <f t="shared" ca="1" si="282"/>
        <v>1</v>
      </c>
      <c r="K3610">
        <f t="shared" ca="1" si="283"/>
        <v>0</v>
      </c>
      <c r="L3610" s="65">
        <v>3604</v>
      </c>
      <c r="M3610" s="71">
        <f t="shared" ca="1" si="284"/>
        <v>2.4654123349704589E-4</v>
      </c>
      <c r="N3610" s="65"/>
    </row>
    <row r="3611" spans="1:14" x14ac:dyDescent="0.25">
      <c r="A3611" s="2">
        <v>3605</v>
      </c>
      <c r="B3611" s="11">
        <f t="shared" ca="1" si="281"/>
        <v>1</v>
      </c>
      <c r="C3611" s="26">
        <f t="shared" ca="1" si="285"/>
        <v>0.33329576092975866</v>
      </c>
      <c r="J3611">
        <f t="shared" ca="1" si="282"/>
        <v>1</v>
      </c>
      <c r="K3611">
        <f t="shared" ca="1" si="283"/>
        <v>0</v>
      </c>
      <c r="L3611" s="65">
        <v>3605</v>
      </c>
      <c r="M3611" s="71">
        <f t="shared" ca="1" si="284"/>
        <v>4.2573989245437973</v>
      </c>
      <c r="N3611" s="65"/>
    </row>
    <row r="3612" spans="1:14" x14ac:dyDescent="0.25">
      <c r="A3612" s="2">
        <v>3606</v>
      </c>
      <c r="B3612" s="11">
        <f t="shared" ca="1" si="281"/>
        <v>1</v>
      </c>
      <c r="C3612" s="26">
        <f t="shared" ca="1" si="285"/>
        <v>0.55144844240851754</v>
      </c>
      <c r="J3612">
        <f t="shared" ca="1" si="282"/>
        <v>1</v>
      </c>
      <c r="K3612">
        <f t="shared" ca="1" si="283"/>
        <v>0</v>
      </c>
      <c r="L3612" s="65">
        <v>3606</v>
      </c>
      <c r="M3612" s="71">
        <f t="shared" ca="1" si="284"/>
        <v>1.9045447724604978</v>
      </c>
      <c r="N3612" s="65"/>
    </row>
    <row r="3613" spans="1:14" x14ac:dyDescent="0.25">
      <c r="A3613" s="2">
        <v>3607</v>
      </c>
      <c r="B3613" s="11">
        <f t="shared" ca="1" si="281"/>
        <v>1</v>
      </c>
      <c r="C3613" s="26">
        <f t="shared" ca="1" si="285"/>
        <v>0.64839311854940374</v>
      </c>
      <c r="J3613">
        <f t="shared" ca="1" si="282"/>
        <v>0</v>
      </c>
      <c r="K3613">
        <f t="shared" ca="1" si="283"/>
        <v>0</v>
      </c>
      <c r="L3613" s="65">
        <v>3607</v>
      </c>
      <c r="M3613" s="71">
        <f t="shared" ca="1" si="284"/>
        <v>2.8406981205988071</v>
      </c>
      <c r="N3613" s="65"/>
    </row>
    <row r="3614" spans="1:14" x14ac:dyDescent="0.25">
      <c r="A3614" s="2">
        <v>3608</v>
      </c>
      <c r="B3614" s="11">
        <f t="shared" ca="1" si="281"/>
        <v>0</v>
      </c>
      <c r="C3614" s="26">
        <f t="shared" ca="1" si="285"/>
        <v>0.99873132562663802</v>
      </c>
      <c r="J3614">
        <f t="shared" ca="1" si="282"/>
        <v>0</v>
      </c>
      <c r="K3614">
        <f t="shared" ca="1" si="283"/>
        <v>0</v>
      </c>
      <c r="L3614" s="65">
        <v>3608</v>
      </c>
      <c r="M3614" s="71">
        <f t="shared" ca="1" si="284"/>
        <v>0</v>
      </c>
      <c r="N3614" s="65"/>
    </row>
    <row r="3615" spans="1:14" x14ac:dyDescent="0.25">
      <c r="A3615" s="2">
        <v>3609</v>
      </c>
      <c r="B3615" s="11">
        <f t="shared" ca="1" si="281"/>
        <v>1</v>
      </c>
      <c r="C3615" s="26">
        <f t="shared" ca="1" si="285"/>
        <v>0.22520945584393537</v>
      </c>
      <c r="J3615">
        <f t="shared" ca="1" si="282"/>
        <v>1</v>
      </c>
      <c r="K3615">
        <f t="shared" ca="1" si="283"/>
        <v>0</v>
      </c>
      <c r="L3615" s="65">
        <v>3609</v>
      </c>
      <c r="M3615" s="71">
        <f t="shared" ca="1" si="284"/>
        <v>1.9603271441543557</v>
      </c>
      <c r="N3615" s="65"/>
    </row>
    <row r="3616" spans="1:14" x14ac:dyDescent="0.25">
      <c r="A3616" s="2">
        <v>3610</v>
      </c>
      <c r="B3616" s="11">
        <f t="shared" ca="1" si="281"/>
        <v>1</v>
      </c>
      <c r="C3616" s="26">
        <f t="shared" ca="1" si="285"/>
        <v>0.33649298945948103</v>
      </c>
      <c r="J3616">
        <f t="shared" ca="1" si="282"/>
        <v>1</v>
      </c>
      <c r="K3616">
        <f t="shared" ca="1" si="283"/>
        <v>0</v>
      </c>
      <c r="L3616" s="65">
        <v>3610</v>
      </c>
      <c r="M3616" s="71">
        <f t="shared" ca="1" si="284"/>
        <v>2.8728781684746751</v>
      </c>
      <c r="N3616" s="65"/>
    </row>
    <row r="3617" spans="1:14" x14ac:dyDescent="0.25">
      <c r="A3617" s="2">
        <v>3611</v>
      </c>
      <c r="B3617" s="11">
        <f t="shared" ca="1" si="281"/>
        <v>1</v>
      </c>
      <c r="C3617" s="26">
        <f t="shared" ca="1" si="285"/>
        <v>0.70251190291664756</v>
      </c>
      <c r="J3617">
        <f t="shared" ca="1" si="282"/>
        <v>1</v>
      </c>
      <c r="K3617">
        <f t="shared" ca="1" si="283"/>
        <v>0</v>
      </c>
      <c r="L3617" s="65">
        <v>3611</v>
      </c>
      <c r="M3617" s="71">
        <f t="shared" ca="1" si="284"/>
        <v>2.9177162791467892</v>
      </c>
      <c r="N3617" s="65"/>
    </row>
    <row r="3618" spans="1:14" x14ac:dyDescent="0.25">
      <c r="A3618" s="2">
        <v>3612</v>
      </c>
      <c r="B3618" s="11">
        <f t="shared" ca="1" si="281"/>
        <v>1</v>
      </c>
      <c r="C3618" s="26">
        <f t="shared" ca="1" si="285"/>
        <v>0.61791033753065694</v>
      </c>
      <c r="J3618">
        <f t="shared" ca="1" si="282"/>
        <v>1</v>
      </c>
      <c r="K3618">
        <f t="shared" ca="1" si="283"/>
        <v>0</v>
      </c>
      <c r="L3618" s="65">
        <v>3612</v>
      </c>
      <c r="M3618" s="71">
        <f t="shared" ca="1" si="284"/>
        <v>2.2676022829156977</v>
      </c>
      <c r="N3618" s="65"/>
    </row>
    <row r="3619" spans="1:14" x14ac:dyDescent="0.25">
      <c r="A3619" s="2">
        <v>3613</v>
      </c>
      <c r="B3619" s="11">
        <f t="shared" ca="1" si="281"/>
        <v>1</v>
      </c>
      <c r="C3619" s="26">
        <f t="shared" ca="1" si="285"/>
        <v>1.4544565486618755E-2</v>
      </c>
      <c r="J3619">
        <f t="shared" ca="1" si="282"/>
        <v>1</v>
      </c>
      <c r="K3619">
        <f t="shared" ca="1" si="283"/>
        <v>0</v>
      </c>
      <c r="L3619" s="65">
        <v>3613</v>
      </c>
      <c r="M3619" s="71">
        <f t="shared" ca="1" si="284"/>
        <v>3.2654699183326881</v>
      </c>
      <c r="N3619" s="65"/>
    </row>
    <row r="3620" spans="1:14" x14ac:dyDescent="0.25">
      <c r="A3620" s="2">
        <v>3614</v>
      </c>
      <c r="B3620" s="11">
        <f t="shared" ca="1" si="281"/>
        <v>1</v>
      </c>
      <c r="C3620" s="26">
        <f t="shared" ca="1" si="285"/>
        <v>0.49789643016400909</v>
      </c>
      <c r="J3620">
        <f t="shared" ca="1" si="282"/>
        <v>1</v>
      </c>
      <c r="K3620">
        <f t="shared" ca="1" si="283"/>
        <v>0</v>
      </c>
      <c r="L3620" s="65">
        <v>3614</v>
      </c>
      <c r="M3620" s="71">
        <f t="shared" ca="1" si="284"/>
        <v>2.4126511725853668</v>
      </c>
      <c r="N3620" s="65"/>
    </row>
    <row r="3621" spans="1:14" x14ac:dyDescent="0.25">
      <c r="A3621" s="2">
        <v>3615</v>
      </c>
      <c r="B3621" s="11">
        <f t="shared" ca="1" si="281"/>
        <v>1</v>
      </c>
      <c r="C3621" s="26">
        <f t="shared" ca="1" si="285"/>
        <v>0.20590785071458428</v>
      </c>
      <c r="J3621">
        <f t="shared" ca="1" si="282"/>
        <v>1</v>
      </c>
      <c r="K3621">
        <f t="shared" ca="1" si="283"/>
        <v>0</v>
      </c>
      <c r="L3621" s="65">
        <v>3615</v>
      </c>
      <c r="M3621" s="71">
        <f t="shared" ca="1" si="284"/>
        <v>2.4299547098069012</v>
      </c>
      <c r="N3621" s="65"/>
    </row>
    <row r="3622" spans="1:14" x14ac:dyDescent="0.25">
      <c r="A3622" s="2">
        <v>3616</v>
      </c>
      <c r="B3622" s="11">
        <f t="shared" ca="1" si="281"/>
        <v>1</v>
      </c>
      <c r="C3622" s="26">
        <f t="shared" ca="1" si="285"/>
        <v>0.68247097959197556</v>
      </c>
      <c r="J3622">
        <f t="shared" ca="1" si="282"/>
        <v>1</v>
      </c>
      <c r="K3622">
        <f t="shared" ca="1" si="283"/>
        <v>0</v>
      </c>
      <c r="L3622" s="65">
        <v>3616</v>
      </c>
      <c r="M3622" s="71">
        <f t="shared" ca="1" si="284"/>
        <v>3.8700137937494539</v>
      </c>
      <c r="N3622" s="65"/>
    </row>
    <row r="3623" spans="1:14" x14ac:dyDescent="0.25">
      <c r="A3623" s="2">
        <v>3617</v>
      </c>
      <c r="B3623" s="11">
        <f t="shared" ca="1" si="281"/>
        <v>1</v>
      </c>
      <c r="C3623" s="26">
        <f t="shared" ca="1" si="285"/>
        <v>0.61975361666048734</v>
      </c>
      <c r="J3623">
        <f t="shared" ca="1" si="282"/>
        <v>1</v>
      </c>
      <c r="K3623">
        <f t="shared" ca="1" si="283"/>
        <v>0</v>
      </c>
      <c r="L3623" s="65">
        <v>3617</v>
      </c>
      <c r="M3623" s="71">
        <f t="shared" ca="1" si="284"/>
        <v>4.8025987519484516</v>
      </c>
      <c r="N3623" s="65"/>
    </row>
    <row r="3624" spans="1:14" x14ac:dyDescent="0.25">
      <c r="A3624" s="2">
        <v>3618</v>
      </c>
      <c r="B3624" s="11">
        <f t="shared" ca="1" si="281"/>
        <v>1</v>
      </c>
      <c r="C3624" s="26">
        <f t="shared" ca="1" si="285"/>
        <v>0.77550468615761481</v>
      </c>
      <c r="J3624">
        <f t="shared" ca="1" si="282"/>
        <v>1</v>
      </c>
      <c r="K3624">
        <f t="shared" ca="1" si="283"/>
        <v>0</v>
      </c>
      <c r="L3624" s="65">
        <v>3618</v>
      </c>
      <c r="M3624" s="71">
        <f t="shared" ca="1" si="284"/>
        <v>2.336459489683949</v>
      </c>
      <c r="N3624" s="65"/>
    </row>
    <row r="3625" spans="1:14" x14ac:dyDescent="0.25">
      <c r="A3625" s="2">
        <v>3619</v>
      </c>
      <c r="B3625" s="11">
        <f t="shared" ca="1" si="281"/>
        <v>1</v>
      </c>
      <c r="C3625" s="26">
        <f t="shared" ca="1" si="285"/>
        <v>0.34590436243441558</v>
      </c>
      <c r="J3625">
        <f t="shared" ca="1" si="282"/>
        <v>1</v>
      </c>
      <c r="K3625">
        <f t="shared" ca="1" si="283"/>
        <v>0</v>
      </c>
      <c r="L3625" s="65">
        <v>3619</v>
      </c>
      <c r="M3625" s="71">
        <f t="shared" ca="1" si="284"/>
        <v>6.1117067873787345</v>
      </c>
      <c r="N3625" s="65"/>
    </row>
    <row r="3626" spans="1:14" x14ac:dyDescent="0.25">
      <c r="A3626" s="2">
        <v>3620</v>
      </c>
      <c r="B3626" s="11">
        <f t="shared" ca="1" si="281"/>
        <v>1</v>
      </c>
      <c r="C3626" s="26">
        <f t="shared" ca="1" si="285"/>
        <v>0.68323398249530476</v>
      </c>
      <c r="J3626">
        <f t="shared" ca="1" si="282"/>
        <v>1</v>
      </c>
      <c r="K3626">
        <f t="shared" ca="1" si="283"/>
        <v>0</v>
      </c>
      <c r="L3626" s="65">
        <v>3620</v>
      </c>
      <c r="M3626" s="71">
        <f t="shared" ca="1" si="284"/>
        <v>1.8369269937681896</v>
      </c>
      <c r="N3626" s="65"/>
    </row>
    <row r="3627" spans="1:14" x14ac:dyDescent="0.25">
      <c r="A3627" s="2">
        <v>3621</v>
      </c>
      <c r="B3627" s="11">
        <f t="shared" ca="1" si="281"/>
        <v>1</v>
      </c>
      <c r="C3627" s="26">
        <f t="shared" ca="1" si="285"/>
        <v>0.51236423736114989</v>
      </c>
      <c r="J3627">
        <f t="shared" ca="1" si="282"/>
        <v>1</v>
      </c>
      <c r="K3627">
        <f t="shared" ca="1" si="283"/>
        <v>0</v>
      </c>
      <c r="L3627" s="65">
        <v>3621</v>
      </c>
      <c r="M3627" s="71">
        <f t="shared" ca="1" si="284"/>
        <v>0.96717697974410455</v>
      </c>
      <c r="N3627" s="65"/>
    </row>
    <row r="3628" spans="1:14" x14ac:dyDescent="0.25">
      <c r="A3628" s="2">
        <v>3622</v>
      </c>
      <c r="B3628" s="11">
        <f t="shared" ca="1" si="281"/>
        <v>1</v>
      </c>
      <c r="C3628" s="26">
        <f t="shared" ca="1" si="285"/>
        <v>0.74359995185124028</v>
      </c>
      <c r="J3628">
        <f t="shared" ca="1" si="282"/>
        <v>1</v>
      </c>
      <c r="K3628">
        <f t="shared" ca="1" si="283"/>
        <v>0</v>
      </c>
      <c r="L3628" s="65">
        <v>3622</v>
      </c>
      <c r="M3628" s="71">
        <f t="shared" ca="1" si="284"/>
        <v>0.38884529046996624</v>
      </c>
      <c r="N3628" s="65"/>
    </row>
    <row r="3629" spans="1:14" x14ac:dyDescent="0.25">
      <c r="A3629" s="2">
        <v>3623</v>
      </c>
      <c r="B3629" s="11">
        <f t="shared" ca="1" si="281"/>
        <v>1</v>
      </c>
      <c r="C3629" s="26">
        <f t="shared" ca="1" si="285"/>
        <v>0.38629960361637461</v>
      </c>
      <c r="J3629">
        <f t="shared" ca="1" si="282"/>
        <v>1</v>
      </c>
      <c r="K3629">
        <f t="shared" ca="1" si="283"/>
        <v>0</v>
      </c>
      <c r="L3629" s="65">
        <v>3623</v>
      </c>
      <c r="M3629" s="71">
        <f t="shared" ca="1" si="284"/>
        <v>0.86146573900681744</v>
      </c>
      <c r="N3629" s="65"/>
    </row>
    <row r="3630" spans="1:14" x14ac:dyDescent="0.25">
      <c r="A3630" s="2">
        <v>3624</v>
      </c>
      <c r="B3630" s="11">
        <f t="shared" ca="1" si="281"/>
        <v>1</v>
      </c>
      <c r="C3630" s="26">
        <f t="shared" ca="1" si="285"/>
        <v>7.724112210263423E-2</v>
      </c>
      <c r="J3630">
        <f t="shared" ca="1" si="282"/>
        <v>1</v>
      </c>
      <c r="K3630">
        <f t="shared" ca="1" si="283"/>
        <v>0</v>
      </c>
      <c r="L3630" s="65">
        <v>3624</v>
      </c>
      <c r="M3630" s="71">
        <f t="shared" ca="1" si="284"/>
        <v>1.2691487647656663</v>
      </c>
      <c r="N3630" s="65"/>
    </row>
    <row r="3631" spans="1:14" x14ac:dyDescent="0.25">
      <c r="A3631" s="2">
        <v>3625</v>
      </c>
      <c r="B3631" s="11">
        <f t="shared" ref="B3631:B3656" ca="1" si="286">IF(B3630&gt;0,IF(C3631&lt;pww,1,0),IF(C3631&lt;pdw,1,0))</f>
        <v>1</v>
      </c>
      <c r="C3631" s="26">
        <f t="shared" ca="1" si="285"/>
        <v>0.33277013596362481</v>
      </c>
      <c r="J3631">
        <f t="shared" ref="J3631:J3656" ca="1" si="287">IF(AND(B3631,B3632),1,0)</f>
        <v>1</v>
      </c>
      <c r="K3631">
        <f t="shared" ref="K3631:K3656" ca="1" si="288">IF(AND(NOT(B3631),NOT(B3632)),1,0)</f>
        <v>0</v>
      </c>
      <c r="L3631" s="65">
        <v>3625</v>
      </c>
      <c r="M3631" s="71">
        <f t="shared" ca="1" si="284"/>
        <v>7.4935376667700178</v>
      </c>
      <c r="N3631" s="65"/>
    </row>
    <row r="3632" spans="1:14" x14ac:dyDescent="0.25">
      <c r="A3632" s="2">
        <v>3626</v>
      </c>
      <c r="B3632" s="11">
        <f t="shared" ca="1" si="286"/>
        <v>1</v>
      </c>
      <c r="C3632" s="26">
        <f t="shared" ca="1" si="285"/>
        <v>0.32568565402336014</v>
      </c>
      <c r="J3632">
        <f t="shared" ca="1" si="287"/>
        <v>1</v>
      </c>
      <c r="K3632">
        <f t="shared" ca="1" si="288"/>
        <v>0</v>
      </c>
      <c r="L3632" s="65">
        <v>3626</v>
      </c>
      <c r="M3632" s="71">
        <f t="shared" ca="1" si="284"/>
        <v>2.1851392368501701</v>
      </c>
      <c r="N3632" s="65"/>
    </row>
    <row r="3633" spans="1:14" x14ac:dyDescent="0.25">
      <c r="A3633" s="2">
        <v>3627</v>
      </c>
      <c r="B3633" s="11">
        <f t="shared" ca="1" si="286"/>
        <v>1</v>
      </c>
      <c r="C3633" s="26">
        <f t="shared" ca="1" si="285"/>
        <v>0.36925478456176231</v>
      </c>
      <c r="J3633">
        <f t="shared" ca="1" si="287"/>
        <v>0</v>
      </c>
      <c r="K3633">
        <f t="shared" ca="1" si="288"/>
        <v>0</v>
      </c>
      <c r="L3633" s="65">
        <v>3627</v>
      </c>
      <c r="M3633" s="71">
        <f t="shared" ca="1" si="284"/>
        <v>6.6259218506148079</v>
      </c>
      <c r="N3633" s="65"/>
    </row>
    <row r="3634" spans="1:14" x14ac:dyDescent="0.25">
      <c r="A3634" s="2">
        <v>3628</v>
      </c>
      <c r="B3634" s="11">
        <f t="shared" ca="1" si="286"/>
        <v>0</v>
      </c>
      <c r="C3634" s="26">
        <f t="shared" ca="1" si="285"/>
        <v>0.84030150276352533</v>
      </c>
      <c r="J3634">
        <f t="shared" ca="1" si="287"/>
        <v>0</v>
      </c>
      <c r="K3634">
        <f t="shared" ca="1" si="288"/>
        <v>1</v>
      </c>
      <c r="L3634" s="65">
        <v>3628</v>
      </c>
      <c r="M3634" s="71">
        <f t="shared" ca="1" si="284"/>
        <v>0</v>
      </c>
      <c r="N3634" s="65"/>
    </row>
    <row r="3635" spans="1:14" x14ac:dyDescent="0.25">
      <c r="A3635" s="2">
        <v>3629</v>
      </c>
      <c r="B3635" s="11">
        <f t="shared" ca="1" si="286"/>
        <v>0</v>
      </c>
      <c r="C3635" s="26">
        <f t="shared" ca="1" si="285"/>
        <v>0.91500248487158264</v>
      </c>
      <c r="J3635">
        <f t="shared" ca="1" si="287"/>
        <v>0</v>
      </c>
      <c r="K3635">
        <f t="shared" ca="1" si="288"/>
        <v>0</v>
      </c>
      <c r="L3635" s="65">
        <v>3629</v>
      </c>
      <c r="M3635" s="71">
        <f t="shared" ca="1" si="284"/>
        <v>0</v>
      </c>
      <c r="N3635" s="65"/>
    </row>
    <row r="3636" spans="1:14" x14ac:dyDescent="0.25">
      <c r="A3636" s="2">
        <v>3630</v>
      </c>
      <c r="B3636" s="11">
        <f t="shared" ca="1" si="286"/>
        <v>1</v>
      </c>
      <c r="C3636" s="26">
        <f t="shared" ca="1" si="285"/>
        <v>0.11502447703324081</v>
      </c>
      <c r="J3636">
        <f t="shared" ca="1" si="287"/>
        <v>0</v>
      </c>
      <c r="K3636">
        <f t="shared" ca="1" si="288"/>
        <v>0</v>
      </c>
      <c r="L3636" s="65">
        <v>3630</v>
      </c>
      <c r="M3636" s="71">
        <f t="shared" ca="1" si="284"/>
        <v>5.4946394427884178</v>
      </c>
      <c r="N3636" s="65"/>
    </row>
    <row r="3637" spans="1:14" x14ac:dyDescent="0.25">
      <c r="A3637" s="2">
        <v>3631</v>
      </c>
      <c r="B3637" s="11">
        <f t="shared" ca="1" si="286"/>
        <v>0</v>
      </c>
      <c r="C3637" s="26">
        <f t="shared" ca="1" si="285"/>
        <v>0.81998580484101269</v>
      </c>
      <c r="J3637">
        <f t="shared" ca="1" si="287"/>
        <v>0</v>
      </c>
      <c r="K3637">
        <f t="shared" ca="1" si="288"/>
        <v>0</v>
      </c>
      <c r="L3637" s="65">
        <v>3631</v>
      </c>
      <c r="M3637" s="71">
        <f t="shared" ca="1" si="284"/>
        <v>0</v>
      </c>
      <c r="N3637" s="65"/>
    </row>
    <row r="3638" spans="1:14" x14ac:dyDescent="0.25">
      <c r="A3638" s="2">
        <v>3632</v>
      </c>
      <c r="B3638" s="11">
        <f t="shared" ca="1" si="286"/>
        <v>1</v>
      </c>
      <c r="C3638" s="26">
        <f t="shared" ca="1" si="285"/>
        <v>0.52070067835117473</v>
      </c>
      <c r="J3638">
        <f t="shared" ca="1" si="287"/>
        <v>1</v>
      </c>
      <c r="K3638">
        <f t="shared" ca="1" si="288"/>
        <v>0</v>
      </c>
      <c r="L3638" s="65">
        <v>3632</v>
      </c>
      <c r="M3638" s="71">
        <f t="shared" ca="1" si="284"/>
        <v>0.49016061032771158</v>
      </c>
      <c r="N3638" s="65"/>
    </row>
    <row r="3639" spans="1:14" x14ac:dyDescent="0.25">
      <c r="A3639" s="2">
        <v>3633</v>
      </c>
      <c r="B3639" s="11">
        <f t="shared" ca="1" si="286"/>
        <v>1</v>
      </c>
      <c r="C3639" s="26">
        <f t="shared" ca="1" si="285"/>
        <v>0.70674401884731375</v>
      </c>
      <c r="J3639">
        <f t="shared" ca="1" si="287"/>
        <v>0</v>
      </c>
      <c r="K3639">
        <f t="shared" ca="1" si="288"/>
        <v>0</v>
      </c>
      <c r="L3639" s="65">
        <v>3633</v>
      </c>
      <c r="M3639" s="71">
        <f t="shared" ca="1" si="284"/>
        <v>6.2990542778537932</v>
      </c>
      <c r="N3639" s="65"/>
    </row>
    <row r="3640" spans="1:14" x14ac:dyDescent="0.25">
      <c r="A3640" s="2">
        <v>3634</v>
      </c>
      <c r="B3640" s="11">
        <f t="shared" ca="1" si="286"/>
        <v>0</v>
      </c>
      <c r="C3640" s="26">
        <f t="shared" ca="1" si="285"/>
        <v>0.87545897225487734</v>
      </c>
      <c r="J3640">
        <f t="shared" ca="1" si="287"/>
        <v>0</v>
      </c>
      <c r="K3640">
        <f t="shared" ca="1" si="288"/>
        <v>0</v>
      </c>
      <c r="L3640" s="65">
        <v>3634</v>
      </c>
      <c r="M3640" s="71">
        <f t="shared" ca="1" si="284"/>
        <v>0</v>
      </c>
      <c r="N3640" s="65"/>
    </row>
    <row r="3641" spans="1:14" x14ac:dyDescent="0.25">
      <c r="A3641" s="2">
        <v>3635</v>
      </c>
      <c r="B3641" s="11">
        <f t="shared" ca="1" si="286"/>
        <v>1</v>
      </c>
      <c r="C3641" s="26">
        <f t="shared" ca="1" si="285"/>
        <v>2.2499674017525395E-3</v>
      </c>
      <c r="J3641">
        <f t="shared" ca="1" si="287"/>
        <v>0</v>
      </c>
      <c r="K3641">
        <f t="shared" ca="1" si="288"/>
        <v>0</v>
      </c>
      <c r="L3641" s="65">
        <v>3635</v>
      </c>
      <c r="M3641" s="71">
        <f t="shared" ca="1" si="284"/>
        <v>0.72666641682601818</v>
      </c>
      <c r="N3641" s="65"/>
    </row>
    <row r="3642" spans="1:14" x14ac:dyDescent="0.25">
      <c r="A3642" s="2">
        <v>3636</v>
      </c>
      <c r="B3642" s="11">
        <f t="shared" ca="1" si="286"/>
        <v>0</v>
      </c>
      <c r="C3642" s="26">
        <f t="shared" ca="1" si="285"/>
        <v>0.8132360413294738</v>
      </c>
      <c r="J3642">
        <f t="shared" ca="1" si="287"/>
        <v>0</v>
      </c>
      <c r="K3642">
        <f t="shared" ca="1" si="288"/>
        <v>0</v>
      </c>
      <c r="L3642" s="65">
        <v>3636</v>
      </c>
      <c r="M3642" s="71">
        <f t="shared" ca="1" si="284"/>
        <v>0</v>
      </c>
      <c r="N3642" s="65"/>
    </row>
    <row r="3643" spans="1:14" x14ac:dyDescent="0.25">
      <c r="A3643" s="2">
        <v>3637</v>
      </c>
      <c r="B3643" s="11">
        <f t="shared" ca="1" si="286"/>
        <v>1</v>
      </c>
      <c r="C3643" s="26">
        <f t="shared" ca="1" si="285"/>
        <v>0.68531172281796449</v>
      </c>
      <c r="J3643">
        <f t="shared" ca="1" si="287"/>
        <v>1</v>
      </c>
      <c r="K3643">
        <f t="shared" ca="1" si="288"/>
        <v>0</v>
      </c>
      <c r="L3643" s="65">
        <v>3637</v>
      </c>
      <c r="M3643" s="71">
        <f t="shared" ca="1" si="284"/>
        <v>15.256083925271415</v>
      </c>
      <c r="N3643" s="65"/>
    </row>
    <row r="3644" spans="1:14" x14ac:dyDescent="0.25">
      <c r="A3644" s="2">
        <v>3638</v>
      </c>
      <c r="B3644" s="11">
        <f t="shared" ca="1" si="286"/>
        <v>1</v>
      </c>
      <c r="C3644" s="26">
        <f t="shared" ca="1" si="285"/>
        <v>0.45629832357964062</v>
      </c>
      <c r="J3644">
        <f t="shared" ca="1" si="287"/>
        <v>1</v>
      </c>
      <c r="K3644">
        <f t="shared" ca="1" si="288"/>
        <v>0</v>
      </c>
      <c r="L3644" s="65">
        <v>3638</v>
      </c>
      <c r="M3644" s="71">
        <f t="shared" ca="1" si="284"/>
        <v>5.9687176560248973</v>
      </c>
      <c r="N3644" s="65"/>
    </row>
    <row r="3645" spans="1:14" x14ac:dyDescent="0.25">
      <c r="A3645" s="2">
        <v>3639</v>
      </c>
      <c r="B3645" s="11">
        <f t="shared" ca="1" si="286"/>
        <v>1</v>
      </c>
      <c r="C3645" s="26">
        <f t="shared" ca="1" si="285"/>
        <v>0.41805930009939618</v>
      </c>
      <c r="J3645">
        <f t="shared" ca="1" si="287"/>
        <v>1</v>
      </c>
      <c r="K3645">
        <f t="shared" ca="1" si="288"/>
        <v>0</v>
      </c>
      <c r="L3645" s="65">
        <v>3639</v>
      </c>
      <c r="M3645" s="71">
        <f t="shared" ca="1" si="284"/>
        <v>0.94693536286010938</v>
      </c>
      <c r="N3645" s="65"/>
    </row>
    <row r="3646" spans="1:14" x14ac:dyDescent="0.25">
      <c r="A3646" s="2">
        <v>3640</v>
      </c>
      <c r="B3646" s="11">
        <f t="shared" ca="1" si="286"/>
        <v>1</v>
      </c>
      <c r="C3646" s="26">
        <f t="shared" ca="1" si="285"/>
        <v>0.3498690286908932</v>
      </c>
      <c r="J3646">
        <f t="shared" ca="1" si="287"/>
        <v>1</v>
      </c>
      <c r="K3646">
        <f t="shared" ca="1" si="288"/>
        <v>0</v>
      </c>
      <c r="L3646" s="65">
        <v>3640</v>
      </c>
      <c r="M3646" s="71">
        <f t="shared" ca="1" si="284"/>
        <v>7.2926064595390256</v>
      </c>
      <c r="N3646" s="65"/>
    </row>
    <row r="3647" spans="1:14" x14ac:dyDescent="0.25">
      <c r="A3647" s="2">
        <v>3641</v>
      </c>
      <c r="B3647" s="11">
        <f t="shared" ca="1" si="286"/>
        <v>1</v>
      </c>
      <c r="C3647" s="26">
        <f t="shared" ca="1" si="285"/>
        <v>0.41371497732162676</v>
      </c>
      <c r="J3647">
        <f t="shared" ca="1" si="287"/>
        <v>1</v>
      </c>
      <c r="K3647">
        <f t="shared" ca="1" si="288"/>
        <v>0</v>
      </c>
      <c r="L3647" s="65">
        <v>3641</v>
      </c>
      <c r="M3647" s="71">
        <f t="shared" ca="1" si="284"/>
        <v>8.4483091954187728</v>
      </c>
      <c r="N3647" s="65"/>
    </row>
    <row r="3648" spans="1:14" x14ac:dyDescent="0.25">
      <c r="A3648" s="2">
        <v>3642</v>
      </c>
      <c r="B3648" s="11">
        <f t="shared" ca="1" si="286"/>
        <v>1</v>
      </c>
      <c r="C3648" s="26">
        <f t="shared" ca="1" si="285"/>
        <v>0.54924731359405776</v>
      </c>
      <c r="J3648">
        <f t="shared" ca="1" si="287"/>
        <v>1</v>
      </c>
      <c r="K3648">
        <f t="shared" ca="1" si="288"/>
        <v>0</v>
      </c>
      <c r="L3648" s="65">
        <v>3642</v>
      </c>
      <c r="M3648" s="71">
        <f t="shared" ca="1" si="284"/>
        <v>10.029347964948201</v>
      </c>
      <c r="N3648" s="65"/>
    </row>
    <row r="3649" spans="1:14" x14ac:dyDescent="0.25">
      <c r="A3649" s="2">
        <v>3643</v>
      </c>
      <c r="B3649" s="11">
        <f t="shared" ca="1" si="286"/>
        <v>1</v>
      </c>
      <c r="C3649" s="26">
        <f t="shared" ca="1" si="285"/>
        <v>0.56478201812014928</v>
      </c>
      <c r="J3649">
        <f t="shared" ca="1" si="287"/>
        <v>0</v>
      </c>
      <c r="K3649">
        <f t="shared" ca="1" si="288"/>
        <v>0</v>
      </c>
      <c r="L3649" s="65">
        <v>3643</v>
      </c>
      <c r="M3649" s="71">
        <f t="shared" ca="1" si="284"/>
        <v>26.501141278281992</v>
      </c>
      <c r="N3649" s="65"/>
    </row>
    <row r="3650" spans="1:14" x14ac:dyDescent="0.25">
      <c r="A3650" s="2">
        <v>3644</v>
      </c>
      <c r="B3650" s="11">
        <f t="shared" ca="1" si="286"/>
        <v>0</v>
      </c>
      <c r="C3650" s="26">
        <f t="shared" ca="1" si="285"/>
        <v>0.83114836011850624</v>
      </c>
      <c r="J3650">
        <f t="shared" ca="1" si="287"/>
        <v>0</v>
      </c>
      <c r="K3650">
        <f t="shared" ca="1" si="288"/>
        <v>0</v>
      </c>
      <c r="L3650" s="65">
        <v>3644</v>
      </c>
      <c r="M3650" s="71">
        <f t="shared" ca="1" si="284"/>
        <v>0</v>
      </c>
      <c r="N3650" s="65"/>
    </row>
    <row r="3651" spans="1:14" x14ac:dyDescent="0.25">
      <c r="A3651" s="2">
        <v>3645</v>
      </c>
      <c r="B3651" s="11">
        <f t="shared" ca="1" si="286"/>
        <v>1</v>
      </c>
      <c r="C3651" s="26">
        <f t="shared" ca="1" si="285"/>
        <v>4.781521942401179E-2</v>
      </c>
      <c r="J3651">
        <f t="shared" ca="1" si="287"/>
        <v>1</v>
      </c>
      <c r="K3651">
        <f t="shared" ca="1" si="288"/>
        <v>0</v>
      </c>
      <c r="L3651" s="65">
        <v>3645</v>
      </c>
      <c r="M3651" s="71">
        <f t="shared" ca="1" si="284"/>
        <v>7.8497885621400795E-2</v>
      </c>
      <c r="N3651" s="65"/>
    </row>
    <row r="3652" spans="1:14" x14ac:dyDescent="0.25">
      <c r="A3652" s="2">
        <v>3646</v>
      </c>
      <c r="B3652" s="11">
        <f t="shared" ca="1" si="286"/>
        <v>1</v>
      </c>
      <c r="C3652" s="26">
        <f t="shared" ca="1" si="285"/>
        <v>0.15186259639149835</v>
      </c>
      <c r="J3652">
        <f t="shared" ca="1" si="287"/>
        <v>1</v>
      </c>
      <c r="K3652">
        <f t="shared" ca="1" si="288"/>
        <v>0</v>
      </c>
      <c r="L3652" s="65">
        <v>3646</v>
      </c>
      <c r="M3652" s="71">
        <f t="shared" ca="1" si="284"/>
        <v>5.8641518083361612</v>
      </c>
      <c r="N3652" s="65"/>
    </row>
    <row r="3653" spans="1:14" x14ac:dyDescent="0.25">
      <c r="A3653" s="2">
        <v>3647</v>
      </c>
      <c r="B3653" s="11">
        <f t="shared" ca="1" si="286"/>
        <v>1</v>
      </c>
      <c r="C3653" s="26">
        <f t="shared" ca="1" si="285"/>
        <v>0.29398552715894266</v>
      </c>
      <c r="J3653">
        <f t="shared" ca="1" si="287"/>
        <v>1</v>
      </c>
      <c r="K3653">
        <f t="shared" ca="1" si="288"/>
        <v>0</v>
      </c>
      <c r="L3653" s="65">
        <v>3647</v>
      </c>
      <c r="M3653" s="71">
        <f t="shared" ca="1" si="284"/>
        <v>4.7020364090269755</v>
      </c>
      <c r="N3653" s="65"/>
    </row>
    <row r="3654" spans="1:14" x14ac:dyDescent="0.25">
      <c r="A3654" s="2">
        <v>3648</v>
      </c>
      <c r="B3654" s="11">
        <f t="shared" ca="1" si="286"/>
        <v>1</v>
      </c>
      <c r="C3654" s="26">
        <f t="shared" ca="1" si="285"/>
        <v>2.9903931950837626E-3</v>
      </c>
      <c r="J3654">
        <f t="shared" ca="1" si="287"/>
        <v>0</v>
      </c>
      <c r="K3654">
        <f t="shared" ca="1" si="288"/>
        <v>0</v>
      </c>
      <c r="L3654" s="65">
        <v>3648</v>
      </c>
      <c r="M3654" s="71">
        <f t="shared" ca="1" si="284"/>
        <v>2.0403550612155734</v>
      </c>
      <c r="N3654" s="65"/>
    </row>
    <row r="3655" spans="1:14" x14ac:dyDescent="0.25">
      <c r="A3655" s="2">
        <v>3649</v>
      </c>
      <c r="B3655" s="11">
        <f t="shared" ca="1" si="286"/>
        <v>0</v>
      </c>
      <c r="C3655" s="26">
        <f t="shared" ca="1" si="285"/>
        <v>0.82298980846840342</v>
      </c>
      <c r="J3655">
        <f t="shared" ca="1" si="287"/>
        <v>0</v>
      </c>
      <c r="K3655">
        <f t="shared" ca="1" si="288"/>
        <v>0</v>
      </c>
      <c r="L3655" s="65">
        <v>3649</v>
      </c>
      <c r="M3655" s="71">
        <f t="shared" ca="1" si="284"/>
        <v>0</v>
      </c>
      <c r="N3655" s="65"/>
    </row>
    <row r="3656" spans="1:14" x14ac:dyDescent="0.25">
      <c r="A3656" s="2">
        <v>3650</v>
      </c>
      <c r="B3656" s="11">
        <f t="shared" ca="1" si="286"/>
        <v>1</v>
      </c>
      <c r="C3656" s="26">
        <f t="shared" ref="C3656:C3719" ca="1" si="289">RAND()</f>
        <v>0.49416408846691795</v>
      </c>
      <c r="J3656">
        <f t="shared" ca="1" si="287"/>
        <v>1</v>
      </c>
      <c r="K3656">
        <f t="shared" ca="1" si="288"/>
        <v>0</v>
      </c>
      <c r="L3656" s="65">
        <v>3650</v>
      </c>
      <c r="M3656" s="71">
        <f t="shared" ca="1" si="284"/>
        <v>4.2590662698252988</v>
      </c>
      <c r="N3656" s="65"/>
    </row>
    <row r="3657" spans="1:14" x14ac:dyDescent="0.25">
      <c r="A3657" s="2">
        <v>3651</v>
      </c>
      <c r="B3657" s="11">
        <f t="shared" ref="B3657:B3720" ca="1" si="290">IF(B3656&gt;0,IF(C3657&lt;pww,1,0),IF(C3657&lt;pdw,1,0))</f>
        <v>1</v>
      </c>
      <c r="C3657" s="26">
        <f t="shared" ca="1" si="289"/>
        <v>9.5641161201823754E-2</v>
      </c>
      <c r="J3657">
        <f t="shared" ref="J3657" ca="1" si="291">IF(AND(B3657,B3658),1,0)</f>
        <v>1</v>
      </c>
      <c r="K3657">
        <f t="shared" ref="K3657" ca="1" si="292">IF(AND(NOT(B3657),NOT(B3658)),1,0)</f>
        <v>0</v>
      </c>
      <c r="L3657">
        <f>L3656+1</f>
        <v>3651</v>
      </c>
      <c r="M3657" s="71">
        <f t="shared" ca="1" si="284"/>
        <v>0.36470727852564561</v>
      </c>
    </row>
    <row r="3658" spans="1:14" x14ac:dyDescent="0.25">
      <c r="A3658" s="2">
        <v>3652</v>
      </c>
      <c r="B3658" s="11">
        <f t="shared" ca="1" si="290"/>
        <v>1</v>
      </c>
      <c r="C3658" s="26">
        <f t="shared" ca="1" si="289"/>
        <v>0.24432319075195152</v>
      </c>
      <c r="J3658">
        <f t="shared" ref="J3658:J3721" ca="1" si="293">IF(AND(B3658,B3659),1,0)</f>
        <v>1</v>
      </c>
      <c r="K3658">
        <f t="shared" ref="K3658:K3721" ca="1" si="294">IF(AND(NOT(B3658),NOT(B3659)),1,0)</f>
        <v>0</v>
      </c>
      <c r="L3658">
        <f t="shared" ref="L3658:L3721" si="295">L3657+1</f>
        <v>3652</v>
      </c>
      <c r="M3658" s="71">
        <f t="shared" ref="M3658:M3721" ca="1" si="296">IF(B3658&gt;0,-LN(1-(RAND()))/lambda,0)</f>
        <v>3.8781735970224216</v>
      </c>
    </row>
    <row r="3659" spans="1:14" x14ac:dyDescent="0.25">
      <c r="A3659" s="2">
        <v>3653</v>
      </c>
      <c r="B3659" s="11">
        <f t="shared" ca="1" si="290"/>
        <v>1</v>
      </c>
      <c r="C3659" s="26">
        <f t="shared" ca="1" si="289"/>
        <v>3.0752417980459246E-2</v>
      </c>
      <c r="J3659">
        <f t="shared" ca="1" si="293"/>
        <v>1</v>
      </c>
      <c r="K3659">
        <f t="shared" ca="1" si="294"/>
        <v>0</v>
      </c>
      <c r="L3659">
        <f t="shared" si="295"/>
        <v>3653</v>
      </c>
      <c r="M3659" s="71">
        <f t="shared" ca="1" si="296"/>
        <v>2.2094562060672391</v>
      </c>
    </row>
    <row r="3660" spans="1:14" x14ac:dyDescent="0.25">
      <c r="A3660" s="2">
        <v>3654</v>
      </c>
      <c r="B3660" s="11">
        <f t="shared" ca="1" si="290"/>
        <v>1</v>
      </c>
      <c r="C3660" s="26">
        <f t="shared" ca="1" si="289"/>
        <v>0.71718501983294669</v>
      </c>
      <c r="J3660">
        <f t="shared" ca="1" si="293"/>
        <v>1</v>
      </c>
      <c r="K3660">
        <f t="shared" ca="1" si="294"/>
        <v>0</v>
      </c>
      <c r="L3660">
        <f t="shared" si="295"/>
        <v>3654</v>
      </c>
      <c r="M3660" s="71">
        <f t="shared" ca="1" si="296"/>
        <v>0.40383488513225052</v>
      </c>
    </row>
    <row r="3661" spans="1:14" x14ac:dyDescent="0.25">
      <c r="A3661" s="2">
        <v>3655</v>
      </c>
      <c r="B3661" s="11">
        <f t="shared" ca="1" si="290"/>
        <v>1</v>
      </c>
      <c r="C3661" s="26">
        <f t="shared" ca="1" si="289"/>
        <v>1.1021723796233007E-2</v>
      </c>
      <c r="J3661">
        <f t="shared" ca="1" si="293"/>
        <v>0</v>
      </c>
      <c r="K3661">
        <f t="shared" ca="1" si="294"/>
        <v>0</v>
      </c>
      <c r="L3661">
        <f t="shared" si="295"/>
        <v>3655</v>
      </c>
      <c r="M3661" s="71">
        <f t="shared" ca="1" si="296"/>
        <v>0.70906239637624024</v>
      </c>
    </row>
    <row r="3662" spans="1:14" x14ac:dyDescent="0.25">
      <c r="A3662" s="2">
        <v>3656</v>
      </c>
      <c r="B3662" s="11">
        <f t="shared" ca="1" si="290"/>
        <v>0</v>
      </c>
      <c r="C3662" s="26">
        <f t="shared" ca="1" si="289"/>
        <v>0.90930708691620143</v>
      </c>
      <c r="J3662">
        <f t="shared" ca="1" si="293"/>
        <v>0</v>
      </c>
      <c r="K3662">
        <f t="shared" ca="1" si="294"/>
        <v>0</v>
      </c>
      <c r="L3662">
        <f t="shared" si="295"/>
        <v>3656</v>
      </c>
      <c r="M3662" s="71">
        <f t="shared" ca="1" si="296"/>
        <v>0</v>
      </c>
    </row>
    <row r="3663" spans="1:14" x14ac:dyDescent="0.25">
      <c r="A3663" s="2">
        <v>3657</v>
      </c>
      <c r="B3663" s="11">
        <f t="shared" ca="1" si="290"/>
        <v>1</v>
      </c>
      <c r="C3663" s="26">
        <f t="shared" ca="1" si="289"/>
        <v>0.44085809625620187</v>
      </c>
      <c r="J3663">
        <f t="shared" ca="1" si="293"/>
        <v>0</v>
      </c>
      <c r="K3663">
        <f t="shared" ca="1" si="294"/>
        <v>0</v>
      </c>
      <c r="L3663">
        <f t="shared" si="295"/>
        <v>3657</v>
      </c>
      <c r="M3663" s="71">
        <f t="shared" ca="1" si="296"/>
        <v>0.24523721338496782</v>
      </c>
    </row>
    <row r="3664" spans="1:14" x14ac:dyDescent="0.25">
      <c r="A3664" s="2">
        <v>3658</v>
      </c>
      <c r="B3664" s="11">
        <f t="shared" ca="1" si="290"/>
        <v>0</v>
      </c>
      <c r="C3664" s="26">
        <f t="shared" ca="1" si="289"/>
        <v>0.85160440447994545</v>
      </c>
      <c r="J3664">
        <f t="shared" ca="1" si="293"/>
        <v>0</v>
      </c>
      <c r="K3664">
        <f t="shared" ca="1" si="294"/>
        <v>0</v>
      </c>
      <c r="L3664">
        <f t="shared" si="295"/>
        <v>3658</v>
      </c>
      <c r="M3664" s="71">
        <f t="shared" ca="1" si="296"/>
        <v>0</v>
      </c>
    </row>
    <row r="3665" spans="1:13" x14ac:dyDescent="0.25">
      <c r="A3665" s="2">
        <v>3659</v>
      </c>
      <c r="B3665" s="11">
        <f t="shared" ca="1" si="290"/>
        <v>1</v>
      </c>
      <c r="C3665" s="26">
        <f t="shared" ca="1" si="289"/>
        <v>0.18993590172292429</v>
      </c>
      <c r="J3665">
        <f t="shared" ca="1" si="293"/>
        <v>1</v>
      </c>
      <c r="K3665">
        <f t="shared" ca="1" si="294"/>
        <v>0</v>
      </c>
      <c r="L3665">
        <f t="shared" si="295"/>
        <v>3659</v>
      </c>
      <c r="M3665" s="71">
        <f t="shared" ca="1" si="296"/>
        <v>1.1825281006673052</v>
      </c>
    </row>
    <row r="3666" spans="1:13" x14ac:dyDescent="0.25">
      <c r="A3666" s="2">
        <v>3660</v>
      </c>
      <c r="B3666" s="11">
        <f t="shared" ca="1" si="290"/>
        <v>1</v>
      </c>
      <c r="C3666" s="26">
        <f t="shared" ca="1" si="289"/>
        <v>0.37411006505555133</v>
      </c>
      <c r="J3666">
        <f t="shared" ca="1" si="293"/>
        <v>1</v>
      </c>
      <c r="K3666">
        <f t="shared" ca="1" si="294"/>
        <v>0</v>
      </c>
      <c r="L3666">
        <f t="shared" si="295"/>
        <v>3660</v>
      </c>
      <c r="M3666" s="71">
        <f t="shared" ca="1" si="296"/>
        <v>3.5472351007761405</v>
      </c>
    </row>
    <row r="3667" spans="1:13" x14ac:dyDescent="0.25">
      <c r="A3667" s="2">
        <v>3661</v>
      </c>
      <c r="B3667" s="11">
        <f t="shared" ca="1" si="290"/>
        <v>1</v>
      </c>
      <c r="C3667" s="26">
        <f t="shared" ca="1" si="289"/>
        <v>0.60191749340225065</v>
      </c>
      <c r="J3667">
        <f t="shared" ca="1" si="293"/>
        <v>1</v>
      </c>
      <c r="K3667">
        <f t="shared" ca="1" si="294"/>
        <v>0</v>
      </c>
      <c r="L3667">
        <f t="shared" si="295"/>
        <v>3661</v>
      </c>
      <c r="M3667" s="71">
        <f t="shared" ca="1" si="296"/>
        <v>8.4814781471781746</v>
      </c>
    </row>
    <row r="3668" spans="1:13" x14ac:dyDescent="0.25">
      <c r="A3668" s="2">
        <v>3662</v>
      </c>
      <c r="B3668" s="11">
        <f t="shared" ca="1" si="290"/>
        <v>1</v>
      </c>
      <c r="C3668" s="26">
        <f t="shared" ca="1" si="289"/>
        <v>0.69740246997056599</v>
      </c>
      <c r="J3668">
        <f t="shared" ca="1" si="293"/>
        <v>1</v>
      </c>
      <c r="K3668">
        <f t="shared" ca="1" si="294"/>
        <v>0</v>
      </c>
      <c r="L3668">
        <f t="shared" si="295"/>
        <v>3662</v>
      </c>
      <c r="M3668" s="71">
        <f t="shared" ca="1" si="296"/>
        <v>1.7400489188313726</v>
      </c>
    </row>
    <row r="3669" spans="1:13" x14ac:dyDescent="0.25">
      <c r="A3669" s="2">
        <v>3663</v>
      </c>
      <c r="B3669" s="11">
        <f t="shared" ca="1" si="290"/>
        <v>1</v>
      </c>
      <c r="C3669" s="26">
        <f t="shared" ca="1" si="289"/>
        <v>0.17022503131865563</v>
      </c>
      <c r="J3669">
        <f t="shared" ca="1" si="293"/>
        <v>1</v>
      </c>
      <c r="K3669">
        <f t="shared" ca="1" si="294"/>
        <v>0</v>
      </c>
      <c r="L3669">
        <f t="shared" si="295"/>
        <v>3663</v>
      </c>
      <c r="M3669" s="71">
        <f t="shared" ca="1" si="296"/>
        <v>0.55210986989515143</v>
      </c>
    </row>
    <row r="3670" spans="1:13" x14ac:dyDescent="0.25">
      <c r="A3670" s="2">
        <v>3664</v>
      </c>
      <c r="B3670" s="11">
        <f t="shared" ca="1" si="290"/>
        <v>1</v>
      </c>
      <c r="C3670" s="26">
        <f t="shared" ca="1" si="289"/>
        <v>0.39407136637916662</v>
      </c>
      <c r="J3670">
        <f t="shared" ca="1" si="293"/>
        <v>1</v>
      </c>
      <c r="K3670">
        <f t="shared" ca="1" si="294"/>
        <v>0</v>
      </c>
      <c r="L3670">
        <f t="shared" si="295"/>
        <v>3664</v>
      </c>
      <c r="M3670" s="71">
        <f t="shared" ca="1" si="296"/>
        <v>5.697746947230427</v>
      </c>
    </row>
    <row r="3671" spans="1:13" x14ac:dyDescent="0.25">
      <c r="A3671" s="2">
        <v>3665</v>
      </c>
      <c r="B3671" s="11">
        <f t="shared" ca="1" si="290"/>
        <v>1</v>
      </c>
      <c r="C3671" s="26">
        <f t="shared" ca="1" si="289"/>
        <v>0.58007295185149732</v>
      </c>
      <c r="J3671">
        <f t="shared" ca="1" si="293"/>
        <v>1</v>
      </c>
      <c r="K3671">
        <f t="shared" ca="1" si="294"/>
        <v>0</v>
      </c>
      <c r="L3671">
        <f t="shared" si="295"/>
        <v>3665</v>
      </c>
      <c r="M3671" s="71">
        <f t="shared" ca="1" si="296"/>
        <v>13.430141044783586</v>
      </c>
    </row>
    <row r="3672" spans="1:13" x14ac:dyDescent="0.25">
      <c r="A3672" s="2">
        <v>3666</v>
      </c>
      <c r="B3672" s="11">
        <f t="shared" ca="1" si="290"/>
        <v>1</v>
      </c>
      <c r="C3672" s="26">
        <f t="shared" ca="1" si="289"/>
        <v>0.24353726899730854</v>
      </c>
      <c r="J3672">
        <f t="shared" ca="1" si="293"/>
        <v>1</v>
      </c>
      <c r="K3672">
        <f t="shared" ca="1" si="294"/>
        <v>0</v>
      </c>
      <c r="L3672">
        <f t="shared" si="295"/>
        <v>3666</v>
      </c>
      <c r="M3672" s="71">
        <f t="shared" ca="1" si="296"/>
        <v>0.2263710467952543</v>
      </c>
    </row>
    <row r="3673" spans="1:13" x14ac:dyDescent="0.25">
      <c r="A3673" s="2">
        <v>3667</v>
      </c>
      <c r="B3673" s="11">
        <f t="shared" ca="1" si="290"/>
        <v>1</v>
      </c>
      <c r="C3673" s="26">
        <f t="shared" ca="1" si="289"/>
        <v>0.64565256500709622</v>
      </c>
      <c r="J3673">
        <f t="shared" ca="1" si="293"/>
        <v>1</v>
      </c>
      <c r="K3673">
        <f t="shared" ca="1" si="294"/>
        <v>0</v>
      </c>
      <c r="L3673">
        <f t="shared" si="295"/>
        <v>3667</v>
      </c>
      <c r="M3673" s="71">
        <f t="shared" ca="1" si="296"/>
        <v>0.11623129770235356</v>
      </c>
    </row>
    <row r="3674" spans="1:13" x14ac:dyDescent="0.25">
      <c r="A3674" s="2">
        <v>3668</v>
      </c>
      <c r="B3674" s="11">
        <f t="shared" ca="1" si="290"/>
        <v>1</v>
      </c>
      <c r="C3674" s="26">
        <f t="shared" ca="1" si="289"/>
        <v>0.41155026734330735</v>
      </c>
      <c r="J3674">
        <f t="shared" ca="1" si="293"/>
        <v>1</v>
      </c>
      <c r="K3674">
        <f t="shared" ca="1" si="294"/>
        <v>0</v>
      </c>
      <c r="L3674">
        <f t="shared" si="295"/>
        <v>3668</v>
      </c>
      <c r="M3674" s="71">
        <f t="shared" ca="1" si="296"/>
        <v>1.4518135785170834</v>
      </c>
    </row>
    <row r="3675" spans="1:13" x14ac:dyDescent="0.25">
      <c r="A3675" s="2">
        <v>3669</v>
      </c>
      <c r="B3675" s="11">
        <f t="shared" ca="1" si="290"/>
        <v>1</v>
      </c>
      <c r="C3675" s="26">
        <f t="shared" ca="1" si="289"/>
        <v>4.6039850412051053E-2</v>
      </c>
      <c r="J3675">
        <f t="shared" ca="1" si="293"/>
        <v>1</v>
      </c>
      <c r="K3675">
        <f t="shared" ca="1" si="294"/>
        <v>0</v>
      </c>
      <c r="L3675">
        <f t="shared" si="295"/>
        <v>3669</v>
      </c>
      <c r="M3675" s="71">
        <f t="shared" ca="1" si="296"/>
        <v>3.6042635295063086</v>
      </c>
    </row>
    <row r="3676" spans="1:13" x14ac:dyDescent="0.25">
      <c r="A3676" s="2">
        <v>3670</v>
      </c>
      <c r="B3676" s="11">
        <f t="shared" ca="1" si="290"/>
        <v>1</v>
      </c>
      <c r="C3676" s="26">
        <f t="shared" ca="1" si="289"/>
        <v>0.28574602043046293</v>
      </c>
      <c r="J3676">
        <f t="shared" ca="1" si="293"/>
        <v>1</v>
      </c>
      <c r="K3676">
        <f t="shared" ca="1" si="294"/>
        <v>0</v>
      </c>
      <c r="L3676">
        <f t="shared" si="295"/>
        <v>3670</v>
      </c>
      <c r="M3676" s="71">
        <f t="shared" ca="1" si="296"/>
        <v>0.42471419527365084</v>
      </c>
    </row>
    <row r="3677" spans="1:13" x14ac:dyDescent="0.25">
      <c r="A3677" s="2">
        <v>3671</v>
      </c>
      <c r="B3677" s="11">
        <f t="shared" ca="1" si="290"/>
        <v>1</v>
      </c>
      <c r="C3677" s="26">
        <f t="shared" ca="1" si="289"/>
        <v>6.4735295266757142E-2</v>
      </c>
      <c r="J3677">
        <f t="shared" ca="1" si="293"/>
        <v>1</v>
      </c>
      <c r="K3677">
        <f t="shared" ca="1" si="294"/>
        <v>0</v>
      </c>
      <c r="L3677">
        <f t="shared" si="295"/>
        <v>3671</v>
      </c>
      <c r="M3677" s="71">
        <f t="shared" ca="1" si="296"/>
        <v>2.3824078773684492</v>
      </c>
    </row>
    <row r="3678" spans="1:13" x14ac:dyDescent="0.25">
      <c r="A3678" s="2">
        <v>3672</v>
      </c>
      <c r="B3678" s="11">
        <f t="shared" ca="1" si="290"/>
        <v>1</v>
      </c>
      <c r="C3678" s="26">
        <f t="shared" ca="1" si="289"/>
        <v>9.4683336294554832E-2</v>
      </c>
      <c r="J3678">
        <f t="shared" ca="1" si="293"/>
        <v>0</v>
      </c>
      <c r="K3678">
        <f t="shared" ca="1" si="294"/>
        <v>0</v>
      </c>
      <c r="L3678">
        <f t="shared" si="295"/>
        <v>3672</v>
      </c>
      <c r="M3678" s="71">
        <f t="shared" ca="1" si="296"/>
        <v>4.6511059485732913</v>
      </c>
    </row>
    <row r="3679" spans="1:13" x14ac:dyDescent="0.25">
      <c r="A3679" s="2">
        <v>3673</v>
      </c>
      <c r="B3679" s="11">
        <f t="shared" ca="1" si="290"/>
        <v>0</v>
      </c>
      <c r="C3679" s="26">
        <f t="shared" ca="1" si="289"/>
        <v>0.82807450352419076</v>
      </c>
      <c r="J3679">
        <f t="shared" ca="1" si="293"/>
        <v>0</v>
      </c>
      <c r="K3679">
        <f t="shared" ca="1" si="294"/>
        <v>1</v>
      </c>
      <c r="L3679">
        <f t="shared" si="295"/>
        <v>3673</v>
      </c>
      <c r="M3679" s="71">
        <f t="shared" ca="1" si="296"/>
        <v>0</v>
      </c>
    </row>
    <row r="3680" spans="1:13" x14ac:dyDescent="0.25">
      <c r="A3680" s="2">
        <v>3674</v>
      </c>
      <c r="B3680" s="11">
        <f t="shared" ca="1" si="290"/>
        <v>0</v>
      </c>
      <c r="C3680" s="26">
        <f t="shared" ca="1" si="289"/>
        <v>0.89000889509415038</v>
      </c>
      <c r="J3680">
        <f t="shared" ca="1" si="293"/>
        <v>0</v>
      </c>
      <c r="K3680">
        <f t="shared" ca="1" si="294"/>
        <v>0</v>
      </c>
      <c r="L3680">
        <f t="shared" si="295"/>
        <v>3674</v>
      </c>
      <c r="M3680" s="71">
        <f t="shared" ca="1" si="296"/>
        <v>0</v>
      </c>
    </row>
    <row r="3681" spans="1:13" x14ac:dyDescent="0.25">
      <c r="A3681" s="2">
        <v>3675</v>
      </c>
      <c r="B3681" s="11">
        <f t="shared" ca="1" si="290"/>
        <v>1</v>
      </c>
      <c r="C3681" s="26">
        <f t="shared" ca="1" si="289"/>
        <v>0.12993352906700406</v>
      </c>
      <c r="J3681">
        <f t="shared" ca="1" si="293"/>
        <v>1</v>
      </c>
      <c r="K3681">
        <f t="shared" ca="1" si="294"/>
        <v>0</v>
      </c>
      <c r="L3681">
        <f t="shared" si="295"/>
        <v>3675</v>
      </c>
      <c r="M3681" s="71">
        <f t="shared" ca="1" si="296"/>
        <v>0.13432179799674016</v>
      </c>
    </row>
    <row r="3682" spans="1:13" x14ac:dyDescent="0.25">
      <c r="A3682" s="2">
        <v>3676</v>
      </c>
      <c r="B3682" s="11">
        <f t="shared" ca="1" si="290"/>
        <v>1</v>
      </c>
      <c r="C3682" s="26">
        <f t="shared" ca="1" si="289"/>
        <v>6.3986013956426113E-2</v>
      </c>
      <c r="J3682">
        <f t="shared" ca="1" si="293"/>
        <v>1</v>
      </c>
      <c r="K3682">
        <f t="shared" ca="1" si="294"/>
        <v>0</v>
      </c>
      <c r="L3682">
        <f t="shared" si="295"/>
        <v>3676</v>
      </c>
      <c r="M3682" s="71">
        <f t="shared" ca="1" si="296"/>
        <v>6.3087553230132682</v>
      </c>
    </row>
    <row r="3683" spans="1:13" x14ac:dyDescent="0.25">
      <c r="A3683" s="2">
        <v>3677</v>
      </c>
      <c r="B3683" s="11">
        <f t="shared" ca="1" si="290"/>
        <v>1</v>
      </c>
      <c r="C3683" s="26">
        <f t="shared" ca="1" si="289"/>
        <v>0.30135139385244025</v>
      </c>
      <c r="J3683">
        <f t="shared" ca="1" si="293"/>
        <v>0</v>
      </c>
      <c r="K3683">
        <f t="shared" ca="1" si="294"/>
        <v>0</v>
      </c>
      <c r="L3683">
        <f t="shared" si="295"/>
        <v>3677</v>
      </c>
      <c r="M3683" s="71">
        <f t="shared" ca="1" si="296"/>
        <v>3.5049932470785006</v>
      </c>
    </row>
    <row r="3684" spans="1:13" x14ac:dyDescent="0.25">
      <c r="A3684" s="2">
        <v>3678</v>
      </c>
      <c r="B3684" s="11">
        <f t="shared" ca="1" si="290"/>
        <v>0</v>
      </c>
      <c r="C3684" s="26">
        <f t="shared" ca="1" si="289"/>
        <v>0.83310853154099518</v>
      </c>
      <c r="J3684">
        <f t="shared" ca="1" si="293"/>
        <v>0</v>
      </c>
      <c r="K3684">
        <f t="shared" ca="1" si="294"/>
        <v>0</v>
      </c>
      <c r="L3684">
        <f t="shared" si="295"/>
        <v>3678</v>
      </c>
      <c r="M3684" s="71">
        <f t="shared" ca="1" si="296"/>
        <v>0</v>
      </c>
    </row>
    <row r="3685" spans="1:13" x14ac:dyDescent="0.25">
      <c r="A3685" s="2">
        <v>3679</v>
      </c>
      <c r="B3685" s="11">
        <f t="shared" ca="1" si="290"/>
        <v>1</v>
      </c>
      <c r="C3685" s="26">
        <f t="shared" ca="1" si="289"/>
        <v>0.68988945751542696</v>
      </c>
      <c r="J3685">
        <f t="shared" ca="1" si="293"/>
        <v>0</v>
      </c>
      <c r="K3685">
        <f t="shared" ca="1" si="294"/>
        <v>0</v>
      </c>
      <c r="L3685">
        <f t="shared" si="295"/>
        <v>3679</v>
      </c>
      <c r="M3685" s="71">
        <f t="shared" ca="1" si="296"/>
        <v>7.153492190132309</v>
      </c>
    </row>
    <row r="3686" spans="1:13" x14ac:dyDescent="0.25">
      <c r="A3686" s="2">
        <v>3680</v>
      </c>
      <c r="B3686" s="11">
        <f t="shared" ca="1" si="290"/>
        <v>0</v>
      </c>
      <c r="C3686" s="26">
        <f t="shared" ca="1" si="289"/>
        <v>0.93551323831173672</v>
      </c>
      <c r="J3686">
        <f t="shared" ca="1" si="293"/>
        <v>0</v>
      </c>
      <c r="K3686">
        <f t="shared" ca="1" si="294"/>
        <v>0</v>
      </c>
      <c r="L3686">
        <f t="shared" si="295"/>
        <v>3680</v>
      </c>
      <c r="M3686" s="71">
        <f t="shared" ca="1" si="296"/>
        <v>0</v>
      </c>
    </row>
    <row r="3687" spans="1:13" x14ac:dyDescent="0.25">
      <c r="A3687" s="2">
        <v>3681</v>
      </c>
      <c r="B3687" s="11">
        <f t="shared" ca="1" si="290"/>
        <v>1</v>
      </c>
      <c r="C3687" s="26">
        <f t="shared" ca="1" si="289"/>
        <v>0.6956177096059134</v>
      </c>
      <c r="J3687">
        <f t="shared" ca="1" si="293"/>
        <v>1</v>
      </c>
      <c r="K3687">
        <f t="shared" ca="1" si="294"/>
        <v>0</v>
      </c>
      <c r="L3687">
        <f t="shared" si="295"/>
        <v>3681</v>
      </c>
      <c r="M3687" s="71">
        <f t="shared" ca="1" si="296"/>
        <v>2.3205508997272131</v>
      </c>
    </row>
    <row r="3688" spans="1:13" x14ac:dyDescent="0.25">
      <c r="A3688" s="2">
        <v>3682</v>
      </c>
      <c r="B3688" s="11">
        <f t="shared" ca="1" si="290"/>
        <v>1</v>
      </c>
      <c r="C3688" s="26">
        <f t="shared" ca="1" si="289"/>
        <v>0.16152759921573434</v>
      </c>
      <c r="J3688">
        <f t="shared" ca="1" si="293"/>
        <v>0</v>
      </c>
      <c r="K3688">
        <f t="shared" ca="1" si="294"/>
        <v>0</v>
      </c>
      <c r="L3688">
        <f t="shared" si="295"/>
        <v>3682</v>
      </c>
      <c r="M3688" s="71">
        <f t="shared" ca="1" si="296"/>
        <v>0.87873682041439338</v>
      </c>
    </row>
    <row r="3689" spans="1:13" x14ac:dyDescent="0.25">
      <c r="A3689" s="2">
        <v>3683</v>
      </c>
      <c r="B3689" s="11">
        <f t="shared" ca="1" si="290"/>
        <v>0</v>
      </c>
      <c r="C3689" s="26">
        <f t="shared" ca="1" si="289"/>
        <v>0.82027934886301468</v>
      </c>
      <c r="J3689">
        <f t="shared" ca="1" si="293"/>
        <v>0</v>
      </c>
      <c r="K3689">
        <f t="shared" ca="1" si="294"/>
        <v>0</v>
      </c>
      <c r="L3689">
        <f t="shared" si="295"/>
        <v>3683</v>
      </c>
      <c r="M3689" s="71">
        <f t="shared" ca="1" si="296"/>
        <v>0</v>
      </c>
    </row>
    <row r="3690" spans="1:13" x14ac:dyDescent="0.25">
      <c r="A3690" s="2">
        <v>3684</v>
      </c>
      <c r="B3690" s="11">
        <f t="shared" ca="1" si="290"/>
        <v>1</v>
      </c>
      <c r="C3690" s="26">
        <f t="shared" ca="1" si="289"/>
        <v>0.21351376225053598</v>
      </c>
      <c r="J3690">
        <f t="shared" ca="1" si="293"/>
        <v>1</v>
      </c>
      <c r="K3690">
        <f t="shared" ca="1" si="294"/>
        <v>0</v>
      </c>
      <c r="L3690">
        <f t="shared" si="295"/>
        <v>3684</v>
      </c>
      <c r="M3690" s="71">
        <f t="shared" ca="1" si="296"/>
        <v>1.0625479292446509</v>
      </c>
    </row>
    <row r="3691" spans="1:13" x14ac:dyDescent="0.25">
      <c r="A3691" s="2">
        <v>3685</v>
      </c>
      <c r="B3691" s="11">
        <f t="shared" ca="1" si="290"/>
        <v>1</v>
      </c>
      <c r="C3691" s="26">
        <f t="shared" ca="1" si="289"/>
        <v>0.69184229277327891</v>
      </c>
      <c r="J3691">
        <f t="shared" ca="1" si="293"/>
        <v>1</v>
      </c>
      <c r="K3691">
        <f t="shared" ca="1" si="294"/>
        <v>0</v>
      </c>
      <c r="L3691">
        <f t="shared" si="295"/>
        <v>3685</v>
      </c>
      <c r="M3691" s="71">
        <f t="shared" ca="1" si="296"/>
        <v>9.2110910968328561</v>
      </c>
    </row>
    <row r="3692" spans="1:13" x14ac:dyDescent="0.25">
      <c r="A3692" s="2">
        <v>3686</v>
      </c>
      <c r="B3692" s="11">
        <f t="shared" ca="1" si="290"/>
        <v>1</v>
      </c>
      <c r="C3692" s="26">
        <f t="shared" ca="1" si="289"/>
        <v>0.32786005843303345</v>
      </c>
      <c r="J3692">
        <f t="shared" ca="1" si="293"/>
        <v>1</v>
      </c>
      <c r="K3692">
        <f t="shared" ca="1" si="294"/>
        <v>0</v>
      </c>
      <c r="L3692">
        <f t="shared" si="295"/>
        <v>3686</v>
      </c>
      <c r="M3692" s="71">
        <f t="shared" ca="1" si="296"/>
        <v>0.78015371754954999</v>
      </c>
    </row>
    <row r="3693" spans="1:13" x14ac:dyDescent="0.25">
      <c r="A3693" s="2">
        <v>3687</v>
      </c>
      <c r="B3693" s="11">
        <f t="shared" ca="1" si="290"/>
        <v>1</v>
      </c>
      <c r="C3693" s="26">
        <f t="shared" ca="1" si="289"/>
        <v>0.25685849490727675</v>
      </c>
      <c r="J3693">
        <f t="shared" ca="1" si="293"/>
        <v>1</v>
      </c>
      <c r="K3693">
        <f t="shared" ca="1" si="294"/>
        <v>0</v>
      </c>
      <c r="L3693">
        <f t="shared" si="295"/>
        <v>3687</v>
      </c>
      <c r="M3693" s="71">
        <f t="shared" ca="1" si="296"/>
        <v>22.956125038875431</v>
      </c>
    </row>
    <row r="3694" spans="1:13" x14ac:dyDescent="0.25">
      <c r="A3694" s="2">
        <v>3688</v>
      </c>
      <c r="B3694" s="11">
        <f t="shared" ca="1" si="290"/>
        <v>1</v>
      </c>
      <c r="C3694" s="26">
        <f t="shared" ca="1" si="289"/>
        <v>9.7093420026976185E-2</v>
      </c>
      <c r="J3694">
        <f t="shared" ca="1" si="293"/>
        <v>1</v>
      </c>
      <c r="K3694">
        <f t="shared" ca="1" si="294"/>
        <v>0</v>
      </c>
      <c r="L3694">
        <f t="shared" si="295"/>
        <v>3688</v>
      </c>
      <c r="M3694" s="71">
        <f t="shared" ca="1" si="296"/>
        <v>0.76725912058837487</v>
      </c>
    </row>
    <row r="3695" spans="1:13" x14ac:dyDescent="0.25">
      <c r="A3695" s="2">
        <v>3689</v>
      </c>
      <c r="B3695" s="11">
        <f t="shared" ca="1" si="290"/>
        <v>1</v>
      </c>
      <c r="C3695" s="26">
        <f t="shared" ca="1" si="289"/>
        <v>0.42563634365895342</v>
      </c>
      <c r="J3695">
        <f t="shared" ca="1" si="293"/>
        <v>1</v>
      </c>
      <c r="K3695">
        <f t="shared" ca="1" si="294"/>
        <v>0</v>
      </c>
      <c r="L3695">
        <f t="shared" si="295"/>
        <v>3689</v>
      </c>
      <c r="M3695" s="71">
        <f t="shared" ca="1" si="296"/>
        <v>1.1591735414257913</v>
      </c>
    </row>
    <row r="3696" spans="1:13" x14ac:dyDescent="0.25">
      <c r="A3696" s="2">
        <v>3690</v>
      </c>
      <c r="B3696" s="11">
        <f t="shared" ca="1" si="290"/>
        <v>1</v>
      </c>
      <c r="C3696" s="26">
        <f t="shared" ca="1" si="289"/>
        <v>0.39735027948619328</v>
      </c>
      <c r="J3696">
        <f t="shared" ca="1" si="293"/>
        <v>0</v>
      </c>
      <c r="K3696">
        <f t="shared" ca="1" si="294"/>
        <v>0</v>
      </c>
      <c r="L3696">
        <f t="shared" si="295"/>
        <v>3690</v>
      </c>
      <c r="M3696" s="71">
        <f t="shared" ca="1" si="296"/>
        <v>3.595593507942668</v>
      </c>
    </row>
    <row r="3697" spans="1:13" x14ac:dyDescent="0.25">
      <c r="A3697" s="2">
        <v>3691</v>
      </c>
      <c r="B3697" s="11">
        <f t="shared" ca="1" si="290"/>
        <v>0</v>
      </c>
      <c r="C3697" s="26">
        <f t="shared" ca="1" si="289"/>
        <v>0.89705465039537946</v>
      </c>
      <c r="J3697">
        <f t="shared" ca="1" si="293"/>
        <v>0</v>
      </c>
      <c r="K3697">
        <f t="shared" ca="1" si="294"/>
        <v>1</v>
      </c>
      <c r="L3697">
        <f t="shared" si="295"/>
        <v>3691</v>
      </c>
      <c r="M3697" s="71">
        <f t="shared" ca="1" si="296"/>
        <v>0</v>
      </c>
    </row>
    <row r="3698" spans="1:13" x14ac:dyDescent="0.25">
      <c r="A3698" s="2">
        <v>3692</v>
      </c>
      <c r="B3698" s="11">
        <f t="shared" ca="1" si="290"/>
        <v>0</v>
      </c>
      <c r="C3698" s="26">
        <f t="shared" ca="1" si="289"/>
        <v>0.93184177752428277</v>
      </c>
      <c r="J3698">
        <f t="shared" ca="1" si="293"/>
        <v>0</v>
      </c>
      <c r="K3698">
        <f t="shared" ca="1" si="294"/>
        <v>1</v>
      </c>
      <c r="L3698">
        <f t="shared" si="295"/>
        <v>3692</v>
      </c>
      <c r="M3698" s="71">
        <f t="shared" ca="1" si="296"/>
        <v>0</v>
      </c>
    </row>
    <row r="3699" spans="1:13" x14ac:dyDescent="0.25">
      <c r="A3699" s="2">
        <v>3693</v>
      </c>
      <c r="B3699" s="11">
        <f t="shared" ca="1" si="290"/>
        <v>0</v>
      </c>
      <c r="C3699" s="26">
        <f t="shared" ca="1" si="289"/>
        <v>0.88303191635943856</v>
      </c>
      <c r="J3699">
        <f t="shared" ca="1" si="293"/>
        <v>0</v>
      </c>
      <c r="K3699">
        <f t="shared" ca="1" si="294"/>
        <v>0</v>
      </c>
      <c r="L3699">
        <f t="shared" si="295"/>
        <v>3693</v>
      </c>
      <c r="M3699" s="71">
        <f t="shared" ca="1" si="296"/>
        <v>0</v>
      </c>
    </row>
    <row r="3700" spans="1:13" x14ac:dyDescent="0.25">
      <c r="A3700" s="2">
        <v>3694</v>
      </c>
      <c r="B3700" s="11">
        <f t="shared" ca="1" si="290"/>
        <v>1</v>
      </c>
      <c r="C3700" s="26">
        <f t="shared" ca="1" si="289"/>
        <v>0.6373386234437195</v>
      </c>
      <c r="J3700">
        <f t="shared" ca="1" si="293"/>
        <v>1</v>
      </c>
      <c r="K3700">
        <f t="shared" ca="1" si="294"/>
        <v>0</v>
      </c>
      <c r="L3700">
        <f t="shared" si="295"/>
        <v>3694</v>
      </c>
      <c r="M3700" s="71">
        <f t="shared" ca="1" si="296"/>
        <v>0.42129468366146655</v>
      </c>
    </row>
    <row r="3701" spans="1:13" x14ac:dyDescent="0.25">
      <c r="A3701" s="2">
        <v>3695</v>
      </c>
      <c r="B3701" s="11">
        <f t="shared" ca="1" si="290"/>
        <v>1</v>
      </c>
      <c r="C3701" s="26">
        <f t="shared" ca="1" si="289"/>
        <v>7.5799779515926979E-2</v>
      </c>
      <c r="J3701">
        <f t="shared" ca="1" si="293"/>
        <v>1</v>
      </c>
      <c r="K3701">
        <f t="shared" ca="1" si="294"/>
        <v>0</v>
      </c>
      <c r="L3701">
        <f t="shared" si="295"/>
        <v>3695</v>
      </c>
      <c r="M3701" s="71">
        <f t="shared" ca="1" si="296"/>
        <v>3.1132091504416604</v>
      </c>
    </row>
    <row r="3702" spans="1:13" x14ac:dyDescent="0.25">
      <c r="A3702" s="2">
        <v>3696</v>
      </c>
      <c r="B3702" s="11">
        <f t="shared" ca="1" si="290"/>
        <v>1</v>
      </c>
      <c r="C3702" s="26">
        <f t="shared" ca="1" si="289"/>
        <v>0.39770405376116247</v>
      </c>
      <c r="J3702">
        <f t="shared" ca="1" si="293"/>
        <v>1</v>
      </c>
      <c r="K3702">
        <f t="shared" ca="1" si="294"/>
        <v>0</v>
      </c>
      <c r="L3702">
        <f t="shared" si="295"/>
        <v>3696</v>
      </c>
      <c r="M3702" s="71">
        <f t="shared" ca="1" si="296"/>
        <v>1.4060834705907672</v>
      </c>
    </row>
    <row r="3703" spans="1:13" x14ac:dyDescent="0.25">
      <c r="A3703" s="2">
        <v>3697</v>
      </c>
      <c r="B3703" s="11">
        <f t="shared" ca="1" si="290"/>
        <v>1</v>
      </c>
      <c r="C3703" s="26">
        <f t="shared" ca="1" si="289"/>
        <v>0.43452784220339857</v>
      </c>
      <c r="J3703">
        <f t="shared" ca="1" si="293"/>
        <v>1</v>
      </c>
      <c r="K3703">
        <f t="shared" ca="1" si="294"/>
        <v>0</v>
      </c>
      <c r="L3703">
        <f t="shared" si="295"/>
        <v>3697</v>
      </c>
      <c r="M3703" s="71">
        <f t="shared" ca="1" si="296"/>
        <v>9.7474710436419296E-2</v>
      </c>
    </row>
    <row r="3704" spans="1:13" x14ac:dyDescent="0.25">
      <c r="A3704" s="2">
        <v>3698</v>
      </c>
      <c r="B3704" s="11">
        <f t="shared" ca="1" si="290"/>
        <v>1</v>
      </c>
      <c r="C3704" s="26">
        <f t="shared" ca="1" si="289"/>
        <v>0.31243692998504158</v>
      </c>
      <c r="J3704">
        <f t="shared" ca="1" si="293"/>
        <v>1</v>
      </c>
      <c r="K3704">
        <f t="shared" ca="1" si="294"/>
        <v>0</v>
      </c>
      <c r="L3704">
        <f t="shared" si="295"/>
        <v>3698</v>
      </c>
      <c r="M3704" s="71">
        <f t="shared" ca="1" si="296"/>
        <v>13.444746576786329</v>
      </c>
    </row>
    <row r="3705" spans="1:13" x14ac:dyDescent="0.25">
      <c r="A3705" s="2">
        <v>3699</v>
      </c>
      <c r="B3705" s="11">
        <f t="shared" ca="1" si="290"/>
        <v>1</v>
      </c>
      <c r="C3705" s="26">
        <f t="shared" ca="1" si="289"/>
        <v>0.62356191438250341</v>
      </c>
      <c r="J3705">
        <f t="shared" ca="1" si="293"/>
        <v>1</v>
      </c>
      <c r="K3705">
        <f t="shared" ca="1" si="294"/>
        <v>0</v>
      </c>
      <c r="L3705">
        <f t="shared" si="295"/>
        <v>3699</v>
      </c>
      <c r="M3705" s="71">
        <f t="shared" ca="1" si="296"/>
        <v>0.48084138525800907</v>
      </c>
    </row>
    <row r="3706" spans="1:13" x14ac:dyDescent="0.25">
      <c r="A3706" s="2">
        <v>3700</v>
      </c>
      <c r="B3706" s="11">
        <f t="shared" ca="1" si="290"/>
        <v>1</v>
      </c>
      <c r="C3706" s="26">
        <f t="shared" ca="1" si="289"/>
        <v>4.4300407482902648E-2</v>
      </c>
      <c r="J3706">
        <f t="shared" ca="1" si="293"/>
        <v>1</v>
      </c>
      <c r="K3706">
        <f t="shared" ca="1" si="294"/>
        <v>0</v>
      </c>
      <c r="L3706">
        <f t="shared" si="295"/>
        <v>3700</v>
      </c>
      <c r="M3706" s="71">
        <f t="shared" ca="1" si="296"/>
        <v>1.2181562206569754</v>
      </c>
    </row>
    <row r="3707" spans="1:13" x14ac:dyDescent="0.25">
      <c r="A3707" s="2">
        <v>3701</v>
      </c>
      <c r="B3707" s="11">
        <f t="shared" ca="1" si="290"/>
        <v>1</v>
      </c>
      <c r="C3707" s="26">
        <f t="shared" ca="1" si="289"/>
        <v>0.36833060356852532</v>
      </c>
      <c r="J3707">
        <f t="shared" ca="1" si="293"/>
        <v>1</v>
      </c>
      <c r="K3707">
        <f t="shared" ca="1" si="294"/>
        <v>0</v>
      </c>
      <c r="L3707">
        <f t="shared" si="295"/>
        <v>3701</v>
      </c>
      <c r="M3707" s="71">
        <f t="shared" ca="1" si="296"/>
        <v>0.50496512809921434</v>
      </c>
    </row>
    <row r="3708" spans="1:13" x14ac:dyDescent="0.25">
      <c r="A3708" s="2">
        <v>3702</v>
      </c>
      <c r="B3708" s="11">
        <f t="shared" ca="1" si="290"/>
        <v>1</v>
      </c>
      <c r="C3708" s="26">
        <f t="shared" ca="1" si="289"/>
        <v>0.62737780101987028</v>
      </c>
      <c r="J3708">
        <f t="shared" ca="1" si="293"/>
        <v>1</v>
      </c>
      <c r="K3708">
        <f t="shared" ca="1" si="294"/>
        <v>0</v>
      </c>
      <c r="L3708">
        <f t="shared" si="295"/>
        <v>3702</v>
      </c>
      <c r="M3708" s="71">
        <f t="shared" ca="1" si="296"/>
        <v>6.3122274797919422</v>
      </c>
    </row>
    <row r="3709" spans="1:13" x14ac:dyDescent="0.25">
      <c r="A3709" s="2">
        <v>3703</v>
      </c>
      <c r="B3709" s="11">
        <f t="shared" ca="1" si="290"/>
        <v>1</v>
      </c>
      <c r="C3709" s="26">
        <f t="shared" ca="1" si="289"/>
        <v>0.62794084179587506</v>
      </c>
      <c r="J3709">
        <f t="shared" ca="1" si="293"/>
        <v>1</v>
      </c>
      <c r="K3709">
        <f t="shared" ca="1" si="294"/>
        <v>0</v>
      </c>
      <c r="L3709">
        <f t="shared" si="295"/>
        <v>3703</v>
      </c>
      <c r="M3709" s="71">
        <f t="shared" ca="1" si="296"/>
        <v>0.62099959794575144</v>
      </c>
    </row>
    <row r="3710" spans="1:13" x14ac:dyDescent="0.25">
      <c r="A3710" s="2">
        <v>3704</v>
      </c>
      <c r="B3710" s="11">
        <f t="shared" ca="1" si="290"/>
        <v>1</v>
      </c>
      <c r="C3710" s="26">
        <f t="shared" ca="1" si="289"/>
        <v>3.7694182997420667E-2</v>
      </c>
      <c r="J3710">
        <f t="shared" ca="1" si="293"/>
        <v>1</v>
      </c>
      <c r="K3710">
        <f t="shared" ca="1" si="294"/>
        <v>0</v>
      </c>
      <c r="L3710">
        <f t="shared" si="295"/>
        <v>3704</v>
      </c>
      <c r="M3710" s="71">
        <f t="shared" ca="1" si="296"/>
        <v>15.121369565241796</v>
      </c>
    </row>
    <row r="3711" spans="1:13" x14ac:dyDescent="0.25">
      <c r="A3711" s="2">
        <v>3705</v>
      </c>
      <c r="B3711" s="11">
        <f t="shared" ca="1" si="290"/>
        <v>1</v>
      </c>
      <c r="C3711" s="26">
        <f t="shared" ca="1" si="289"/>
        <v>0.50550957692178311</v>
      </c>
      <c r="J3711">
        <f t="shared" ca="1" si="293"/>
        <v>1</v>
      </c>
      <c r="K3711">
        <f t="shared" ca="1" si="294"/>
        <v>0</v>
      </c>
      <c r="L3711">
        <f t="shared" si="295"/>
        <v>3705</v>
      </c>
      <c r="M3711" s="71">
        <f t="shared" ca="1" si="296"/>
        <v>0.27605357700663885</v>
      </c>
    </row>
    <row r="3712" spans="1:13" x14ac:dyDescent="0.25">
      <c r="A3712" s="2">
        <v>3706</v>
      </c>
      <c r="B3712" s="11">
        <f t="shared" ca="1" si="290"/>
        <v>1</v>
      </c>
      <c r="C3712" s="26">
        <f t="shared" ca="1" si="289"/>
        <v>0.6825202321114453</v>
      </c>
      <c r="J3712">
        <f t="shared" ca="1" si="293"/>
        <v>1</v>
      </c>
      <c r="K3712">
        <f t="shared" ca="1" si="294"/>
        <v>0</v>
      </c>
      <c r="L3712">
        <f t="shared" si="295"/>
        <v>3706</v>
      </c>
      <c r="M3712" s="71">
        <f t="shared" ca="1" si="296"/>
        <v>2.9054313716553595</v>
      </c>
    </row>
    <row r="3713" spans="1:13" x14ac:dyDescent="0.25">
      <c r="A3713" s="2">
        <v>3707</v>
      </c>
      <c r="B3713" s="11">
        <f t="shared" ca="1" si="290"/>
        <v>1</v>
      </c>
      <c r="C3713" s="26">
        <f t="shared" ca="1" si="289"/>
        <v>4.0148770711057602E-2</v>
      </c>
      <c r="J3713">
        <f t="shared" ca="1" si="293"/>
        <v>1</v>
      </c>
      <c r="K3713">
        <f t="shared" ca="1" si="294"/>
        <v>0</v>
      </c>
      <c r="L3713">
        <f t="shared" si="295"/>
        <v>3707</v>
      </c>
      <c r="M3713" s="71">
        <f t="shared" ca="1" si="296"/>
        <v>3.5339230210811361</v>
      </c>
    </row>
    <row r="3714" spans="1:13" x14ac:dyDescent="0.25">
      <c r="A3714" s="2">
        <v>3708</v>
      </c>
      <c r="B3714" s="11">
        <f t="shared" ca="1" si="290"/>
        <v>1</v>
      </c>
      <c r="C3714" s="26">
        <f t="shared" ca="1" si="289"/>
        <v>0.7626797823002992</v>
      </c>
      <c r="J3714">
        <f t="shared" ca="1" si="293"/>
        <v>0</v>
      </c>
      <c r="K3714">
        <f t="shared" ca="1" si="294"/>
        <v>0</v>
      </c>
      <c r="L3714">
        <f t="shared" si="295"/>
        <v>3708</v>
      </c>
      <c r="M3714" s="71">
        <f t="shared" ca="1" si="296"/>
        <v>6.1101580102772317</v>
      </c>
    </row>
    <row r="3715" spans="1:13" x14ac:dyDescent="0.25">
      <c r="A3715" s="2">
        <v>3709</v>
      </c>
      <c r="B3715" s="11">
        <f t="shared" ca="1" si="290"/>
        <v>0</v>
      </c>
      <c r="C3715" s="26">
        <f t="shared" ca="1" si="289"/>
        <v>0.96813537123333604</v>
      </c>
      <c r="J3715">
        <f t="shared" ca="1" si="293"/>
        <v>0</v>
      </c>
      <c r="K3715">
        <f t="shared" ca="1" si="294"/>
        <v>1</v>
      </c>
      <c r="L3715">
        <f t="shared" si="295"/>
        <v>3709</v>
      </c>
      <c r="M3715" s="71">
        <f t="shared" ca="1" si="296"/>
        <v>0</v>
      </c>
    </row>
    <row r="3716" spans="1:13" x14ac:dyDescent="0.25">
      <c r="A3716" s="2">
        <v>3710</v>
      </c>
      <c r="B3716" s="11">
        <f t="shared" ca="1" si="290"/>
        <v>0</v>
      </c>
      <c r="C3716" s="26">
        <f t="shared" ca="1" si="289"/>
        <v>0.77929169678244137</v>
      </c>
      <c r="J3716">
        <f t="shared" ca="1" si="293"/>
        <v>0</v>
      </c>
      <c r="K3716">
        <f t="shared" ca="1" si="294"/>
        <v>1</v>
      </c>
      <c r="L3716">
        <f t="shared" si="295"/>
        <v>3710</v>
      </c>
      <c r="M3716" s="71">
        <f t="shared" ca="1" si="296"/>
        <v>0</v>
      </c>
    </row>
    <row r="3717" spans="1:13" x14ac:dyDescent="0.25">
      <c r="A3717" s="2">
        <v>3711</v>
      </c>
      <c r="B3717" s="11">
        <f t="shared" ca="1" si="290"/>
        <v>0</v>
      </c>
      <c r="C3717" s="26">
        <f t="shared" ca="1" si="289"/>
        <v>0.92616406187099665</v>
      </c>
      <c r="J3717">
        <f t="shared" ca="1" si="293"/>
        <v>0</v>
      </c>
      <c r="K3717">
        <f t="shared" ca="1" si="294"/>
        <v>0</v>
      </c>
      <c r="L3717">
        <f t="shared" si="295"/>
        <v>3711</v>
      </c>
      <c r="M3717" s="71">
        <f t="shared" ca="1" si="296"/>
        <v>0</v>
      </c>
    </row>
    <row r="3718" spans="1:13" x14ac:dyDescent="0.25">
      <c r="A3718" s="2">
        <v>3712</v>
      </c>
      <c r="B3718" s="11">
        <f t="shared" ca="1" si="290"/>
        <v>1</v>
      </c>
      <c r="C3718" s="26">
        <f t="shared" ca="1" si="289"/>
        <v>0.57531861088001957</v>
      </c>
      <c r="J3718">
        <f t="shared" ca="1" si="293"/>
        <v>0</v>
      </c>
      <c r="K3718">
        <f t="shared" ca="1" si="294"/>
        <v>0</v>
      </c>
      <c r="L3718">
        <f t="shared" si="295"/>
        <v>3712</v>
      </c>
      <c r="M3718" s="71">
        <f t="shared" ca="1" si="296"/>
        <v>4.0538470495071719</v>
      </c>
    </row>
    <row r="3719" spans="1:13" x14ac:dyDescent="0.25">
      <c r="A3719" s="2">
        <v>3713</v>
      </c>
      <c r="B3719" s="11">
        <f t="shared" ca="1" si="290"/>
        <v>0</v>
      </c>
      <c r="C3719" s="26">
        <f t="shared" ca="1" si="289"/>
        <v>0.8711013785237085</v>
      </c>
      <c r="J3719">
        <f t="shared" ca="1" si="293"/>
        <v>0</v>
      </c>
      <c r="K3719">
        <f t="shared" ca="1" si="294"/>
        <v>1</v>
      </c>
      <c r="L3719">
        <f t="shared" si="295"/>
        <v>3713</v>
      </c>
      <c r="M3719" s="71">
        <f t="shared" ca="1" si="296"/>
        <v>0</v>
      </c>
    </row>
    <row r="3720" spans="1:13" x14ac:dyDescent="0.25">
      <c r="A3720" s="2">
        <v>3714</v>
      </c>
      <c r="B3720" s="11">
        <f t="shared" ca="1" si="290"/>
        <v>0</v>
      </c>
      <c r="C3720" s="26">
        <f t="shared" ref="C3720:C3783" ca="1" si="297">RAND()</f>
        <v>0.89048492003425805</v>
      </c>
      <c r="J3720">
        <f t="shared" ca="1" si="293"/>
        <v>0</v>
      </c>
      <c r="K3720">
        <f t="shared" ca="1" si="294"/>
        <v>0</v>
      </c>
      <c r="L3720">
        <f t="shared" si="295"/>
        <v>3714</v>
      </c>
      <c r="M3720" s="71">
        <f t="shared" ca="1" si="296"/>
        <v>0</v>
      </c>
    </row>
    <row r="3721" spans="1:13" x14ac:dyDescent="0.25">
      <c r="A3721" s="2">
        <v>3715</v>
      </c>
      <c r="B3721" s="11">
        <f t="shared" ref="B3721:B3784" ca="1" si="298">IF(B3720&gt;0,IF(C3721&lt;pww,1,0),IF(C3721&lt;pdw,1,0))</f>
        <v>1</v>
      </c>
      <c r="C3721" s="26">
        <f t="shared" ca="1" si="297"/>
        <v>0.19060634899482676</v>
      </c>
      <c r="J3721">
        <f t="shared" ca="1" si="293"/>
        <v>0</v>
      </c>
      <c r="K3721">
        <f t="shared" ca="1" si="294"/>
        <v>0</v>
      </c>
      <c r="L3721">
        <f t="shared" si="295"/>
        <v>3715</v>
      </c>
      <c r="M3721" s="71">
        <f t="shared" ca="1" si="296"/>
        <v>0.51545174907190139</v>
      </c>
    </row>
    <row r="3722" spans="1:13" x14ac:dyDescent="0.25">
      <c r="A3722" s="2">
        <v>3716</v>
      </c>
      <c r="B3722" s="11">
        <f t="shared" ca="1" si="298"/>
        <v>0</v>
      </c>
      <c r="C3722" s="26">
        <f t="shared" ca="1" si="297"/>
        <v>0.83546580483873201</v>
      </c>
      <c r="J3722">
        <f t="shared" ref="J3722:J3785" ca="1" si="299">IF(AND(B3722,B3723),1,0)</f>
        <v>0</v>
      </c>
      <c r="K3722">
        <f t="shared" ref="K3722:K3785" ca="1" si="300">IF(AND(NOT(B3722),NOT(B3723)),1,0)</f>
        <v>1</v>
      </c>
      <c r="L3722">
        <f t="shared" ref="L3722:L3785" si="301">L3721+1</f>
        <v>3716</v>
      </c>
      <c r="M3722" s="71">
        <f t="shared" ref="M3722:M3785" ca="1" si="302">IF(B3722&gt;0,-LN(1-(RAND()))/lambda,0)</f>
        <v>0</v>
      </c>
    </row>
    <row r="3723" spans="1:13" x14ac:dyDescent="0.25">
      <c r="A3723" s="2">
        <v>3717</v>
      </c>
      <c r="B3723" s="11">
        <f t="shared" ca="1" si="298"/>
        <v>0</v>
      </c>
      <c r="C3723" s="26">
        <f t="shared" ca="1" si="297"/>
        <v>0.72410313178596231</v>
      </c>
      <c r="J3723">
        <f t="shared" ca="1" si="299"/>
        <v>0</v>
      </c>
      <c r="K3723">
        <f t="shared" ca="1" si="300"/>
        <v>1</v>
      </c>
      <c r="L3723">
        <f t="shared" si="301"/>
        <v>3717</v>
      </c>
      <c r="M3723" s="71">
        <f t="shared" ca="1" si="302"/>
        <v>0</v>
      </c>
    </row>
    <row r="3724" spans="1:13" x14ac:dyDescent="0.25">
      <c r="A3724" s="2">
        <v>3718</v>
      </c>
      <c r="B3724" s="11">
        <f t="shared" ca="1" si="298"/>
        <v>0</v>
      </c>
      <c r="C3724" s="26">
        <f t="shared" ca="1" si="297"/>
        <v>0.92685744494464239</v>
      </c>
      <c r="J3724">
        <f t="shared" ca="1" si="299"/>
        <v>0</v>
      </c>
      <c r="K3724">
        <f t="shared" ca="1" si="300"/>
        <v>0</v>
      </c>
      <c r="L3724">
        <f t="shared" si="301"/>
        <v>3718</v>
      </c>
      <c r="M3724" s="71">
        <f t="shared" ca="1" si="302"/>
        <v>0</v>
      </c>
    </row>
    <row r="3725" spans="1:13" x14ac:dyDescent="0.25">
      <c r="A3725" s="2">
        <v>3719</v>
      </c>
      <c r="B3725" s="11">
        <f t="shared" ca="1" si="298"/>
        <v>1</v>
      </c>
      <c r="C3725" s="26">
        <f t="shared" ca="1" si="297"/>
        <v>0.64693949512785753</v>
      </c>
      <c r="J3725">
        <f t="shared" ca="1" si="299"/>
        <v>1</v>
      </c>
      <c r="K3725">
        <f t="shared" ca="1" si="300"/>
        <v>0</v>
      </c>
      <c r="L3725">
        <f t="shared" si="301"/>
        <v>3719</v>
      </c>
      <c r="M3725" s="71">
        <f t="shared" ca="1" si="302"/>
        <v>2.1419224282922027</v>
      </c>
    </row>
    <row r="3726" spans="1:13" x14ac:dyDescent="0.25">
      <c r="A3726" s="2">
        <v>3720</v>
      </c>
      <c r="B3726" s="11">
        <f t="shared" ca="1" si="298"/>
        <v>1</v>
      </c>
      <c r="C3726" s="26">
        <f t="shared" ca="1" si="297"/>
        <v>0.54925927578965961</v>
      </c>
      <c r="J3726">
        <f t="shared" ca="1" si="299"/>
        <v>1</v>
      </c>
      <c r="K3726">
        <f t="shared" ca="1" si="300"/>
        <v>0</v>
      </c>
      <c r="L3726">
        <f t="shared" si="301"/>
        <v>3720</v>
      </c>
      <c r="M3726" s="71">
        <f t="shared" ca="1" si="302"/>
        <v>3.6949046075728011</v>
      </c>
    </row>
    <row r="3727" spans="1:13" x14ac:dyDescent="0.25">
      <c r="A3727" s="2">
        <v>3721</v>
      </c>
      <c r="B3727" s="11">
        <f t="shared" ca="1" si="298"/>
        <v>1</v>
      </c>
      <c r="C3727" s="26">
        <f t="shared" ca="1" si="297"/>
        <v>0.38493065054359021</v>
      </c>
      <c r="J3727">
        <f t="shared" ca="1" si="299"/>
        <v>1</v>
      </c>
      <c r="K3727">
        <f t="shared" ca="1" si="300"/>
        <v>0</v>
      </c>
      <c r="L3727">
        <f t="shared" si="301"/>
        <v>3721</v>
      </c>
      <c r="M3727" s="71">
        <f t="shared" ca="1" si="302"/>
        <v>2.9554689137480556</v>
      </c>
    </row>
    <row r="3728" spans="1:13" x14ac:dyDescent="0.25">
      <c r="A3728" s="2">
        <v>3722</v>
      </c>
      <c r="B3728" s="11">
        <f t="shared" ca="1" si="298"/>
        <v>1</v>
      </c>
      <c r="C3728" s="26">
        <f t="shared" ca="1" si="297"/>
        <v>0.21047377898906605</v>
      </c>
      <c r="J3728">
        <f t="shared" ca="1" si="299"/>
        <v>1</v>
      </c>
      <c r="K3728">
        <f t="shared" ca="1" si="300"/>
        <v>0</v>
      </c>
      <c r="L3728">
        <f t="shared" si="301"/>
        <v>3722</v>
      </c>
      <c r="M3728" s="71">
        <f t="shared" ca="1" si="302"/>
        <v>4.2773249463819378E-2</v>
      </c>
    </row>
    <row r="3729" spans="1:13" x14ac:dyDescent="0.25">
      <c r="A3729" s="2">
        <v>3723</v>
      </c>
      <c r="B3729" s="11">
        <f t="shared" ca="1" si="298"/>
        <v>1</v>
      </c>
      <c r="C3729" s="26">
        <f t="shared" ca="1" si="297"/>
        <v>0.56437694181520026</v>
      </c>
      <c r="J3729">
        <f t="shared" ca="1" si="299"/>
        <v>1</v>
      </c>
      <c r="K3729">
        <f t="shared" ca="1" si="300"/>
        <v>0</v>
      </c>
      <c r="L3729">
        <f t="shared" si="301"/>
        <v>3723</v>
      </c>
      <c r="M3729" s="71">
        <f t="shared" ca="1" si="302"/>
        <v>7.5955953194435786</v>
      </c>
    </row>
    <row r="3730" spans="1:13" x14ac:dyDescent="0.25">
      <c r="A3730" s="2">
        <v>3724</v>
      </c>
      <c r="B3730" s="11">
        <f t="shared" ca="1" si="298"/>
        <v>1</v>
      </c>
      <c r="C3730" s="26">
        <f t="shared" ca="1" si="297"/>
        <v>0.77208785172826488</v>
      </c>
      <c r="J3730">
        <f t="shared" ca="1" si="299"/>
        <v>1</v>
      </c>
      <c r="K3730">
        <f t="shared" ca="1" si="300"/>
        <v>0</v>
      </c>
      <c r="L3730">
        <f t="shared" si="301"/>
        <v>3724</v>
      </c>
      <c r="M3730" s="71">
        <f t="shared" ca="1" si="302"/>
        <v>0.41967565869925577</v>
      </c>
    </row>
    <row r="3731" spans="1:13" x14ac:dyDescent="0.25">
      <c r="A3731" s="2">
        <v>3725</v>
      </c>
      <c r="B3731" s="11">
        <f t="shared" ca="1" si="298"/>
        <v>1</v>
      </c>
      <c r="C3731" s="26">
        <f t="shared" ca="1" si="297"/>
        <v>0.78189380416920129</v>
      </c>
      <c r="J3731">
        <f t="shared" ca="1" si="299"/>
        <v>0</v>
      </c>
      <c r="K3731">
        <f t="shared" ca="1" si="300"/>
        <v>0</v>
      </c>
      <c r="L3731">
        <f t="shared" si="301"/>
        <v>3725</v>
      </c>
      <c r="M3731" s="71">
        <f t="shared" ca="1" si="302"/>
        <v>5.0776358191054429</v>
      </c>
    </row>
    <row r="3732" spans="1:13" x14ac:dyDescent="0.25">
      <c r="A3732" s="2">
        <v>3726</v>
      </c>
      <c r="B3732" s="11">
        <f t="shared" ca="1" si="298"/>
        <v>0</v>
      </c>
      <c r="C3732" s="26">
        <f t="shared" ca="1" si="297"/>
        <v>0.99448819619145612</v>
      </c>
      <c r="J3732">
        <f t="shared" ca="1" si="299"/>
        <v>0</v>
      </c>
      <c r="K3732">
        <f t="shared" ca="1" si="300"/>
        <v>0</v>
      </c>
      <c r="L3732">
        <f t="shared" si="301"/>
        <v>3726</v>
      </c>
      <c r="M3732" s="71">
        <f t="shared" ca="1" si="302"/>
        <v>0</v>
      </c>
    </row>
    <row r="3733" spans="1:13" x14ac:dyDescent="0.25">
      <c r="A3733" s="2">
        <v>3727</v>
      </c>
      <c r="B3733" s="11">
        <f t="shared" ca="1" si="298"/>
        <v>1</v>
      </c>
      <c r="C3733" s="26">
        <f t="shared" ca="1" si="297"/>
        <v>0.4613645503410484</v>
      </c>
      <c r="J3733">
        <f t="shared" ca="1" si="299"/>
        <v>1</v>
      </c>
      <c r="K3733">
        <f t="shared" ca="1" si="300"/>
        <v>0</v>
      </c>
      <c r="L3733">
        <f t="shared" si="301"/>
        <v>3727</v>
      </c>
      <c r="M3733" s="71">
        <f t="shared" ca="1" si="302"/>
        <v>1.5443163109123825</v>
      </c>
    </row>
    <row r="3734" spans="1:13" x14ac:dyDescent="0.25">
      <c r="A3734" s="2">
        <v>3728</v>
      </c>
      <c r="B3734" s="11">
        <f t="shared" ca="1" si="298"/>
        <v>1</v>
      </c>
      <c r="C3734" s="26">
        <f t="shared" ca="1" si="297"/>
        <v>0.17474473626956855</v>
      </c>
      <c r="J3734">
        <f t="shared" ca="1" si="299"/>
        <v>0</v>
      </c>
      <c r="K3734">
        <f t="shared" ca="1" si="300"/>
        <v>0</v>
      </c>
      <c r="L3734">
        <f t="shared" si="301"/>
        <v>3728</v>
      </c>
      <c r="M3734" s="71">
        <f t="shared" ca="1" si="302"/>
        <v>25.485438041667063</v>
      </c>
    </row>
    <row r="3735" spans="1:13" x14ac:dyDescent="0.25">
      <c r="A3735" s="2">
        <v>3729</v>
      </c>
      <c r="B3735" s="11">
        <f t="shared" ca="1" si="298"/>
        <v>0</v>
      </c>
      <c r="C3735" s="26">
        <f t="shared" ca="1" si="297"/>
        <v>0.92368016422367583</v>
      </c>
      <c r="J3735">
        <f t="shared" ca="1" si="299"/>
        <v>0</v>
      </c>
      <c r="K3735">
        <f t="shared" ca="1" si="300"/>
        <v>0</v>
      </c>
      <c r="L3735">
        <f t="shared" si="301"/>
        <v>3729</v>
      </c>
      <c r="M3735" s="71">
        <f t="shared" ca="1" si="302"/>
        <v>0</v>
      </c>
    </row>
    <row r="3736" spans="1:13" x14ac:dyDescent="0.25">
      <c r="A3736" s="2">
        <v>3730</v>
      </c>
      <c r="B3736" s="11">
        <f t="shared" ca="1" si="298"/>
        <v>1</v>
      </c>
      <c r="C3736" s="26">
        <f t="shared" ca="1" si="297"/>
        <v>0.23707357337260382</v>
      </c>
      <c r="J3736">
        <f t="shared" ca="1" si="299"/>
        <v>1</v>
      </c>
      <c r="K3736">
        <f t="shared" ca="1" si="300"/>
        <v>0</v>
      </c>
      <c r="L3736">
        <f t="shared" si="301"/>
        <v>3730</v>
      </c>
      <c r="M3736" s="71">
        <f t="shared" ca="1" si="302"/>
        <v>11.874241369108685</v>
      </c>
    </row>
    <row r="3737" spans="1:13" x14ac:dyDescent="0.25">
      <c r="A3737" s="2">
        <v>3731</v>
      </c>
      <c r="B3737" s="11">
        <f t="shared" ca="1" si="298"/>
        <v>1</v>
      </c>
      <c r="C3737" s="26">
        <f t="shared" ca="1" si="297"/>
        <v>0.11984004809937865</v>
      </c>
      <c r="J3737">
        <f t="shared" ca="1" si="299"/>
        <v>1</v>
      </c>
      <c r="K3737">
        <f t="shared" ca="1" si="300"/>
        <v>0</v>
      </c>
      <c r="L3737">
        <f t="shared" si="301"/>
        <v>3731</v>
      </c>
      <c r="M3737" s="71">
        <f t="shared" ca="1" si="302"/>
        <v>0.77183681474303145</v>
      </c>
    </row>
    <row r="3738" spans="1:13" x14ac:dyDescent="0.25">
      <c r="A3738" s="2">
        <v>3732</v>
      </c>
      <c r="B3738" s="11">
        <f t="shared" ca="1" si="298"/>
        <v>1</v>
      </c>
      <c r="C3738" s="26">
        <f t="shared" ca="1" si="297"/>
        <v>4.4324176119555636E-2</v>
      </c>
      <c r="J3738">
        <f t="shared" ca="1" si="299"/>
        <v>0</v>
      </c>
      <c r="K3738">
        <f t="shared" ca="1" si="300"/>
        <v>0</v>
      </c>
      <c r="L3738">
        <f t="shared" si="301"/>
        <v>3732</v>
      </c>
      <c r="M3738" s="71">
        <f t="shared" ca="1" si="302"/>
        <v>3.271154078316151</v>
      </c>
    </row>
    <row r="3739" spans="1:13" x14ac:dyDescent="0.25">
      <c r="A3739" s="2">
        <v>3733</v>
      </c>
      <c r="B3739" s="11">
        <f t="shared" ca="1" si="298"/>
        <v>0</v>
      </c>
      <c r="C3739" s="26">
        <f t="shared" ca="1" si="297"/>
        <v>0.85470044381688126</v>
      </c>
      <c r="J3739">
        <f t="shared" ca="1" si="299"/>
        <v>0</v>
      </c>
      <c r="K3739">
        <f t="shared" ca="1" si="300"/>
        <v>0</v>
      </c>
      <c r="L3739">
        <f t="shared" si="301"/>
        <v>3733</v>
      </c>
      <c r="M3739" s="71">
        <f t="shared" ca="1" si="302"/>
        <v>0</v>
      </c>
    </row>
    <row r="3740" spans="1:13" x14ac:dyDescent="0.25">
      <c r="A3740" s="2">
        <v>3734</v>
      </c>
      <c r="B3740" s="11">
        <f t="shared" ca="1" si="298"/>
        <v>1</v>
      </c>
      <c r="C3740" s="26">
        <f t="shared" ca="1" si="297"/>
        <v>2.550651735491416E-2</v>
      </c>
      <c r="J3740">
        <f t="shared" ca="1" si="299"/>
        <v>1</v>
      </c>
      <c r="K3740">
        <f t="shared" ca="1" si="300"/>
        <v>0</v>
      </c>
      <c r="L3740">
        <f t="shared" si="301"/>
        <v>3734</v>
      </c>
      <c r="M3740" s="71">
        <f t="shared" ca="1" si="302"/>
        <v>0.85536092270745423</v>
      </c>
    </row>
    <row r="3741" spans="1:13" x14ac:dyDescent="0.25">
      <c r="A3741" s="2">
        <v>3735</v>
      </c>
      <c r="B3741" s="11">
        <f t="shared" ca="1" si="298"/>
        <v>1</v>
      </c>
      <c r="C3741" s="26">
        <f t="shared" ca="1" si="297"/>
        <v>0.65899848258528215</v>
      </c>
      <c r="J3741">
        <f t="shared" ca="1" si="299"/>
        <v>0</v>
      </c>
      <c r="K3741">
        <f t="shared" ca="1" si="300"/>
        <v>0</v>
      </c>
      <c r="L3741">
        <f t="shared" si="301"/>
        <v>3735</v>
      </c>
      <c r="M3741" s="71">
        <f t="shared" ca="1" si="302"/>
        <v>4.9078288682944268E-2</v>
      </c>
    </row>
    <row r="3742" spans="1:13" x14ac:dyDescent="0.25">
      <c r="A3742" s="2">
        <v>3736</v>
      </c>
      <c r="B3742" s="11">
        <f t="shared" ca="1" si="298"/>
        <v>0</v>
      </c>
      <c r="C3742" s="26">
        <f t="shared" ca="1" si="297"/>
        <v>0.91099294391987173</v>
      </c>
      <c r="J3742">
        <f t="shared" ca="1" si="299"/>
        <v>0</v>
      </c>
      <c r="K3742">
        <f t="shared" ca="1" si="300"/>
        <v>0</v>
      </c>
      <c r="L3742">
        <f t="shared" si="301"/>
        <v>3736</v>
      </c>
      <c r="M3742" s="71">
        <f t="shared" ca="1" si="302"/>
        <v>0</v>
      </c>
    </row>
    <row r="3743" spans="1:13" x14ac:dyDescent="0.25">
      <c r="A3743" s="2">
        <v>3737</v>
      </c>
      <c r="B3743" s="11">
        <f t="shared" ca="1" si="298"/>
        <v>1</v>
      </c>
      <c r="C3743" s="26">
        <f t="shared" ca="1" si="297"/>
        <v>0.25765433819687988</v>
      </c>
      <c r="J3743">
        <f t="shared" ca="1" si="299"/>
        <v>1</v>
      </c>
      <c r="K3743">
        <f t="shared" ca="1" si="300"/>
        <v>0</v>
      </c>
      <c r="L3743">
        <f t="shared" si="301"/>
        <v>3737</v>
      </c>
      <c r="M3743" s="71">
        <f t="shared" ca="1" si="302"/>
        <v>4.2384728694923446</v>
      </c>
    </row>
    <row r="3744" spans="1:13" x14ac:dyDescent="0.25">
      <c r="A3744" s="2">
        <v>3738</v>
      </c>
      <c r="B3744" s="11">
        <f t="shared" ca="1" si="298"/>
        <v>1</v>
      </c>
      <c r="C3744" s="26">
        <f t="shared" ca="1" si="297"/>
        <v>0.75658257801735385</v>
      </c>
      <c r="J3744">
        <f t="shared" ca="1" si="299"/>
        <v>1</v>
      </c>
      <c r="K3744">
        <f t="shared" ca="1" si="300"/>
        <v>0</v>
      </c>
      <c r="L3744">
        <f t="shared" si="301"/>
        <v>3738</v>
      </c>
      <c r="M3744" s="71">
        <f t="shared" ca="1" si="302"/>
        <v>0.61542957295526679</v>
      </c>
    </row>
    <row r="3745" spans="1:13" x14ac:dyDescent="0.25">
      <c r="A3745" s="2">
        <v>3739</v>
      </c>
      <c r="B3745" s="11">
        <f t="shared" ca="1" si="298"/>
        <v>1</v>
      </c>
      <c r="C3745" s="26">
        <f t="shared" ca="1" si="297"/>
        <v>0.54280317198006811</v>
      </c>
      <c r="J3745">
        <f t="shared" ca="1" si="299"/>
        <v>1</v>
      </c>
      <c r="K3745">
        <f t="shared" ca="1" si="300"/>
        <v>0</v>
      </c>
      <c r="L3745">
        <f t="shared" si="301"/>
        <v>3739</v>
      </c>
      <c r="M3745" s="71">
        <f t="shared" ca="1" si="302"/>
        <v>0.26160919423311246</v>
      </c>
    </row>
    <row r="3746" spans="1:13" x14ac:dyDescent="0.25">
      <c r="A3746" s="2">
        <v>3740</v>
      </c>
      <c r="B3746" s="11">
        <f t="shared" ca="1" si="298"/>
        <v>1</v>
      </c>
      <c r="C3746" s="26">
        <f t="shared" ca="1" si="297"/>
        <v>0.11512015596330927</v>
      </c>
      <c r="J3746">
        <f t="shared" ca="1" si="299"/>
        <v>1</v>
      </c>
      <c r="K3746">
        <f t="shared" ca="1" si="300"/>
        <v>0</v>
      </c>
      <c r="L3746">
        <f t="shared" si="301"/>
        <v>3740</v>
      </c>
      <c r="M3746" s="71">
        <f t="shared" ca="1" si="302"/>
        <v>0.83475149484319644</v>
      </c>
    </row>
    <row r="3747" spans="1:13" x14ac:dyDescent="0.25">
      <c r="A3747" s="2">
        <v>3741</v>
      </c>
      <c r="B3747" s="11">
        <f t="shared" ca="1" si="298"/>
        <v>1</v>
      </c>
      <c r="C3747" s="26">
        <f t="shared" ca="1" si="297"/>
        <v>0.55812462023031695</v>
      </c>
      <c r="J3747">
        <f t="shared" ca="1" si="299"/>
        <v>1</v>
      </c>
      <c r="K3747">
        <f t="shared" ca="1" si="300"/>
        <v>0</v>
      </c>
      <c r="L3747">
        <f t="shared" si="301"/>
        <v>3741</v>
      </c>
      <c r="M3747" s="71">
        <f t="shared" ca="1" si="302"/>
        <v>0.18035617383019556</v>
      </c>
    </row>
    <row r="3748" spans="1:13" x14ac:dyDescent="0.25">
      <c r="A3748" s="2">
        <v>3742</v>
      </c>
      <c r="B3748" s="11">
        <f t="shared" ca="1" si="298"/>
        <v>1</v>
      </c>
      <c r="C3748" s="26">
        <f t="shared" ca="1" si="297"/>
        <v>0.35526997664609494</v>
      </c>
      <c r="J3748">
        <f t="shared" ca="1" si="299"/>
        <v>1</v>
      </c>
      <c r="K3748">
        <f t="shared" ca="1" si="300"/>
        <v>0</v>
      </c>
      <c r="L3748">
        <f t="shared" si="301"/>
        <v>3742</v>
      </c>
      <c r="M3748" s="71">
        <f t="shared" ca="1" si="302"/>
        <v>0.45605993841739029</v>
      </c>
    </row>
    <row r="3749" spans="1:13" x14ac:dyDescent="0.25">
      <c r="A3749" s="2">
        <v>3743</v>
      </c>
      <c r="B3749" s="11">
        <f t="shared" ca="1" si="298"/>
        <v>1</v>
      </c>
      <c r="C3749" s="26">
        <f t="shared" ca="1" si="297"/>
        <v>0.48661222489943523</v>
      </c>
      <c r="J3749">
        <f t="shared" ca="1" si="299"/>
        <v>1</v>
      </c>
      <c r="K3749">
        <f t="shared" ca="1" si="300"/>
        <v>0</v>
      </c>
      <c r="L3749">
        <f t="shared" si="301"/>
        <v>3743</v>
      </c>
      <c r="M3749" s="71">
        <f t="shared" ca="1" si="302"/>
        <v>2.6448211748529578</v>
      </c>
    </row>
    <row r="3750" spans="1:13" x14ac:dyDescent="0.25">
      <c r="A3750" s="2">
        <v>3744</v>
      </c>
      <c r="B3750" s="11">
        <f t="shared" ca="1" si="298"/>
        <v>1</v>
      </c>
      <c r="C3750" s="26">
        <f t="shared" ca="1" si="297"/>
        <v>0.55935977498409195</v>
      </c>
      <c r="J3750">
        <f t="shared" ca="1" si="299"/>
        <v>1</v>
      </c>
      <c r="K3750">
        <f t="shared" ca="1" si="300"/>
        <v>0</v>
      </c>
      <c r="L3750">
        <f t="shared" si="301"/>
        <v>3744</v>
      </c>
      <c r="M3750" s="71">
        <f t="shared" ca="1" si="302"/>
        <v>3.2640124376913757</v>
      </c>
    </row>
    <row r="3751" spans="1:13" x14ac:dyDescent="0.25">
      <c r="A3751" s="2">
        <v>3745</v>
      </c>
      <c r="B3751" s="11">
        <f t="shared" ca="1" si="298"/>
        <v>1</v>
      </c>
      <c r="C3751" s="26">
        <f t="shared" ca="1" si="297"/>
        <v>2.981430350977865E-4</v>
      </c>
      <c r="J3751">
        <f t="shared" ca="1" si="299"/>
        <v>1</v>
      </c>
      <c r="K3751">
        <f t="shared" ca="1" si="300"/>
        <v>0</v>
      </c>
      <c r="L3751">
        <f t="shared" si="301"/>
        <v>3745</v>
      </c>
      <c r="M3751" s="71">
        <f t="shared" ca="1" si="302"/>
        <v>4.1415838035458678E-3</v>
      </c>
    </row>
    <row r="3752" spans="1:13" x14ac:dyDescent="0.25">
      <c r="A3752" s="2">
        <v>3746</v>
      </c>
      <c r="B3752" s="11">
        <f t="shared" ca="1" si="298"/>
        <v>1</v>
      </c>
      <c r="C3752" s="26">
        <f t="shared" ca="1" si="297"/>
        <v>0.75208218368828827</v>
      </c>
      <c r="J3752">
        <f t="shared" ca="1" si="299"/>
        <v>1</v>
      </c>
      <c r="K3752">
        <f t="shared" ca="1" si="300"/>
        <v>0</v>
      </c>
      <c r="L3752">
        <f t="shared" si="301"/>
        <v>3746</v>
      </c>
      <c r="M3752" s="71">
        <f t="shared" ca="1" si="302"/>
        <v>0.48465007671946625</v>
      </c>
    </row>
    <row r="3753" spans="1:13" x14ac:dyDescent="0.25">
      <c r="A3753" s="2">
        <v>3747</v>
      </c>
      <c r="B3753" s="11">
        <f t="shared" ca="1" si="298"/>
        <v>1</v>
      </c>
      <c r="C3753" s="26">
        <f t="shared" ca="1" si="297"/>
        <v>0.25343187491722674</v>
      </c>
      <c r="J3753">
        <f t="shared" ca="1" si="299"/>
        <v>1</v>
      </c>
      <c r="K3753">
        <f t="shared" ca="1" si="300"/>
        <v>0</v>
      </c>
      <c r="L3753">
        <f t="shared" si="301"/>
        <v>3747</v>
      </c>
      <c r="M3753" s="71">
        <f t="shared" ca="1" si="302"/>
        <v>2.012183959651586</v>
      </c>
    </row>
    <row r="3754" spans="1:13" x14ac:dyDescent="0.25">
      <c r="A3754" s="2">
        <v>3748</v>
      </c>
      <c r="B3754" s="11">
        <f t="shared" ca="1" si="298"/>
        <v>1</v>
      </c>
      <c r="C3754" s="26">
        <f t="shared" ca="1" si="297"/>
        <v>2.6277500074975091E-2</v>
      </c>
      <c r="J3754">
        <f t="shared" ca="1" si="299"/>
        <v>1</v>
      </c>
      <c r="K3754">
        <f t="shared" ca="1" si="300"/>
        <v>0</v>
      </c>
      <c r="L3754">
        <f t="shared" si="301"/>
        <v>3748</v>
      </c>
      <c r="M3754" s="71">
        <f t="shared" ca="1" si="302"/>
        <v>4.5145032073444442</v>
      </c>
    </row>
    <row r="3755" spans="1:13" x14ac:dyDescent="0.25">
      <c r="A3755" s="2">
        <v>3749</v>
      </c>
      <c r="B3755" s="11">
        <f t="shared" ca="1" si="298"/>
        <v>1</v>
      </c>
      <c r="C3755" s="26">
        <f t="shared" ca="1" si="297"/>
        <v>0.22377193572450527</v>
      </c>
      <c r="J3755">
        <f t="shared" ca="1" si="299"/>
        <v>1</v>
      </c>
      <c r="K3755">
        <f t="shared" ca="1" si="300"/>
        <v>0</v>
      </c>
      <c r="L3755">
        <f t="shared" si="301"/>
        <v>3749</v>
      </c>
      <c r="M3755" s="71">
        <f t="shared" ca="1" si="302"/>
        <v>4.3412050892386347</v>
      </c>
    </row>
    <row r="3756" spans="1:13" x14ac:dyDescent="0.25">
      <c r="A3756" s="2">
        <v>3750</v>
      </c>
      <c r="B3756" s="11">
        <f t="shared" ca="1" si="298"/>
        <v>1</v>
      </c>
      <c r="C3756" s="26">
        <f t="shared" ca="1" si="297"/>
        <v>0.79747359747675584</v>
      </c>
      <c r="J3756">
        <f t="shared" ca="1" si="299"/>
        <v>1</v>
      </c>
      <c r="K3756">
        <f t="shared" ca="1" si="300"/>
        <v>0</v>
      </c>
      <c r="L3756">
        <f t="shared" si="301"/>
        <v>3750</v>
      </c>
      <c r="M3756" s="71">
        <f t="shared" ca="1" si="302"/>
        <v>4.2511033066251871</v>
      </c>
    </row>
    <row r="3757" spans="1:13" x14ac:dyDescent="0.25">
      <c r="A3757" s="2">
        <v>3751</v>
      </c>
      <c r="B3757" s="11">
        <f t="shared" ca="1" si="298"/>
        <v>1</v>
      </c>
      <c r="C3757" s="26">
        <f t="shared" ca="1" si="297"/>
        <v>0.50339424789637166</v>
      </c>
      <c r="J3757">
        <f t="shared" ca="1" si="299"/>
        <v>0</v>
      </c>
      <c r="K3757">
        <f t="shared" ca="1" si="300"/>
        <v>0</v>
      </c>
      <c r="L3757">
        <f t="shared" si="301"/>
        <v>3751</v>
      </c>
      <c r="M3757" s="71">
        <f t="shared" ca="1" si="302"/>
        <v>4.737376251777369</v>
      </c>
    </row>
    <row r="3758" spans="1:13" x14ac:dyDescent="0.25">
      <c r="A3758" s="2">
        <v>3752</v>
      </c>
      <c r="B3758" s="11">
        <f t="shared" ca="1" si="298"/>
        <v>0</v>
      </c>
      <c r="C3758" s="26">
        <f t="shared" ca="1" si="297"/>
        <v>0.97060686712919053</v>
      </c>
      <c r="J3758">
        <f t="shared" ca="1" si="299"/>
        <v>0</v>
      </c>
      <c r="K3758">
        <f t="shared" ca="1" si="300"/>
        <v>1</v>
      </c>
      <c r="L3758">
        <f t="shared" si="301"/>
        <v>3752</v>
      </c>
      <c r="M3758" s="71">
        <f t="shared" ca="1" si="302"/>
        <v>0</v>
      </c>
    </row>
    <row r="3759" spans="1:13" x14ac:dyDescent="0.25">
      <c r="A3759" s="2">
        <v>3753</v>
      </c>
      <c r="B3759" s="11">
        <f t="shared" ca="1" si="298"/>
        <v>0</v>
      </c>
      <c r="C3759" s="26">
        <f t="shared" ca="1" si="297"/>
        <v>0.97371164512050012</v>
      </c>
      <c r="J3759">
        <f t="shared" ca="1" si="299"/>
        <v>0</v>
      </c>
      <c r="K3759">
        <f t="shared" ca="1" si="300"/>
        <v>0</v>
      </c>
      <c r="L3759">
        <f t="shared" si="301"/>
        <v>3753</v>
      </c>
      <c r="M3759" s="71">
        <f t="shared" ca="1" si="302"/>
        <v>0</v>
      </c>
    </row>
    <row r="3760" spans="1:13" x14ac:dyDescent="0.25">
      <c r="A3760" s="2">
        <v>3754</v>
      </c>
      <c r="B3760" s="11">
        <f t="shared" ca="1" si="298"/>
        <v>1</v>
      </c>
      <c r="C3760" s="26">
        <f t="shared" ca="1" si="297"/>
        <v>0.6784048850261869</v>
      </c>
      <c r="J3760">
        <f t="shared" ca="1" si="299"/>
        <v>1</v>
      </c>
      <c r="K3760">
        <f t="shared" ca="1" si="300"/>
        <v>0</v>
      </c>
      <c r="L3760">
        <f t="shared" si="301"/>
        <v>3754</v>
      </c>
      <c r="M3760" s="71">
        <f t="shared" ca="1" si="302"/>
        <v>1.462613871471151</v>
      </c>
    </row>
    <row r="3761" spans="1:13" x14ac:dyDescent="0.25">
      <c r="A3761" s="2">
        <v>3755</v>
      </c>
      <c r="B3761" s="11">
        <f t="shared" ca="1" si="298"/>
        <v>1</v>
      </c>
      <c r="C3761" s="26">
        <f t="shared" ca="1" si="297"/>
        <v>0.34202614355118621</v>
      </c>
      <c r="J3761">
        <f t="shared" ca="1" si="299"/>
        <v>1</v>
      </c>
      <c r="K3761">
        <f t="shared" ca="1" si="300"/>
        <v>0</v>
      </c>
      <c r="L3761">
        <f t="shared" si="301"/>
        <v>3755</v>
      </c>
      <c r="M3761" s="71">
        <f t="shared" ca="1" si="302"/>
        <v>2.0313008044147502</v>
      </c>
    </row>
    <row r="3762" spans="1:13" x14ac:dyDescent="0.25">
      <c r="A3762" s="2">
        <v>3756</v>
      </c>
      <c r="B3762" s="11">
        <f t="shared" ca="1" si="298"/>
        <v>1</v>
      </c>
      <c r="C3762" s="26">
        <f t="shared" ca="1" si="297"/>
        <v>0.67990140274278366</v>
      </c>
      <c r="J3762">
        <f t="shared" ca="1" si="299"/>
        <v>1</v>
      </c>
      <c r="K3762">
        <f t="shared" ca="1" si="300"/>
        <v>0</v>
      </c>
      <c r="L3762">
        <f t="shared" si="301"/>
        <v>3756</v>
      </c>
      <c r="M3762" s="71">
        <f t="shared" ca="1" si="302"/>
        <v>0.24888682196088968</v>
      </c>
    </row>
    <row r="3763" spans="1:13" x14ac:dyDescent="0.25">
      <c r="A3763" s="2">
        <v>3757</v>
      </c>
      <c r="B3763" s="11">
        <f t="shared" ca="1" si="298"/>
        <v>1</v>
      </c>
      <c r="C3763" s="26">
        <f t="shared" ca="1" si="297"/>
        <v>0.52644481788737252</v>
      </c>
      <c r="J3763">
        <f t="shared" ca="1" si="299"/>
        <v>1</v>
      </c>
      <c r="K3763">
        <f t="shared" ca="1" si="300"/>
        <v>0</v>
      </c>
      <c r="L3763">
        <f t="shared" si="301"/>
        <v>3757</v>
      </c>
      <c r="M3763" s="71">
        <f t="shared" ca="1" si="302"/>
        <v>4.5736393112755858</v>
      </c>
    </row>
    <row r="3764" spans="1:13" x14ac:dyDescent="0.25">
      <c r="A3764" s="2">
        <v>3758</v>
      </c>
      <c r="B3764" s="11">
        <f t="shared" ca="1" si="298"/>
        <v>1</v>
      </c>
      <c r="C3764" s="26">
        <f t="shared" ca="1" si="297"/>
        <v>0.64739738097189914</v>
      </c>
      <c r="J3764">
        <f t="shared" ca="1" si="299"/>
        <v>1</v>
      </c>
      <c r="K3764">
        <f t="shared" ca="1" si="300"/>
        <v>0</v>
      </c>
      <c r="L3764">
        <f t="shared" si="301"/>
        <v>3758</v>
      </c>
      <c r="M3764" s="71">
        <f t="shared" ca="1" si="302"/>
        <v>4.475817705457052</v>
      </c>
    </row>
    <row r="3765" spans="1:13" x14ac:dyDescent="0.25">
      <c r="A3765" s="2">
        <v>3759</v>
      </c>
      <c r="B3765" s="11">
        <f t="shared" ca="1" si="298"/>
        <v>1</v>
      </c>
      <c r="C3765" s="26">
        <f t="shared" ca="1" si="297"/>
        <v>0.61845975559290256</v>
      </c>
      <c r="J3765">
        <f t="shared" ca="1" si="299"/>
        <v>1</v>
      </c>
      <c r="K3765">
        <f t="shared" ca="1" si="300"/>
        <v>0</v>
      </c>
      <c r="L3765">
        <f t="shared" si="301"/>
        <v>3759</v>
      </c>
      <c r="M3765" s="71">
        <f t="shared" ca="1" si="302"/>
        <v>1.8452952778620102</v>
      </c>
    </row>
    <row r="3766" spans="1:13" x14ac:dyDescent="0.25">
      <c r="A3766" s="2">
        <v>3760</v>
      </c>
      <c r="B3766" s="11">
        <f t="shared" ca="1" si="298"/>
        <v>1</v>
      </c>
      <c r="C3766" s="26">
        <f t="shared" ca="1" si="297"/>
        <v>2.7412004682621727E-2</v>
      </c>
      <c r="J3766">
        <f t="shared" ca="1" si="299"/>
        <v>1</v>
      </c>
      <c r="K3766">
        <f t="shared" ca="1" si="300"/>
        <v>0</v>
      </c>
      <c r="L3766">
        <f t="shared" si="301"/>
        <v>3760</v>
      </c>
      <c r="M3766" s="71">
        <f t="shared" ca="1" si="302"/>
        <v>3.4272418279950712</v>
      </c>
    </row>
    <row r="3767" spans="1:13" x14ac:dyDescent="0.25">
      <c r="A3767" s="2">
        <v>3761</v>
      </c>
      <c r="B3767" s="11">
        <f t="shared" ca="1" si="298"/>
        <v>1</v>
      </c>
      <c r="C3767" s="26">
        <f t="shared" ca="1" si="297"/>
        <v>0.68606198380370109</v>
      </c>
      <c r="J3767">
        <f t="shared" ca="1" si="299"/>
        <v>1</v>
      </c>
      <c r="K3767">
        <f t="shared" ca="1" si="300"/>
        <v>0</v>
      </c>
      <c r="L3767">
        <f t="shared" si="301"/>
        <v>3761</v>
      </c>
      <c r="M3767" s="71">
        <f t="shared" ca="1" si="302"/>
        <v>2.6127201423636057</v>
      </c>
    </row>
    <row r="3768" spans="1:13" x14ac:dyDescent="0.25">
      <c r="A3768" s="2">
        <v>3762</v>
      </c>
      <c r="B3768" s="11">
        <f t="shared" ca="1" si="298"/>
        <v>1</v>
      </c>
      <c r="C3768" s="26">
        <f t="shared" ca="1" si="297"/>
        <v>0.413576985119398</v>
      </c>
      <c r="J3768">
        <f t="shared" ca="1" si="299"/>
        <v>0</v>
      </c>
      <c r="K3768">
        <f t="shared" ca="1" si="300"/>
        <v>0</v>
      </c>
      <c r="L3768">
        <f t="shared" si="301"/>
        <v>3762</v>
      </c>
      <c r="M3768" s="71">
        <f t="shared" ca="1" si="302"/>
        <v>1.1762051159371061</v>
      </c>
    </row>
    <row r="3769" spans="1:13" x14ac:dyDescent="0.25">
      <c r="A3769" s="2">
        <v>3763</v>
      </c>
      <c r="B3769" s="11">
        <f t="shared" ca="1" si="298"/>
        <v>0</v>
      </c>
      <c r="C3769" s="26">
        <f t="shared" ca="1" si="297"/>
        <v>0.99598237304253134</v>
      </c>
      <c r="J3769">
        <f t="shared" ca="1" si="299"/>
        <v>0</v>
      </c>
      <c r="K3769">
        <f t="shared" ca="1" si="300"/>
        <v>0</v>
      </c>
      <c r="L3769">
        <f t="shared" si="301"/>
        <v>3763</v>
      </c>
      <c r="M3769" s="71">
        <f t="shared" ca="1" si="302"/>
        <v>0</v>
      </c>
    </row>
    <row r="3770" spans="1:13" x14ac:dyDescent="0.25">
      <c r="A3770" s="2">
        <v>3764</v>
      </c>
      <c r="B3770" s="11">
        <f t="shared" ca="1" si="298"/>
        <v>1</v>
      </c>
      <c r="C3770" s="26">
        <f t="shared" ca="1" si="297"/>
        <v>0.19346577280749744</v>
      </c>
      <c r="J3770">
        <f t="shared" ca="1" si="299"/>
        <v>1</v>
      </c>
      <c r="K3770">
        <f t="shared" ca="1" si="300"/>
        <v>0</v>
      </c>
      <c r="L3770">
        <f t="shared" si="301"/>
        <v>3764</v>
      </c>
      <c r="M3770" s="71">
        <f t="shared" ca="1" si="302"/>
        <v>0.29523092474617124</v>
      </c>
    </row>
    <row r="3771" spans="1:13" x14ac:dyDescent="0.25">
      <c r="A3771" s="2">
        <v>3765</v>
      </c>
      <c r="B3771" s="11">
        <f t="shared" ca="1" si="298"/>
        <v>1</v>
      </c>
      <c r="C3771" s="26">
        <f t="shared" ca="1" si="297"/>
        <v>0.54400224924416485</v>
      </c>
      <c r="J3771">
        <f t="shared" ca="1" si="299"/>
        <v>1</v>
      </c>
      <c r="K3771">
        <f t="shared" ca="1" si="300"/>
        <v>0</v>
      </c>
      <c r="L3771">
        <f t="shared" si="301"/>
        <v>3765</v>
      </c>
      <c r="M3771" s="71">
        <f t="shared" ca="1" si="302"/>
        <v>0.1636285267846391</v>
      </c>
    </row>
    <row r="3772" spans="1:13" x14ac:dyDescent="0.25">
      <c r="A3772" s="2">
        <v>3766</v>
      </c>
      <c r="B3772" s="11">
        <f t="shared" ca="1" si="298"/>
        <v>1</v>
      </c>
      <c r="C3772" s="26">
        <f t="shared" ca="1" si="297"/>
        <v>0.37620339323028074</v>
      </c>
      <c r="J3772">
        <f t="shared" ca="1" si="299"/>
        <v>1</v>
      </c>
      <c r="K3772">
        <f t="shared" ca="1" si="300"/>
        <v>0</v>
      </c>
      <c r="L3772">
        <f t="shared" si="301"/>
        <v>3766</v>
      </c>
      <c r="M3772" s="71">
        <f t="shared" ca="1" si="302"/>
        <v>3.1769239815167127</v>
      </c>
    </row>
    <row r="3773" spans="1:13" x14ac:dyDescent="0.25">
      <c r="A3773" s="2">
        <v>3767</v>
      </c>
      <c r="B3773" s="11">
        <f t="shared" ca="1" si="298"/>
        <v>1</v>
      </c>
      <c r="C3773" s="26">
        <f t="shared" ca="1" si="297"/>
        <v>0.31830014164317588</v>
      </c>
      <c r="J3773">
        <f t="shared" ca="1" si="299"/>
        <v>1</v>
      </c>
      <c r="K3773">
        <f t="shared" ca="1" si="300"/>
        <v>0</v>
      </c>
      <c r="L3773">
        <f t="shared" si="301"/>
        <v>3767</v>
      </c>
      <c r="M3773" s="71">
        <f t="shared" ca="1" si="302"/>
        <v>4.731788563755428</v>
      </c>
    </row>
    <row r="3774" spans="1:13" x14ac:dyDescent="0.25">
      <c r="A3774" s="2">
        <v>3768</v>
      </c>
      <c r="B3774" s="11">
        <f t="shared" ca="1" si="298"/>
        <v>1</v>
      </c>
      <c r="C3774" s="26">
        <f t="shared" ca="1" si="297"/>
        <v>0.43517580264085853</v>
      </c>
      <c r="J3774">
        <f t="shared" ca="1" si="299"/>
        <v>1</v>
      </c>
      <c r="K3774">
        <f t="shared" ca="1" si="300"/>
        <v>0</v>
      </c>
      <c r="L3774">
        <f t="shared" si="301"/>
        <v>3768</v>
      </c>
      <c r="M3774" s="71">
        <f t="shared" ca="1" si="302"/>
        <v>2.6041013163283293</v>
      </c>
    </row>
    <row r="3775" spans="1:13" x14ac:dyDescent="0.25">
      <c r="A3775" s="2">
        <v>3769</v>
      </c>
      <c r="B3775" s="11">
        <f t="shared" ca="1" si="298"/>
        <v>1</v>
      </c>
      <c r="C3775" s="26">
        <f t="shared" ca="1" si="297"/>
        <v>0.7688964897634144</v>
      </c>
      <c r="J3775">
        <f t="shared" ca="1" si="299"/>
        <v>1</v>
      </c>
      <c r="K3775">
        <f t="shared" ca="1" si="300"/>
        <v>0</v>
      </c>
      <c r="L3775">
        <f t="shared" si="301"/>
        <v>3769</v>
      </c>
      <c r="M3775" s="71">
        <f t="shared" ca="1" si="302"/>
        <v>4.7145980864260286</v>
      </c>
    </row>
    <row r="3776" spans="1:13" x14ac:dyDescent="0.25">
      <c r="A3776" s="2">
        <v>3770</v>
      </c>
      <c r="B3776" s="11">
        <f t="shared" ca="1" si="298"/>
        <v>1</v>
      </c>
      <c r="C3776" s="26">
        <f t="shared" ca="1" si="297"/>
        <v>0.27071340802069666</v>
      </c>
      <c r="J3776">
        <f t="shared" ca="1" si="299"/>
        <v>1</v>
      </c>
      <c r="K3776">
        <f t="shared" ca="1" si="300"/>
        <v>0</v>
      </c>
      <c r="L3776">
        <f t="shared" si="301"/>
        <v>3770</v>
      </c>
      <c r="M3776" s="71">
        <f t="shared" ca="1" si="302"/>
        <v>2.0840176135495994</v>
      </c>
    </row>
    <row r="3777" spans="1:13" x14ac:dyDescent="0.25">
      <c r="A3777" s="2">
        <v>3771</v>
      </c>
      <c r="B3777" s="11">
        <f t="shared" ca="1" si="298"/>
        <v>1</v>
      </c>
      <c r="C3777" s="26">
        <f t="shared" ca="1" si="297"/>
        <v>0.33406573695123309</v>
      </c>
      <c r="J3777">
        <f t="shared" ca="1" si="299"/>
        <v>0</v>
      </c>
      <c r="K3777">
        <f t="shared" ca="1" si="300"/>
        <v>0</v>
      </c>
      <c r="L3777">
        <f t="shared" si="301"/>
        <v>3771</v>
      </c>
      <c r="M3777" s="71">
        <f t="shared" ca="1" si="302"/>
        <v>18.00953292018966</v>
      </c>
    </row>
    <row r="3778" spans="1:13" x14ac:dyDescent="0.25">
      <c r="A3778" s="2">
        <v>3772</v>
      </c>
      <c r="B3778" s="11">
        <f t="shared" ca="1" si="298"/>
        <v>0</v>
      </c>
      <c r="C3778" s="26">
        <f t="shared" ca="1" si="297"/>
        <v>0.82058326495561518</v>
      </c>
      <c r="J3778">
        <f t="shared" ca="1" si="299"/>
        <v>0</v>
      </c>
      <c r="K3778">
        <f t="shared" ca="1" si="300"/>
        <v>0</v>
      </c>
      <c r="L3778">
        <f t="shared" si="301"/>
        <v>3772</v>
      </c>
      <c r="M3778" s="71">
        <f t="shared" ca="1" si="302"/>
        <v>0</v>
      </c>
    </row>
    <row r="3779" spans="1:13" x14ac:dyDescent="0.25">
      <c r="A3779" s="2">
        <v>3773</v>
      </c>
      <c r="B3779" s="11">
        <f t="shared" ca="1" si="298"/>
        <v>1</v>
      </c>
      <c r="C3779" s="26">
        <f t="shared" ca="1" si="297"/>
        <v>0.41658878117796716</v>
      </c>
      <c r="J3779">
        <f t="shared" ca="1" si="299"/>
        <v>1</v>
      </c>
      <c r="K3779">
        <f t="shared" ca="1" si="300"/>
        <v>0</v>
      </c>
      <c r="L3779">
        <f t="shared" si="301"/>
        <v>3773</v>
      </c>
      <c r="M3779" s="71">
        <f t="shared" ca="1" si="302"/>
        <v>10.3401211332377</v>
      </c>
    </row>
    <row r="3780" spans="1:13" x14ac:dyDescent="0.25">
      <c r="A3780" s="2">
        <v>3774</v>
      </c>
      <c r="B3780" s="11">
        <f t="shared" ca="1" si="298"/>
        <v>1</v>
      </c>
      <c r="C3780" s="26">
        <f t="shared" ca="1" si="297"/>
        <v>0.58383845929147926</v>
      </c>
      <c r="J3780">
        <f t="shared" ca="1" si="299"/>
        <v>1</v>
      </c>
      <c r="K3780">
        <f t="shared" ca="1" si="300"/>
        <v>0</v>
      </c>
      <c r="L3780">
        <f t="shared" si="301"/>
        <v>3774</v>
      </c>
      <c r="M3780" s="71">
        <f t="shared" ca="1" si="302"/>
        <v>7.6733142239970498</v>
      </c>
    </row>
    <row r="3781" spans="1:13" x14ac:dyDescent="0.25">
      <c r="A3781" s="2">
        <v>3775</v>
      </c>
      <c r="B3781" s="11">
        <f t="shared" ca="1" si="298"/>
        <v>1</v>
      </c>
      <c r="C3781" s="26">
        <f t="shared" ca="1" si="297"/>
        <v>0.25816804310515951</v>
      </c>
      <c r="J3781">
        <f t="shared" ca="1" si="299"/>
        <v>1</v>
      </c>
      <c r="K3781">
        <f t="shared" ca="1" si="300"/>
        <v>0</v>
      </c>
      <c r="L3781">
        <f t="shared" si="301"/>
        <v>3775</v>
      </c>
      <c r="M3781" s="71">
        <f t="shared" ca="1" si="302"/>
        <v>0.88332230685680868</v>
      </c>
    </row>
    <row r="3782" spans="1:13" x14ac:dyDescent="0.25">
      <c r="A3782" s="2">
        <v>3776</v>
      </c>
      <c r="B3782" s="11">
        <f t="shared" ca="1" si="298"/>
        <v>1</v>
      </c>
      <c r="C3782" s="26">
        <f t="shared" ca="1" si="297"/>
        <v>0.12231451100756807</v>
      </c>
      <c r="J3782">
        <f t="shared" ca="1" si="299"/>
        <v>0</v>
      </c>
      <c r="K3782">
        <f t="shared" ca="1" si="300"/>
        <v>0</v>
      </c>
      <c r="L3782">
        <f t="shared" si="301"/>
        <v>3776</v>
      </c>
      <c r="M3782" s="71">
        <f t="shared" ca="1" si="302"/>
        <v>5.1964798680932107</v>
      </c>
    </row>
    <row r="3783" spans="1:13" x14ac:dyDescent="0.25">
      <c r="A3783" s="2">
        <v>3777</v>
      </c>
      <c r="B3783" s="11">
        <f t="shared" ca="1" si="298"/>
        <v>0</v>
      </c>
      <c r="C3783" s="26">
        <f t="shared" ca="1" si="297"/>
        <v>0.85133993728147417</v>
      </c>
      <c r="J3783">
        <f t="shared" ca="1" si="299"/>
        <v>0</v>
      </c>
      <c r="K3783">
        <f t="shared" ca="1" si="300"/>
        <v>1</v>
      </c>
      <c r="L3783">
        <f t="shared" si="301"/>
        <v>3777</v>
      </c>
      <c r="M3783" s="71">
        <f t="shared" ca="1" si="302"/>
        <v>0</v>
      </c>
    </row>
    <row r="3784" spans="1:13" x14ac:dyDescent="0.25">
      <c r="A3784" s="2">
        <v>3778</v>
      </c>
      <c r="B3784" s="11">
        <f t="shared" ca="1" si="298"/>
        <v>0</v>
      </c>
      <c r="C3784" s="26">
        <f t="shared" ref="C3784:C3847" ca="1" si="303">RAND()</f>
        <v>0.8045330136213521</v>
      </c>
      <c r="J3784">
        <f t="shared" ca="1" si="299"/>
        <v>0</v>
      </c>
      <c r="K3784">
        <f t="shared" ca="1" si="300"/>
        <v>0</v>
      </c>
      <c r="L3784">
        <f t="shared" si="301"/>
        <v>3778</v>
      </c>
      <c r="M3784" s="71">
        <f t="shared" ca="1" si="302"/>
        <v>0</v>
      </c>
    </row>
    <row r="3785" spans="1:13" x14ac:dyDescent="0.25">
      <c r="A3785" s="2">
        <v>3779</v>
      </c>
      <c r="B3785" s="11">
        <f t="shared" ref="B3785:B3848" ca="1" si="304">IF(B3784&gt;0,IF(C3785&lt;pww,1,0),IF(C3785&lt;pdw,1,0))</f>
        <v>1</v>
      </c>
      <c r="C3785" s="26">
        <f t="shared" ca="1" si="303"/>
        <v>0.52353509463863224</v>
      </c>
      <c r="J3785">
        <f t="shared" ca="1" si="299"/>
        <v>1</v>
      </c>
      <c r="K3785">
        <f t="shared" ca="1" si="300"/>
        <v>0</v>
      </c>
      <c r="L3785">
        <f t="shared" si="301"/>
        <v>3779</v>
      </c>
      <c r="M3785" s="71">
        <f t="shared" ca="1" si="302"/>
        <v>2.8925813865045686</v>
      </c>
    </row>
    <row r="3786" spans="1:13" x14ac:dyDescent="0.25">
      <c r="A3786" s="2">
        <v>3780</v>
      </c>
      <c r="B3786" s="11">
        <f t="shared" ca="1" si="304"/>
        <v>1</v>
      </c>
      <c r="C3786" s="26">
        <f t="shared" ca="1" si="303"/>
        <v>0.32897644653262981</v>
      </c>
      <c r="J3786">
        <f t="shared" ref="J3786:J3849" ca="1" si="305">IF(AND(B3786,B3787),1,0)</f>
        <v>1</v>
      </c>
      <c r="K3786">
        <f t="shared" ref="K3786:K3849" ca="1" si="306">IF(AND(NOT(B3786),NOT(B3787)),1,0)</f>
        <v>0</v>
      </c>
      <c r="L3786">
        <f t="shared" ref="L3786:L3849" si="307">L3785+1</f>
        <v>3780</v>
      </c>
      <c r="M3786" s="71">
        <f t="shared" ref="M3786:M3849" ca="1" si="308">IF(B3786&gt;0,-LN(1-(RAND()))/lambda,0)</f>
        <v>2.4734419049833081</v>
      </c>
    </row>
    <row r="3787" spans="1:13" x14ac:dyDescent="0.25">
      <c r="A3787" s="2">
        <v>3781</v>
      </c>
      <c r="B3787" s="11">
        <f t="shared" ca="1" si="304"/>
        <v>1</v>
      </c>
      <c r="C3787" s="26">
        <f t="shared" ca="1" si="303"/>
        <v>0.12350819357864695</v>
      </c>
      <c r="J3787">
        <f t="shared" ca="1" si="305"/>
        <v>1</v>
      </c>
      <c r="K3787">
        <f t="shared" ca="1" si="306"/>
        <v>0</v>
      </c>
      <c r="L3787">
        <f t="shared" si="307"/>
        <v>3781</v>
      </c>
      <c r="M3787" s="71">
        <f t="shared" ca="1" si="308"/>
        <v>1.0416448315278148</v>
      </c>
    </row>
    <row r="3788" spans="1:13" x14ac:dyDescent="0.25">
      <c r="A3788" s="2">
        <v>3782</v>
      </c>
      <c r="B3788" s="11">
        <f t="shared" ca="1" si="304"/>
        <v>1</v>
      </c>
      <c r="C3788" s="26">
        <f t="shared" ca="1" si="303"/>
        <v>0.16325746510513717</v>
      </c>
      <c r="J3788">
        <f t="shared" ca="1" si="305"/>
        <v>1</v>
      </c>
      <c r="K3788">
        <f t="shared" ca="1" si="306"/>
        <v>0</v>
      </c>
      <c r="L3788">
        <f t="shared" si="307"/>
        <v>3782</v>
      </c>
      <c r="M3788" s="71">
        <f t="shared" ca="1" si="308"/>
        <v>2.0990577614216761</v>
      </c>
    </row>
    <row r="3789" spans="1:13" x14ac:dyDescent="0.25">
      <c r="A3789" s="2">
        <v>3783</v>
      </c>
      <c r="B3789" s="11">
        <f t="shared" ca="1" si="304"/>
        <v>1</v>
      </c>
      <c r="C3789" s="26">
        <f t="shared" ca="1" si="303"/>
        <v>0.29772090267355389</v>
      </c>
      <c r="J3789">
        <f t="shared" ca="1" si="305"/>
        <v>0</v>
      </c>
      <c r="K3789">
        <f t="shared" ca="1" si="306"/>
        <v>0</v>
      </c>
      <c r="L3789">
        <f t="shared" si="307"/>
        <v>3783</v>
      </c>
      <c r="M3789" s="71">
        <f t="shared" ca="1" si="308"/>
        <v>2.5715755170987618</v>
      </c>
    </row>
    <row r="3790" spans="1:13" x14ac:dyDescent="0.25">
      <c r="A3790" s="2">
        <v>3784</v>
      </c>
      <c r="B3790" s="11">
        <f t="shared" ca="1" si="304"/>
        <v>0</v>
      </c>
      <c r="C3790" s="26">
        <f t="shared" ca="1" si="303"/>
        <v>0.91781474011046293</v>
      </c>
      <c r="J3790">
        <f t="shared" ca="1" si="305"/>
        <v>0</v>
      </c>
      <c r="K3790">
        <f t="shared" ca="1" si="306"/>
        <v>1</v>
      </c>
      <c r="L3790">
        <f t="shared" si="307"/>
        <v>3784</v>
      </c>
      <c r="M3790" s="71">
        <f t="shared" ca="1" si="308"/>
        <v>0</v>
      </c>
    </row>
    <row r="3791" spans="1:13" x14ac:dyDescent="0.25">
      <c r="A3791" s="2">
        <v>3785</v>
      </c>
      <c r="B3791" s="11">
        <f t="shared" ca="1" si="304"/>
        <v>0</v>
      </c>
      <c r="C3791" s="26">
        <f t="shared" ca="1" si="303"/>
        <v>0.8263280690789514</v>
      </c>
      <c r="J3791">
        <f t="shared" ca="1" si="305"/>
        <v>0</v>
      </c>
      <c r="K3791">
        <f t="shared" ca="1" si="306"/>
        <v>0</v>
      </c>
      <c r="L3791">
        <f t="shared" si="307"/>
        <v>3785</v>
      </c>
      <c r="M3791" s="71">
        <f t="shared" ca="1" si="308"/>
        <v>0</v>
      </c>
    </row>
    <row r="3792" spans="1:13" x14ac:dyDescent="0.25">
      <c r="A3792" s="2">
        <v>3786</v>
      </c>
      <c r="B3792" s="11">
        <f t="shared" ca="1" si="304"/>
        <v>1</v>
      </c>
      <c r="C3792" s="26">
        <f t="shared" ca="1" si="303"/>
        <v>0.71508435649760527</v>
      </c>
      <c r="J3792">
        <f t="shared" ca="1" si="305"/>
        <v>0</v>
      </c>
      <c r="K3792">
        <f t="shared" ca="1" si="306"/>
        <v>0</v>
      </c>
      <c r="L3792">
        <f t="shared" si="307"/>
        <v>3786</v>
      </c>
      <c r="M3792" s="71">
        <f t="shared" ca="1" si="308"/>
        <v>4.8810408777293155</v>
      </c>
    </row>
    <row r="3793" spans="1:13" x14ac:dyDescent="0.25">
      <c r="A3793" s="2">
        <v>3787</v>
      </c>
      <c r="B3793" s="11">
        <f t="shared" ca="1" si="304"/>
        <v>0</v>
      </c>
      <c r="C3793" s="26">
        <f t="shared" ca="1" si="303"/>
        <v>0.97039321916631249</v>
      </c>
      <c r="J3793">
        <f t="shared" ca="1" si="305"/>
        <v>0</v>
      </c>
      <c r="K3793">
        <f t="shared" ca="1" si="306"/>
        <v>1</v>
      </c>
      <c r="L3793">
        <f t="shared" si="307"/>
        <v>3787</v>
      </c>
      <c r="M3793" s="71">
        <f t="shared" ca="1" si="308"/>
        <v>0</v>
      </c>
    </row>
    <row r="3794" spans="1:13" x14ac:dyDescent="0.25">
      <c r="A3794" s="2">
        <v>3788</v>
      </c>
      <c r="B3794" s="11">
        <f t="shared" ca="1" si="304"/>
        <v>0</v>
      </c>
      <c r="C3794" s="26">
        <f t="shared" ca="1" si="303"/>
        <v>0.85304502631156565</v>
      </c>
      <c r="J3794">
        <f t="shared" ca="1" si="305"/>
        <v>0</v>
      </c>
      <c r="K3794">
        <f t="shared" ca="1" si="306"/>
        <v>0</v>
      </c>
      <c r="L3794">
        <f t="shared" si="307"/>
        <v>3788</v>
      </c>
      <c r="M3794" s="71">
        <f t="shared" ca="1" si="308"/>
        <v>0</v>
      </c>
    </row>
    <row r="3795" spans="1:13" x14ac:dyDescent="0.25">
      <c r="A3795" s="2">
        <v>3789</v>
      </c>
      <c r="B3795" s="11">
        <f t="shared" ca="1" si="304"/>
        <v>1</v>
      </c>
      <c r="C3795" s="26">
        <f t="shared" ca="1" si="303"/>
        <v>9.56179810871296E-2</v>
      </c>
      <c r="J3795">
        <f t="shared" ca="1" si="305"/>
        <v>1</v>
      </c>
      <c r="K3795">
        <f t="shared" ca="1" si="306"/>
        <v>0</v>
      </c>
      <c r="L3795">
        <f t="shared" si="307"/>
        <v>3789</v>
      </c>
      <c r="M3795" s="71">
        <f t="shared" ca="1" si="308"/>
        <v>13.805003369298733</v>
      </c>
    </row>
    <row r="3796" spans="1:13" x14ac:dyDescent="0.25">
      <c r="A3796" s="2">
        <v>3790</v>
      </c>
      <c r="B3796" s="11">
        <f t="shared" ca="1" si="304"/>
        <v>1</v>
      </c>
      <c r="C3796" s="26">
        <f t="shared" ca="1" si="303"/>
        <v>0.15185628181255695</v>
      </c>
      <c r="J3796">
        <f t="shared" ca="1" si="305"/>
        <v>1</v>
      </c>
      <c r="K3796">
        <f t="shared" ca="1" si="306"/>
        <v>0</v>
      </c>
      <c r="L3796">
        <f t="shared" si="307"/>
        <v>3790</v>
      </c>
      <c r="M3796" s="71">
        <f t="shared" ca="1" si="308"/>
        <v>4.6926432120243406</v>
      </c>
    </row>
    <row r="3797" spans="1:13" x14ac:dyDescent="0.25">
      <c r="A3797" s="2">
        <v>3791</v>
      </c>
      <c r="B3797" s="11">
        <f t="shared" ca="1" si="304"/>
        <v>1</v>
      </c>
      <c r="C3797" s="26">
        <f t="shared" ca="1" si="303"/>
        <v>0.10667747045277431</v>
      </c>
      <c r="J3797">
        <f t="shared" ca="1" si="305"/>
        <v>1</v>
      </c>
      <c r="K3797">
        <f t="shared" ca="1" si="306"/>
        <v>0</v>
      </c>
      <c r="L3797">
        <f t="shared" si="307"/>
        <v>3791</v>
      </c>
      <c r="M3797" s="71">
        <f t="shared" ca="1" si="308"/>
        <v>1.3255639158362624</v>
      </c>
    </row>
    <row r="3798" spans="1:13" x14ac:dyDescent="0.25">
      <c r="A3798" s="2">
        <v>3792</v>
      </c>
      <c r="B3798" s="11">
        <f t="shared" ca="1" si="304"/>
        <v>1</v>
      </c>
      <c r="C3798" s="26">
        <f t="shared" ca="1" si="303"/>
        <v>0.30641093820474807</v>
      </c>
      <c r="J3798">
        <f t="shared" ca="1" si="305"/>
        <v>1</v>
      </c>
      <c r="K3798">
        <f t="shared" ca="1" si="306"/>
        <v>0</v>
      </c>
      <c r="L3798">
        <f t="shared" si="307"/>
        <v>3792</v>
      </c>
      <c r="M3798" s="71">
        <f t="shared" ca="1" si="308"/>
        <v>2.7612857869320879</v>
      </c>
    </row>
    <row r="3799" spans="1:13" x14ac:dyDescent="0.25">
      <c r="A3799" s="2">
        <v>3793</v>
      </c>
      <c r="B3799" s="11">
        <f t="shared" ca="1" si="304"/>
        <v>1</v>
      </c>
      <c r="C3799" s="26">
        <f t="shared" ca="1" si="303"/>
        <v>0.19661640377434442</v>
      </c>
      <c r="J3799">
        <f t="shared" ca="1" si="305"/>
        <v>1</v>
      </c>
      <c r="K3799">
        <f t="shared" ca="1" si="306"/>
        <v>0</v>
      </c>
      <c r="L3799">
        <f t="shared" si="307"/>
        <v>3793</v>
      </c>
      <c r="M3799" s="71">
        <f t="shared" ca="1" si="308"/>
        <v>5.6511141801198912</v>
      </c>
    </row>
    <row r="3800" spans="1:13" x14ac:dyDescent="0.25">
      <c r="A3800" s="2">
        <v>3794</v>
      </c>
      <c r="B3800" s="11">
        <f t="shared" ca="1" si="304"/>
        <v>1</v>
      </c>
      <c r="C3800" s="26">
        <f t="shared" ca="1" si="303"/>
        <v>7.8198183363320517E-2</v>
      </c>
      <c r="J3800">
        <f t="shared" ca="1" si="305"/>
        <v>1</v>
      </c>
      <c r="K3800">
        <f t="shared" ca="1" si="306"/>
        <v>0</v>
      </c>
      <c r="L3800">
        <f t="shared" si="307"/>
        <v>3794</v>
      </c>
      <c r="M3800" s="71">
        <f t="shared" ca="1" si="308"/>
        <v>1.8731519034903898</v>
      </c>
    </row>
    <row r="3801" spans="1:13" x14ac:dyDescent="0.25">
      <c r="A3801" s="2">
        <v>3795</v>
      </c>
      <c r="B3801" s="11">
        <f t="shared" ca="1" si="304"/>
        <v>1</v>
      </c>
      <c r="C3801" s="26">
        <f t="shared" ca="1" si="303"/>
        <v>0.26255916089963116</v>
      </c>
      <c r="J3801">
        <f t="shared" ca="1" si="305"/>
        <v>1</v>
      </c>
      <c r="K3801">
        <f t="shared" ca="1" si="306"/>
        <v>0</v>
      </c>
      <c r="L3801">
        <f t="shared" si="307"/>
        <v>3795</v>
      </c>
      <c r="M3801" s="71">
        <f t="shared" ca="1" si="308"/>
        <v>1.3163499042431421</v>
      </c>
    </row>
    <row r="3802" spans="1:13" x14ac:dyDescent="0.25">
      <c r="A3802" s="2">
        <v>3796</v>
      </c>
      <c r="B3802" s="11">
        <f t="shared" ca="1" si="304"/>
        <v>1</v>
      </c>
      <c r="C3802" s="26">
        <f t="shared" ca="1" si="303"/>
        <v>0.41330633100834713</v>
      </c>
      <c r="J3802">
        <f t="shared" ca="1" si="305"/>
        <v>1</v>
      </c>
      <c r="K3802">
        <f t="shared" ca="1" si="306"/>
        <v>0</v>
      </c>
      <c r="L3802">
        <f t="shared" si="307"/>
        <v>3796</v>
      </c>
      <c r="M3802" s="71">
        <f t="shared" ca="1" si="308"/>
        <v>2.2694475667398653</v>
      </c>
    </row>
    <row r="3803" spans="1:13" x14ac:dyDescent="0.25">
      <c r="A3803" s="2">
        <v>3797</v>
      </c>
      <c r="B3803" s="11">
        <f t="shared" ca="1" si="304"/>
        <v>1</v>
      </c>
      <c r="C3803" s="26">
        <f t="shared" ca="1" si="303"/>
        <v>3.3881694546072816E-2</v>
      </c>
      <c r="J3803">
        <f t="shared" ca="1" si="305"/>
        <v>1</v>
      </c>
      <c r="K3803">
        <f t="shared" ca="1" si="306"/>
        <v>0</v>
      </c>
      <c r="L3803">
        <f t="shared" si="307"/>
        <v>3797</v>
      </c>
      <c r="M3803" s="71">
        <f t="shared" ca="1" si="308"/>
        <v>2.178566813554947</v>
      </c>
    </row>
    <row r="3804" spans="1:13" x14ac:dyDescent="0.25">
      <c r="A3804" s="2">
        <v>3798</v>
      </c>
      <c r="B3804" s="11">
        <f t="shared" ca="1" si="304"/>
        <v>1</v>
      </c>
      <c r="C3804" s="26">
        <f t="shared" ca="1" si="303"/>
        <v>8.4270375289509092E-3</v>
      </c>
      <c r="J3804">
        <f t="shared" ca="1" si="305"/>
        <v>1</v>
      </c>
      <c r="K3804">
        <f t="shared" ca="1" si="306"/>
        <v>0</v>
      </c>
      <c r="L3804">
        <f t="shared" si="307"/>
        <v>3798</v>
      </c>
      <c r="M3804" s="71">
        <f t="shared" ca="1" si="308"/>
        <v>1.4833973338358939</v>
      </c>
    </row>
    <row r="3805" spans="1:13" x14ac:dyDescent="0.25">
      <c r="A3805" s="2">
        <v>3799</v>
      </c>
      <c r="B3805" s="11">
        <f t="shared" ca="1" si="304"/>
        <v>1</v>
      </c>
      <c r="C3805" s="26">
        <f t="shared" ca="1" si="303"/>
        <v>0.33844479760940915</v>
      </c>
      <c r="J3805">
        <f t="shared" ca="1" si="305"/>
        <v>1</v>
      </c>
      <c r="K3805">
        <f t="shared" ca="1" si="306"/>
        <v>0</v>
      </c>
      <c r="L3805">
        <f t="shared" si="307"/>
        <v>3799</v>
      </c>
      <c r="M3805" s="71">
        <f t="shared" ca="1" si="308"/>
        <v>0.28770390419022063</v>
      </c>
    </row>
    <row r="3806" spans="1:13" x14ac:dyDescent="0.25">
      <c r="A3806" s="2">
        <v>3800</v>
      </c>
      <c r="B3806" s="11">
        <f t="shared" ca="1" si="304"/>
        <v>1</v>
      </c>
      <c r="C3806" s="26">
        <f t="shared" ca="1" si="303"/>
        <v>0.4479421585773723</v>
      </c>
      <c r="J3806">
        <f t="shared" ca="1" si="305"/>
        <v>1</v>
      </c>
      <c r="K3806">
        <f t="shared" ca="1" si="306"/>
        <v>0</v>
      </c>
      <c r="L3806">
        <f t="shared" si="307"/>
        <v>3800</v>
      </c>
      <c r="M3806" s="71">
        <f t="shared" ca="1" si="308"/>
        <v>0.13227739280590545</v>
      </c>
    </row>
    <row r="3807" spans="1:13" x14ac:dyDescent="0.25">
      <c r="A3807" s="2">
        <v>3801</v>
      </c>
      <c r="B3807" s="11">
        <f t="shared" ca="1" si="304"/>
        <v>1</v>
      </c>
      <c r="C3807" s="26">
        <f t="shared" ca="1" si="303"/>
        <v>0.75669309647252125</v>
      </c>
      <c r="J3807">
        <f t="shared" ca="1" si="305"/>
        <v>1</v>
      </c>
      <c r="K3807">
        <f t="shared" ca="1" si="306"/>
        <v>0</v>
      </c>
      <c r="L3807">
        <f t="shared" si="307"/>
        <v>3801</v>
      </c>
      <c r="M3807" s="71">
        <f t="shared" ca="1" si="308"/>
        <v>2.4770000440899844</v>
      </c>
    </row>
    <row r="3808" spans="1:13" x14ac:dyDescent="0.25">
      <c r="A3808" s="2">
        <v>3802</v>
      </c>
      <c r="B3808" s="11">
        <f t="shared" ca="1" si="304"/>
        <v>1</v>
      </c>
      <c r="C3808" s="26">
        <f t="shared" ca="1" si="303"/>
        <v>0.57905437375297308</v>
      </c>
      <c r="J3808">
        <f t="shared" ca="1" si="305"/>
        <v>1</v>
      </c>
      <c r="K3808">
        <f t="shared" ca="1" si="306"/>
        <v>0</v>
      </c>
      <c r="L3808">
        <f t="shared" si="307"/>
        <v>3802</v>
      </c>
      <c r="M3808" s="71">
        <f t="shared" ca="1" si="308"/>
        <v>5.6979474258721527</v>
      </c>
    </row>
    <row r="3809" spans="1:13" x14ac:dyDescent="0.25">
      <c r="A3809" s="2">
        <v>3803</v>
      </c>
      <c r="B3809" s="11">
        <f t="shared" ca="1" si="304"/>
        <v>1</v>
      </c>
      <c r="C3809" s="26">
        <f t="shared" ca="1" si="303"/>
        <v>7.178103887229359E-2</v>
      </c>
      <c r="J3809">
        <f t="shared" ca="1" si="305"/>
        <v>1</v>
      </c>
      <c r="K3809">
        <f t="shared" ca="1" si="306"/>
        <v>0</v>
      </c>
      <c r="L3809">
        <f t="shared" si="307"/>
        <v>3803</v>
      </c>
      <c r="M3809" s="71">
        <f t="shared" ca="1" si="308"/>
        <v>1.7764564371998903</v>
      </c>
    </row>
    <row r="3810" spans="1:13" x14ac:dyDescent="0.25">
      <c r="A3810" s="2">
        <v>3804</v>
      </c>
      <c r="B3810" s="11">
        <f t="shared" ca="1" si="304"/>
        <v>1</v>
      </c>
      <c r="C3810" s="26">
        <f t="shared" ca="1" si="303"/>
        <v>0.77355725296097311</v>
      </c>
      <c r="J3810">
        <f t="shared" ca="1" si="305"/>
        <v>1</v>
      </c>
      <c r="K3810">
        <f t="shared" ca="1" si="306"/>
        <v>0</v>
      </c>
      <c r="L3810">
        <f t="shared" si="307"/>
        <v>3804</v>
      </c>
      <c r="M3810" s="71">
        <f t="shared" ca="1" si="308"/>
        <v>5.833666688444187</v>
      </c>
    </row>
    <row r="3811" spans="1:13" x14ac:dyDescent="0.25">
      <c r="A3811" s="2">
        <v>3805</v>
      </c>
      <c r="B3811" s="11">
        <f t="shared" ca="1" si="304"/>
        <v>1</v>
      </c>
      <c r="C3811" s="26">
        <f t="shared" ca="1" si="303"/>
        <v>0.76005328589733323</v>
      </c>
      <c r="J3811">
        <f t="shared" ca="1" si="305"/>
        <v>0</v>
      </c>
      <c r="K3811">
        <f t="shared" ca="1" si="306"/>
        <v>0</v>
      </c>
      <c r="L3811">
        <f t="shared" si="307"/>
        <v>3805</v>
      </c>
      <c r="M3811" s="71">
        <f t="shared" ca="1" si="308"/>
        <v>2.7270965151196824</v>
      </c>
    </row>
    <row r="3812" spans="1:13" x14ac:dyDescent="0.25">
      <c r="A3812" s="2">
        <v>3806</v>
      </c>
      <c r="B3812" s="11">
        <f t="shared" ca="1" si="304"/>
        <v>0</v>
      </c>
      <c r="C3812" s="26">
        <f t="shared" ca="1" si="303"/>
        <v>0.86379910511727831</v>
      </c>
      <c r="J3812">
        <f t="shared" ca="1" si="305"/>
        <v>0</v>
      </c>
      <c r="K3812">
        <f t="shared" ca="1" si="306"/>
        <v>0</v>
      </c>
      <c r="L3812">
        <f t="shared" si="307"/>
        <v>3806</v>
      </c>
      <c r="M3812" s="71">
        <f t="shared" ca="1" si="308"/>
        <v>0</v>
      </c>
    </row>
    <row r="3813" spans="1:13" x14ac:dyDescent="0.25">
      <c r="A3813" s="2">
        <v>3807</v>
      </c>
      <c r="B3813" s="11">
        <f t="shared" ca="1" si="304"/>
        <v>1</v>
      </c>
      <c r="C3813" s="26">
        <f t="shared" ca="1" si="303"/>
        <v>4.0352115364326702E-2</v>
      </c>
      <c r="J3813">
        <f t="shared" ca="1" si="305"/>
        <v>1</v>
      </c>
      <c r="K3813">
        <f t="shared" ca="1" si="306"/>
        <v>0</v>
      </c>
      <c r="L3813">
        <f t="shared" si="307"/>
        <v>3807</v>
      </c>
      <c r="M3813" s="71">
        <f t="shared" ca="1" si="308"/>
        <v>1.0165496106859326</v>
      </c>
    </row>
    <row r="3814" spans="1:13" x14ac:dyDescent="0.25">
      <c r="A3814" s="2">
        <v>3808</v>
      </c>
      <c r="B3814" s="11">
        <f t="shared" ca="1" si="304"/>
        <v>1</v>
      </c>
      <c r="C3814" s="26">
        <f t="shared" ca="1" si="303"/>
        <v>0.66560554905900526</v>
      </c>
      <c r="J3814">
        <f t="shared" ca="1" si="305"/>
        <v>1</v>
      </c>
      <c r="K3814">
        <f t="shared" ca="1" si="306"/>
        <v>0</v>
      </c>
      <c r="L3814">
        <f t="shared" si="307"/>
        <v>3808</v>
      </c>
      <c r="M3814" s="71">
        <f t="shared" ca="1" si="308"/>
        <v>0.70369882712381404</v>
      </c>
    </row>
    <row r="3815" spans="1:13" x14ac:dyDescent="0.25">
      <c r="A3815" s="2">
        <v>3809</v>
      </c>
      <c r="B3815" s="11">
        <f t="shared" ca="1" si="304"/>
        <v>1</v>
      </c>
      <c r="C3815" s="26">
        <f t="shared" ca="1" si="303"/>
        <v>0.74176926988784808</v>
      </c>
      <c r="J3815">
        <f t="shared" ca="1" si="305"/>
        <v>1</v>
      </c>
      <c r="K3815">
        <f t="shared" ca="1" si="306"/>
        <v>0</v>
      </c>
      <c r="L3815">
        <f t="shared" si="307"/>
        <v>3809</v>
      </c>
      <c r="M3815" s="71">
        <f t="shared" ca="1" si="308"/>
        <v>12.085580290729913</v>
      </c>
    </row>
    <row r="3816" spans="1:13" x14ac:dyDescent="0.25">
      <c r="A3816" s="2">
        <v>3810</v>
      </c>
      <c r="B3816" s="11">
        <f t="shared" ca="1" si="304"/>
        <v>1</v>
      </c>
      <c r="C3816" s="26">
        <f t="shared" ca="1" si="303"/>
        <v>0.52568150523725732</v>
      </c>
      <c r="J3816">
        <f t="shared" ca="1" si="305"/>
        <v>1</v>
      </c>
      <c r="K3816">
        <f t="shared" ca="1" si="306"/>
        <v>0</v>
      </c>
      <c r="L3816">
        <f t="shared" si="307"/>
        <v>3810</v>
      </c>
      <c r="M3816" s="71">
        <f t="shared" ca="1" si="308"/>
        <v>0.64194571792897215</v>
      </c>
    </row>
    <row r="3817" spans="1:13" x14ac:dyDescent="0.25">
      <c r="A3817" s="2">
        <v>3811</v>
      </c>
      <c r="B3817" s="11">
        <f t="shared" ca="1" si="304"/>
        <v>1</v>
      </c>
      <c r="C3817" s="26">
        <f t="shared" ca="1" si="303"/>
        <v>0.63477019091700204</v>
      </c>
      <c r="J3817">
        <f t="shared" ca="1" si="305"/>
        <v>1</v>
      </c>
      <c r="K3817">
        <f t="shared" ca="1" si="306"/>
        <v>0</v>
      </c>
      <c r="L3817">
        <f t="shared" si="307"/>
        <v>3811</v>
      </c>
      <c r="M3817" s="71">
        <f t="shared" ca="1" si="308"/>
        <v>0.81509419602026001</v>
      </c>
    </row>
    <row r="3818" spans="1:13" x14ac:dyDescent="0.25">
      <c r="A3818" s="2">
        <v>3812</v>
      </c>
      <c r="B3818" s="11">
        <f t="shared" ca="1" si="304"/>
        <v>1</v>
      </c>
      <c r="C3818" s="26">
        <f t="shared" ca="1" si="303"/>
        <v>0.11197425203492406</v>
      </c>
      <c r="J3818">
        <f t="shared" ca="1" si="305"/>
        <v>1</v>
      </c>
      <c r="K3818">
        <f t="shared" ca="1" si="306"/>
        <v>0</v>
      </c>
      <c r="L3818">
        <f t="shared" si="307"/>
        <v>3812</v>
      </c>
      <c r="M3818" s="71">
        <f t="shared" ca="1" si="308"/>
        <v>10.758780171689962</v>
      </c>
    </row>
    <row r="3819" spans="1:13" x14ac:dyDescent="0.25">
      <c r="A3819" s="2">
        <v>3813</v>
      </c>
      <c r="B3819" s="11">
        <f t="shared" ca="1" si="304"/>
        <v>1</v>
      </c>
      <c r="C3819" s="26">
        <f t="shared" ca="1" si="303"/>
        <v>0.13254227920045014</v>
      </c>
      <c r="J3819">
        <f t="shared" ca="1" si="305"/>
        <v>1</v>
      </c>
      <c r="K3819">
        <f t="shared" ca="1" si="306"/>
        <v>0</v>
      </c>
      <c r="L3819">
        <f t="shared" si="307"/>
        <v>3813</v>
      </c>
      <c r="M3819" s="71">
        <f t="shared" ca="1" si="308"/>
        <v>14.24993677749565</v>
      </c>
    </row>
    <row r="3820" spans="1:13" x14ac:dyDescent="0.25">
      <c r="A3820" s="2">
        <v>3814</v>
      </c>
      <c r="B3820" s="11">
        <f t="shared" ca="1" si="304"/>
        <v>1</v>
      </c>
      <c r="C3820" s="26">
        <f t="shared" ca="1" si="303"/>
        <v>0.29528589424292484</v>
      </c>
      <c r="J3820">
        <f t="shared" ca="1" si="305"/>
        <v>0</v>
      </c>
      <c r="K3820">
        <f t="shared" ca="1" si="306"/>
        <v>0</v>
      </c>
      <c r="L3820">
        <f t="shared" si="307"/>
        <v>3814</v>
      </c>
      <c r="M3820" s="71">
        <f t="shared" ca="1" si="308"/>
        <v>1.883826058848701</v>
      </c>
    </row>
    <row r="3821" spans="1:13" x14ac:dyDescent="0.25">
      <c r="A3821" s="2">
        <v>3815</v>
      </c>
      <c r="B3821" s="11">
        <f t="shared" ca="1" si="304"/>
        <v>0</v>
      </c>
      <c r="C3821" s="26">
        <f t="shared" ca="1" si="303"/>
        <v>0.98802573266606886</v>
      </c>
      <c r="J3821">
        <f t="shared" ca="1" si="305"/>
        <v>0</v>
      </c>
      <c r="K3821">
        <f t="shared" ca="1" si="306"/>
        <v>1</v>
      </c>
      <c r="L3821">
        <f t="shared" si="307"/>
        <v>3815</v>
      </c>
      <c r="M3821" s="71">
        <f t="shared" ca="1" si="308"/>
        <v>0</v>
      </c>
    </row>
    <row r="3822" spans="1:13" x14ac:dyDescent="0.25">
      <c r="A3822" s="2">
        <v>3816</v>
      </c>
      <c r="B3822" s="11">
        <f t="shared" ca="1" si="304"/>
        <v>0</v>
      </c>
      <c r="C3822" s="26">
        <f t="shared" ca="1" si="303"/>
        <v>0.9082955520760787</v>
      </c>
      <c r="J3822">
        <f t="shared" ca="1" si="305"/>
        <v>0</v>
      </c>
      <c r="K3822">
        <f t="shared" ca="1" si="306"/>
        <v>1</v>
      </c>
      <c r="L3822">
        <f t="shared" si="307"/>
        <v>3816</v>
      </c>
      <c r="M3822" s="71">
        <f t="shared" ca="1" si="308"/>
        <v>0</v>
      </c>
    </row>
    <row r="3823" spans="1:13" x14ac:dyDescent="0.25">
      <c r="A3823" s="2">
        <v>3817</v>
      </c>
      <c r="B3823" s="11">
        <f t="shared" ca="1" si="304"/>
        <v>0</v>
      </c>
      <c r="C3823" s="26">
        <f t="shared" ca="1" si="303"/>
        <v>0.96012281736283467</v>
      </c>
      <c r="J3823">
        <f t="shared" ca="1" si="305"/>
        <v>0</v>
      </c>
      <c r="K3823">
        <f t="shared" ca="1" si="306"/>
        <v>0</v>
      </c>
      <c r="L3823">
        <f t="shared" si="307"/>
        <v>3817</v>
      </c>
      <c r="M3823" s="71">
        <f t="shared" ca="1" si="308"/>
        <v>0</v>
      </c>
    </row>
    <row r="3824" spans="1:13" x14ac:dyDescent="0.25">
      <c r="A3824" s="2">
        <v>3818</v>
      </c>
      <c r="B3824" s="11">
        <f t="shared" ca="1" si="304"/>
        <v>1</v>
      </c>
      <c r="C3824" s="26">
        <f t="shared" ca="1" si="303"/>
        <v>0.11718813258670269</v>
      </c>
      <c r="J3824">
        <f t="shared" ca="1" si="305"/>
        <v>1</v>
      </c>
      <c r="K3824">
        <f t="shared" ca="1" si="306"/>
        <v>0</v>
      </c>
      <c r="L3824">
        <f t="shared" si="307"/>
        <v>3818</v>
      </c>
      <c r="M3824" s="71">
        <f t="shared" ca="1" si="308"/>
        <v>1.2567754587495112</v>
      </c>
    </row>
    <row r="3825" spans="1:13" x14ac:dyDescent="0.25">
      <c r="A3825" s="2">
        <v>3819</v>
      </c>
      <c r="B3825" s="11">
        <f t="shared" ca="1" si="304"/>
        <v>1</v>
      </c>
      <c r="C3825" s="26">
        <f t="shared" ca="1" si="303"/>
        <v>0.35218087326463154</v>
      </c>
      <c r="J3825">
        <f t="shared" ca="1" si="305"/>
        <v>1</v>
      </c>
      <c r="K3825">
        <f t="shared" ca="1" si="306"/>
        <v>0</v>
      </c>
      <c r="L3825">
        <f t="shared" si="307"/>
        <v>3819</v>
      </c>
      <c r="M3825" s="71">
        <f t="shared" ca="1" si="308"/>
        <v>7.1736563978097259</v>
      </c>
    </row>
    <row r="3826" spans="1:13" x14ac:dyDescent="0.25">
      <c r="A3826" s="2">
        <v>3820</v>
      </c>
      <c r="B3826" s="11">
        <f t="shared" ca="1" si="304"/>
        <v>1</v>
      </c>
      <c r="C3826" s="26">
        <f t="shared" ca="1" si="303"/>
        <v>0.20955030167819377</v>
      </c>
      <c r="J3826">
        <f t="shared" ca="1" si="305"/>
        <v>0</v>
      </c>
      <c r="K3826">
        <f t="shared" ca="1" si="306"/>
        <v>0</v>
      </c>
      <c r="L3826">
        <f t="shared" si="307"/>
        <v>3820</v>
      </c>
      <c r="M3826" s="71">
        <f t="shared" ca="1" si="308"/>
        <v>1.1038740981802422</v>
      </c>
    </row>
    <row r="3827" spans="1:13" x14ac:dyDescent="0.25">
      <c r="A3827" s="2">
        <v>3821</v>
      </c>
      <c r="B3827" s="11">
        <f t="shared" ca="1" si="304"/>
        <v>0</v>
      </c>
      <c r="C3827" s="26">
        <f t="shared" ca="1" si="303"/>
        <v>0.97551909309958729</v>
      </c>
      <c r="J3827">
        <f t="shared" ca="1" si="305"/>
        <v>0</v>
      </c>
      <c r="K3827">
        <f t="shared" ca="1" si="306"/>
        <v>0</v>
      </c>
      <c r="L3827">
        <f t="shared" si="307"/>
        <v>3821</v>
      </c>
      <c r="M3827" s="71">
        <f t="shared" ca="1" si="308"/>
        <v>0</v>
      </c>
    </row>
    <row r="3828" spans="1:13" x14ac:dyDescent="0.25">
      <c r="A3828" s="2">
        <v>3822</v>
      </c>
      <c r="B3828" s="11">
        <f t="shared" ca="1" si="304"/>
        <v>1</v>
      </c>
      <c r="C3828" s="26">
        <f t="shared" ca="1" si="303"/>
        <v>0.34223000840713114</v>
      </c>
      <c r="J3828">
        <f t="shared" ca="1" si="305"/>
        <v>1</v>
      </c>
      <c r="K3828">
        <f t="shared" ca="1" si="306"/>
        <v>0</v>
      </c>
      <c r="L3828">
        <f t="shared" si="307"/>
        <v>3822</v>
      </c>
      <c r="M3828" s="71">
        <f t="shared" ca="1" si="308"/>
        <v>5.0817105500346598</v>
      </c>
    </row>
    <row r="3829" spans="1:13" x14ac:dyDescent="0.25">
      <c r="A3829" s="2">
        <v>3823</v>
      </c>
      <c r="B3829" s="11">
        <f t="shared" ca="1" si="304"/>
        <v>1</v>
      </c>
      <c r="C3829" s="26">
        <f t="shared" ca="1" si="303"/>
        <v>0.7431702142213702</v>
      </c>
      <c r="J3829">
        <f t="shared" ca="1" si="305"/>
        <v>0</v>
      </c>
      <c r="K3829">
        <f t="shared" ca="1" si="306"/>
        <v>0</v>
      </c>
      <c r="L3829">
        <f t="shared" si="307"/>
        <v>3823</v>
      </c>
      <c r="M3829" s="71">
        <f t="shared" ca="1" si="308"/>
        <v>0.39863818417886809</v>
      </c>
    </row>
    <row r="3830" spans="1:13" x14ac:dyDescent="0.25">
      <c r="A3830" s="2">
        <v>3824</v>
      </c>
      <c r="B3830" s="11">
        <f t="shared" ca="1" si="304"/>
        <v>0</v>
      </c>
      <c r="C3830" s="26">
        <f t="shared" ca="1" si="303"/>
        <v>0.84654859668478799</v>
      </c>
      <c r="J3830">
        <f t="shared" ca="1" si="305"/>
        <v>0</v>
      </c>
      <c r="K3830">
        <f t="shared" ca="1" si="306"/>
        <v>1</v>
      </c>
      <c r="L3830">
        <f t="shared" si="307"/>
        <v>3824</v>
      </c>
      <c r="M3830" s="71">
        <f t="shared" ca="1" si="308"/>
        <v>0</v>
      </c>
    </row>
    <row r="3831" spans="1:13" x14ac:dyDescent="0.25">
      <c r="A3831" s="2">
        <v>3825</v>
      </c>
      <c r="B3831" s="11">
        <f t="shared" ca="1" si="304"/>
        <v>0</v>
      </c>
      <c r="C3831" s="26">
        <f t="shared" ca="1" si="303"/>
        <v>0.95616948791994871</v>
      </c>
      <c r="J3831">
        <f t="shared" ca="1" si="305"/>
        <v>0</v>
      </c>
      <c r="K3831">
        <f t="shared" ca="1" si="306"/>
        <v>0</v>
      </c>
      <c r="L3831">
        <f t="shared" si="307"/>
        <v>3825</v>
      </c>
      <c r="M3831" s="71">
        <f t="shared" ca="1" si="308"/>
        <v>0</v>
      </c>
    </row>
    <row r="3832" spans="1:13" x14ac:dyDescent="0.25">
      <c r="A3832" s="2">
        <v>3826</v>
      </c>
      <c r="B3832" s="11">
        <f t="shared" ca="1" si="304"/>
        <v>1</v>
      </c>
      <c r="C3832" s="26">
        <f t="shared" ca="1" si="303"/>
        <v>0.39578902645947978</v>
      </c>
      <c r="J3832">
        <f t="shared" ca="1" si="305"/>
        <v>1</v>
      </c>
      <c r="K3832">
        <f t="shared" ca="1" si="306"/>
        <v>0</v>
      </c>
      <c r="L3832">
        <f t="shared" si="307"/>
        <v>3826</v>
      </c>
      <c r="M3832" s="71">
        <f t="shared" ca="1" si="308"/>
        <v>3.5839455489544081</v>
      </c>
    </row>
    <row r="3833" spans="1:13" x14ac:dyDescent="0.25">
      <c r="A3833" s="2">
        <v>3827</v>
      </c>
      <c r="B3833" s="11">
        <f t="shared" ca="1" si="304"/>
        <v>1</v>
      </c>
      <c r="C3833" s="26">
        <f t="shared" ca="1" si="303"/>
        <v>0.71939388043526753</v>
      </c>
      <c r="J3833">
        <f t="shared" ca="1" si="305"/>
        <v>1</v>
      </c>
      <c r="K3833">
        <f t="shared" ca="1" si="306"/>
        <v>0</v>
      </c>
      <c r="L3833">
        <f t="shared" si="307"/>
        <v>3827</v>
      </c>
      <c r="M3833" s="71">
        <f t="shared" ca="1" si="308"/>
        <v>1.0340439324136179</v>
      </c>
    </row>
    <row r="3834" spans="1:13" x14ac:dyDescent="0.25">
      <c r="A3834" s="2">
        <v>3828</v>
      </c>
      <c r="B3834" s="11">
        <f t="shared" ca="1" si="304"/>
        <v>1</v>
      </c>
      <c r="C3834" s="26">
        <f t="shared" ca="1" si="303"/>
        <v>0.72562282384697618</v>
      </c>
      <c r="J3834">
        <f t="shared" ca="1" si="305"/>
        <v>1</v>
      </c>
      <c r="K3834">
        <f t="shared" ca="1" si="306"/>
        <v>0</v>
      </c>
      <c r="L3834">
        <f t="shared" si="307"/>
        <v>3828</v>
      </c>
      <c r="M3834" s="71">
        <f t="shared" ca="1" si="308"/>
        <v>13.809156159288865</v>
      </c>
    </row>
    <row r="3835" spans="1:13" x14ac:dyDescent="0.25">
      <c r="A3835" s="2">
        <v>3829</v>
      </c>
      <c r="B3835" s="11">
        <f t="shared" ca="1" si="304"/>
        <v>1</v>
      </c>
      <c r="C3835" s="26">
        <f t="shared" ca="1" si="303"/>
        <v>0.10074402003101679</v>
      </c>
      <c r="J3835">
        <f t="shared" ca="1" si="305"/>
        <v>0</v>
      </c>
      <c r="K3835">
        <f t="shared" ca="1" si="306"/>
        <v>0</v>
      </c>
      <c r="L3835">
        <f t="shared" si="307"/>
        <v>3829</v>
      </c>
      <c r="M3835" s="71">
        <f t="shared" ca="1" si="308"/>
        <v>9.4699742953550015</v>
      </c>
    </row>
    <row r="3836" spans="1:13" x14ac:dyDescent="0.25">
      <c r="A3836" s="2">
        <v>3830</v>
      </c>
      <c r="B3836" s="11">
        <f t="shared" ca="1" si="304"/>
        <v>0</v>
      </c>
      <c r="C3836" s="26">
        <f t="shared" ca="1" si="303"/>
        <v>0.94153449507041043</v>
      </c>
      <c r="J3836">
        <f t="shared" ca="1" si="305"/>
        <v>0</v>
      </c>
      <c r="K3836">
        <f t="shared" ca="1" si="306"/>
        <v>0</v>
      </c>
      <c r="L3836">
        <f t="shared" si="307"/>
        <v>3830</v>
      </c>
      <c r="M3836" s="71">
        <f t="shared" ca="1" si="308"/>
        <v>0</v>
      </c>
    </row>
    <row r="3837" spans="1:13" x14ac:dyDescent="0.25">
      <c r="A3837" s="2">
        <v>3831</v>
      </c>
      <c r="B3837" s="11">
        <f t="shared" ca="1" si="304"/>
        <v>1</v>
      </c>
      <c r="C3837" s="26">
        <f t="shared" ca="1" si="303"/>
        <v>0.67577719710542961</v>
      </c>
      <c r="J3837">
        <f t="shared" ca="1" si="305"/>
        <v>1</v>
      </c>
      <c r="K3837">
        <f t="shared" ca="1" si="306"/>
        <v>0</v>
      </c>
      <c r="L3837">
        <f t="shared" si="307"/>
        <v>3831</v>
      </c>
      <c r="M3837" s="71">
        <f t="shared" ca="1" si="308"/>
        <v>4.4119987750655039</v>
      </c>
    </row>
    <row r="3838" spans="1:13" x14ac:dyDescent="0.25">
      <c r="A3838" s="2">
        <v>3832</v>
      </c>
      <c r="B3838" s="11">
        <f t="shared" ca="1" si="304"/>
        <v>1</v>
      </c>
      <c r="C3838" s="26">
        <f t="shared" ca="1" si="303"/>
        <v>0.40869597856563367</v>
      </c>
      <c r="J3838">
        <f t="shared" ca="1" si="305"/>
        <v>1</v>
      </c>
      <c r="K3838">
        <f t="shared" ca="1" si="306"/>
        <v>0</v>
      </c>
      <c r="L3838">
        <f t="shared" si="307"/>
        <v>3832</v>
      </c>
      <c r="M3838" s="71">
        <f t="shared" ca="1" si="308"/>
        <v>1.9196760389252407</v>
      </c>
    </row>
    <row r="3839" spans="1:13" x14ac:dyDescent="0.25">
      <c r="A3839" s="2">
        <v>3833</v>
      </c>
      <c r="B3839" s="11">
        <f t="shared" ca="1" si="304"/>
        <v>1</v>
      </c>
      <c r="C3839" s="26">
        <f t="shared" ca="1" si="303"/>
        <v>0.2602765482214684</v>
      </c>
      <c r="J3839">
        <f t="shared" ca="1" si="305"/>
        <v>0</v>
      </c>
      <c r="K3839">
        <f t="shared" ca="1" si="306"/>
        <v>0</v>
      </c>
      <c r="L3839">
        <f t="shared" si="307"/>
        <v>3833</v>
      </c>
      <c r="M3839" s="71">
        <f t="shared" ca="1" si="308"/>
        <v>5.1069684738610412</v>
      </c>
    </row>
    <row r="3840" spans="1:13" x14ac:dyDescent="0.25">
      <c r="A3840" s="2">
        <v>3834</v>
      </c>
      <c r="B3840" s="11">
        <f t="shared" ca="1" si="304"/>
        <v>0</v>
      </c>
      <c r="C3840" s="26">
        <f t="shared" ca="1" si="303"/>
        <v>0.81756567563445981</v>
      </c>
      <c r="J3840">
        <f t="shared" ca="1" si="305"/>
        <v>0</v>
      </c>
      <c r="K3840">
        <f t="shared" ca="1" si="306"/>
        <v>0</v>
      </c>
      <c r="L3840">
        <f t="shared" si="307"/>
        <v>3834</v>
      </c>
      <c r="M3840" s="71">
        <f t="shared" ca="1" si="308"/>
        <v>0</v>
      </c>
    </row>
    <row r="3841" spans="1:13" x14ac:dyDescent="0.25">
      <c r="A3841" s="2">
        <v>3835</v>
      </c>
      <c r="B3841" s="11">
        <f t="shared" ca="1" si="304"/>
        <v>1</v>
      </c>
      <c r="C3841" s="26">
        <f t="shared" ca="1" si="303"/>
        <v>0.35557984382730812</v>
      </c>
      <c r="J3841">
        <f t="shared" ca="1" si="305"/>
        <v>1</v>
      </c>
      <c r="K3841">
        <f t="shared" ca="1" si="306"/>
        <v>0</v>
      </c>
      <c r="L3841">
        <f t="shared" si="307"/>
        <v>3835</v>
      </c>
      <c r="M3841" s="71">
        <f t="shared" ca="1" si="308"/>
        <v>6.6300964105910506E-2</v>
      </c>
    </row>
    <row r="3842" spans="1:13" x14ac:dyDescent="0.25">
      <c r="A3842" s="2">
        <v>3836</v>
      </c>
      <c r="B3842" s="11">
        <f t="shared" ca="1" si="304"/>
        <v>1</v>
      </c>
      <c r="C3842" s="26">
        <f t="shared" ca="1" si="303"/>
        <v>0.15225223032370072</v>
      </c>
      <c r="J3842">
        <f t="shared" ca="1" si="305"/>
        <v>1</v>
      </c>
      <c r="K3842">
        <f t="shared" ca="1" si="306"/>
        <v>0</v>
      </c>
      <c r="L3842">
        <f t="shared" si="307"/>
        <v>3836</v>
      </c>
      <c r="M3842" s="71">
        <f t="shared" ca="1" si="308"/>
        <v>6.3760850689420927</v>
      </c>
    </row>
    <row r="3843" spans="1:13" x14ac:dyDescent="0.25">
      <c r="A3843" s="2">
        <v>3837</v>
      </c>
      <c r="B3843" s="11">
        <f t="shared" ca="1" si="304"/>
        <v>1</v>
      </c>
      <c r="C3843" s="26">
        <f t="shared" ca="1" si="303"/>
        <v>0.65012220631051676</v>
      </c>
      <c r="J3843">
        <f t="shared" ca="1" si="305"/>
        <v>1</v>
      </c>
      <c r="K3843">
        <f t="shared" ca="1" si="306"/>
        <v>0</v>
      </c>
      <c r="L3843">
        <f t="shared" si="307"/>
        <v>3837</v>
      </c>
      <c r="M3843" s="71">
        <f t="shared" ca="1" si="308"/>
        <v>2.2215455120320464</v>
      </c>
    </row>
    <row r="3844" spans="1:13" x14ac:dyDescent="0.25">
      <c r="A3844" s="2">
        <v>3838</v>
      </c>
      <c r="B3844" s="11">
        <f t="shared" ca="1" si="304"/>
        <v>1</v>
      </c>
      <c r="C3844" s="26">
        <f t="shared" ca="1" si="303"/>
        <v>0.31368542661300181</v>
      </c>
      <c r="J3844">
        <f t="shared" ca="1" si="305"/>
        <v>1</v>
      </c>
      <c r="K3844">
        <f t="shared" ca="1" si="306"/>
        <v>0</v>
      </c>
      <c r="L3844">
        <f t="shared" si="307"/>
        <v>3838</v>
      </c>
      <c r="M3844" s="71">
        <f t="shared" ca="1" si="308"/>
        <v>1.0315287618885287</v>
      </c>
    </row>
    <row r="3845" spans="1:13" x14ac:dyDescent="0.25">
      <c r="A3845" s="2">
        <v>3839</v>
      </c>
      <c r="B3845" s="11">
        <f t="shared" ca="1" si="304"/>
        <v>1</v>
      </c>
      <c r="C3845" s="26">
        <f t="shared" ca="1" si="303"/>
        <v>0.11717013340939386</v>
      </c>
      <c r="J3845">
        <f t="shared" ca="1" si="305"/>
        <v>1</v>
      </c>
      <c r="K3845">
        <f t="shared" ca="1" si="306"/>
        <v>0</v>
      </c>
      <c r="L3845">
        <f t="shared" si="307"/>
        <v>3839</v>
      </c>
      <c r="M3845" s="71">
        <f t="shared" ca="1" si="308"/>
        <v>10.753130638496954</v>
      </c>
    </row>
    <row r="3846" spans="1:13" x14ac:dyDescent="0.25">
      <c r="A3846" s="2">
        <v>3840</v>
      </c>
      <c r="B3846" s="11">
        <f t="shared" ca="1" si="304"/>
        <v>1</v>
      </c>
      <c r="C3846" s="26">
        <f t="shared" ca="1" si="303"/>
        <v>0.76931842556419328</v>
      </c>
      <c r="J3846">
        <f t="shared" ca="1" si="305"/>
        <v>1</v>
      </c>
      <c r="K3846">
        <f t="shared" ca="1" si="306"/>
        <v>0</v>
      </c>
      <c r="L3846">
        <f t="shared" si="307"/>
        <v>3840</v>
      </c>
      <c r="M3846" s="71">
        <f t="shared" ca="1" si="308"/>
        <v>0.64367667480346025</v>
      </c>
    </row>
    <row r="3847" spans="1:13" x14ac:dyDescent="0.25">
      <c r="A3847" s="2">
        <v>3841</v>
      </c>
      <c r="B3847" s="11">
        <f t="shared" ca="1" si="304"/>
        <v>1</v>
      </c>
      <c r="C3847" s="26">
        <f t="shared" ca="1" si="303"/>
        <v>0.47411976407548972</v>
      </c>
      <c r="J3847">
        <f t="shared" ca="1" si="305"/>
        <v>1</v>
      </c>
      <c r="K3847">
        <f t="shared" ca="1" si="306"/>
        <v>0</v>
      </c>
      <c r="L3847">
        <f t="shared" si="307"/>
        <v>3841</v>
      </c>
      <c r="M3847" s="71">
        <f t="shared" ca="1" si="308"/>
        <v>3.5034594750733346E-2</v>
      </c>
    </row>
    <row r="3848" spans="1:13" x14ac:dyDescent="0.25">
      <c r="A3848" s="2">
        <v>3842</v>
      </c>
      <c r="B3848" s="11">
        <f t="shared" ca="1" si="304"/>
        <v>1</v>
      </c>
      <c r="C3848" s="26">
        <f t="shared" ref="C3848:C3911" ca="1" si="309">RAND()</f>
        <v>3.4004699078337142E-3</v>
      </c>
      <c r="J3848">
        <f t="shared" ca="1" si="305"/>
        <v>0</v>
      </c>
      <c r="K3848">
        <f t="shared" ca="1" si="306"/>
        <v>0</v>
      </c>
      <c r="L3848">
        <f t="shared" si="307"/>
        <v>3842</v>
      </c>
      <c r="M3848" s="71">
        <f t="shared" ca="1" si="308"/>
        <v>3.5100468863609482</v>
      </c>
    </row>
    <row r="3849" spans="1:13" x14ac:dyDescent="0.25">
      <c r="A3849" s="2">
        <v>3843</v>
      </c>
      <c r="B3849" s="11">
        <f t="shared" ref="B3849:B3912" ca="1" si="310">IF(B3848&gt;0,IF(C3849&lt;pww,1,0),IF(C3849&lt;pdw,1,0))</f>
        <v>0</v>
      </c>
      <c r="C3849" s="26">
        <f t="shared" ca="1" si="309"/>
        <v>0.99078782101992913</v>
      </c>
      <c r="J3849">
        <f t="shared" ca="1" si="305"/>
        <v>0</v>
      </c>
      <c r="K3849">
        <f t="shared" ca="1" si="306"/>
        <v>1</v>
      </c>
      <c r="L3849">
        <f t="shared" si="307"/>
        <v>3843</v>
      </c>
      <c r="M3849" s="71">
        <f t="shared" ca="1" si="308"/>
        <v>0</v>
      </c>
    </row>
    <row r="3850" spans="1:13" x14ac:dyDescent="0.25">
      <c r="A3850" s="2">
        <v>3844</v>
      </c>
      <c r="B3850" s="11">
        <f t="shared" ca="1" si="310"/>
        <v>0</v>
      </c>
      <c r="C3850" s="26">
        <f t="shared" ca="1" si="309"/>
        <v>0.84924616104447137</v>
      </c>
      <c r="J3850">
        <f t="shared" ref="J3850:J3913" ca="1" si="311">IF(AND(B3850,B3851),1,0)</f>
        <v>0</v>
      </c>
      <c r="K3850">
        <f t="shared" ref="K3850:K3913" ca="1" si="312">IF(AND(NOT(B3850),NOT(B3851)),1,0)</f>
        <v>0</v>
      </c>
      <c r="L3850">
        <f t="shared" ref="L3850:L3913" si="313">L3849+1</f>
        <v>3844</v>
      </c>
      <c r="M3850" s="71">
        <f t="shared" ref="M3850:M3913" ca="1" si="314">IF(B3850&gt;0,-LN(1-(RAND()))/lambda,0)</f>
        <v>0</v>
      </c>
    </row>
    <row r="3851" spans="1:13" x14ac:dyDescent="0.25">
      <c r="A3851" s="2">
        <v>3845</v>
      </c>
      <c r="B3851" s="11">
        <f t="shared" ca="1" si="310"/>
        <v>1</v>
      </c>
      <c r="C3851" s="26">
        <f t="shared" ca="1" si="309"/>
        <v>0.14351411884517162</v>
      </c>
      <c r="J3851">
        <f t="shared" ca="1" si="311"/>
        <v>1</v>
      </c>
      <c r="K3851">
        <f t="shared" ca="1" si="312"/>
        <v>0</v>
      </c>
      <c r="L3851">
        <f t="shared" si="313"/>
        <v>3845</v>
      </c>
      <c r="M3851" s="71">
        <f t="shared" ca="1" si="314"/>
        <v>6.4146527403418832</v>
      </c>
    </row>
    <row r="3852" spans="1:13" x14ac:dyDescent="0.25">
      <c r="A3852" s="2">
        <v>3846</v>
      </c>
      <c r="B3852" s="11">
        <f t="shared" ca="1" si="310"/>
        <v>1</v>
      </c>
      <c r="C3852" s="26">
        <f t="shared" ca="1" si="309"/>
        <v>0.47184870808572477</v>
      </c>
      <c r="J3852">
        <f t="shared" ca="1" si="311"/>
        <v>1</v>
      </c>
      <c r="K3852">
        <f t="shared" ca="1" si="312"/>
        <v>0</v>
      </c>
      <c r="L3852">
        <f t="shared" si="313"/>
        <v>3846</v>
      </c>
      <c r="M3852" s="71">
        <f t="shared" ca="1" si="314"/>
        <v>2.2271786001976279</v>
      </c>
    </row>
    <row r="3853" spans="1:13" x14ac:dyDescent="0.25">
      <c r="A3853" s="2">
        <v>3847</v>
      </c>
      <c r="B3853" s="11">
        <f t="shared" ca="1" si="310"/>
        <v>1</v>
      </c>
      <c r="C3853" s="26">
        <f t="shared" ca="1" si="309"/>
        <v>0.54629748433615966</v>
      </c>
      <c r="J3853">
        <f t="shared" ca="1" si="311"/>
        <v>1</v>
      </c>
      <c r="K3853">
        <f t="shared" ca="1" si="312"/>
        <v>0</v>
      </c>
      <c r="L3853">
        <f t="shared" si="313"/>
        <v>3847</v>
      </c>
      <c r="M3853" s="71">
        <f t="shared" ca="1" si="314"/>
        <v>0.68192836574739857</v>
      </c>
    </row>
    <row r="3854" spans="1:13" x14ac:dyDescent="0.25">
      <c r="A3854" s="2">
        <v>3848</v>
      </c>
      <c r="B3854" s="11">
        <f t="shared" ca="1" si="310"/>
        <v>1</v>
      </c>
      <c r="C3854" s="26">
        <f t="shared" ca="1" si="309"/>
        <v>0.29071560794414131</v>
      </c>
      <c r="J3854">
        <f t="shared" ca="1" si="311"/>
        <v>0</v>
      </c>
      <c r="K3854">
        <f t="shared" ca="1" si="312"/>
        <v>0</v>
      </c>
      <c r="L3854">
        <f t="shared" si="313"/>
        <v>3848</v>
      </c>
      <c r="M3854" s="71">
        <f t="shared" ca="1" si="314"/>
        <v>1.3547201836181217</v>
      </c>
    </row>
    <row r="3855" spans="1:13" x14ac:dyDescent="0.25">
      <c r="A3855" s="2">
        <v>3849</v>
      </c>
      <c r="B3855" s="11">
        <f t="shared" ca="1" si="310"/>
        <v>0</v>
      </c>
      <c r="C3855" s="26">
        <f t="shared" ca="1" si="309"/>
        <v>0.82077691354246607</v>
      </c>
      <c r="J3855">
        <f t="shared" ca="1" si="311"/>
        <v>0</v>
      </c>
      <c r="K3855">
        <f t="shared" ca="1" si="312"/>
        <v>0</v>
      </c>
      <c r="L3855">
        <f t="shared" si="313"/>
        <v>3849</v>
      </c>
      <c r="M3855" s="71">
        <f t="shared" ca="1" si="314"/>
        <v>0</v>
      </c>
    </row>
    <row r="3856" spans="1:13" x14ac:dyDescent="0.25">
      <c r="A3856" s="2">
        <v>3850</v>
      </c>
      <c r="B3856" s="11">
        <f t="shared" ca="1" si="310"/>
        <v>1</v>
      </c>
      <c r="C3856" s="26">
        <f t="shared" ca="1" si="309"/>
        <v>5.4154883879564464E-2</v>
      </c>
      <c r="J3856">
        <f t="shared" ca="1" si="311"/>
        <v>1</v>
      </c>
      <c r="K3856">
        <f t="shared" ca="1" si="312"/>
        <v>0</v>
      </c>
      <c r="L3856">
        <f t="shared" si="313"/>
        <v>3850</v>
      </c>
      <c r="M3856" s="71">
        <f t="shared" ca="1" si="314"/>
        <v>4.4352388511093608</v>
      </c>
    </row>
    <row r="3857" spans="1:13" x14ac:dyDescent="0.25">
      <c r="A3857" s="2">
        <v>3851</v>
      </c>
      <c r="B3857" s="11">
        <f t="shared" ca="1" si="310"/>
        <v>1</v>
      </c>
      <c r="C3857" s="26">
        <f t="shared" ca="1" si="309"/>
        <v>0.56598198603219452</v>
      </c>
      <c r="J3857">
        <f t="shared" ca="1" si="311"/>
        <v>1</v>
      </c>
      <c r="K3857">
        <f t="shared" ca="1" si="312"/>
        <v>0</v>
      </c>
      <c r="L3857">
        <f t="shared" si="313"/>
        <v>3851</v>
      </c>
      <c r="M3857" s="71">
        <f t="shared" ca="1" si="314"/>
        <v>1.1271481413594273</v>
      </c>
    </row>
    <row r="3858" spans="1:13" x14ac:dyDescent="0.25">
      <c r="A3858" s="2">
        <v>3852</v>
      </c>
      <c r="B3858" s="11">
        <f t="shared" ca="1" si="310"/>
        <v>1</v>
      </c>
      <c r="C3858" s="26">
        <f t="shared" ca="1" si="309"/>
        <v>0.30651844368222425</v>
      </c>
      <c r="J3858">
        <f t="shared" ca="1" si="311"/>
        <v>1</v>
      </c>
      <c r="K3858">
        <f t="shared" ca="1" si="312"/>
        <v>0</v>
      </c>
      <c r="L3858">
        <f t="shared" si="313"/>
        <v>3852</v>
      </c>
      <c r="M3858" s="71">
        <f t="shared" ca="1" si="314"/>
        <v>4.5990783142693159</v>
      </c>
    </row>
    <row r="3859" spans="1:13" x14ac:dyDescent="0.25">
      <c r="A3859" s="2">
        <v>3853</v>
      </c>
      <c r="B3859" s="11">
        <f t="shared" ca="1" si="310"/>
        <v>1</v>
      </c>
      <c r="C3859" s="26">
        <f t="shared" ca="1" si="309"/>
        <v>0.42140966376614208</v>
      </c>
      <c r="J3859">
        <f t="shared" ca="1" si="311"/>
        <v>1</v>
      </c>
      <c r="K3859">
        <f t="shared" ca="1" si="312"/>
        <v>0</v>
      </c>
      <c r="L3859">
        <f t="shared" si="313"/>
        <v>3853</v>
      </c>
      <c r="M3859" s="71">
        <f t="shared" ca="1" si="314"/>
        <v>15.294625239622057</v>
      </c>
    </row>
    <row r="3860" spans="1:13" x14ac:dyDescent="0.25">
      <c r="A3860" s="2">
        <v>3854</v>
      </c>
      <c r="B3860" s="11">
        <f t="shared" ca="1" si="310"/>
        <v>1</v>
      </c>
      <c r="C3860" s="26">
        <f t="shared" ca="1" si="309"/>
        <v>0.23253222488748682</v>
      </c>
      <c r="J3860">
        <f t="shared" ca="1" si="311"/>
        <v>1</v>
      </c>
      <c r="K3860">
        <f t="shared" ca="1" si="312"/>
        <v>0</v>
      </c>
      <c r="L3860">
        <f t="shared" si="313"/>
        <v>3854</v>
      </c>
      <c r="M3860" s="71">
        <f t="shared" ca="1" si="314"/>
        <v>2.8399134089113285</v>
      </c>
    </row>
    <row r="3861" spans="1:13" x14ac:dyDescent="0.25">
      <c r="A3861" s="2">
        <v>3855</v>
      </c>
      <c r="B3861" s="11">
        <f t="shared" ca="1" si="310"/>
        <v>1</v>
      </c>
      <c r="C3861" s="26">
        <f t="shared" ca="1" si="309"/>
        <v>0.7019221575779242</v>
      </c>
      <c r="J3861">
        <f t="shared" ca="1" si="311"/>
        <v>1</v>
      </c>
      <c r="K3861">
        <f t="shared" ca="1" si="312"/>
        <v>0</v>
      </c>
      <c r="L3861">
        <f t="shared" si="313"/>
        <v>3855</v>
      </c>
      <c r="M3861" s="71">
        <f t="shared" ca="1" si="314"/>
        <v>1.1141604880920584</v>
      </c>
    </row>
    <row r="3862" spans="1:13" x14ac:dyDescent="0.25">
      <c r="A3862" s="2">
        <v>3856</v>
      </c>
      <c r="B3862" s="11">
        <f t="shared" ca="1" si="310"/>
        <v>1</v>
      </c>
      <c r="C3862" s="26">
        <f t="shared" ca="1" si="309"/>
        <v>0.41097346769912702</v>
      </c>
      <c r="J3862">
        <f t="shared" ca="1" si="311"/>
        <v>1</v>
      </c>
      <c r="K3862">
        <f t="shared" ca="1" si="312"/>
        <v>0</v>
      </c>
      <c r="L3862">
        <f t="shared" si="313"/>
        <v>3856</v>
      </c>
      <c r="M3862" s="71">
        <f t="shared" ca="1" si="314"/>
        <v>2.7252989541928576</v>
      </c>
    </row>
    <row r="3863" spans="1:13" x14ac:dyDescent="0.25">
      <c r="A3863" s="2">
        <v>3857</v>
      </c>
      <c r="B3863" s="11">
        <f t="shared" ca="1" si="310"/>
        <v>1</v>
      </c>
      <c r="C3863" s="26">
        <f t="shared" ca="1" si="309"/>
        <v>0.13712049836619622</v>
      </c>
      <c r="J3863">
        <f t="shared" ca="1" si="311"/>
        <v>0</v>
      </c>
      <c r="K3863">
        <f t="shared" ca="1" si="312"/>
        <v>0</v>
      </c>
      <c r="L3863">
        <f t="shared" si="313"/>
        <v>3857</v>
      </c>
      <c r="M3863" s="71">
        <f t="shared" ca="1" si="314"/>
        <v>5.8411810069714623</v>
      </c>
    </row>
    <row r="3864" spans="1:13" x14ac:dyDescent="0.25">
      <c r="A3864" s="2">
        <v>3858</v>
      </c>
      <c r="B3864" s="11">
        <f t="shared" ca="1" si="310"/>
        <v>0</v>
      </c>
      <c r="C3864" s="26">
        <f t="shared" ca="1" si="309"/>
        <v>0.90231967753940445</v>
      </c>
      <c r="J3864">
        <f t="shared" ca="1" si="311"/>
        <v>0</v>
      </c>
      <c r="K3864">
        <f t="shared" ca="1" si="312"/>
        <v>0</v>
      </c>
      <c r="L3864">
        <f t="shared" si="313"/>
        <v>3858</v>
      </c>
      <c r="M3864" s="71">
        <f t="shared" ca="1" si="314"/>
        <v>0</v>
      </c>
    </row>
    <row r="3865" spans="1:13" x14ac:dyDescent="0.25">
      <c r="A3865" s="2">
        <v>3859</v>
      </c>
      <c r="B3865" s="11">
        <f t="shared" ca="1" si="310"/>
        <v>1</v>
      </c>
      <c r="C3865" s="26">
        <f t="shared" ca="1" si="309"/>
        <v>0.70842120998133418</v>
      </c>
      <c r="J3865">
        <f t="shared" ca="1" si="311"/>
        <v>1</v>
      </c>
      <c r="K3865">
        <f t="shared" ca="1" si="312"/>
        <v>0</v>
      </c>
      <c r="L3865">
        <f t="shared" si="313"/>
        <v>3859</v>
      </c>
      <c r="M3865" s="71">
        <f t="shared" ca="1" si="314"/>
        <v>10.316078262798769</v>
      </c>
    </row>
    <row r="3866" spans="1:13" x14ac:dyDescent="0.25">
      <c r="A3866" s="2">
        <v>3860</v>
      </c>
      <c r="B3866" s="11">
        <f t="shared" ca="1" si="310"/>
        <v>1</v>
      </c>
      <c r="C3866" s="26">
        <f t="shared" ca="1" si="309"/>
        <v>0.72326706400022289</v>
      </c>
      <c r="J3866">
        <f t="shared" ca="1" si="311"/>
        <v>1</v>
      </c>
      <c r="K3866">
        <f t="shared" ca="1" si="312"/>
        <v>0</v>
      </c>
      <c r="L3866">
        <f t="shared" si="313"/>
        <v>3860</v>
      </c>
      <c r="M3866" s="71">
        <f t="shared" ca="1" si="314"/>
        <v>11.755102181384757</v>
      </c>
    </row>
    <row r="3867" spans="1:13" x14ac:dyDescent="0.25">
      <c r="A3867" s="2">
        <v>3861</v>
      </c>
      <c r="B3867" s="11">
        <f t="shared" ca="1" si="310"/>
        <v>1</v>
      </c>
      <c r="C3867" s="26">
        <f t="shared" ca="1" si="309"/>
        <v>3.8700624247383741E-2</v>
      </c>
      <c r="J3867">
        <f t="shared" ca="1" si="311"/>
        <v>1</v>
      </c>
      <c r="K3867">
        <f t="shared" ca="1" si="312"/>
        <v>0</v>
      </c>
      <c r="L3867">
        <f t="shared" si="313"/>
        <v>3861</v>
      </c>
      <c r="M3867" s="71">
        <f t="shared" ca="1" si="314"/>
        <v>0.33412278608292112</v>
      </c>
    </row>
    <row r="3868" spans="1:13" x14ac:dyDescent="0.25">
      <c r="A3868" s="2">
        <v>3862</v>
      </c>
      <c r="B3868" s="11">
        <f t="shared" ca="1" si="310"/>
        <v>1</v>
      </c>
      <c r="C3868" s="26">
        <f t="shared" ca="1" si="309"/>
        <v>0.46982075670104861</v>
      </c>
      <c r="J3868">
        <f t="shared" ca="1" si="311"/>
        <v>1</v>
      </c>
      <c r="K3868">
        <f t="shared" ca="1" si="312"/>
        <v>0</v>
      </c>
      <c r="L3868">
        <f t="shared" si="313"/>
        <v>3862</v>
      </c>
      <c r="M3868" s="71">
        <f t="shared" ca="1" si="314"/>
        <v>1.1970033487347114</v>
      </c>
    </row>
    <row r="3869" spans="1:13" x14ac:dyDescent="0.25">
      <c r="A3869" s="2">
        <v>3863</v>
      </c>
      <c r="B3869" s="11">
        <f t="shared" ca="1" si="310"/>
        <v>1</v>
      </c>
      <c r="C3869" s="26">
        <f t="shared" ca="1" si="309"/>
        <v>0.57096396235232971</v>
      </c>
      <c r="J3869">
        <f t="shared" ca="1" si="311"/>
        <v>1</v>
      </c>
      <c r="K3869">
        <f t="shared" ca="1" si="312"/>
        <v>0</v>
      </c>
      <c r="L3869">
        <f t="shared" si="313"/>
        <v>3863</v>
      </c>
      <c r="M3869" s="71">
        <f t="shared" ca="1" si="314"/>
        <v>0.50031273188363168</v>
      </c>
    </row>
    <row r="3870" spans="1:13" x14ac:dyDescent="0.25">
      <c r="A3870" s="2">
        <v>3864</v>
      </c>
      <c r="B3870" s="11">
        <f t="shared" ca="1" si="310"/>
        <v>1</v>
      </c>
      <c r="C3870" s="26">
        <f t="shared" ca="1" si="309"/>
        <v>0.53620526924666911</v>
      </c>
      <c r="J3870">
        <f t="shared" ca="1" si="311"/>
        <v>1</v>
      </c>
      <c r="K3870">
        <f t="shared" ca="1" si="312"/>
        <v>0</v>
      </c>
      <c r="L3870">
        <f t="shared" si="313"/>
        <v>3864</v>
      </c>
      <c r="M3870" s="71">
        <f t="shared" ca="1" si="314"/>
        <v>11.159776241816729</v>
      </c>
    </row>
    <row r="3871" spans="1:13" x14ac:dyDescent="0.25">
      <c r="A3871" s="2">
        <v>3865</v>
      </c>
      <c r="B3871" s="11">
        <f t="shared" ca="1" si="310"/>
        <v>1</v>
      </c>
      <c r="C3871" s="26">
        <f t="shared" ca="1" si="309"/>
        <v>0.42725024603930151</v>
      </c>
      <c r="J3871">
        <f t="shared" ca="1" si="311"/>
        <v>1</v>
      </c>
      <c r="K3871">
        <f t="shared" ca="1" si="312"/>
        <v>0</v>
      </c>
      <c r="L3871">
        <f t="shared" si="313"/>
        <v>3865</v>
      </c>
      <c r="M3871" s="71">
        <f t="shared" ca="1" si="314"/>
        <v>0.31028640853705836</v>
      </c>
    </row>
    <row r="3872" spans="1:13" x14ac:dyDescent="0.25">
      <c r="A3872" s="2">
        <v>3866</v>
      </c>
      <c r="B3872" s="11">
        <f t="shared" ca="1" si="310"/>
        <v>1</v>
      </c>
      <c r="C3872" s="26">
        <f t="shared" ca="1" si="309"/>
        <v>8.4672066074080954E-2</v>
      </c>
      <c r="J3872">
        <f t="shared" ca="1" si="311"/>
        <v>0</v>
      </c>
      <c r="K3872">
        <f t="shared" ca="1" si="312"/>
        <v>0</v>
      </c>
      <c r="L3872">
        <f t="shared" si="313"/>
        <v>3866</v>
      </c>
      <c r="M3872" s="71">
        <f t="shared" ca="1" si="314"/>
        <v>1.0999965156677578</v>
      </c>
    </row>
    <row r="3873" spans="1:13" x14ac:dyDescent="0.25">
      <c r="A3873" s="2">
        <v>3867</v>
      </c>
      <c r="B3873" s="11">
        <f t="shared" ca="1" si="310"/>
        <v>0</v>
      </c>
      <c r="C3873" s="26">
        <f t="shared" ca="1" si="309"/>
        <v>0.8244404803027634</v>
      </c>
      <c r="J3873">
        <f t="shared" ca="1" si="311"/>
        <v>0</v>
      </c>
      <c r="K3873">
        <f t="shared" ca="1" si="312"/>
        <v>1</v>
      </c>
      <c r="L3873">
        <f t="shared" si="313"/>
        <v>3867</v>
      </c>
      <c r="M3873" s="71">
        <f t="shared" ca="1" si="314"/>
        <v>0</v>
      </c>
    </row>
    <row r="3874" spans="1:13" x14ac:dyDescent="0.25">
      <c r="A3874" s="2">
        <v>3868</v>
      </c>
      <c r="B3874" s="11">
        <f t="shared" ca="1" si="310"/>
        <v>0</v>
      </c>
      <c r="C3874" s="26">
        <f t="shared" ca="1" si="309"/>
        <v>0.74734789033046334</v>
      </c>
      <c r="J3874">
        <f t="shared" ca="1" si="311"/>
        <v>0</v>
      </c>
      <c r="K3874">
        <f t="shared" ca="1" si="312"/>
        <v>0</v>
      </c>
      <c r="L3874">
        <f t="shared" si="313"/>
        <v>3868</v>
      </c>
      <c r="M3874" s="71">
        <f t="shared" ca="1" si="314"/>
        <v>0</v>
      </c>
    </row>
    <row r="3875" spans="1:13" x14ac:dyDescent="0.25">
      <c r="A3875" s="2">
        <v>3869</v>
      </c>
      <c r="B3875" s="11">
        <f t="shared" ca="1" si="310"/>
        <v>1</v>
      </c>
      <c r="C3875" s="26">
        <f t="shared" ca="1" si="309"/>
        <v>0.25774086115510519</v>
      </c>
      <c r="J3875">
        <f t="shared" ca="1" si="311"/>
        <v>1</v>
      </c>
      <c r="K3875">
        <f t="shared" ca="1" si="312"/>
        <v>0</v>
      </c>
      <c r="L3875">
        <f t="shared" si="313"/>
        <v>3869</v>
      </c>
      <c r="M3875" s="71">
        <f t="shared" ca="1" si="314"/>
        <v>0.1442569670251567</v>
      </c>
    </row>
    <row r="3876" spans="1:13" x14ac:dyDescent="0.25">
      <c r="A3876" s="2">
        <v>3870</v>
      </c>
      <c r="B3876" s="11">
        <f t="shared" ca="1" si="310"/>
        <v>1</v>
      </c>
      <c r="C3876" s="26">
        <f t="shared" ca="1" si="309"/>
        <v>0.27208076042447549</v>
      </c>
      <c r="J3876">
        <f t="shared" ca="1" si="311"/>
        <v>1</v>
      </c>
      <c r="K3876">
        <f t="shared" ca="1" si="312"/>
        <v>0</v>
      </c>
      <c r="L3876">
        <f t="shared" si="313"/>
        <v>3870</v>
      </c>
      <c r="M3876" s="71">
        <f t="shared" ca="1" si="314"/>
        <v>8.6545467223626318</v>
      </c>
    </row>
    <row r="3877" spans="1:13" x14ac:dyDescent="0.25">
      <c r="A3877" s="2">
        <v>3871</v>
      </c>
      <c r="B3877" s="11">
        <f t="shared" ca="1" si="310"/>
        <v>1</v>
      </c>
      <c r="C3877" s="26">
        <f t="shared" ca="1" si="309"/>
        <v>0.67172019432249064</v>
      </c>
      <c r="J3877">
        <f t="shared" ca="1" si="311"/>
        <v>1</v>
      </c>
      <c r="K3877">
        <f t="shared" ca="1" si="312"/>
        <v>0</v>
      </c>
      <c r="L3877">
        <f t="shared" si="313"/>
        <v>3871</v>
      </c>
      <c r="M3877" s="71">
        <f t="shared" ca="1" si="314"/>
        <v>3.2640454016375853</v>
      </c>
    </row>
    <row r="3878" spans="1:13" x14ac:dyDescent="0.25">
      <c r="A3878" s="2">
        <v>3872</v>
      </c>
      <c r="B3878" s="11">
        <f t="shared" ca="1" si="310"/>
        <v>1</v>
      </c>
      <c r="C3878" s="26">
        <f t="shared" ca="1" si="309"/>
        <v>0.27344180689972974</v>
      </c>
      <c r="J3878">
        <f t="shared" ca="1" si="311"/>
        <v>1</v>
      </c>
      <c r="K3878">
        <f t="shared" ca="1" si="312"/>
        <v>0</v>
      </c>
      <c r="L3878">
        <f t="shared" si="313"/>
        <v>3872</v>
      </c>
      <c r="M3878" s="71">
        <f t="shared" ca="1" si="314"/>
        <v>4.6617380946470961</v>
      </c>
    </row>
    <row r="3879" spans="1:13" x14ac:dyDescent="0.25">
      <c r="A3879" s="2">
        <v>3873</v>
      </c>
      <c r="B3879" s="11">
        <f t="shared" ca="1" si="310"/>
        <v>1</v>
      </c>
      <c r="C3879" s="26">
        <f t="shared" ca="1" si="309"/>
        <v>6.8412973937385213E-2</v>
      </c>
      <c r="J3879">
        <f t="shared" ca="1" si="311"/>
        <v>1</v>
      </c>
      <c r="K3879">
        <f t="shared" ca="1" si="312"/>
        <v>0</v>
      </c>
      <c r="L3879">
        <f t="shared" si="313"/>
        <v>3873</v>
      </c>
      <c r="M3879" s="71">
        <f t="shared" ca="1" si="314"/>
        <v>8.0541454079912853</v>
      </c>
    </row>
    <row r="3880" spans="1:13" x14ac:dyDescent="0.25">
      <c r="A3880" s="2">
        <v>3874</v>
      </c>
      <c r="B3880" s="11">
        <f t="shared" ca="1" si="310"/>
        <v>1</v>
      </c>
      <c r="C3880" s="26">
        <f t="shared" ca="1" si="309"/>
        <v>6.7827204985459466E-2</v>
      </c>
      <c r="J3880">
        <f t="shared" ca="1" si="311"/>
        <v>1</v>
      </c>
      <c r="K3880">
        <f t="shared" ca="1" si="312"/>
        <v>0</v>
      </c>
      <c r="L3880">
        <f t="shared" si="313"/>
        <v>3874</v>
      </c>
      <c r="M3880" s="71">
        <f t="shared" ca="1" si="314"/>
        <v>5.0917285782362294</v>
      </c>
    </row>
    <row r="3881" spans="1:13" x14ac:dyDescent="0.25">
      <c r="A3881" s="2">
        <v>3875</v>
      </c>
      <c r="B3881" s="11">
        <f t="shared" ca="1" si="310"/>
        <v>1</v>
      </c>
      <c r="C3881" s="26">
        <f t="shared" ca="1" si="309"/>
        <v>6.2158824441291838E-2</v>
      </c>
      <c r="J3881">
        <f t="shared" ca="1" si="311"/>
        <v>1</v>
      </c>
      <c r="K3881">
        <f t="shared" ca="1" si="312"/>
        <v>0</v>
      </c>
      <c r="L3881">
        <f t="shared" si="313"/>
        <v>3875</v>
      </c>
      <c r="M3881" s="71">
        <f t="shared" ca="1" si="314"/>
        <v>7.6521379492008039</v>
      </c>
    </row>
    <row r="3882" spans="1:13" x14ac:dyDescent="0.25">
      <c r="A3882" s="2">
        <v>3876</v>
      </c>
      <c r="B3882" s="11">
        <f t="shared" ca="1" si="310"/>
        <v>1</v>
      </c>
      <c r="C3882" s="26">
        <f t="shared" ca="1" si="309"/>
        <v>0.48866474682804983</v>
      </c>
      <c r="J3882">
        <f t="shared" ca="1" si="311"/>
        <v>0</v>
      </c>
      <c r="K3882">
        <f t="shared" ca="1" si="312"/>
        <v>0</v>
      </c>
      <c r="L3882">
        <f t="shared" si="313"/>
        <v>3876</v>
      </c>
      <c r="M3882" s="71">
        <f t="shared" ca="1" si="314"/>
        <v>0.30573805576720953</v>
      </c>
    </row>
    <row r="3883" spans="1:13" x14ac:dyDescent="0.25">
      <c r="A3883" s="2">
        <v>3877</v>
      </c>
      <c r="B3883" s="11">
        <f t="shared" ca="1" si="310"/>
        <v>0</v>
      </c>
      <c r="C3883" s="26">
        <f t="shared" ca="1" si="309"/>
        <v>0.8673106268662476</v>
      </c>
      <c r="J3883">
        <f t="shared" ca="1" si="311"/>
        <v>0</v>
      </c>
      <c r="K3883">
        <f t="shared" ca="1" si="312"/>
        <v>0</v>
      </c>
      <c r="L3883">
        <f t="shared" si="313"/>
        <v>3877</v>
      </c>
      <c r="M3883" s="71">
        <f t="shared" ca="1" si="314"/>
        <v>0</v>
      </c>
    </row>
    <row r="3884" spans="1:13" x14ac:dyDescent="0.25">
      <c r="A3884" s="2">
        <v>3878</v>
      </c>
      <c r="B3884" s="11">
        <f t="shared" ca="1" si="310"/>
        <v>1</v>
      </c>
      <c r="C3884" s="26">
        <f t="shared" ca="1" si="309"/>
        <v>0.5236222182265392</v>
      </c>
      <c r="J3884">
        <f t="shared" ca="1" si="311"/>
        <v>1</v>
      </c>
      <c r="K3884">
        <f t="shared" ca="1" si="312"/>
        <v>0</v>
      </c>
      <c r="L3884">
        <f t="shared" si="313"/>
        <v>3878</v>
      </c>
      <c r="M3884" s="71">
        <f t="shared" ca="1" si="314"/>
        <v>0.20669058824994627</v>
      </c>
    </row>
    <row r="3885" spans="1:13" x14ac:dyDescent="0.25">
      <c r="A3885" s="2">
        <v>3879</v>
      </c>
      <c r="B3885" s="11">
        <f t="shared" ca="1" si="310"/>
        <v>1</v>
      </c>
      <c r="C3885" s="26">
        <f t="shared" ca="1" si="309"/>
        <v>0.67150846087715466</v>
      </c>
      <c r="J3885">
        <f t="shared" ca="1" si="311"/>
        <v>1</v>
      </c>
      <c r="K3885">
        <f t="shared" ca="1" si="312"/>
        <v>0</v>
      </c>
      <c r="L3885">
        <f t="shared" si="313"/>
        <v>3879</v>
      </c>
      <c r="M3885" s="71">
        <f t="shared" ca="1" si="314"/>
        <v>7.9655932142540253</v>
      </c>
    </row>
    <row r="3886" spans="1:13" x14ac:dyDescent="0.25">
      <c r="A3886" s="2">
        <v>3880</v>
      </c>
      <c r="B3886" s="11">
        <f t="shared" ca="1" si="310"/>
        <v>1</v>
      </c>
      <c r="C3886" s="26">
        <f t="shared" ca="1" si="309"/>
        <v>0.67192026834607088</v>
      </c>
      <c r="J3886">
        <f t="shared" ca="1" si="311"/>
        <v>1</v>
      </c>
      <c r="K3886">
        <f t="shared" ca="1" si="312"/>
        <v>0</v>
      </c>
      <c r="L3886">
        <f t="shared" si="313"/>
        <v>3880</v>
      </c>
      <c r="M3886" s="71">
        <f t="shared" ca="1" si="314"/>
        <v>2.0475569424460964</v>
      </c>
    </row>
    <row r="3887" spans="1:13" x14ac:dyDescent="0.25">
      <c r="A3887" s="2">
        <v>3881</v>
      </c>
      <c r="B3887" s="11">
        <f t="shared" ca="1" si="310"/>
        <v>1</v>
      </c>
      <c r="C3887" s="26">
        <f t="shared" ca="1" si="309"/>
        <v>0.7149951024915312</v>
      </c>
      <c r="J3887">
        <f t="shared" ca="1" si="311"/>
        <v>1</v>
      </c>
      <c r="K3887">
        <f t="shared" ca="1" si="312"/>
        <v>0</v>
      </c>
      <c r="L3887">
        <f t="shared" si="313"/>
        <v>3881</v>
      </c>
      <c r="M3887" s="71">
        <f t="shared" ca="1" si="314"/>
        <v>4.335919004556235</v>
      </c>
    </row>
    <row r="3888" spans="1:13" x14ac:dyDescent="0.25">
      <c r="A3888" s="2">
        <v>3882</v>
      </c>
      <c r="B3888" s="11">
        <f t="shared" ca="1" si="310"/>
        <v>1</v>
      </c>
      <c r="C3888" s="26">
        <f t="shared" ca="1" si="309"/>
        <v>0.73027709690906184</v>
      </c>
      <c r="J3888">
        <f t="shared" ca="1" si="311"/>
        <v>0</v>
      </c>
      <c r="K3888">
        <f t="shared" ca="1" si="312"/>
        <v>0</v>
      </c>
      <c r="L3888">
        <f t="shared" si="313"/>
        <v>3882</v>
      </c>
      <c r="M3888" s="71">
        <f t="shared" ca="1" si="314"/>
        <v>2.4570610261961923</v>
      </c>
    </row>
    <row r="3889" spans="1:13" x14ac:dyDescent="0.25">
      <c r="A3889" s="2">
        <v>3883</v>
      </c>
      <c r="B3889" s="11">
        <f t="shared" ca="1" si="310"/>
        <v>0</v>
      </c>
      <c r="C3889" s="26">
        <f t="shared" ca="1" si="309"/>
        <v>0.88439985396872456</v>
      </c>
      <c r="J3889">
        <f t="shared" ca="1" si="311"/>
        <v>0</v>
      </c>
      <c r="K3889">
        <f t="shared" ca="1" si="312"/>
        <v>0</v>
      </c>
      <c r="L3889">
        <f t="shared" si="313"/>
        <v>3883</v>
      </c>
      <c r="M3889" s="71">
        <f t="shared" ca="1" si="314"/>
        <v>0</v>
      </c>
    </row>
    <row r="3890" spans="1:13" x14ac:dyDescent="0.25">
      <c r="A3890" s="2">
        <v>3884</v>
      </c>
      <c r="B3890" s="11">
        <f t="shared" ca="1" si="310"/>
        <v>1</v>
      </c>
      <c r="C3890" s="26">
        <f t="shared" ca="1" si="309"/>
        <v>0.29890948610470347</v>
      </c>
      <c r="J3890">
        <f t="shared" ca="1" si="311"/>
        <v>1</v>
      </c>
      <c r="K3890">
        <f t="shared" ca="1" si="312"/>
        <v>0</v>
      </c>
      <c r="L3890">
        <f t="shared" si="313"/>
        <v>3884</v>
      </c>
      <c r="M3890" s="71">
        <f t="shared" ca="1" si="314"/>
        <v>4.020195423003039</v>
      </c>
    </row>
    <row r="3891" spans="1:13" x14ac:dyDescent="0.25">
      <c r="A3891" s="2">
        <v>3885</v>
      </c>
      <c r="B3891" s="11">
        <f t="shared" ca="1" si="310"/>
        <v>1</v>
      </c>
      <c r="C3891" s="26">
        <f t="shared" ca="1" si="309"/>
        <v>0.43786496849503598</v>
      </c>
      <c r="J3891">
        <f t="shared" ca="1" si="311"/>
        <v>1</v>
      </c>
      <c r="K3891">
        <f t="shared" ca="1" si="312"/>
        <v>0</v>
      </c>
      <c r="L3891">
        <f t="shared" si="313"/>
        <v>3885</v>
      </c>
      <c r="M3891" s="71">
        <f t="shared" ca="1" si="314"/>
        <v>4.5448119956887272</v>
      </c>
    </row>
    <row r="3892" spans="1:13" x14ac:dyDescent="0.25">
      <c r="A3892" s="2">
        <v>3886</v>
      </c>
      <c r="B3892" s="11">
        <f t="shared" ca="1" si="310"/>
        <v>1</v>
      </c>
      <c r="C3892" s="26">
        <f t="shared" ca="1" si="309"/>
        <v>0.54445319883153442</v>
      </c>
      <c r="J3892">
        <f t="shared" ca="1" si="311"/>
        <v>1</v>
      </c>
      <c r="K3892">
        <f t="shared" ca="1" si="312"/>
        <v>0</v>
      </c>
      <c r="L3892">
        <f t="shared" si="313"/>
        <v>3886</v>
      </c>
      <c r="M3892" s="71">
        <f t="shared" ca="1" si="314"/>
        <v>0.2110881704780885</v>
      </c>
    </row>
    <row r="3893" spans="1:13" x14ac:dyDescent="0.25">
      <c r="A3893" s="2">
        <v>3887</v>
      </c>
      <c r="B3893" s="11">
        <f t="shared" ca="1" si="310"/>
        <v>1</v>
      </c>
      <c r="C3893" s="26">
        <f t="shared" ca="1" si="309"/>
        <v>0.22771851053288961</v>
      </c>
      <c r="J3893">
        <f t="shared" ca="1" si="311"/>
        <v>1</v>
      </c>
      <c r="K3893">
        <f t="shared" ca="1" si="312"/>
        <v>0</v>
      </c>
      <c r="L3893">
        <f t="shared" si="313"/>
        <v>3887</v>
      </c>
      <c r="M3893" s="71">
        <f t="shared" ca="1" si="314"/>
        <v>1.402640025939426</v>
      </c>
    </row>
    <row r="3894" spans="1:13" x14ac:dyDescent="0.25">
      <c r="A3894" s="2">
        <v>3888</v>
      </c>
      <c r="B3894" s="11">
        <f t="shared" ca="1" si="310"/>
        <v>1</v>
      </c>
      <c r="C3894" s="26">
        <f t="shared" ca="1" si="309"/>
        <v>0.69094897305195169</v>
      </c>
      <c r="J3894">
        <f t="shared" ca="1" si="311"/>
        <v>0</v>
      </c>
      <c r="K3894">
        <f t="shared" ca="1" si="312"/>
        <v>0</v>
      </c>
      <c r="L3894">
        <f t="shared" si="313"/>
        <v>3888</v>
      </c>
      <c r="M3894" s="71">
        <f t="shared" ca="1" si="314"/>
        <v>4.824278574899818</v>
      </c>
    </row>
    <row r="3895" spans="1:13" x14ac:dyDescent="0.25">
      <c r="A3895" s="2">
        <v>3889</v>
      </c>
      <c r="B3895" s="11">
        <f t="shared" ca="1" si="310"/>
        <v>0</v>
      </c>
      <c r="C3895" s="26">
        <f t="shared" ca="1" si="309"/>
        <v>0.84743553472802824</v>
      </c>
      <c r="J3895">
        <f t="shared" ca="1" si="311"/>
        <v>0</v>
      </c>
      <c r="K3895">
        <f t="shared" ca="1" si="312"/>
        <v>0</v>
      </c>
      <c r="L3895">
        <f t="shared" si="313"/>
        <v>3889</v>
      </c>
      <c r="M3895" s="71">
        <f t="shared" ca="1" si="314"/>
        <v>0</v>
      </c>
    </row>
    <row r="3896" spans="1:13" x14ac:dyDescent="0.25">
      <c r="A3896" s="2">
        <v>3890</v>
      </c>
      <c r="B3896" s="11">
        <f t="shared" ca="1" si="310"/>
        <v>1</v>
      </c>
      <c r="C3896" s="26">
        <f t="shared" ca="1" si="309"/>
        <v>0.14092233845154711</v>
      </c>
      <c r="J3896">
        <f t="shared" ca="1" si="311"/>
        <v>1</v>
      </c>
      <c r="K3896">
        <f t="shared" ca="1" si="312"/>
        <v>0</v>
      </c>
      <c r="L3896">
        <f t="shared" si="313"/>
        <v>3890</v>
      </c>
      <c r="M3896" s="71">
        <f t="shared" ca="1" si="314"/>
        <v>4.2372492375088742</v>
      </c>
    </row>
    <row r="3897" spans="1:13" x14ac:dyDescent="0.25">
      <c r="A3897" s="2">
        <v>3891</v>
      </c>
      <c r="B3897" s="11">
        <f t="shared" ca="1" si="310"/>
        <v>1</v>
      </c>
      <c r="C3897" s="26">
        <f t="shared" ca="1" si="309"/>
        <v>0.16134921017319792</v>
      </c>
      <c r="J3897">
        <f t="shared" ca="1" si="311"/>
        <v>0</v>
      </c>
      <c r="K3897">
        <f t="shared" ca="1" si="312"/>
        <v>0</v>
      </c>
      <c r="L3897">
        <f t="shared" si="313"/>
        <v>3891</v>
      </c>
      <c r="M3897" s="71">
        <f t="shared" ca="1" si="314"/>
        <v>0.69301178977200051</v>
      </c>
    </row>
    <row r="3898" spans="1:13" x14ac:dyDescent="0.25">
      <c r="A3898" s="2">
        <v>3892</v>
      </c>
      <c r="B3898" s="11">
        <f t="shared" ca="1" si="310"/>
        <v>0</v>
      </c>
      <c r="C3898" s="26">
        <f t="shared" ca="1" si="309"/>
        <v>0.85278004410641384</v>
      </c>
      <c r="J3898">
        <f t="shared" ca="1" si="311"/>
        <v>0</v>
      </c>
      <c r="K3898">
        <f t="shared" ca="1" si="312"/>
        <v>1</v>
      </c>
      <c r="L3898">
        <f t="shared" si="313"/>
        <v>3892</v>
      </c>
      <c r="M3898" s="71">
        <f t="shared" ca="1" si="314"/>
        <v>0</v>
      </c>
    </row>
    <row r="3899" spans="1:13" x14ac:dyDescent="0.25">
      <c r="A3899" s="2">
        <v>3893</v>
      </c>
      <c r="B3899" s="11">
        <f t="shared" ca="1" si="310"/>
        <v>0</v>
      </c>
      <c r="C3899" s="26">
        <f t="shared" ca="1" si="309"/>
        <v>0.91935739188207666</v>
      </c>
      <c r="J3899">
        <f t="shared" ca="1" si="311"/>
        <v>0</v>
      </c>
      <c r="K3899">
        <f t="shared" ca="1" si="312"/>
        <v>0</v>
      </c>
      <c r="L3899">
        <f t="shared" si="313"/>
        <v>3893</v>
      </c>
      <c r="M3899" s="71">
        <f t="shared" ca="1" si="314"/>
        <v>0</v>
      </c>
    </row>
    <row r="3900" spans="1:13" x14ac:dyDescent="0.25">
      <c r="A3900" s="2">
        <v>3894</v>
      </c>
      <c r="B3900" s="11">
        <f t="shared" ca="1" si="310"/>
        <v>1</v>
      </c>
      <c r="C3900" s="26">
        <f t="shared" ca="1" si="309"/>
        <v>0.20472990236422839</v>
      </c>
      <c r="J3900">
        <f t="shared" ca="1" si="311"/>
        <v>1</v>
      </c>
      <c r="K3900">
        <f t="shared" ca="1" si="312"/>
        <v>0</v>
      </c>
      <c r="L3900">
        <f t="shared" si="313"/>
        <v>3894</v>
      </c>
      <c r="M3900" s="71">
        <f t="shared" ca="1" si="314"/>
        <v>1.2625811103728719</v>
      </c>
    </row>
    <row r="3901" spans="1:13" x14ac:dyDescent="0.25">
      <c r="A3901" s="2">
        <v>3895</v>
      </c>
      <c r="B3901" s="11">
        <f t="shared" ca="1" si="310"/>
        <v>1</v>
      </c>
      <c r="C3901" s="26">
        <f t="shared" ca="1" si="309"/>
        <v>0.74295585991456903</v>
      </c>
      <c r="J3901">
        <f t="shared" ca="1" si="311"/>
        <v>1</v>
      </c>
      <c r="K3901">
        <f t="shared" ca="1" si="312"/>
        <v>0</v>
      </c>
      <c r="L3901">
        <f t="shared" si="313"/>
        <v>3895</v>
      </c>
      <c r="M3901" s="71">
        <f t="shared" ca="1" si="314"/>
        <v>9.1556239732958922</v>
      </c>
    </row>
    <row r="3902" spans="1:13" x14ac:dyDescent="0.25">
      <c r="A3902" s="2">
        <v>3896</v>
      </c>
      <c r="B3902" s="11">
        <f t="shared" ca="1" si="310"/>
        <v>1</v>
      </c>
      <c r="C3902" s="26">
        <f t="shared" ca="1" si="309"/>
        <v>0.68079069207775011</v>
      </c>
      <c r="J3902">
        <f t="shared" ca="1" si="311"/>
        <v>1</v>
      </c>
      <c r="K3902">
        <f t="shared" ca="1" si="312"/>
        <v>0</v>
      </c>
      <c r="L3902">
        <f t="shared" si="313"/>
        <v>3896</v>
      </c>
      <c r="M3902" s="71">
        <f t="shared" ca="1" si="314"/>
        <v>1.4295719403773848</v>
      </c>
    </row>
    <row r="3903" spans="1:13" x14ac:dyDescent="0.25">
      <c r="A3903" s="2">
        <v>3897</v>
      </c>
      <c r="B3903" s="11">
        <f t="shared" ca="1" si="310"/>
        <v>1</v>
      </c>
      <c r="C3903" s="26">
        <f t="shared" ca="1" si="309"/>
        <v>0.33790404764631166</v>
      </c>
      <c r="J3903">
        <f t="shared" ca="1" si="311"/>
        <v>1</v>
      </c>
      <c r="K3903">
        <f t="shared" ca="1" si="312"/>
        <v>0</v>
      </c>
      <c r="L3903">
        <f t="shared" si="313"/>
        <v>3897</v>
      </c>
      <c r="M3903" s="71">
        <f t="shared" ca="1" si="314"/>
        <v>1.9113733516706459</v>
      </c>
    </row>
    <row r="3904" spans="1:13" x14ac:dyDescent="0.25">
      <c r="A3904" s="2">
        <v>3898</v>
      </c>
      <c r="B3904" s="11">
        <f t="shared" ca="1" si="310"/>
        <v>1</v>
      </c>
      <c r="C3904" s="26">
        <f t="shared" ca="1" si="309"/>
        <v>9.9480942756462354E-2</v>
      </c>
      <c r="J3904">
        <f t="shared" ca="1" si="311"/>
        <v>1</v>
      </c>
      <c r="K3904">
        <f t="shared" ca="1" si="312"/>
        <v>0</v>
      </c>
      <c r="L3904">
        <f t="shared" si="313"/>
        <v>3898</v>
      </c>
      <c r="M3904" s="71">
        <f t="shared" ca="1" si="314"/>
        <v>2.1497897805940474</v>
      </c>
    </row>
    <row r="3905" spans="1:13" x14ac:dyDescent="0.25">
      <c r="A3905" s="2">
        <v>3899</v>
      </c>
      <c r="B3905" s="11">
        <f t="shared" ca="1" si="310"/>
        <v>1</v>
      </c>
      <c r="C3905" s="26">
        <f t="shared" ca="1" si="309"/>
        <v>0.71443973329592336</v>
      </c>
      <c r="J3905">
        <f t="shared" ca="1" si="311"/>
        <v>1</v>
      </c>
      <c r="K3905">
        <f t="shared" ca="1" si="312"/>
        <v>0</v>
      </c>
      <c r="L3905">
        <f t="shared" si="313"/>
        <v>3899</v>
      </c>
      <c r="M3905" s="71">
        <f t="shared" ca="1" si="314"/>
        <v>9.808622721206392E-2</v>
      </c>
    </row>
    <row r="3906" spans="1:13" x14ac:dyDescent="0.25">
      <c r="A3906" s="2">
        <v>3900</v>
      </c>
      <c r="B3906" s="11">
        <f t="shared" ca="1" si="310"/>
        <v>1</v>
      </c>
      <c r="C3906" s="26">
        <f t="shared" ca="1" si="309"/>
        <v>0.56210575676684404</v>
      </c>
      <c r="J3906">
        <f t="shared" ca="1" si="311"/>
        <v>1</v>
      </c>
      <c r="K3906">
        <f t="shared" ca="1" si="312"/>
        <v>0</v>
      </c>
      <c r="L3906">
        <f t="shared" si="313"/>
        <v>3900</v>
      </c>
      <c r="M3906" s="71">
        <f t="shared" ca="1" si="314"/>
        <v>2.7226849831745548</v>
      </c>
    </row>
    <row r="3907" spans="1:13" x14ac:dyDescent="0.25">
      <c r="A3907" s="2">
        <v>3901</v>
      </c>
      <c r="B3907" s="11">
        <f t="shared" ca="1" si="310"/>
        <v>1</v>
      </c>
      <c r="C3907" s="26">
        <f t="shared" ca="1" si="309"/>
        <v>0.28396040810911138</v>
      </c>
      <c r="J3907">
        <f t="shared" ca="1" si="311"/>
        <v>1</v>
      </c>
      <c r="K3907">
        <f t="shared" ca="1" si="312"/>
        <v>0</v>
      </c>
      <c r="L3907">
        <f t="shared" si="313"/>
        <v>3901</v>
      </c>
      <c r="M3907" s="71">
        <f t="shared" ca="1" si="314"/>
        <v>0.4108302944814809</v>
      </c>
    </row>
    <row r="3908" spans="1:13" x14ac:dyDescent="0.25">
      <c r="A3908" s="2">
        <v>3902</v>
      </c>
      <c r="B3908" s="11">
        <f t="shared" ca="1" si="310"/>
        <v>1</v>
      </c>
      <c r="C3908" s="26">
        <f t="shared" ca="1" si="309"/>
        <v>0.15384305498068684</v>
      </c>
      <c r="J3908">
        <f t="shared" ca="1" si="311"/>
        <v>1</v>
      </c>
      <c r="K3908">
        <f t="shared" ca="1" si="312"/>
        <v>0</v>
      </c>
      <c r="L3908">
        <f t="shared" si="313"/>
        <v>3902</v>
      </c>
      <c r="M3908" s="71">
        <f t="shared" ca="1" si="314"/>
        <v>0.19733957282251191</v>
      </c>
    </row>
    <row r="3909" spans="1:13" x14ac:dyDescent="0.25">
      <c r="A3909" s="2">
        <v>3903</v>
      </c>
      <c r="B3909" s="11">
        <f t="shared" ca="1" si="310"/>
        <v>1</v>
      </c>
      <c r="C3909" s="26">
        <f t="shared" ca="1" si="309"/>
        <v>0.22062677878772718</v>
      </c>
      <c r="J3909">
        <f t="shared" ca="1" si="311"/>
        <v>0</v>
      </c>
      <c r="K3909">
        <f t="shared" ca="1" si="312"/>
        <v>0</v>
      </c>
      <c r="L3909">
        <f t="shared" si="313"/>
        <v>3903</v>
      </c>
      <c r="M3909" s="71">
        <f t="shared" ca="1" si="314"/>
        <v>3.3832040023677212</v>
      </c>
    </row>
    <row r="3910" spans="1:13" x14ac:dyDescent="0.25">
      <c r="A3910" s="2">
        <v>3904</v>
      </c>
      <c r="B3910" s="11">
        <f t="shared" ca="1" si="310"/>
        <v>0</v>
      </c>
      <c r="C3910" s="26">
        <f t="shared" ca="1" si="309"/>
        <v>0.87781794786351919</v>
      </c>
      <c r="J3910">
        <f t="shared" ca="1" si="311"/>
        <v>0</v>
      </c>
      <c r="K3910">
        <f t="shared" ca="1" si="312"/>
        <v>1</v>
      </c>
      <c r="L3910">
        <f t="shared" si="313"/>
        <v>3904</v>
      </c>
      <c r="M3910" s="71">
        <f t="shared" ca="1" si="314"/>
        <v>0</v>
      </c>
    </row>
    <row r="3911" spans="1:13" x14ac:dyDescent="0.25">
      <c r="A3911" s="2">
        <v>3905</v>
      </c>
      <c r="B3911" s="11">
        <f t="shared" ca="1" si="310"/>
        <v>0</v>
      </c>
      <c r="C3911" s="26">
        <f t="shared" ca="1" si="309"/>
        <v>0.84593126136752994</v>
      </c>
      <c r="J3911">
        <f t="shared" ca="1" si="311"/>
        <v>0</v>
      </c>
      <c r="K3911">
        <f t="shared" ca="1" si="312"/>
        <v>0</v>
      </c>
      <c r="L3911">
        <f t="shared" si="313"/>
        <v>3905</v>
      </c>
      <c r="M3911" s="71">
        <f t="shared" ca="1" si="314"/>
        <v>0</v>
      </c>
    </row>
    <row r="3912" spans="1:13" x14ac:dyDescent="0.25">
      <c r="A3912" s="2">
        <v>3906</v>
      </c>
      <c r="B3912" s="11">
        <f t="shared" ca="1" si="310"/>
        <v>1</v>
      </c>
      <c r="C3912" s="26">
        <f t="shared" ref="C3912:C3975" ca="1" si="315">RAND()</f>
        <v>0.40023241392734488</v>
      </c>
      <c r="J3912">
        <f t="shared" ca="1" si="311"/>
        <v>1</v>
      </c>
      <c r="K3912">
        <f t="shared" ca="1" si="312"/>
        <v>0</v>
      </c>
      <c r="L3912">
        <f t="shared" si="313"/>
        <v>3906</v>
      </c>
      <c r="M3912" s="71">
        <f t="shared" ca="1" si="314"/>
        <v>4.1838994489286199</v>
      </c>
    </row>
    <row r="3913" spans="1:13" x14ac:dyDescent="0.25">
      <c r="A3913" s="2">
        <v>3907</v>
      </c>
      <c r="B3913" s="11">
        <f t="shared" ref="B3913:B3976" ca="1" si="316">IF(B3912&gt;0,IF(C3913&lt;pww,1,0),IF(C3913&lt;pdw,1,0))</f>
        <v>1</v>
      </c>
      <c r="C3913" s="26">
        <f t="shared" ca="1" si="315"/>
        <v>0.67464346668951491</v>
      </c>
      <c r="J3913">
        <f t="shared" ca="1" si="311"/>
        <v>1</v>
      </c>
      <c r="K3913">
        <f t="shared" ca="1" si="312"/>
        <v>0</v>
      </c>
      <c r="L3913">
        <f t="shared" si="313"/>
        <v>3907</v>
      </c>
      <c r="M3913" s="71">
        <f t="shared" ca="1" si="314"/>
        <v>1.5144099713193278</v>
      </c>
    </row>
    <row r="3914" spans="1:13" x14ac:dyDescent="0.25">
      <c r="A3914" s="2">
        <v>3908</v>
      </c>
      <c r="B3914" s="11">
        <f t="shared" ca="1" si="316"/>
        <v>1</v>
      </c>
      <c r="C3914" s="26">
        <f t="shared" ca="1" si="315"/>
        <v>0.71593829027638811</v>
      </c>
      <c r="J3914">
        <f t="shared" ref="J3914:J3977" ca="1" si="317">IF(AND(B3914,B3915),1,0)</f>
        <v>1</v>
      </c>
      <c r="K3914">
        <f t="shared" ref="K3914:K3977" ca="1" si="318">IF(AND(NOT(B3914),NOT(B3915)),1,0)</f>
        <v>0</v>
      </c>
      <c r="L3914">
        <f t="shared" ref="L3914:L3977" si="319">L3913+1</f>
        <v>3908</v>
      </c>
      <c r="M3914" s="71">
        <f t="shared" ref="M3914:M3977" ca="1" si="320">IF(B3914&gt;0,-LN(1-(RAND()))/lambda,0)</f>
        <v>3.071973023368336</v>
      </c>
    </row>
    <row r="3915" spans="1:13" x14ac:dyDescent="0.25">
      <c r="A3915" s="2">
        <v>3909</v>
      </c>
      <c r="B3915" s="11">
        <f t="shared" ca="1" si="316"/>
        <v>1</v>
      </c>
      <c r="C3915" s="26">
        <f t="shared" ca="1" si="315"/>
        <v>0.13583219830448434</v>
      </c>
      <c r="J3915">
        <f t="shared" ca="1" si="317"/>
        <v>0</v>
      </c>
      <c r="K3915">
        <f t="shared" ca="1" si="318"/>
        <v>0</v>
      </c>
      <c r="L3915">
        <f t="shared" si="319"/>
        <v>3909</v>
      </c>
      <c r="M3915" s="71">
        <f t="shared" ca="1" si="320"/>
        <v>19.570123694749515</v>
      </c>
    </row>
    <row r="3916" spans="1:13" x14ac:dyDescent="0.25">
      <c r="A3916" s="2">
        <v>3910</v>
      </c>
      <c r="B3916" s="11">
        <f t="shared" ca="1" si="316"/>
        <v>0</v>
      </c>
      <c r="C3916" s="26">
        <f t="shared" ca="1" si="315"/>
        <v>0.88322653102406501</v>
      </c>
      <c r="J3916">
        <f t="shared" ca="1" si="317"/>
        <v>0</v>
      </c>
      <c r="K3916">
        <f t="shared" ca="1" si="318"/>
        <v>0</v>
      </c>
      <c r="L3916">
        <f t="shared" si="319"/>
        <v>3910</v>
      </c>
      <c r="M3916" s="71">
        <f t="shared" ca="1" si="320"/>
        <v>0</v>
      </c>
    </row>
    <row r="3917" spans="1:13" x14ac:dyDescent="0.25">
      <c r="A3917" s="2">
        <v>3911</v>
      </c>
      <c r="B3917" s="11">
        <f t="shared" ca="1" si="316"/>
        <v>1</v>
      </c>
      <c r="C3917" s="26">
        <f t="shared" ca="1" si="315"/>
        <v>0.37700036520754054</v>
      </c>
      <c r="J3917">
        <f t="shared" ca="1" si="317"/>
        <v>1</v>
      </c>
      <c r="K3917">
        <f t="shared" ca="1" si="318"/>
        <v>0</v>
      </c>
      <c r="L3917">
        <f t="shared" si="319"/>
        <v>3911</v>
      </c>
      <c r="M3917" s="71">
        <f t="shared" ca="1" si="320"/>
        <v>2.8090002878476898</v>
      </c>
    </row>
    <row r="3918" spans="1:13" x14ac:dyDescent="0.25">
      <c r="A3918" s="2">
        <v>3912</v>
      </c>
      <c r="B3918" s="11">
        <f t="shared" ca="1" si="316"/>
        <v>1</v>
      </c>
      <c r="C3918" s="26">
        <f t="shared" ca="1" si="315"/>
        <v>0.16023360453533741</v>
      </c>
      <c r="J3918">
        <f t="shared" ca="1" si="317"/>
        <v>0</v>
      </c>
      <c r="K3918">
        <f t="shared" ca="1" si="318"/>
        <v>0</v>
      </c>
      <c r="L3918">
        <f t="shared" si="319"/>
        <v>3912</v>
      </c>
      <c r="M3918" s="71">
        <f t="shared" ca="1" si="320"/>
        <v>0.64124891788421068</v>
      </c>
    </row>
    <row r="3919" spans="1:13" x14ac:dyDescent="0.25">
      <c r="A3919" s="2">
        <v>3913</v>
      </c>
      <c r="B3919" s="11">
        <f t="shared" ca="1" si="316"/>
        <v>0</v>
      </c>
      <c r="C3919" s="26">
        <f t="shared" ca="1" si="315"/>
        <v>0.92939588361221503</v>
      </c>
      <c r="J3919">
        <f t="shared" ca="1" si="317"/>
        <v>0</v>
      </c>
      <c r="K3919">
        <f t="shared" ca="1" si="318"/>
        <v>1</v>
      </c>
      <c r="L3919">
        <f t="shared" si="319"/>
        <v>3913</v>
      </c>
      <c r="M3919" s="71">
        <f t="shared" ca="1" si="320"/>
        <v>0</v>
      </c>
    </row>
    <row r="3920" spans="1:13" x14ac:dyDescent="0.25">
      <c r="A3920" s="2">
        <v>3914</v>
      </c>
      <c r="B3920" s="11">
        <f t="shared" ca="1" si="316"/>
        <v>0</v>
      </c>
      <c r="C3920" s="26">
        <f t="shared" ca="1" si="315"/>
        <v>0.89955371686481311</v>
      </c>
      <c r="J3920">
        <f t="shared" ca="1" si="317"/>
        <v>0</v>
      </c>
      <c r="K3920">
        <f t="shared" ca="1" si="318"/>
        <v>1</v>
      </c>
      <c r="L3920">
        <f t="shared" si="319"/>
        <v>3914</v>
      </c>
      <c r="M3920" s="71">
        <f t="shared" ca="1" si="320"/>
        <v>0</v>
      </c>
    </row>
    <row r="3921" spans="1:13" x14ac:dyDescent="0.25">
      <c r="A3921" s="2">
        <v>3915</v>
      </c>
      <c r="B3921" s="11">
        <f t="shared" ca="1" si="316"/>
        <v>0</v>
      </c>
      <c r="C3921" s="26">
        <f t="shared" ca="1" si="315"/>
        <v>0.82002639272634026</v>
      </c>
      <c r="J3921">
        <f t="shared" ca="1" si="317"/>
        <v>0</v>
      </c>
      <c r="K3921">
        <f t="shared" ca="1" si="318"/>
        <v>0</v>
      </c>
      <c r="L3921">
        <f t="shared" si="319"/>
        <v>3915</v>
      </c>
      <c r="M3921" s="71">
        <f t="shared" ca="1" si="320"/>
        <v>0</v>
      </c>
    </row>
    <row r="3922" spans="1:13" x14ac:dyDescent="0.25">
      <c r="A3922" s="2">
        <v>3916</v>
      </c>
      <c r="B3922" s="11">
        <f t="shared" ca="1" si="316"/>
        <v>1</v>
      </c>
      <c r="C3922" s="26">
        <f t="shared" ca="1" si="315"/>
        <v>0.58032815974883989</v>
      </c>
      <c r="J3922">
        <f t="shared" ca="1" si="317"/>
        <v>1</v>
      </c>
      <c r="K3922">
        <f t="shared" ca="1" si="318"/>
        <v>0</v>
      </c>
      <c r="L3922">
        <f t="shared" si="319"/>
        <v>3916</v>
      </c>
      <c r="M3922" s="71">
        <f t="shared" ca="1" si="320"/>
        <v>0.94653427065176676</v>
      </c>
    </row>
    <row r="3923" spans="1:13" x14ac:dyDescent="0.25">
      <c r="A3923" s="2">
        <v>3917</v>
      </c>
      <c r="B3923" s="11">
        <f t="shared" ca="1" si="316"/>
        <v>1</v>
      </c>
      <c r="C3923" s="26">
        <f t="shared" ca="1" si="315"/>
        <v>0.18872011357737928</v>
      </c>
      <c r="J3923">
        <f t="shared" ca="1" si="317"/>
        <v>1</v>
      </c>
      <c r="K3923">
        <f t="shared" ca="1" si="318"/>
        <v>0</v>
      </c>
      <c r="L3923">
        <f t="shared" si="319"/>
        <v>3917</v>
      </c>
      <c r="M3923" s="71">
        <f t="shared" ca="1" si="320"/>
        <v>1.3906712160925099</v>
      </c>
    </row>
    <row r="3924" spans="1:13" x14ac:dyDescent="0.25">
      <c r="A3924" s="2">
        <v>3918</v>
      </c>
      <c r="B3924" s="11">
        <f t="shared" ca="1" si="316"/>
        <v>1</v>
      </c>
      <c r="C3924" s="26">
        <f t="shared" ca="1" si="315"/>
        <v>0.7275736531032273</v>
      </c>
      <c r="J3924">
        <f t="shared" ca="1" si="317"/>
        <v>0</v>
      </c>
      <c r="K3924">
        <f t="shared" ca="1" si="318"/>
        <v>0</v>
      </c>
      <c r="L3924">
        <f t="shared" si="319"/>
        <v>3918</v>
      </c>
      <c r="M3924" s="71">
        <f t="shared" ca="1" si="320"/>
        <v>19.249724289251798</v>
      </c>
    </row>
    <row r="3925" spans="1:13" x14ac:dyDescent="0.25">
      <c r="A3925" s="2">
        <v>3919</v>
      </c>
      <c r="B3925" s="11">
        <f t="shared" ca="1" si="316"/>
        <v>0</v>
      </c>
      <c r="C3925" s="26">
        <f t="shared" ca="1" si="315"/>
        <v>0.9304895619917517</v>
      </c>
      <c r="J3925">
        <f t="shared" ca="1" si="317"/>
        <v>0</v>
      </c>
      <c r="K3925">
        <f t="shared" ca="1" si="318"/>
        <v>0</v>
      </c>
      <c r="L3925">
        <f t="shared" si="319"/>
        <v>3919</v>
      </c>
      <c r="M3925" s="71">
        <f t="shared" ca="1" si="320"/>
        <v>0</v>
      </c>
    </row>
    <row r="3926" spans="1:13" x14ac:dyDescent="0.25">
      <c r="A3926" s="2">
        <v>3920</v>
      </c>
      <c r="B3926" s="11">
        <f t="shared" ca="1" si="316"/>
        <v>1</v>
      </c>
      <c r="C3926" s="26">
        <f t="shared" ca="1" si="315"/>
        <v>0.55573302183395556</v>
      </c>
      <c r="J3926">
        <f t="shared" ca="1" si="317"/>
        <v>1</v>
      </c>
      <c r="K3926">
        <f t="shared" ca="1" si="318"/>
        <v>0</v>
      </c>
      <c r="L3926">
        <f t="shared" si="319"/>
        <v>3920</v>
      </c>
      <c r="M3926" s="71">
        <f t="shared" ca="1" si="320"/>
        <v>1.41390374726468</v>
      </c>
    </row>
    <row r="3927" spans="1:13" x14ac:dyDescent="0.25">
      <c r="A3927" s="2">
        <v>3921</v>
      </c>
      <c r="B3927" s="11">
        <f t="shared" ca="1" si="316"/>
        <v>1</v>
      </c>
      <c r="C3927" s="26">
        <f t="shared" ca="1" si="315"/>
        <v>0.47712799415944351</v>
      </c>
      <c r="J3927">
        <f t="shared" ca="1" si="317"/>
        <v>1</v>
      </c>
      <c r="K3927">
        <f t="shared" ca="1" si="318"/>
        <v>0</v>
      </c>
      <c r="L3927">
        <f t="shared" si="319"/>
        <v>3921</v>
      </c>
      <c r="M3927" s="71">
        <f t="shared" ca="1" si="320"/>
        <v>14.183895186787874</v>
      </c>
    </row>
    <row r="3928" spans="1:13" x14ac:dyDescent="0.25">
      <c r="A3928" s="2">
        <v>3922</v>
      </c>
      <c r="B3928" s="11">
        <f t="shared" ca="1" si="316"/>
        <v>1</v>
      </c>
      <c r="C3928" s="26">
        <f t="shared" ca="1" si="315"/>
        <v>0.55286231910295125</v>
      </c>
      <c r="J3928">
        <f t="shared" ca="1" si="317"/>
        <v>1</v>
      </c>
      <c r="K3928">
        <f t="shared" ca="1" si="318"/>
        <v>0</v>
      </c>
      <c r="L3928">
        <f t="shared" si="319"/>
        <v>3922</v>
      </c>
      <c r="M3928" s="71">
        <f t="shared" ca="1" si="320"/>
        <v>0.69610315931863043</v>
      </c>
    </row>
    <row r="3929" spans="1:13" x14ac:dyDescent="0.25">
      <c r="A3929" s="2">
        <v>3923</v>
      </c>
      <c r="B3929" s="11">
        <f t="shared" ca="1" si="316"/>
        <v>1</v>
      </c>
      <c r="C3929" s="26">
        <f t="shared" ca="1" si="315"/>
        <v>0.76085688614003144</v>
      </c>
      <c r="J3929">
        <f t="shared" ca="1" si="317"/>
        <v>1</v>
      </c>
      <c r="K3929">
        <f t="shared" ca="1" si="318"/>
        <v>0</v>
      </c>
      <c r="L3929">
        <f t="shared" si="319"/>
        <v>3923</v>
      </c>
      <c r="M3929" s="71">
        <f t="shared" ca="1" si="320"/>
        <v>0.76275851420713925</v>
      </c>
    </row>
    <row r="3930" spans="1:13" x14ac:dyDescent="0.25">
      <c r="A3930" s="2">
        <v>3924</v>
      </c>
      <c r="B3930" s="11">
        <f t="shared" ca="1" si="316"/>
        <v>1</v>
      </c>
      <c r="C3930" s="26">
        <f t="shared" ca="1" si="315"/>
        <v>0.76783342894725115</v>
      </c>
      <c r="J3930">
        <f t="shared" ca="1" si="317"/>
        <v>0</v>
      </c>
      <c r="K3930">
        <f t="shared" ca="1" si="318"/>
        <v>0</v>
      </c>
      <c r="L3930">
        <f t="shared" si="319"/>
        <v>3924</v>
      </c>
      <c r="M3930" s="71">
        <f t="shared" ca="1" si="320"/>
        <v>3.8951365860843121</v>
      </c>
    </row>
    <row r="3931" spans="1:13" x14ac:dyDescent="0.25">
      <c r="A3931" s="2">
        <v>3925</v>
      </c>
      <c r="B3931" s="11">
        <f t="shared" ca="1" si="316"/>
        <v>0</v>
      </c>
      <c r="C3931" s="26">
        <f t="shared" ca="1" si="315"/>
        <v>0.96822343392522137</v>
      </c>
      <c r="J3931">
        <f t="shared" ca="1" si="317"/>
        <v>0</v>
      </c>
      <c r="K3931">
        <f t="shared" ca="1" si="318"/>
        <v>0</v>
      </c>
      <c r="L3931">
        <f t="shared" si="319"/>
        <v>3925</v>
      </c>
      <c r="M3931" s="71">
        <f t="shared" ca="1" si="320"/>
        <v>0</v>
      </c>
    </row>
    <row r="3932" spans="1:13" x14ac:dyDescent="0.25">
      <c r="A3932" s="2">
        <v>3926</v>
      </c>
      <c r="B3932" s="11">
        <f t="shared" ca="1" si="316"/>
        <v>1</v>
      </c>
      <c r="C3932" s="26">
        <f t="shared" ca="1" si="315"/>
        <v>0.53262103266404348</v>
      </c>
      <c r="J3932">
        <f t="shared" ca="1" si="317"/>
        <v>1</v>
      </c>
      <c r="K3932">
        <f t="shared" ca="1" si="318"/>
        <v>0</v>
      </c>
      <c r="L3932">
        <f t="shared" si="319"/>
        <v>3926</v>
      </c>
      <c r="M3932" s="71">
        <f t="shared" ca="1" si="320"/>
        <v>4.4386656759828051</v>
      </c>
    </row>
    <row r="3933" spans="1:13" x14ac:dyDescent="0.25">
      <c r="A3933" s="2">
        <v>3927</v>
      </c>
      <c r="B3933" s="11">
        <f t="shared" ca="1" si="316"/>
        <v>1</v>
      </c>
      <c r="C3933" s="26">
        <f t="shared" ca="1" si="315"/>
        <v>0.24173215837617201</v>
      </c>
      <c r="J3933">
        <f t="shared" ca="1" si="317"/>
        <v>1</v>
      </c>
      <c r="K3933">
        <f t="shared" ca="1" si="318"/>
        <v>0</v>
      </c>
      <c r="L3933">
        <f t="shared" si="319"/>
        <v>3927</v>
      </c>
      <c r="M3933" s="71">
        <f t="shared" ca="1" si="320"/>
        <v>2.4477070682046702</v>
      </c>
    </row>
    <row r="3934" spans="1:13" x14ac:dyDescent="0.25">
      <c r="A3934" s="2">
        <v>3928</v>
      </c>
      <c r="B3934" s="11">
        <f t="shared" ca="1" si="316"/>
        <v>1</v>
      </c>
      <c r="C3934" s="26">
        <f t="shared" ca="1" si="315"/>
        <v>0.35698368487076793</v>
      </c>
      <c r="J3934">
        <f t="shared" ca="1" si="317"/>
        <v>1</v>
      </c>
      <c r="K3934">
        <f t="shared" ca="1" si="318"/>
        <v>0</v>
      </c>
      <c r="L3934">
        <f t="shared" si="319"/>
        <v>3928</v>
      </c>
      <c r="M3934" s="71">
        <f t="shared" ca="1" si="320"/>
        <v>0.19011813342261813</v>
      </c>
    </row>
    <row r="3935" spans="1:13" x14ac:dyDescent="0.25">
      <c r="A3935" s="2">
        <v>3929</v>
      </c>
      <c r="B3935" s="11">
        <f t="shared" ca="1" si="316"/>
        <v>1</v>
      </c>
      <c r="C3935" s="26">
        <f t="shared" ca="1" si="315"/>
        <v>0.62484795020508777</v>
      </c>
      <c r="J3935">
        <f t="shared" ca="1" si="317"/>
        <v>1</v>
      </c>
      <c r="K3935">
        <f t="shared" ca="1" si="318"/>
        <v>0</v>
      </c>
      <c r="L3935">
        <f t="shared" si="319"/>
        <v>3929</v>
      </c>
      <c r="M3935" s="71">
        <f t="shared" ca="1" si="320"/>
        <v>12.533542370730242</v>
      </c>
    </row>
    <row r="3936" spans="1:13" x14ac:dyDescent="0.25">
      <c r="A3936" s="2">
        <v>3930</v>
      </c>
      <c r="B3936" s="11">
        <f t="shared" ca="1" si="316"/>
        <v>1</v>
      </c>
      <c r="C3936" s="26">
        <f t="shared" ca="1" si="315"/>
        <v>0.71469114205282536</v>
      </c>
      <c r="J3936">
        <f t="shared" ca="1" si="317"/>
        <v>0</v>
      </c>
      <c r="K3936">
        <f t="shared" ca="1" si="318"/>
        <v>0</v>
      </c>
      <c r="L3936">
        <f t="shared" si="319"/>
        <v>3930</v>
      </c>
      <c r="M3936" s="71">
        <f t="shared" ca="1" si="320"/>
        <v>0.1430119226729234</v>
      </c>
    </row>
    <row r="3937" spans="1:13" x14ac:dyDescent="0.25">
      <c r="A3937" s="2">
        <v>3931</v>
      </c>
      <c r="B3937" s="11">
        <f t="shared" ca="1" si="316"/>
        <v>0</v>
      </c>
      <c r="C3937" s="26">
        <f t="shared" ca="1" si="315"/>
        <v>0.88352750472307962</v>
      </c>
      <c r="J3937">
        <f t="shared" ca="1" si="317"/>
        <v>0</v>
      </c>
      <c r="K3937">
        <f t="shared" ca="1" si="318"/>
        <v>0</v>
      </c>
      <c r="L3937">
        <f t="shared" si="319"/>
        <v>3931</v>
      </c>
      <c r="M3937" s="71">
        <f t="shared" ca="1" si="320"/>
        <v>0</v>
      </c>
    </row>
    <row r="3938" spans="1:13" x14ac:dyDescent="0.25">
      <c r="A3938" s="2">
        <v>3932</v>
      </c>
      <c r="B3938" s="11">
        <f t="shared" ca="1" si="316"/>
        <v>1</v>
      </c>
      <c r="C3938" s="26">
        <f t="shared" ca="1" si="315"/>
        <v>0.51312200498207616</v>
      </c>
      <c r="J3938">
        <f t="shared" ca="1" si="317"/>
        <v>1</v>
      </c>
      <c r="K3938">
        <f t="shared" ca="1" si="318"/>
        <v>0</v>
      </c>
      <c r="L3938">
        <f t="shared" si="319"/>
        <v>3932</v>
      </c>
      <c r="M3938" s="71">
        <f t="shared" ca="1" si="320"/>
        <v>0.43346430725820778</v>
      </c>
    </row>
    <row r="3939" spans="1:13" x14ac:dyDescent="0.25">
      <c r="A3939" s="2">
        <v>3933</v>
      </c>
      <c r="B3939" s="11">
        <f t="shared" ca="1" si="316"/>
        <v>1</v>
      </c>
      <c r="C3939" s="26">
        <f t="shared" ca="1" si="315"/>
        <v>0.42552121410404375</v>
      </c>
      <c r="J3939">
        <f t="shared" ca="1" si="317"/>
        <v>1</v>
      </c>
      <c r="K3939">
        <f t="shared" ca="1" si="318"/>
        <v>0</v>
      </c>
      <c r="L3939">
        <f t="shared" si="319"/>
        <v>3933</v>
      </c>
      <c r="M3939" s="71">
        <f t="shared" ca="1" si="320"/>
        <v>2.5861370357743909</v>
      </c>
    </row>
    <row r="3940" spans="1:13" x14ac:dyDescent="0.25">
      <c r="A3940" s="2">
        <v>3934</v>
      </c>
      <c r="B3940" s="11">
        <f t="shared" ca="1" si="316"/>
        <v>1</v>
      </c>
      <c r="C3940" s="26">
        <f t="shared" ca="1" si="315"/>
        <v>0.76656726371579731</v>
      </c>
      <c r="J3940">
        <f t="shared" ca="1" si="317"/>
        <v>0</v>
      </c>
      <c r="K3940">
        <f t="shared" ca="1" si="318"/>
        <v>0</v>
      </c>
      <c r="L3940">
        <f t="shared" si="319"/>
        <v>3934</v>
      </c>
      <c r="M3940" s="71">
        <f t="shared" ca="1" si="320"/>
        <v>0.80476613636160377</v>
      </c>
    </row>
    <row r="3941" spans="1:13" x14ac:dyDescent="0.25">
      <c r="A3941" s="2">
        <v>3935</v>
      </c>
      <c r="B3941" s="11">
        <f t="shared" ca="1" si="316"/>
        <v>0</v>
      </c>
      <c r="C3941" s="26">
        <f t="shared" ca="1" si="315"/>
        <v>0.88877773731456999</v>
      </c>
      <c r="J3941">
        <f t="shared" ca="1" si="317"/>
        <v>0</v>
      </c>
      <c r="K3941">
        <f t="shared" ca="1" si="318"/>
        <v>0</v>
      </c>
      <c r="L3941">
        <f t="shared" si="319"/>
        <v>3935</v>
      </c>
      <c r="M3941" s="71">
        <f t="shared" ca="1" si="320"/>
        <v>0</v>
      </c>
    </row>
    <row r="3942" spans="1:13" x14ac:dyDescent="0.25">
      <c r="A3942" s="2">
        <v>3936</v>
      </c>
      <c r="B3942" s="11">
        <f t="shared" ca="1" si="316"/>
        <v>1</v>
      </c>
      <c r="C3942" s="26">
        <f t="shared" ca="1" si="315"/>
        <v>0.16971501652186127</v>
      </c>
      <c r="J3942">
        <f t="shared" ca="1" si="317"/>
        <v>1</v>
      </c>
      <c r="K3942">
        <f t="shared" ca="1" si="318"/>
        <v>0</v>
      </c>
      <c r="L3942">
        <f t="shared" si="319"/>
        <v>3936</v>
      </c>
      <c r="M3942" s="71">
        <f t="shared" ca="1" si="320"/>
        <v>0.63454557321704785</v>
      </c>
    </row>
    <row r="3943" spans="1:13" x14ac:dyDescent="0.25">
      <c r="A3943" s="2">
        <v>3937</v>
      </c>
      <c r="B3943" s="11">
        <f t="shared" ca="1" si="316"/>
        <v>1</v>
      </c>
      <c r="C3943" s="26">
        <f t="shared" ca="1" si="315"/>
        <v>0.29147672852907403</v>
      </c>
      <c r="J3943">
        <f t="shared" ca="1" si="317"/>
        <v>1</v>
      </c>
      <c r="K3943">
        <f t="shared" ca="1" si="318"/>
        <v>0</v>
      </c>
      <c r="L3943">
        <f t="shared" si="319"/>
        <v>3937</v>
      </c>
      <c r="M3943" s="71">
        <f t="shared" ca="1" si="320"/>
        <v>2.9318389697575795</v>
      </c>
    </row>
    <row r="3944" spans="1:13" x14ac:dyDescent="0.25">
      <c r="A3944" s="2">
        <v>3938</v>
      </c>
      <c r="B3944" s="11">
        <f t="shared" ca="1" si="316"/>
        <v>1</v>
      </c>
      <c r="C3944" s="26">
        <f t="shared" ca="1" si="315"/>
        <v>0.21017788387534986</v>
      </c>
      <c r="J3944">
        <f t="shared" ca="1" si="317"/>
        <v>1</v>
      </c>
      <c r="K3944">
        <f t="shared" ca="1" si="318"/>
        <v>0</v>
      </c>
      <c r="L3944">
        <f t="shared" si="319"/>
        <v>3938</v>
      </c>
      <c r="M3944" s="71">
        <f t="shared" ca="1" si="320"/>
        <v>2.5422722090967294</v>
      </c>
    </row>
    <row r="3945" spans="1:13" x14ac:dyDescent="0.25">
      <c r="A3945" s="2">
        <v>3939</v>
      </c>
      <c r="B3945" s="11">
        <f t="shared" ca="1" si="316"/>
        <v>1</v>
      </c>
      <c r="C3945" s="26">
        <f t="shared" ca="1" si="315"/>
        <v>0.6530582036892455</v>
      </c>
      <c r="J3945">
        <f t="shared" ca="1" si="317"/>
        <v>1</v>
      </c>
      <c r="K3945">
        <f t="shared" ca="1" si="318"/>
        <v>0</v>
      </c>
      <c r="L3945">
        <f t="shared" si="319"/>
        <v>3939</v>
      </c>
      <c r="M3945" s="71">
        <f t="shared" ca="1" si="320"/>
        <v>0.120553444283561</v>
      </c>
    </row>
    <row r="3946" spans="1:13" x14ac:dyDescent="0.25">
      <c r="A3946" s="2">
        <v>3940</v>
      </c>
      <c r="B3946" s="11">
        <f t="shared" ca="1" si="316"/>
        <v>1</v>
      </c>
      <c r="C3946" s="26">
        <f t="shared" ca="1" si="315"/>
        <v>0.73352157342154001</v>
      </c>
      <c r="J3946">
        <f t="shared" ca="1" si="317"/>
        <v>1</v>
      </c>
      <c r="K3946">
        <f t="shared" ca="1" si="318"/>
        <v>0</v>
      </c>
      <c r="L3946">
        <f t="shared" si="319"/>
        <v>3940</v>
      </c>
      <c r="M3946" s="71">
        <f t="shared" ca="1" si="320"/>
        <v>3.6179441627913875</v>
      </c>
    </row>
    <row r="3947" spans="1:13" x14ac:dyDescent="0.25">
      <c r="A3947" s="2">
        <v>3941</v>
      </c>
      <c r="B3947" s="11">
        <f t="shared" ca="1" si="316"/>
        <v>1</v>
      </c>
      <c r="C3947" s="26">
        <f t="shared" ca="1" si="315"/>
        <v>0.31718430589266178</v>
      </c>
      <c r="J3947">
        <f t="shared" ca="1" si="317"/>
        <v>1</v>
      </c>
      <c r="K3947">
        <f t="shared" ca="1" si="318"/>
        <v>0</v>
      </c>
      <c r="L3947">
        <f t="shared" si="319"/>
        <v>3941</v>
      </c>
      <c r="M3947" s="71">
        <f t="shared" ca="1" si="320"/>
        <v>2.1432628302353538</v>
      </c>
    </row>
    <row r="3948" spans="1:13" x14ac:dyDescent="0.25">
      <c r="A3948" s="2">
        <v>3942</v>
      </c>
      <c r="B3948" s="11">
        <f t="shared" ca="1" si="316"/>
        <v>1</v>
      </c>
      <c r="C3948" s="26">
        <f t="shared" ca="1" si="315"/>
        <v>0.39482287067820587</v>
      </c>
      <c r="J3948">
        <f t="shared" ca="1" si="317"/>
        <v>1</v>
      </c>
      <c r="K3948">
        <f t="shared" ca="1" si="318"/>
        <v>0</v>
      </c>
      <c r="L3948">
        <f t="shared" si="319"/>
        <v>3942</v>
      </c>
      <c r="M3948" s="71">
        <f t="shared" ca="1" si="320"/>
        <v>0.73830007259473152</v>
      </c>
    </row>
    <row r="3949" spans="1:13" x14ac:dyDescent="0.25">
      <c r="A3949" s="2">
        <v>3943</v>
      </c>
      <c r="B3949" s="11">
        <f t="shared" ca="1" si="316"/>
        <v>1</v>
      </c>
      <c r="C3949" s="26">
        <f t="shared" ca="1" si="315"/>
        <v>9.6068563810395746E-2</v>
      </c>
      <c r="J3949">
        <f t="shared" ca="1" si="317"/>
        <v>1</v>
      </c>
      <c r="K3949">
        <f t="shared" ca="1" si="318"/>
        <v>0</v>
      </c>
      <c r="L3949">
        <f t="shared" si="319"/>
        <v>3943</v>
      </c>
      <c r="M3949" s="71">
        <f t="shared" ca="1" si="320"/>
        <v>0.40385433988675923</v>
      </c>
    </row>
    <row r="3950" spans="1:13" x14ac:dyDescent="0.25">
      <c r="A3950" s="2">
        <v>3944</v>
      </c>
      <c r="B3950" s="11">
        <f t="shared" ca="1" si="316"/>
        <v>1</v>
      </c>
      <c r="C3950" s="26">
        <f t="shared" ca="1" si="315"/>
        <v>0.3735875090154045</v>
      </c>
      <c r="J3950">
        <f t="shared" ca="1" si="317"/>
        <v>0</v>
      </c>
      <c r="K3950">
        <f t="shared" ca="1" si="318"/>
        <v>0</v>
      </c>
      <c r="L3950">
        <f t="shared" si="319"/>
        <v>3944</v>
      </c>
      <c r="M3950" s="71">
        <f t="shared" ca="1" si="320"/>
        <v>5.2438179469623467</v>
      </c>
    </row>
    <row r="3951" spans="1:13" x14ac:dyDescent="0.25">
      <c r="A3951" s="2">
        <v>3945</v>
      </c>
      <c r="B3951" s="11">
        <f t="shared" ca="1" si="316"/>
        <v>0</v>
      </c>
      <c r="C3951" s="26">
        <f t="shared" ca="1" si="315"/>
        <v>0.93347640035961943</v>
      </c>
      <c r="J3951">
        <f t="shared" ca="1" si="317"/>
        <v>0</v>
      </c>
      <c r="K3951">
        <f t="shared" ca="1" si="318"/>
        <v>1</v>
      </c>
      <c r="L3951">
        <f t="shared" si="319"/>
        <v>3945</v>
      </c>
      <c r="M3951" s="71">
        <f t="shared" ca="1" si="320"/>
        <v>0</v>
      </c>
    </row>
    <row r="3952" spans="1:13" x14ac:dyDescent="0.25">
      <c r="A3952" s="2">
        <v>3946</v>
      </c>
      <c r="B3952" s="11">
        <f t="shared" ca="1" si="316"/>
        <v>0</v>
      </c>
      <c r="C3952" s="26">
        <f t="shared" ca="1" si="315"/>
        <v>0.78608844186887405</v>
      </c>
      <c r="J3952">
        <f t="shared" ca="1" si="317"/>
        <v>0</v>
      </c>
      <c r="K3952">
        <f t="shared" ca="1" si="318"/>
        <v>1</v>
      </c>
      <c r="L3952">
        <f t="shared" si="319"/>
        <v>3946</v>
      </c>
      <c r="M3952" s="71">
        <f t="shared" ca="1" si="320"/>
        <v>0</v>
      </c>
    </row>
    <row r="3953" spans="1:13" x14ac:dyDescent="0.25">
      <c r="A3953" s="2">
        <v>3947</v>
      </c>
      <c r="B3953" s="11">
        <f t="shared" ca="1" si="316"/>
        <v>0</v>
      </c>
      <c r="C3953" s="26">
        <f t="shared" ca="1" si="315"/>
        <v>0.82604366693803477</v>
      </c>
      <c r="J3953">
        <f t="shared" ca="1" si="317"/>
        <v>0</v>
      </c>
      <c r="K3953">
        <f t="shared" ca="1" si="318"/>
        <v>1</v>
      </c>
      <c r="L3953">
        <f t="shared" si="319"/>
        <v>3947</v>
      </c>
      <c r="M3953" s="71">
        <f t="shared" ca="1" si="320"/>
        <v>0</v>
      </c>
    </row>
    <row r="3954" spans="1:13" x14ac:dyDescent="0.25">
      <c r="A3954" s="2">
        <v>3948</v>
      </c>
      <c r="B3954" s="11">
        <f t="shared" ca="1" si="316"/>
        <v>0</v>
      </c>
      <c r="C3954" s="26">
        <f t="shared" ca="1" si="315"/>
        <v>0.99394112718535288</v>
      </c>
      <c r="J3954">
        <f t="shared" ca="1" si="317"/>
        <v>0</v>
      </c>
      <c r="K3954">
        <f t="shared" ca="1" si="318"/>
        <v>0</v>
      </c>
      <c r="L3954">
        <f t="shared" si="319"/>
        <v>3948</v>
      </c>
      <c r="M3954" s="71">
        <f t="shared" ca="1" si="320"/>
        <v>0</v>
      </c>
    </row>
    <row r="3955" spans="1:13" x14ac:dyDescent="0.25">
      <c r="A3955" s="2">
        <v>3949</v>
      </c>
      <c r="B3955" s="11">
        <f t="shared" ca="1" si="316"/>
        <v>1</v>
      </c>
      <c r="C3955" s="26">
        <f t="shared" ca="1" si="315"/>
        <v>0.1589677202505676</v>
      </c>
      <c r="J3955">
        <f t="shared" ca="1" si="317"/>
        <v>0</v>
      </c>
      <c r="K3955">
        <f t="shared" ca="1" si="318"/>
        <v>0</v>
      </c>
      <c r="L3955">
        <f t="shared" si="319"/>
        <v>3949</v>
      </c>
      <c r="M3955" s="71">
        <f t="shared" ca="1" si="320"/>
        <v>4.7172516624475467</v>
      </c>
    </row>
    <row r="3956" spans="1:13" x14ac:dyDescent="0.25">
      <c r="A3956" s="2">
        <v>3950</v>
      </c>
      <c r="B3956" s="11">
        <f t="shared" ca="1" si="316"/>
        <v>0</v>
      </c>
      <c r="C3956" s="26">
        <f t="shared" ca="1" si="315"/>
        <v>0.93315546347272305</v>
      </c>
      <c r="J3956">
        <f t="shared" ca="1" si="317"/>
        <v>0</v>
      </c>
      <c r="K3956">
        <f t="shared" ca="1" si="318"/>
        <v>0</v>
      </c>
      <c r="L3956">
        <f t="shared" si="319"/>
        <v>3950</v>
      </c>
      <c r="M3956" s="71">
        <f t="shared" ca="1" si="320"/>
        <v>0</v>
      </c>
    </row>
    <row r="3957" spans="1:13" x14ac:dyDescent="0.25">
      <c r="A3957" s="2">
        <v>3951</v>
      </c>
      <c r="B3957" s="11">
        <f t="shared" ca="1" si="316"/>
        <v>1</v>
      </c>
      <c r="C3957" s="26">
        <f t="shared" ca="1" si="315"/>
        <v>0.57934696830318244</v>
      </c>
      <c r="J3957">
        <f t="shared" ca="1" si="317"/>
        <v>1</v>
      </c>
      <c r="K3957">
        <f t="shared" ca="1" si="318"/>
        <v>0</v>
      </c>
      <c r="L3957">
        <f t="shared" si="319"/>
        <v>3951</v>
      </c>
      <c r="M3957" s="71">
        <f t="shared" ca="1" si="320"/>
        <v>7.0802938414065846</v>
      </c>
    </row>
    <row r="3958" spans="1:13" x14ac:dyDescent="0.25">
      <c r="A3958" s="2">
        <v>3952</v>
      </c>
      <c r="B3958" s="11">
        <f t="shared" ca="1" si="316"/>
        <v>1</v>
      </c>
      <c r="C3958" s="26">
        <f t="shared" ca="1" si="315"/>
        <v>0.77258837543058634</v>
      </c>
      <c r="J3958">
        <f t="shared" ca="1" si="317"/>
        <v>1</v>
      </c>
      <c r="K3958">
        <f t="shared" ca="1" si="318"/>
        <v>0</v>
      </c>
      <c r="L3958">
        <f t="shared" si="319"/>
        <v>3952</v>
      </c>
      <c r="M3958" s="71">
        <f t="shared" ca="1" si="320"/>
        <v>1.2983140900246309E-2</v>
      </c>
    </row>
    <row r="3959" spans="1:13" x14ac:dyDescent="0.25">
      <c r="A3959" s="2">
        <v>3953</v>
      </c>
      <c r="B3959" s="11">
        <f t="shared" ca="1" si="316"/>
        <v>1</v>
      </c>
      <c r="C3959" s="26">
        <f t="shared" ca="1" si="315"/>
        <v>0.78497787327844015</v>
      </c>
      <c r="J3959">
        <f t="shared" ca="1" si="317"/>
        <v>1</v>
      </c>
      <c r="K3959">
        <f t="shared" ca="1" si="318"/>
        <v>0</v>
      </c>
      <c r="L3959">
        <f t="shared" si="319"/>
        <v>3953</v>
      </c>
      <c r="M3959" s="71">
        <f t="shared" ca="1" si="320"/>
        <v>2.9228842115479847</v>
      </c>
    </row>
    <row r="3960" spans="1:13" x14ac:dyDescent="0.25">
      <c r="A3960" s="2">
        <v>3954</v>
      </c>
      <c r="B3960" s="11">
        <f t="shared" ca="1" si="316"/>
        <v>1</v>
      </c>
      <c r="C3960" s="26">
        <f t="shared" ca="1" si="315"/>
        <v>0.42528029799195155</v>
      </c>
      <c r="J3960">
        <f t="shared" ca="1" si="317"/>
        <v>1</v>
      </c>
      <c r="K3960">
        <f t="shared" ca="1" si="318"/>
        <v>0</v>
      </c>
      <c r="L3960">
        <f t="shared" si="319"/>
        <v>3954</v>
      </c>
      <c r="M3960" s="71">
        <f t="shared" ca="1" si="320"/>
        <v>1.1309247445325714</v>
      </c>
    </row>
    <row r="3961" spans="1:13" x14ac:dyDescent="0.25">
      <c r="A3961" s="2">
        <v>3955</v>
      </c>
      <c r="B3961" s="11">
        <f t="shared" ca="1" si="316"/>
        <v>1</v>
      </c>
      <c r="C3961" s="26">
        <f t="shared" ca="1" si="315"/>
        <v>0.70140149046852218</v>
      </c>
      <c r="J3961">
        <f t="shared" ca="1" si="317"/>
        <v>1</v>
      </c>
      <c r="K3961">
        <f t="shared" ca="1" si="318"/>
        <v>0</v>
      </c>
      <c r="L3961">
        <f t="shared" si="319"/>
        <v>3955</v>
      </c>
      <c r="M3961" s="71">
        <f t="shared" ca="1" si="320"/>
        <v>0.67821793216447435</v>
      </c>
    </row>
    <row r="3962" spans="1:13" x14ac:dyDescent="0.25">
      <c r="A3962" s="2">
        <v>3956</v>
      </c>
      <c r="B3962" s="11">
        <f t="shared" ca="1" si="316"/>
        <v>1</v>
      </c>
      <c r="C3962" s="26">
        <f t="shared" ca="1" si="315"/>
        <v>0.75370421111091768</v>
      </c>
      <c r="J3962">
        <f t="shared" ca="1" si="317"/>
        <v>1</v>
      </c>
      <c r="K3962">
        <f t="shared" ca="1" si="318"/>
        <v>0</v>
      </c>
      <c r="L3962">
        <f t="shared" si="319"/>
        <v>3956</v>
      </c>
      <c r="M3962" s="71">
        <f t="shared" ca="1" si="320"/>
        <v>1.1954290506536269</v>
      </c>
    </row>
    <row r="3963" spans="1:13" x14ac:dyDescent="0.25">
      <c r="A3963" s="2">
        <v>3957</v>
      </c>
      <c r="B3963" s="11">
        <f t="shared" ca="1" si="316"/>
        <v>1</v>
      </c>
      <c r="C3963" s="26">
        <f t="shared" ca="1" si="315"/>
        <v>0.2135481532788791</v>
      </c>
      <c r="J3963">
        <f t="shared" ca="1" si="317"/>
        <v>0</v>
      </c>
      <c r="K3963">
        <f t="shared" ca="1" si="318"/>
        <v>0</v>
      </c>
      <c r="L3963">
        <f t="shared" si="319"/>
        <v>3957</v>
      </c>
      <c r="M3963" s="71">
        <f t="shared" ca="1" si="320"/>
        <v>11.511554592923254</v>
      </c>
    </row>
    <row r="3964" spans="1:13" x14ac:dyDescent="0.25">
      <c r="A3964" s="2">
        <v>3958</v>
      </c>
      <c r="B3964" s="11">
        <f t="shared" ca="1" si="316"/>
        <v>0</v>
      </c>
      <c r="C3964" s="26">
        <f t="shared" ca="1" si="315"/>
        <v>0.93436036745435158</v>
      </c>
      <c r="J3964">
        <f t="shared" ca="1" si="317"/>
        <v>0</v>
      </c>
      <c r="K3964">
        <f t="shared" ca="1" si="318"/>
        <v>1</v>
      </c>
      <c r="L3964">
        <f t="shared" si="319"/>
        <v>3958</v>
      </c>
      <c r="M3964" s="71">
        <f t="shared" ca="1" si="320"/>
        <v>0</v>
      </c>
    </row>
    <row r="3965" spans="1:13" x14ac:dyDescent="0.25">
      <c r="A3965" s="2">
        <v>3959</v>
      </c>
      <c r="B3965" s="11">
        <f t="shared" ca="1" si="316"/>
        <v>0</v>
      </c>
      <c r="C3965" s="26">
        <f t="shared" ca="1" si="315"/>
        <v>0.84187523101747608</v>
      </c>
      <c r="J3965">
        <f t="shared" ca="1" si="317"/>
        <v>0</v>
      </c>
      <c r="K3965">
        <f t="shared" ca="1" si="318"/>
        <v>0</v>
      </c>
      <c r="L3965">
        <f t="shared" si="319"/>
        <v>3959</v>
      </c>
      <c r="M3965" s="71">
        <f t="shared" ca="1" si="320"/>
        <v>0</v>
      </c>
    </row>
    <row r="3966" spans="1:13" x14ac:dyDescent="0.25">
      <c r="A3966" s="2">
        <v>3960</v>
      </c>
      <c r="B3966" s="11">
        <f t="shared" ca="1" si="316"/>
        <v>1</v>
      </c>
      <c r="C3966" s="26">
        <f t="shared" ca="1" si="315"/>
        <v>0.64998622263771044</v>
      </c>
      <c r="J3966">
        <f t="shared" ca="1" si="317"/>
        <v>1</v>
      </c>
      <c r="K3966">
        <f t="shared" ca="1" si="318"/>
        <v>0</v>
      </c>
      <c r="L3966">
        <f t="shared" si="319"/>
        <v>3960</v>
      </c>
      <c r="M3966" s="71">
        <f t="shared" ca="1" si="320"/>
        <v>7.7957604841085867E-2</v>
      </c>
    </row>
    <row r="3967" spans="1:13" x14ac:dyDescent="0.25">
      <c r="A3967" s="2">
        <v>3961</v>
      </c>
      <c r="B3967" s="11">
        <f t="shared" ca="1" si="316"/>
        <v>1</v>
      </c>
      <c r="C3967" s="26">
        <f t="shared" ca="1" si="315"/>
        <v>0.2017752507895253</v>
      </c>
      <c r="J3967">
        <f t="shared" ca="1" si="317"/>
        <v>0</v>
      </c>
      <c r="K3967">
        <f t="shared" ca="1" si="318"/>
        <v>0</v>
      </c>
      <c r="L3967">
        <f t="shared" si="319"/>
        <v>3961</v>
      </c>
      <c r="M3967" s="71">
        <f t="shared" ca="1" si="320"/>
        <v>22.902728149150853</v>
      </c>
    </row>
    <row r="3968" spans="1:13" x14ac:dyDescent="0.25">
      <c r="A3968" s="2">
        <v>3962</v>
      </c>
      <c r="B3968" s="11">
        <f t="shared" ca="1" si="316"/>
        <v>0</v>
      </c>
      <c r="C3968" s="26">
        <f t="shared" ca="1" si="315"/>
        <v>0.97197935168702698</v>
      </c>
      <c r="J3968">
        <f t="shared" ca="1" si="317"/>
        <v>0</v>
      </c>
      <c r="K3968">
        <f t="shared" ca="1" si="318"/>
        <v>0</v>
      </c>
      <c r="L3968">
        <f t="shared" si="319"/>
        <v>3962</v>
      </c>
      <c r="M3968" s="71">
        <f t="shared" ca="1" si="320"/>
        <v>0</v>
      </c>
    </row>
    <row r="3969" spans="1:13" x14ac:dyDescent="0.25">
      <c r="A3969" s="2">
        <v>3963</v>
      </c>
      <c r="B3969" s="11">
        <f t="shared" ca="1" si="316"/>
        <v>1</v>
      </c>
      <c r="C3969" s="26">
        <f t="shared" ca="1" si="315"/>
        <v>0.25344147256398508</v>
      </c>
      <c r="J3969">
        <f t="shared" ca="1" si="317"/>
        <v>0</v>
      </c>
      <c r="K3969">
        <f t="shared" ca="1" si="318"/>
        <v>0</v>
      </c>
      <c r="L3969">
        <f t="shared" si="319"/>
        <v>3963</v>
      </c>
      <c r="M3969" s="71">
        <f t="shared" ca="1" si="320"/>
        <v>4.827273144356476</v>
      </c>
    </row>
    <row r="3970" spans="1:13" x14ac:dyDescent="0.25">
      <c r="A3970" s="2">
        <v>3964</v>
      </c>
      <c r="B3970" s="11">
        <f t="shared" ca="1" si="316"/>
        <v>0</v>
      </c>
      <c r="C3970" s="26">
        <f t="shared" ca="1" si="315"/>
        <v>0.86096584274913246</v>
      </c>
      <c r="J3970">
        <f t="shared" ca="1" si="317"/>
        <v>0</v>
      </c>
      <c r="K3970">
        <f t="shared" ca="1" si="318"/>
        <v>1</v>
      </c>
      <c r="L3970">
        <f t="shared" si="319"/>
        <v>3964</v>
      </c>
      <c r="M3970" s="71">
        <f t="shared" ca="1" si="320"/>
        <v>0</v>
      </c>
    </row>
    <row r="3971" spans="1:13" x14ac:dyDescent="0.25">
      <c r="A3971" s="2">
        <v>3965</v>
      </c>
      <c r="B3971" s="11">
        <f t="shared" ca="1" si="316"/>
        <v>0</v>
      </c>
      <c r="C3971" s="26">
        <f t="shared" ca="1" si="315"/>
        <v>0.94828795596694637</v>
      </c>
      <c r="J3971">
        <f t="shared" ca="1" si="317"/>
        <v>0</v>
      </c>
      <c r="K3971">
        <f t="shared" ca="1" si="318"/>
        <v>1</v>
      </c>
      <c r="L3971">
        <f t="shared" si="319"/>
        <v>3965</v>
      </c>
      <c r="M3971" s="71">
        <f t="shared" ca="1" si="320"/>
        <v>0</v>
      </c>
    </row>
    <row r="3972" spans="1:13" x14ac:dyDescent="0.25">
      <c r="A3972" s="2">
        <v>3966</v>
      </c>
      <c r="B3972" s="11">
        <f t="shared" ca="1" si="316"/>
        <v>0</v>
      </c>
      <c r="C3972" s="26">
        <f t="shared" ca="1" si="315"/>
        <v>0.93487855769340578</v>
      </c>
      <c r="J3972">
        <f t="shared" ca="1" si="317"/>
        <v>0</v>
      </c>
      <c r="K3972">
        <f t="shared" ca="1" si="318"/>
        <v>0</v>
      </c>
      <c r="L3972">
        <f t="shared" si="319"/>
        <v>3966</v>
      </c>
      <c r="M3972" s="71">
        <f t="shared" ca="1" si="320"/>
        <v>0</v>
      </c>
    </row>
    <row r="3973" spans="1:13" x14ac:dyDescent="0.25">
      <c r="A3973" s="2">
        <v>3967</v>
      </c>
      <c r="B3973" s="11">
        <f t="shared" ca="1" si="316"/>
        <v>1</v>
      </c>
      <c r="C3973" s="26">
        <f t="shared" ca="1" si="315"/>
        <v>0.22885547483349156</v>
      </c>
      <c r="J3973">
        <f t="shared" ca="1" si="317"/>
        <v>1</v>
      </c>
      <c r="K3973">
        <f t="shared" ca="1" si="318"/>
        <v>0</v>
      </c>
      <c r="L3973">
        <f t="shared" si="319"/>
        <v>3967</v>
      </c>
      <c r="M3973" s="71">
        <f t="shared" ca="1" si="320"/>
        <v>2.2981733229226093</v>
      </c>
    </row>
    <row r="3974" spans="1:13" x14ac:dyDescent="0.25">
      <c r="A3974" s="2">
        <v>3968</v>
      </c>
      <c r="B3974" s="11">
        <f t="shared" ca="1" si="316"/>
        <v>1</v>
      </c>
      <c r="C3974" s="26">
        <f t="shared" ca="1" si="315"/>
        <v>0.30538327801426934</v>
      </c>
      <c r="J3974">
        <f t="shared" ca="1" si="317"/>
        <v>1</v>
      </c>
      <c r="K3974">
        <f t="shared" ca="1" si="318"/>
        <v>0</v>
      </c>
      <c r="L3974">
        <f t="shared" si="319"/>
        <v>3968</v>
      </c>
      <c r="M3974" s="71">
        <f t="shared" ca="1" si="320"/>
        <v>8.3144628329419543</v>
      </c>
    </row>
    <row r="3975" spans="1:13" x14ac:dyDescent="0.25">
      <c r="A3975" s="2">
        <v>3969</v>
      </c>
      <c r="B3975" s="11">
        <f t="shared" ca="1" si="316"/>
        <v>1</v>
      </c>
      <c r="C3975" s="26">
        <f t="shared" ca="1" si="315"/>
        <v>0.45091441002498189</v>
      </c>
      <c r="J3975">
        <f t="shared" ca="1" si="317"/>
        <v>0</v>
      </c>
      <c r="K3975">
        <f t="shared" ca="1" si="318"/>
        <v>0</v>
      </c>
      <c r="L3975">
        <f t="shared" si="319"/>
        <v>3969</v>
      </c>
      <c r="M3975" s="71">
        <f t="shared" ca="1" si="320"/>
        <v>9.3588847480259822</v>
      </c>
    </row>
    <row r="3976" spans="1:13" x14ac:dyDescent="0.25">
      <c r="A3976" s="2">
        <v>3970</v>
      </c>
      <c r="B3976" s="11">
        <f t="shared" ca="1" si="316"/>
        <v>0</v>
      </c>
      <c r="C3976" s="26">
        <f t="shared" ref="C3976:C4039" ca="1" si="321">RAND()</f>
        <v>0.9804963334828275</v>
      </c>
      <c r="J3976">
        <f t="shared" ca="1" si="317"/>
        <v>0</v>
      </c>
      <c r="K3976">
        <f t="shared" ca="1" si="318"/>
        <v>1</v>
      </c>
      <c r="L3976">
        <f t="shared" si="319"/>
        <v>3970</v>
      </c>
      <c r="M3976" s="71">
        <f t="shared" ca="1" si="320"/>
        <v>0</v>
      </c>
    </row>
    <row r="3977" spans="1:13" x14ac:dyDescent="0.25">
      <c r="A3977" s="2">
        <v>3971</v>
      </c>
      <c r="B3977" s="11">
        <f t="shared" ref="B3977:B4040" ca="1" si="322">IF(B3976&gt;0,IF(C3977&lt;pww,1,0),IF(C3977&lt;pdw,1,0))</f>
        <v>0</v>
      </c>
      <c r="C3977" s="26">
        <f t="shared" ca="1" si="321"/>
        <v>0.99505697030499107</v>
      </c>
      <c r="J3977">
        <f t="shared" ca="1" si="317"/>
        <v>0</v>
      </c>
      <c r="K3977">
        <f t="shared" ca="1" si="318"/>
        <v>0</v>
      </c>
      <c r="L3977">
        <f t="shared" si="319"/>
        <v>3971</v>
      </c>
      <c r="M3977" s="71">
        <f t="shared" ca="1" si="320"/>
        <v>0</v>
      </c>
    </row>
    <row r="3978" spans="1:13" x14ac:dyDescent="0.25">
      <c r="A3978" s="2">
        <v>3972</v>
      </c>
      <c r="B3978" s="11">
        <f t="shared" ca="1" si="322"/>
        <v>1</v>
      </c>
      <c r="C3978" s="26">
        <f t="shared" ca="1" si="321"/>
        <v>4.3754591024010026E-2</v>
      </c>
      <c r="J3978">
        <f t="shared" ref="J3978:J4041" ca="1" si="323">IF(AND(B3978,B3979),1,0)</f>
        <v>1</v>
      </c>
      <c r="K3978">
        <f t="shared" ref="K3978:K4041" ca="1" si="324">IF(AND(NOT(B3978),NOT(B3979)),1,0)</f>
        <v>0</v>
      </c>
      <c r="L3978">
        <f t="shared" ref="L3978:L4041" si="325">L3977+1</f>
        <v>3972</v>
      </c>
      <c r="M3978" s="71">
        <f t="shared" ref="M3978:M4041" ca="1" si="326">IF(B3978&gt;0,-LN(1-(RAND()))/lambda,0)</f>
        <v>3.7163908846923735E-2</v>
      </c>
    </row>
    <row r="3979" spans="1:13" x14ac:dyDescent="0.25">
      <c r="A3979" s="2">
        <v>3973</v>
      </c>
      <c r="B3979" s="11">
        <f t="shared" ca="1" si="322"/>
        <v>1</v>
      </c>
      <c r="C3979" s="26">
        <f t="shared" ca="1" si="321"/>
        <v>0.46476593077033523</v>
      </c>
      <c r="J3979">
        <f t="shared" ca="1" si="323"/>
        <v>1</v>
      </c>
      <c r="K3979">
        <f t="shared" ca="1" si="324"/>
        <v>0</v>
      </c>
      <c r="L3979">
        <f t="shared" si="325"/>
        <v>3973</v>
      </c>
      <c r="M3979" s="71">
        <f t="shared" ca="1" si="326"/>
        <v>0.81304525908465664</v>
      </c>
    </row>
    <row r="3980" spans="1:13" x14ac:dyDescent="0.25">
      <c r="A3980" s="2">
        <v>3974</v>
      </c>
      <c r="B3980" s="11">
        <f t="shared" ca="1" si="322"/>
        <v>1</v>
      </c>
      <c r="C3980" s="26">
        <f t="shared" ca="1" si="321"/>
        <v>2.3086023635753627E-2</v>
      </c>
      <c r="J3980">
        <f t="shared" ca="1" si="323"/>
        <v>1</v>
      </c>
      <c r="K3980">
        <f t="shared" ca="1" si="324"/>
        <v>0</v>
      </c>
      <c r="L3980">
        <f t="shared" si="325"/>
        <v>3974</v>
      </c>
      <c r="M3980" s="71">
        <f t="shared" ca="1" si="326"/>
        <v>0.30243565480162998</v>
      </c>
    </row>
    <row r="3981" spans="1:13" x14ac:dyDescent="0.25">
      <c r="A3981" s="2">
        <v>3975</v>
      </c>
      <c r="B3981" s="11">
        <f t="shared" ca="1" si="322"/>
        <v>1</v>
      </c>
      <c r="C3981" s="26">
        <f t="shared" ca="1" si="321"/>
        <v>0.64431555684037312</v>
      </c>
      <c r="J3981">
        <f t="shared" ca="1" si="323"/>
        <v>0</v>
      </c>
      <c r="K3981">
        <f t="shared" ca="1" si="324"/>
        <v>0</v>
      </c>
      <c r="L3981">
        <f t="shared" si="325"/>
        <v>3975</v>
      </c>
      <c r="M3981" s="71">
        <f t="shared" ca="1" si="326"/>
        <v>3.3196392821390059</v>
      </c>
    </row>
    <row r="3982" spans="1:13" x14ac:dyDescent="0.25">
      <c r="A3982" s="2">
        <v>3976</v>
      </c>
      <c r="B3982" s="11">
        <f t="shared" ca="1" si="322"/>
        <v>0</v>
      </c>
      <c r="C3982" s="26">
        <f t="shared" ca="1" si="321"/>
        <v>0.86194892091590292</v>
      </c>
      <c r="J3982">
        <f t="shared" ca="1" si="323"/>
        <v>0</v>
      </c>
      <c r="K3982">
        <f t="shared" ca="1" si="324"/>
        <v>0</v>
      </c>
      <c r="L3982">
        <f t="shared" si="325"/>
        <v>3976</v>
      </c>
      <c r="M3982" s="71">
        <f t="shared" ca="1" si="326"/>
        <v>0</v>
      </c>
    </row>
    <row r="3983" spans="1:13" x14ac:dyDescent="0.25">
      <c r="A3983" s="2">
        <v>3977</v>
      </c>
      <c r="B3983" s="11">
        <f t="shared" ca="1" si="322"/>
        <v>1</v>
      </c>
      <c r="C3983" s="26">
        <f t="shared" ca="1" si="321"/>
        <v>0.57952518384433316</v>
      </c>
      <c r="J3983">
        <f t="shared" ca="1" si="323"/>
        <v>1</v>
      </c>
      <c r="K3983">
        <f t="shared" ca="1" si="324"/>
        <v>0</v>
      </c>
      <c r="L3983">
        <f t="shared" si="325"/>
        <v>3977</v>
      </c>
      <c r="M3983" s="71">
        <f t="shared" ca="1" si="326"/>
        <v>5.3111836819649829</v>
      </c>
    </row>
    <row r="3984" spans="1:13" x14ac:dyDescent="0.25">
      <c r="A3984" s="2">
        <v>3978</v>
      </c>
      <c r="B3984" s="11">
        <f t="shared" ca="1" si="322"/>
        <v>1</v>
      </c>
      <c r="C3984" s="26">
        <f t="shared" ca="1" si="321"/>
        <v>5.8286920169091982E-2</v>
      </c>
      <c r="J3984">
        <f t="shared" ca="1" si="323"/>
        <v>0</v>
      </c>
      <c r="K3984">
        <f t="shared" ca="1" si="324"/>
        <v>0</v>
      </c>
      <c r="L3984">
        <f t="shared" si="325"/>
        <v>3978</v>
      </c>
      <c r="M3984" s="71">
        <f t="shared" ca="1" si="326"/>
        <v>1.6266843856747903</v>
      </c>
    </row>
    <row r="3985" spans="1:13" x14ac:dyDescent="0.25">
      <c r="A3985" s="2">
        <v>3979</v>
      </c>
      <c r="B3985" s="11">
        <f t="shared" ca="1" si="322"/>
        <v>0</v>
      </c>
      <c r="C3985" s="26">
        <f t="shared" ca="1" si="321"/>
        <v>0.96089180752321779</v>
      </c>
      <c r="J3985">
        <f t="shared" ca="1" si="323"/>
        <v>0</v>
      </c>
      <c r="K3985">
        <f t="shared" ca="1" si="324"/>
        <v>0</v>
      </c>
      <c r="L3985">
        <f t="shared" si="325"/>
        <v>3979</v>
      </c>
      <c r="M3985" s="71">
        <f t="shared" ca="1" si="326"/>
        <v>0</v>
      </c>
    </row>
    <row r="3986" spans="1:13" x14ac:dyDescent="0.25">
      <c r="A3986" s="2">
        <v>3980</v>
      </c>
      <c r="B3986" s="11">
        <f t="shared" ca="1" si="322"/>
        <v>1</v>
      </c>
      <c r="C3986" s="26">
        <f t="shared" ca="1" si="321"/>
        <v>0.49270335760341477</v>
      </c>
      <c r="J3986">
        <f t="shared" ca="1" si="323"/>
        <v>0</v>
      </c>
      <c r="K3986">
        <f t="shared" ca="1" si="324"/>
        <v>0</v>
      </c>
      <c r="L3986">
        <f t="shared" si="325"/>
        <v>3980</v>
      </c>
      <c r="M3986" s="71">
        <f t="shared" ca="1" si="326"/>
        <v>16.408591443475938</v>
      </c>
    </row>
    <row r="3987" spans="1:13" x14ac:dyDescent="0.25">
      <c r="A3987" s="2">
        <v>3981</v>
      </c>
      <c r="B3987" s="11">
        <f t="shared" ca="1" si="322"/>
        <v>0</v>
      </c>
      <c r="C3987" s="26">
        <f t="shared" ca="1" si="321"/>
        <v>0.93172850426144771</v>
      </c>
      <c r="J3987">
        <f t="shared" ca="1" si="323"/>
        <v>0</v>
      </c>
      <c r="K3987">
        <f t="shared" ca="1" si="324"/>
        <v>0</v>
      </c>
      <c r="L3987">
        <f t="shared" si="325"/>
        <v>3981</v>
      </c>
      <c r="M3987" s="71">
        <f t="shared" ca="1" si="326"/>
        <v>0</v>
      </c>
    </row>
    <row r="3988" spans="1:13" x14ac:dyDescent="0.25">
      <c r="A3988" s="2">
        <v>3982</v>
      </c>
      <c r="B3988" s="11">
        <f t="shared" ca="1" si="322"/>
        <v>1</v>
      </c>
      <c r="C3988" s="26">
        <f t="shared" ca="1" si="321"/>
        <v>0.39740173787801236</v>
      </c>
      <c r="J3988">
        <f t="shared" ca="1" si="323"/>
        <v>1</v>
      </c>
      <c r="K3988">
        <f t="shared" ca="1" si="324"/>
        <v>0</v>
      </c>
      <c r="L3988">
        <f t="shared" si="325"/>
        <v>3982</v>
      </c>
      <c r="M3988" s="71">
        <f t="shared" ca="1" si="326"/>
        <v>4.418622964904781</v>
      </c>
    </row>
    <row r="3989" spans="1:13" x14ac:dyDescent="0.25">
      <c r="A3989" s="2">
        <v>3983</v>
      </c>
      <c r="B3989" s="11">
        <f t="shared" ca="1" si="322"/>
        <v>1</v>
      </c>
      <c r="C3989" s="26">
        <f t="shared" ca="1" si="321"/>
        <v>0.30960201240371898</v>
      </c>
      <c r="J3989">
        <f t="shared" ca="1" si="323"/>
        <v>1</v>
      </c>
      <c r="K3989">
        <f t="shared" ca="1" si="324"/>
        <v>0</v>
      </c>
      <c r="L3989">
        <f t="shared" si="325"/>
        <v>3983</v>
      </c>
      <c r="M3989" s="71">
        <f t="shared" ca="1" si="326"/>
        <v>2.0053612286620877</v>
      </c>
    </row>
    <row r="3990" spans="1:13" x14ac:dyDescent="0.25">
      <c r="A3990" s="2">
        <v>3984</v>
      </c>
      <c r="B3990" s="11">
        <f t="shared" ca="1" si="322"/>
        <v>1</v>
      </c>
      <c r="C3990" s="26">
        <f t="shared" ca="1" si="321"/>
        <v>0.15278708648604666</v>
      </c>
      <c r="J3990">
        <f t="shared" ca="1" si="323"/>
        <v>1</v>
      </c>
      <c r="K3990">
        <f t="shared" ca="1" si="324"/>
        <v>0</v>
      </c>
      <c r="L3990">
        <f t="shared" si="325"/>
        <v>3984</v>
      </c>
      <c r="M3990" s="71">
        <f t="shared" ca="1" si="326"/>
        <v>2.0300534923780424</v>
      </c>
    </row>
    <row r="3991" spans="1:13" x14ac:dyDescent="0.25">
      <c r="A3991" s="2">
        <v>3985</v>
      </c>
      <c r="B3991" s="11">
        <f t="shared" ca="1" si="322"/>
        <v>1</v>
      </c>
      <c r="C3991" s="26">
        <f t="shared" ca="1" si="321"/>
        <v>0.40734795243380917</v>
      </c>
      <c r="J3991">
        <f t="shared" ca="1" si="323"/>
        <v>1</v>
      </c>
      <c r="K3991">
        <f t="shared" ca="1" si="324"/>
        <v>0</v>
      </c>
      <c r="L3991">
        <f t="shared" si="325"/>
        <v>3985</v>
      </c>
      <c r="M3991" s="71">
        <f t="shared" ca="1" si="326"/>
        <v>0.90935101496321702</v>
      </c>
    </row>
    <row r="3992" spans="1:13" x14ac:dyDescent="0.25">
      <c r="A3992" s="2">
        <v>3986</v>
      </c>
      <c r="B3992" s="11">
        <f t="shared" ca="1" si="322"/>
        <v>1</v>
      </c>
      <c r="C3992" s="26">
        <f t="shared" ca="1" si="321"/>
        <v>0.63007385918639502</v>
      </c>
      <c r="J3992">
        <f t="shared" ca="1" si="323"/>
        <v>1</v>
      </c>
      <c r="K3992">
        <f t="shared" ca="1" si="324"/>
        <v>0</v>
      </c>
      <c r="L3992">
        <f t="shared" si="325"/>
        <v>3986</v>
      </c>
      <c r="M3992" s="71">
        <f t="shared" ca="1" si="326"/>
        <v>0.23240824477195945</v>
      </c>
    </row>
    <row r="3993" spans="1:13" x14ac:dyDescent="0.25">
      <c r="A3993" s="2">
        <v>3987</v>
      </c>
      <c r="B3993" s="11">
        <f t="shared" ca="1" si="322"/>
        <v>1</v>
      </c>
      <c r="C3993" s="26">
        <f t="shared" ca="1" si="321"/>
        <v>0.24473431889674002</v>
      </c>
      <c r="J3993">
        <f t="shared" ca="1" si="323"/>
        <v>0</v>
      </c>
      <c r="K3993">
        <f t="shared" ca="1" si="324"/>
        <v>0</v>
      </c>
      <c r="L3993">
        <f t="shared" si="325"/>
        <v>3987</v>
      </c>
      <c r="M3993" s="71">
        <f t="shared" ca="1" si="326"/>
        <v>0.6950032027415961</v>
      </c>
    </row>
    <row r="3994" spans="1:13" x14ac:dyDescent="0.25">
      <c r="A3994" s="2">
        <v>3988</v>
      </c>
      <c r="B3994" s="11">
        <f t="shared" ca="1" si="322"/>
        <v>0</v>
      </c>
      <c r="C3994" s="26">
        <f t="shared" ca="1" si="321"/>
        <v>0.88849131788775526</v>
      </c>
      <c r="J3994">
        <f t="shared" ca="1" si="323"/>
        <v>0</v>
      </c>
      <c r="K3994">
        <f t="shared" ca="1" si="324"/>
        <v>0</v>
      </c>
      <c r="L3994">
        <f t="shared" si="325"/>
        <v>3988</v>
      </c>
      <c r="M3994" s="71">
        <f t="shared" ca="1" si="326"/>
        <v>0</v>
      </c>
    </row>
    <row r="3995" spans="1:13" x14ac:dyDescent="0.25">
      <c r="A3995" s="2">
        <v>3989</v>
      </c>
      <c r="B3995" s="11">
        <f t="shared" ca="1" si="322"/>
        <v>1</v>
      </c>
      <c r="C3995" s="26">
        <f t="shared" ca="1" si="321"/>
        <v>0.51980937821763573</v>
      </c>
      <c r="J3995">
        <f t="shared" ca="1" si="323"/>
        <v>1</v>
      </c>
      <c r="K3995">
        <f t="shared" ca="1" si="324"/>
        <v>0</v>
      </c>
      <c r="L3995">
        <f t="shared" si="325"/>
        <v>3989</v>
      </c>
      <c r="M3995" s="71">
        <f t="shared" ca="1" si="326"/>
        <v>11.350220197320743</v>
      </c>
    </row>
    <row r="3996" spans="1:13" x14ac:dyDescent="0.25">
      <c r="A3996" s="2">
        <v>3990</v>
      </c>
      <c r="B3996" s="11">
        <f t="shared" ca="1" si="322"/>
        <v>1</v>
      </c>
      <c r="C3996" s="26">
        <f t="shared" ca="1" si="321"/>
        <v>0.41457613419385664</v>
      </c>
      <c r="J3996">
        <f t="shared" ca="1" si="323"/>
        <v>1</v>
      </c>
      <c r="K3996">
        <f t="shared" ca="1" si="324"/>
        <v>0</v>
      </c>
      <c r="L3996">
        <f t="shared" si="325"/>
        <v>3990</v>
      </c>
      <c r="M3996" s="71">
        <f t="shared" ca="1" si="326"/>
        <v>1.6459566724939392</v>
      </c>
    </row>
    <row r="3997" spans="1:13" x14ac:dyDescent="0.25">
      <c r="A3997" s="2">
        <v>3991</v>
      </c>
      <c r="B3997" s="11">
        <f t="shared" ca="1" si="322"/>
        <v>1</v>
      </c>
      <c r="C3997" s="26">
        <f t="shared" ca="1" si="321"/>
        <v>0.36041675586527122</v>
      </c>
      <c r="J3997">
        <f t="shared" ca="1" si="323"/>
        <v>1</v>
      </c>
      <c r="K3997">
        <f t="shared" ca="1" si="324"/>
        <v>0</v>
      </c>
      <c r="L3997">
        <f t="shared" si="325"/>
        <v>3991</v>
      </c>
      <c r="M3997" s="71">
        <f t="shared" ca="1" si="326"/>
        <v>5.5198455816622598</v>
      </c>
    </row>
    <row r="3998" spans="1:13" x14ac:dyDescent="0.25">
      <c r="A3998" s="2">
        <v>3992</v>
      </c>
      <c r="B3998" s="11">
        <f t="shared" ca="1" si="322"/>
        <v>1</v>
      </c>
      <c r="C3998" s="26">
        <f t="shared" ca="1" si="321"/>
        <v>0.27498433408825673</v>
      </c>
      <c r="J3998">
        <f t="shared" ca="1" si="323"/>
        <v>1</v>
      </c>
      <c r="K3998">
        <f t="shared" ca="1" si="324"/>
        <v>0</v>
      </c>
      <c r="L3998">
        <f t="shared" si="325"/>
        <v>3992</v>
      </c>
      <c r="M3998" s="71">
        <f t="shared" ca="1" si="326"/>
        <v>0.94038706451369669</v>
      </c>
    </row>
    <row r="3999" spans="1:13" x14ac:dyDescent="0.25">
      <c r="A3999" s="2">
        <v>3993</v>
      </c>
      <c r="B3999" s="11">
        <f t="shared" ca="1" si="322"/>
        <v>1</v>
      </c>
      <c r="C3999" s="26">
        <f t="shared" ca="1" si="321"/>
        <v>0.11271425513522326</v>
      </c>
      <c r="J3999">
        <f t="shared" ca="1" si="323"/>
        <v>1</v>
      </c>
      <c r="K3999">
        <f t="shared" ca="1" si="324"/>
        <v>0</v>
      </c>
      <c r="L3999">
        <f t="shared" si="325"/>
        <v>3993</v>
      </c>
      <c r="M3999" s="71">
        <f t="shared" ca="1" si="326"/>
        <v>1.1391320394974744</v>
      </c>
    </row>
    <row r="4000" spans="1:13" x14ac:dyDescent="0.25">
      <c r="A4000" s="2">
        <v>3994</v>
      </c>
      <c r="B4000" s="11">
        <f t="shared" ca="1" si="322"/>
        <v>1</v>
      </c>
      <c r="C4000" s="26">
        <f t="shared" ca="1" si="321"/>
        <v>0.17875710520501265</v>
      </c>
      <c r="J4000">
        <f t="shared" ca="1" si="323"/>
        <v>1</v>
      </c>
      <c r="K4000">
        <f t="shared" ca="1" si="324"/>
        <v>0</v>
      </c>
      <c r="L4000">
        <f t="shared" si="325"/>
        <v>3994</v>
      </c>
      <c r="M4000" s="71">
        <f t="shared" ca="1" si="326"/>
        <v>6.5866678601635487</v>
      </c>
    </row>
    <row r="4001" spans="1:13" x14ac:dyDescent="0.25">
      <c r="A4001" s="2">
        <v>3995</v>
      </c>
      <c r="B4001" s="11">
        <f t="shared" ca="1" si="322"/>
        <v>1</v>
      </c>
      <c r="C4001" s="26">
        <f t="shared" ca="1" si="321"/>
        <v>0.35454444970647681</v>
      </c>
      <c r="J4001">
        <f t="shared" ca="1" si="323"/>
        <v>1</v>
      </c>
      <c r="K4001">
        <f t="shared" ca="1" si="324"/>
        <v>0</v>
      </c>
      <c r="L4001">
        <f t="shared" si="325"/>
        <v>3995</v>
      </c>
      <c r="M4001" s="71">
        <f t="shared" ca="1" si="326"/>
        <v>13.665159422317259</v>
      </c>
    </row>
    <row r="4002" spans="1:13" x14ac:dyDescent="0.25">
      <c r="A4002" s="2">
        <v>3996</v>
      </c>
      <c r="B4002" s="11">
        <f t="shared" ca="1" si="322"/>
        <v>1</v>
      </c>
      <c r="C4002" s="26">
        <f t="shared" ca="1" si="321"/>
        <v>0.62114055894963061</v>
      </c>
      <c r="J4002">
        <f t="shared" ca="1" si="323"/>
        <v>0</v>
      </c>
      <c r="K4002">
        <f t="shared" ca="1" si="324"/>
        <v>0</v>
      </c>
      <c r="L4002">
        <f t="shared" si="325"/>
        <v>3996</v>
      </c>
      <c r="M4002" s="71">
        <f t="shared" ca="1" si="326"/>
        <v>4.6560878332594857</v>
      </c>
    </row>
    <row r="4003" spans="1:13" x14ac:dyDescent="0.25">
      <c r="A4003" s="2">
        <v>3997</v>
      </c>
      <c r="B4003" s="11">
        <f t="shared" ca="1" si="322"/>
        <v>0</v>
      </c>
      <c r="C4003" s="26">
        <f t="shared" ca="1" si="321"/>
        <v>0.96118058269406448</v>
      </c>
      <c r="J4003">
        <f t="shared" ca="1" si="323"/>
        <v>0</v>
      </c>
      <c r="K4003">
        <f t="shared" ca="1" si="324"/>
        <v>0</v>
      </c>
      <c r="L4003">
        <f t="shared" si="325"/>
        <v>3997</v>
      </c>
      <c r="M4003" s="71">
        <f t="shared" ca="1" si="326"/>
        <v>0</v>
      </c>
    </row>
    <row r="4004" spans="1:13" x14ac:dyDescent="0.25">
      <c r="A4004" s="2">
        <v>3998</v>
      </c>
      <c r="B4004" s="11">
        <f t="shared" ca="1" si="322"/>
        <v>1</v>
      </c>
      <c r="C4004" s="26">
        <f t="shared" ca="1" si="321"/>
        <v>0.14604234315066889</v>
      </c>
      <c r="J4004">
        <f t="shared" ca="1" si="323"/>
        <v>1</v>
      </c>
      <c r="K4004">
        <f t="shared" ca="1" si="324"/>
        <v>0</v>
      </c>
      <c r="L4004">
        <f t="shared" si="325"/>
        <v>3998</v>
      </c>
      <c r="M4004" s="71">
        <f t="shared" ca="1" si="326"/>
        <v>0.19868827118431207</v>
      </c>
    </row>
    <row r="4005" spans="1:13" x14ac:dyDescent="0.25">
      <c r="A4005" s="2">
        <v>3999</v>
      </c>
      <c r="B4005" s="11">
        <f t="shared" ca="1" si="322"/>
        <v>1</v>
      </c>
      <c r="C4005" s="26">
        <f t="shared" ca="1" si="321"/>
        <v>0.16349640010715205</v>
      </c>
      <c r="J4005">
        <f t="shared" ca="1" si="323"/>
        <v>1</v>
      </c>
      <c r="K4005">
        <f t="shared" ca="1" si="324"/>
        <v>0</v>
      </c>
      <c r="L4005">
        <f t="shared" si="325"/>
        <v>3999</v>
      </c>
      <c r="M4005" s="71">
        <f t="shared" ca="1" si="326"/>
        <v>0.41266126663913533</v>
      </c>
    </row>
    <row r="4006" spans="1:13" x14ac:dyDescent="0.25">
      <c r="A4006" s="2">
        <v>4000</v>
      </c>
      <c r="B4006" s="11">
        <f t="shared" ca="1" si="322"/>
        <v>1</v>
      </c>
      <c r="C4006" s="26">
        <f t="shared" ca="1" si="321"/>
        <v>7.2659921643336345E-2</v>
      </c>
      <c r="J4006">
        <f t="shared" ca="1" si="323"/>
        <v>1</v>
      </c>
      <c r="K4006">
        <f t="shared" ca="1" si="324"/>
        <v>0</v>
      </c>
      <c r="L4006">
        <f t="shared" si="325"/>
        <v>4000</v>
      </c>
      <c r="M4006" s="71">
        <f t="shared" ca="1" si="326"/>
        <v>0.7679718707923997</v>
      </c>
    </row>
    <row r="4007" spans="1:13" x14ac:dyDescent="0.25">
      <c r="A4007" s="2">
        <v>4001</v>
      </c>
      <c r="B4007" s="11">
        <f t="shared" ca="1" si="322"/>
        <v>1</v>
      </c>
      <c r="C4007" s="26">
        <f t="shared" ca="1" si="321"/>
        <v>0.50301380738037271</v>
      </c>
      <c r="J4007">
        <f t="shared" ca="1" si="323"/>
        <v>1</v>
      </c>
      <c r="K4007">
        <f t="shared" ca="1" si="324"/>
        <v>0</v>
      </c>
      <c r="L4007">
        <f t="shared" si="325"/>
        <v>4001</v>
      </c>
      <c r="M4007" s="71">
        <f t="shared" ca="1" si="326"/>
        <v>0.486454895235786</v>
      </c>
    </row>
    <row r="4008" spans="1:13" x14ac:dyDescent="0.25">
      <c r="A4008" s="2">
        <v>4002</v>
      </c>
      <c r="B4008" s="11">
        <f t="shared" ca="1" si="322"/>
        <v>1</v>
      </c>
      <c r="C4008" s="26">
        <f t="shared" ca="1" si="321"/>
        <v>4.4825569255709352E-2</v>
      </c>
      <c r="J4008">
        <f t="shared" ca="1" si="323"/>
        <v>1</v>
      </c>
      <c r="K4008">
        <f t="shared" ca="1" si="324"/>
        <v>0</v>
      </c>
      <c r="L4008">
        <f t="shared" si="325"/>
        <v>4002</v>
      </c>
      <c r="M4008" s="71">
        <f t="shared" ca="1" si="326"/>
        <v>7.5702509205588573</v>
      </c>
    </row>
    <row r="4009" spans="1:13" x14ac:dyDescent="0.25">
      <c r="A4009" s="2">
        <v>4003</v>
      </c>
      <c r="B4009" s="11">
        <f t="shared" ca="1" si="322"/>
        <v>1</v>
      </c>
      <c r="C4009" s="26">
        <f t="shared" ca="1" si="321"/>
        <v>0.73221543778575338</v>
      </c>
      <c r="J4009">
        <f t="shared" ca="1" si="323"/>
        <v>0</v>
      </c>
      <c r="K4009">
        <f t="shared" ca="1" si="324"/>
        <v>0</v>
      </c>
      <c r="L4009">
        <f t="shared" si="325"/>
        <v>4003</v>
      </c>
      <c r="M4009" s="71">
        <f t="shared" ca="1" si="326"/>
        <v>1.6145319533475178</v>
      </c>
    </row>
    <row r="4010" spans="1:13" x14ac:dyDescent="0.25">
      <c r="A4010" s="2">
        <v>4004</v>
      </c>
      <c r="B4010" s="11">
        <f t="shared" ca="1" si="322"/>
        <v>0</v>
      </c>
      <c r="C4010" s="26">
        <f t="shared" ca="1" si="321"/>
        <v>0.99278322975736388</v>
      </c>
      <c r="J4010">
        <f t="shared" ca="1" si="323"/>
        <v>0</v>
      </c>
      <c r="K4010">
        <f t="shared" ca="1" si="324"/>
        <v>0</v>
      </c>
      <c r="L4010">
        <f t="shared" si="325"/>
        <v>4004</v>
      </c>
      <c r="M4010" s="71">
        <f t="shared" ca="1" si="326"/>
        <v>0</v>
      </c>
    </row>
    <row r="4011" spans="1:13" x14ac:dyDescent="0.25">
      <c r="A4011" s="2">
        <v>4005</v>
      </c>
      <c r="B4011" s="11">
        <f t="shared" ca="1" si="322"/>
        <v>1</v>
      </c>
      <c r="C4011" s="26">
        <f t="shared" ca="1" si="321"/>
        <v>0.63841014578456845</v>
      </c>
      <c r="J4011">
        <f t="shared" ca="1" si="323"/>
        <v>1</v>
      </c>
      <c r="K4011">
        <f t="shared" ca="1" si="324"/>
        <v>0</v>
      </c>
      <c r="L4011">
        <f t="shared" si="325"/>
        <v>4005</v>
      </c>
      <c r="M4011" s="71">
        <f t="shared" ca="1" si="326"/>
        <v>1.2899475033628676</v>
      </c>
    </row>
    <row r="4012" spans="1:13" x14ac:dyDescent="0.25">
      <c r="A4012" s="2">
        <v>4006</v>
      </c>
      <c r="B4012" s="11">
        <f t="shared" ca="1" si="322"/>
        <v>1</v>
      </c>
      <c r="C4012" s="26">
        <f t="shared" ca="1" si="321"/>
        <v>0.17867975758616605</v>
      </c>
      <c r="J4012">
        <f t="shared" ca="1" si="323"/>
        <v>1</v>
      </c>
      <c r="K4012">
        <f t="shared" ca="1" si="324"/>
        <v>0</v>
      </c>
      <c r="L4012">
        <f t="shared" si="325"/>
        <v>4006</v>
      </c>
      <c r="M4012" s="71">
        <f t="shared" ca="1" si="326"/>
        <v>2.9662567978718481</v>
      </c>
    </row>
    <row r="4013" spans="1:13" x14ac:dyDescent="0.25">
      <c r="A4013" s="2">
        <v>4007</v>
      </c>
      <c r="B4013" s="11">
        <f t="shared" ca="1" si="322"/>
        <v>1</v>
      </c>
      <c r="C4013" s="26">
        <f t="shared" ca="1" si="321"/>
        <v>4.0510589556677523E-2</v>
      </c>
      <c r="J4013">
        <f t="shared" ca="1" si="323"/>
        <v>0</v>
      </c>
      <c r="K4013">
        <f t="shared" ca="1" si="324"/>
        <v>0</v>
      </c>
      <c r="L4013">
        <f t="shared" si="325"/>
        <v>4007</v>
      </c>
      <c r="M4013" s="71">
        <f t="shared" ca="1" si="326"/>
        <v>2.5926681753555618</v>
      </c>
    </row>
    <row r="4014" spans="1:13" x14ac:dyDescent="0.25">
      <c r="A4014" s="2">
        <v>4008</v>
      </c>
      <c r="B4014" s="11">
        <f t="shared" ca="1" si="322"/>
        <v>0</v>
      </c>
      <c r="C4014" s="26">
        <f t="shared" ca="1" si="321"/>
        <v>0.8757494738264664</v>
      </c>
      <c r="J4014">
        <f t="shared" ca="1" si="323"/>
        <v>0</v>
      </c>
      <c r="K4014">
        <f t="shared" ca="1" si="324"/>
        <v>0</v>
      </c>
      <c r="L4014">
        <f t="shared" si="325"/>
        <v>4008</v>
      </c>
      <c r="M4014" s="71">
        <f t="shared" ca="1" si="326"/>
        <v>0</v>
      </c>
    </row>
    <row r="4015" spans="1:13" x14ac:dyDescent="0.25">
      <c r="A4015" s="2">
        <v>4009</v>
      </c>
      <c r="B4015" s="11">
        <f t="shared" ca="1" si="322"/>
        <v>1</v>
      </c>
      <c r="C4015" s="26">
        <f t="shared" ca="1" si="321"/>
        <v>0.50176120958429338</v>
      </c>
      <c r="J4015">
        <f t="shared" ca="1" si="323"/>
        <v>1</v>
      </c>
      <c r="K4015">
        <f t="shared" ca="1" si="324"/>
        <v>0</v>
      </c>
      <c r="L4015">
        <f t="shared" si="325"/>
        <v>4009</v>
      </c>
      <c r="M4015" s="71">
        <f t="shared" ca="1" si="326"/>
        <v>0.79263016815593534</v>
      </c>
    </row>
    <row r="4016" spans="1:13" x14ac:dyDescent="0.25">
      <c r="A4016" s="2">
        <v>4010</v>
      </c>
      <c r="B4016" s="11">
        <f t="shared" ca="1" si="322"/>
        <v>1</v>
      </c>
      <c r="C4016" s="26">
        <f t="shared" ca="1" si="321"/>
        <v>0.41484146536805222</v>
      </c>
      <c r="J4016">
        <f t="shared" ca="1" si="323"/>
        <v>1</v>
      </c>
      <c r="K4016">
        <f t="shared" ca="1" si="324"/>
        <v>0</v>
      </c>
      <c r="L4016">
        <f t="shared" si="325"/>
        <v>4010</v>
      </c>
      <c r="M4016" s="71">
        <f t="shared" ca="1" si="326"/>
        <v>1.323732169848493</v>
      </c>
    </row>
    <row r="4017" spans="1:13" x14ac:dyDescent="0.25">
      <c r="A4017" s="2">
        <v>4011</v>
      </c>
      <c r="B4017" s="11">
        <f t="shared" ca="1" si="322"/>
        <v>1</v>
      </c>
      <c r="C4017" s="26">
        <f t="shared" ca="1" si="321"/>
        <v>0.52355902218915873</v>
      </c>
      <c r="J4017">
        <f t="shared" ca="1" si="323"/>
        <v>1</v>
      </c>
      <c r="K4017">
        <f t="shared" ca="1" si="324"/>
        <v>0</v>
      </c>
      <c r="L4017">
        <f t="shared" si="325"/>
        <v>4011</v>
      </c>
      <c r="M4017" s="71">
        <f t="shared" ca="1" si="326"/>
        <v>4.7065797268922571</v>
      </c>
    </row>
    <row r="4018" spans="1:13" x14ac:dyDescent="0.25">
      <c r="A4018" s="2">
        <v>4012</v>
      </c>
      <c r="B4018" s="11">
        <f t="shared" ca="1" si="322"/>
        <v>1</v>
      </c>
      <c r="C4018" s="26">
        <f t="shared" ca="1" si="321"/>
        <v>0.35325380114656402</v>
      </c>
      <c r="J4018">
        <f t="shared" ca="1" si="323"/>
        <v>0</v>
      </c>
      <c r="K4018">
        <f t="shared" ca="1" si="324"/>
        <v>0</v>
      </c>
      <c r="L4018">
        <f t="shared" si="325"/>
        <v>4012</v>
      </c>
      <c r="M4018" s="71">
        <f t="shared" ca="1" si="326"/>
        <v>7.4322005749107518</v>
      </c>
    </row>
    <row r="4019" spans="1:13" x14ac:dyDescent="0.25">
      <c r="A4019" s="2">
        <v>4013</v>
      </c>
      <c r="B4019" s="11">
        <f t="shared" ca="1" si="322"/>
        <v>0</v>
      </c>
      <c r="C4019" s="26">
        <f t="shared" ca="1" si="321"/>
        <v>0.81197673713229579</v>
      </c>
      <c r="J4019">
        <f t="shared" ca="1" si="323"/>
        <v>0</v>
      </c>
      <c r="K4019">
        <f t="shared" ca="1" si="324"/>
        <v>1</v>
      </c>
      <c r="L4019">
        <f t="shared" si="325"/>
        <v>4013</v>
      </c>
      <c r="M4019" s="71">
        <f t="shared" ca="1" si="326"/>
        <v>0</v>
      </c>
    </row>
    <row r="4020" spans="1:13" x14ac:dyDescent="0.25">
      <c r="A4020" s="2">
        <v>4014</v>
      </c>
      <c r="B4020" s="11">
        <f t="shared" ca="1" si="322"/>
        <v>0</v>
      </c>
      <c r="C4020" s="26">
        <f t="shared" ca="1" si="321"/>
        <v>0.91096179899865015</v>
      </c>
      <c r="J4020">
        <f t="shared" ca="1" si="323"/>
        <v>0</v>
      </c>
      <c r="K4020">
        <f t="shared" ca="1" si="324"/>
        <v>0</v>
      </c>
      <c r="L4020">
        <f t="shared" si="325"/>
        <v>4014</v>
      </c>
      <c r="M4020" s="71">
        <f t="shared" ca="1" si="326"/>
        <v>0</v>
      </c>
    </row>
    <row r="4021" spans="1:13" x14ac:dyDescent="0.25">
      <c r="A4021" s="2">
        <v>4015</v>
      </c>
      <c r="B4021" s="11">
        <f t="shared" ca="1" si="322"/>
        <v>1</v>
      </c>
      <c r="C4021" s="26">
        <f t="shared" ca="1" si="321"/>
        <v>0.63865224382802788</v>
      </c>
      <c r="J4021">
        <f t="shared" ca="1" si="323"/>
        <v>1</v>
      </c>
      <c r="K4021">
        <f t="shared" ca="1" si="324"/>
        <v>0</v>
      </c>
      <c r="L4021">
        <f t="shared" si="325"/>
        <v>4015</v>
      </c>
      <c r="M4021" s="71">
        <f t="shared" ca="1" si="326"/>
        <v>3.2806355031525887</v>
      </c>
    </row>
    <row r="4022" spans="1:13" x14ac:dyDescent="0.25">
      <c r="A4022" s="2">
        <v>4016</v>
      </c>
      <c r="B4022" s="11">
        <f t="shared" ca="1" si="322"/>
        <v>1</v>
      </c>
      <c r="C4022" s="26">
        <f t="shared" ca="1" si="321"/>
        <v>0.15319468632762145</v>
      </c>
      <c r="J4022">
        <f t="shared" ca="1" si="323"/>
        <v>1</v>
      </c>
      <c r="K4022">
        <f t="shared" ca="1" si="324"/>
        <v>0</v>
      </c>
      <c r="L4022">
        <f t="shared" si="325"/>
        <v>4016</v>
      </c>
      <c r="M4022" s="71">
        <f t="shared" ca="1" si="326"/>
        <v>2.1180503393213006</v>
      </c>
    </row>
    <row r="4023" spans="1:13" x14ac:dyDescent="0.25">
      <c r="A4023" s="2">
        <v>4017</v>
      </c>
      <c r="B4023" s="11">
        <f t="shared" ca="1" si="322"/>
        <v>1</v>
      </c>
      <c r="C4023" s="26">
        <f t="shared" ca="1" si="321"/>
        <v>0.17273602724643045</v>
      </c>
      <c r="J4023">
        <f t="shared" ca="1" si="323"/>
        <v>0</v>
      </c>
      <c r="K4023">
        <f t="shared" ca="1" si="324"/>
        <v>0</v>
      </c>
      <c r="L4023">
        <f t="shared" si="325"/>
        <v>4017</v>
      </c>
      <c r="M4023" s="71">
        <f t="shared" ca="1" si="326"/>
        <v>2.2131254145661408</v>
      </c>
    </row>
    <row r="4024" spans="1:13" x14ac:dyDescent="0.25">
      <c r="A4024" s="2">
        <v>4018</v>
      </c>
      <c r="B4024" s="11">
        <f t="shared" ca="1" si="322"/>
        <v>0</v>
      </c>
      <c r="C4024" s="26">
        <f t="shared" ca="1" si="321"/>
        <v>0.81594369936479483</v>
      </c>
      <c r="J4024">
        <f t="shared" ca="1" si="323"/>
        <v>0</v>
      </c>
      <c r="K4024">
        <f t="shared" ca="1" si="324"/>
        <v>0</v>
      </c>
      <c r="L4024">
        <f t="shared" si="325"/>
        <v>4018</v>
      </c>
      <c r="M4024" s="71">
        <f t="shared" ca="1" si="326"/>
        <v>0</v>
      </c>
    </row>
    <row r="4025" spans="1:13" x14ac:dyDescent="0.25">
      <c r="A4025" s="2">
        <v>4019</v>
      </c>
      <c r="B4025" s="11">
        <f t="shared" ca="1" si="322"/>
        <v>1</v>
      </c>
      <c r="C4025" s="26">
        <f t="shared" ca="1" si="321"/>
        <v>6.8048143359251134E-2</v>
      </c>
      <c r="J4025">
        <f t="shared" ca="1" si="323"/>
        <v>0</v>
      </c>
      <c r="K4025">
        <f t="shared" ca="1" si="324"/>
        <v>0</v>
      </c>
      <c r="L4025">
        <f t="shared" si="325"/>
        <v>4019</v>
      </c>
      <c r="M4025" s="71">
        <f t="shared" ca="1" si="326"/>
        <v>0.63388625045581026</v>
      </c>
    </row>
    <row r="4026" spans="1:13" x14ac:dyDescent="0.25">
      <c r="A4026" s="2">
        <v>4020</v>
      </c>
      <c r="B4026" s="11">
        <f t="shared" ca="1" si="322"/>
        <v>0</v>
      </c>
      <c r="C4026" s="26">
        <f t="shared" ca="1" si="321"/>
        <v>0.85026193139017903</v>
      </c>
      <c r="J4026">
        <f t="shared" ca="1" si="323"/>
        <v>0</v>
      </c>
      <c r="K4026">
        <f t="shared" ca="1" si="324"/>
        <v>0</v>
      </c>
      <c r="L4026">
        <f t="shared" si="325"/>
        <v>4020</v>
      </c>
      <c r="M4026" s="71">
        <f t="shared" ca="1" si="326"/>
        <v>0</v>
      </c>
    </row>
    <row r="4027" spans="1:13" x14ac:dyDescent="0.25">
      <c r="A4027" s="2">
        <v>4021</v>
      </c>
      <c r="B4027" s="11">
        <f t="shared" ca="1" si="322"/>
        <v>1</v>
      </c>
      <c r="C4027" s="26">
        <f t="shared" ca="1" si="321"/>
        <v>2.7477059116082447E-2</v>
      </c>
      <c r="J4027">
        <f t="shared" ca="1" si="323"/>
        <v>1</v>
      </c>
      <c r="K4027">
        <f t="shared" ca="1" si="324"/>
        <v>0</v>
      </c>
      <c r="L4027">
        <f t="shared" si="325"/>
        <v>4021</v>
      </c>
      <c r="M4027" s="71">
        <f t="shared" ca="1" si="326"/>
        <v>0.39609415219439592</v>
      </c>
    </row>
    <row r="4028" spans="1:13" x14ac:dyDescent="0.25">
      <c r="A4028" s="2">
        <v>4022</v>
      </c>
      <c r="B4028" s="11">
        <f t="shared" ca="1" si="322"/>
        <v>1</v>
      </c>
      <c r="C4028" s="26">
        <f t="shared" ca="1" si="321"/>
        <v>0.67463046468661059</v>
      </c>
      <c r="J4028">
        <f t="shared" ca="1" si="323"/>
        <v>1</v>
      </c>
      <c r="K4028">
        <f t="shared" ca="1" si="324"/>
        <v>0</v>
      </c>
      <c r="L4028">
        <f t="shared" si="325"/>
        <v>4022</v>
      </c>
      <c r="M4028" s="71">
        <f t="shared" ca="1" si="326"/>
        <v>2.8005304951997152</v>
      </c>
    </row>
    <row r="4029" spans="1:13" x14ac:dyDescent="0.25">
      <c r="A4029" s="2">
        <v>4023</v>
      </c>
      <c r="B4029" s="11">
        <f t="shared" ca="1" si="322"/>
        <v>1</v>
      </c>
      <c r="C4029" s="26">
        <f t="shared" ca="1" si="321"/>
        <v>0.61810723068380125</v>
      </c>
      <c r="J4029">
        <f t="shared" ca="1" si="323"/>
        <v>0</v>
      </c>
      <c r="K4029">
        <f t="shared" ca="1" si="324"/>
        <v>0</v>
      </c>
      <c r="L4029">
        <f t="shared" si="325"/>
        <v>4023</v>
      </c>
      <c r="M4029" s="71">
        <f t="shared" ca="1" si="326"/>
        <v>1.3108562834534554</v>
      </c>
    </row>
    <row r="4030" spans="1:13" x14ac:dyDescent="0.25">
      <c r="A4030" s="2">
        <v>4024</v>
      </c>
      <c r="B4030" s="11">
        <f t="shared" ca="1" si="322"/>
        <v>0</v>
      </c>
      <c r="C4030" s="26">
        <f t="shared" ca="1" si="321"/>
        <v>0.91827156161299406</v>
      </c>
      <c r="J4030">
        <f t="shared" ca="1" si="323"/>
        <v>0</v>
      </c>
      <c r="K4030">
        <f t="shared" ca="1" si="324"/>
        <v>0</v>
      </c>
      <c r="L4030">
        <f t="shared" si="325"/>
        <v>4024</v>
      </c>
      <c r="M4030" s="71">
        <f t="shared" ca="1" si="326"/>
        <v>0</v>
      </c>
    </row>
    <row r="4031" spans="1:13" x14ac:dyDescent="0.25">
      <c r="A4031" s="2">
        <v>4025</v>
      </c>
      <c r="B4031" s="11">
        <f t="shared" ca="1" si="322"/>
        <v>1</v>
      </c>
      <c r="C4031" s="26">
        <f t="shared" ca="1" si="321"/>
        <v>0.3167421822111538</v>
      </c>
      <c r="J4031">
        <f t="shared" ca="1" si="323"/>
        <v>1</v>
      </c>
      <c r="K4031">
        <f t="shared" ca="1" si="324"/>
        <v>0</v>
      </c>
      <c r="L4031">
        <f t="shared" si="325"/>
        <v>4025</v>
      </c>
      <c r="M4031" s="71">
        <f t="shared" ca="1" si="326"/>
        <v>3.0002263512058098</v>
      </c>
    </row>
    <row r="4032" spans="1:13" x14ac:dyDescent="0.25">
      <c r="A4032" s="2">
        <v>4026</v>
      </c>
      <c r="B4032" s="11">
        <f t="shared" ca="1" si="322"/>
        <v>1</v>
      </c>
      <c r="C4032" s="26">
        <f t="shared" ca="1" si="321"/>
        <v>0.77314004076519993</v>
      </c>
      <c r="J4032">
        <f t="shared" ca="1" si="323"/>
        <v>1</v>
      </c>
      <c r="K4032">
        <f t="shared" ca="1" si="324"/>
        <v>0</v>
      </c>
      <c r="L4032">
        <f t="shared" si="325"/>
        <v>4026</v>
      </c>
      <c r="M4032" s="71">
        <f t="shared" ca="1" si="326"/>
        <v>2.7837221490311581</v>
      </c>
    </row>
    <row r="4033" spans="1:13" x14ac:dyDescent="0.25">
      <c r="A4033" s="2">
        <v>4027</v>
      </c>
      <c r="B4033" s="11">
        <f t="shared" ca="1" si="322"/>
        <v>1</v>
      </c>
      <c r="C4033" s="26">
        <f t="shared" ca="1" si="321"/>
        <v>0.77522452567311628</v>
      </c>
      <c r="J4033">
        <f t="shared" ca="1" si="323"/>
        <v>1</v>
      </c>
      <c r="K4033">
        <f t="shared" ca="1" si="324"/>
        <v>0</v>
      </c>
      <c r="L4033">
        <f t="shared" si="325"/>
        <v>4027</v>
      </c>
      <c r="M4033" s="71">
        <f t="shared" ca="1" si="326"/>
        <v>5.0142767009920401</v>
      </c>
    </row>
    <row r="4034" spans="1:13" x14ac:dyDescent="0.25">
      <c r="A4034" s="2">
        <v>4028</v>
      </c>
      <c r="B4034" s="11">
        <f t="shared" ca="1" si="322"/>
        <v>1</v>
      </c>
      <c r="C4034" s="26">
        <f t="shared" ca="1" si="321"/>
        <v>0.73718021496794706</v>
      </c>
      <c r="J4034">
        <f t="shared" ca="1" si="323"/>
        <v>1</v>
      </c>
      <c r="K4034">
        <f t="shared" ca="1" si="324"/>
        <v>0</v>
      </c>
      <c r="L4034">
        <f t="shared" si="325"/>
        <v>4028</v>
      </c>
      <c r="M4034" s="71">
        <f t="shared" ca="1" si="326"/>
        <v>10.71361753874986</v>
      </c>
    </row>
    <row r="4035" spans="1:13" x14ac:dyDescent="0.25">
      <c r="A4035" s="2">
        <v>4029</v>
      </c>
      <c r="B4035" s="11">
        <f t="shared" ca="1" si="322"/>
        <v>1</v>
      </c>
      <c r="C4035" s="26">
        <f t="shared" ca="1" si="321"/>
        <v>3.7308252497876282E-3</v>
      </c>
      <c r="J4035">
        <f t="shared" ca="1" si="323"/>
        <v>1</v>
      </c>
      <c r="K4035">
        <f t="shared" ca="1" si="324"/>
        <v>0</v>
      </c>
      <c r="L4035">
        <f t="shared" si="325"/>
        <v>4029</v>
      </c>
      <c r="M4035" s="71">
        <f t="shared" ca="1" si="326"/>
        <v>4.3891137145106809</v>
      </c>
    </row>
    <row r="4036" spans="1:13" x14ac:dyDescent="0.25">
      <c r="A4036" s="2">
        <v>4030</v>
      </c>
      <c r="B4036" s="11">
        <f t="shared" ca="1" si="322"/>
        <v>1</v>
      </c>
      <c r="C4036" s="26">
        <f t="shared" ca="1" si="321"/>
        <v>0.63785035902134823</v>
      </c>
      <c r="J4036">
        <f t="shared" ca="1" si="323"/>
        <v>1</v>
      </c>
      <c r="K4036">
        <f t="shared" ca="1" si="324"/>
        <v>0</v>
      </c>
      <c r="L4036">
        <f t="shared" si="325"/>
        <v>4030</v>
      </c>
      <c r="M4036" s="71">
        <f t="shared" ca="1" si="326"/>
        <v>0.55339836531863507</v>
      </c>
    </row>
    <row r="4037" spans="1:13" x14ac:dyDescent="0.25">
      <c r="A4037" s="2">
        <v>4031</v>
      </c>
      <c r="B4037" s="11">
        <f t="shared" ca="1" si="322"/>
        <v>1</v>
      </c>
      <c r="C4037" s="26">
        <f t="shared" ca="1" si="321"/>
        <v>0.41117108927164414</v>
      </c>
      <c r="J4037">
        <f t="shared" ca="1" si="323"/>
        <v>1</v>
      </c>
      <c r="K4037">
        <f t="shared" ca="1" si="324"/>
        <v>0</v>
      </c>
      <c r="L4037">
        <f t="shared" si="325"/>
        <v>4031</v>
      </c>
      <c r="M4037" s="71">
        <f t="shared" ca="1" si="326"/>
        <v>0.93355700201945557</v>
      </c>
    </row>
    <row r="4038" spans="1:13" x14ac:dyDescent="0.25">
      <c r="A4038" s="2">
        <v>4032</v>
      </c>
      <c r="B4038" s="11">
        <f t="shared" ca="1" si="322"/>
        <v>1</v>
      </c>
      <c r="C4038" s="26">
        <f t="shared" ca="1" si="321"/>
        <v>0.47124825704344886</v>
      </c>
      <c r="J4038">
        <f t="shared" ca="1" si="323"/>
        <v>1</v>
      </c>
      <c r="K4038">
        <f t="shared" ca="1" si="324"/>
        <v>0</v>
      </c>
      <c r="L4038">
        <f t="shared" si="325"/>
        <v>4032</v>
      </c>
      <c r="M4038" s="71">
        <f t="shared" ca="1" si="326"/>
        <v>3.2076404294985981</v>
      </c>
    </row>
    <row r="4039" spans="1:13" x14ac:dyDescent="0.25">
      <c r="A4039" s="2">
        <v>4033</v>
      </c>
      <c r="B4039" s="11">
        <f t="shared" ca="1" si="322"/>
        <v>1</v>
      </c>
      <c r="C4039" s="26">
        <f t="shared" ca="1" si="321"/>
        <v>0.20681222950131517</v>
      </c>
      <c r="J4039">
        <f t="shared" ca="1" si="323"/>
        <v>0</v>
      </c>
      <c r="K4039">
        <f t="shared" ca="1" si="324"/>
        <v>0</v>
      </c>
      <c r="L4039">
        <f t="shared" si="325"/>
        <v>4033</v>
      </c>
      <c r="M4039" s="71">
        <f t="shared" ca="1" si="326"/>
        <v>1.8362914783470401</v>
      </c>
    </row>
    <row r="4040" spans="1:13" x14ac:dyDescent="0.25">
      <c r="A4040" s="2">
        <v>4034</v>
      </c>
      <c r="B4040" s="11">
        <f t="shared" ca="1" si="322"/>
        <v>0</v>
      </c>
      <c r="C4040" s="26">
        <f t="shared" ref="C4040:C4103" ca="1" si="327">RAND()</f>
        <v>0.87373844150974056</v>
      </c>
      <c r="J4040">
        <f t="shared" ca="1" si="323"/>
        <v>0</v>
      </c>
      <c r="K4040">
        <f t="shared" ca="1" si="324"/>
        <v>0</v>
      </c>
      <c r="L4040">
        <f t="shared" si="325"/>
        <v>4034</v>
      </c>
      <c r="M4040" s="71">
        <f t="shared" ca="1" si="326"/>
        <v>0</v>
      </c>
    </row>
    <row r="4041" spans="1:13" x14ac:dyDescent="0.25">
      <c r="A4041" s="2">
        <v>4035</v>
      </c>
      <c r="B4041" s="11">
        <f t="shared" ref="B4041:B4104" ca="1" si="328">IF(B4040&gt;0,IF(C4041&lt;pww,1,0),IF(C4041&lt;pdw,1,0))</f>
        <v>1</v>
      </c>
      <c r="C4041" s="26">
        <f t="shared" ca="1" si="327"/>
        <v>0.64038749344566626</v>
      </c>
      <c r="J4041">
        <f t="shared" ca="1" si="323"/>
        <v>1</v>
      </c>
      <c r="K4041">
        <f t="shared" ca="1" si="324"/>
        <v>0</v>
      </c>
      <c r="L4041">
        <f t="shared" si="325"/>
        <v>4035</v>
      </c>
      <c r="M4041" s="71">
        <f t="shared" ca="1" si="326"/>
        <v>2.299140522103321</v>
      </c>
    </row>
    <row r="4042" spans="1:13" x14ac:dyDescent="0.25">
      <c r="A4042" s="2">
        <v>4036</v>
      </c>
      <c r="B4042" s="11">
        <f t="shared" ca="1" si="328"/>
        <v>1</v>
      </c>
      <c r="C4042" s="26">
        <f t="shared" ca="1" si="327"/>
        <v>0.77219906867223942</v>
      </c>
      <c r="J4042">
        <f t="shared" ref="J4042:J4105" ca="1" si="329">IF(AND(B4042,B4043),1,0)</f>
        <v>1</v>
      </c>
      <c r="K4042">
        <f t="shared" ref="K4042:K4105" ca="1" si="330">IF(AND(NOT(B4042),NOT(B4043)),1,0)</f>
        <v>0</v>
      </c>
      <c r="L4042">
        <f t="shared" ref="L4042:L4105" si="331">L4041+1</f>
        <v>4036</v>
      </c>
      <c r="M4042" s="71">
        <f t="shared" ref="M4042:M4105" ca="1" si="332">IF(B4042&gt;0,-LN(1-(RAND()))/lambda,0)</f>
        <v>2.9044541276625715</v>
      </c>
    </row>
    <row r="4043" spans="1:13" x14ac:dyDescent="0.25">
      <c r="A4043" s="2">
        <v>4037</v>
      </c>
      <c r="B4043" s="11">
        <f t="shared" ca="1" si="328"/>
        <v>1</v>
      </c>
      <c r="C4043" s="26">
        <f t="shared" ca="1" si="327"/>
        <v>0.74391030202918096</v>
      </c>
      <c r="J4043">
        <f t="shared" ca="1" si="329"/>
        <v>1</v>
      </c>
      <c r="K4043">
        <f t="shared" ca="1" si="330"/>
        <v>0</v>
      </c>
      <c r="L4043">
        <f t="shared" si="331"/>
        <v>4037</v>
      </c>
      <c r="M4043" s="71">
        <f t="shared" ca="1" si="332"/>
        <v>4.3208660749613488</v>
      </c>
    </row>
    <row r="4044" spans="1:13" x14ac:dyDescent="0.25">
      <c r="A4044" s="2">
        <v>4038</v>
      </c>
      <c r="B4044" s="11">
        <f t="shared" ca="1" si="328"/>
        <v>1</v>
      </c>
      <c r="C4044" s="26">
        <f t="shared" ca="1" si="327"/>
        <v>0.69839947509226208</v>
      </c>
      <c r="J4044">
        <f t="shared" ca="1" si="329"/>
        <v>1</v>
      </c>
      <c r="K4044">
        <f t="shared" ca="1" si="330"/>
        <v>0</v>
      </c>
      <c r="L4044">
        <f t="shared" si="331"/>
        <v>4038</v>
      </c>
      <c r="M4044" s="71">
        <f t="shared" ca="1" si="332"/>
        <v>2.4647344758583403</v>
      </c>
    </row>
    <row r="4045" spans="1:13" x14ac:dyDescent="0.25">
      <c r="A4045" s="2">
        <v>4039</v>
      </c>
      <c r="B4045" s="11">
        <f t="shared" ca="1" si="328"/>
        <v>1</v>
      </c>
      <c r="C4045" s="26">
        <f t="shared" ca="1" si="327"/>
        <v>0.75782517020588469</v>
      </c>
      <c r="J4045">
        <f t="shared" ca="1" si="329"/>
        <v>1</v>
      </c>
      <c r="K4045">
        <f t="shared" ca="1" si="330"/>
        <v>0</v>
      </c>
      <c r="L4045">
        <f t="shared" si="331"/>
        <v>4039</v>
      </c>
      <c r="M4045" s="71">
        <f t="shared" ca="1" si="332"/>
        <v>7.176685543530283</v>
      </c>
    </row>
    <row r="4046" spans="1:13" x14ac:dyDescent="0.25">
      <c r="A4046" s="2">
        <v>4040</v>
      </c>
      <c r="B4046" s="11">
        <f t="shared" ca="1" si="328"/>
        <v>1</v>
      </c>
      <c r="C4046" s="26">
        <f t="shared" ca="1" si="327"/>
        <v>9.2978564219025728E-2</v>
      </c>
      <c r="J4046">
        <f t="shared" ca="1" si="329"/>
        <v>1</v>
      </c>
      <c r="K4046">
        <f t="shared" ca="1" si="330"/>
        <v>0</v>
      </c>
      <c r="L4046">
        <f t="shared" si="331"/>
        <v>4040</v>
      </c>
      <c r="M4046" s="71">
        <f t="shared" ca="1" si="332"/>
        <v>6.2015908004068416</v>
      </c>
    </row>
    <row r="4047" spans="1:13" x14ac:dyDescent="0.25">
      <c r="A4047" s="2">
        <v>4041</v>
      </c>
      <c r="B4047" s="11">
        <f t="shared" ca="1" si="328"/>
        <v>1</v>
      </c>
      <c r="C4047" s="26">
        <f t="shared" ca="1" si="327"/>
        <v>0.43977411152469814</v>
      </c>
      <c r="J4047">
        <f t="shared" ca="1" si="329"/>
        <v>1</v>
      </c>
      <c r="K4047">
        <f t="shared" ca="1" si="330"/>
        <v>0</v>
      </c>
      <c r="L4047">
        <f t="shared" si="331"/>
        <v>4041</v>
      </c>
      <c r="M4047" s="71">
        <f t="shared" ca="1" si="332"/>
        <v>4.2492342192223154</v>
      </c>
    </row>
    <row r="4048" spans="1:13" x14ac:dyDescent="0.25">
      <c r="A4048" s="2">
        <v>4042</v>
      </c>
      <c r="B4048" s="11">
        <f t="shared" ca="1" si="328"/>
        <v>1</v>
      </c>
      <c r="C4048" s="26">
        <f t="shared" ca="1" si="327"/>
        <v>0.18306167324101552</v>
      </c>
      <c r="J4048">
        <f t="shared" ca="1" si="329"/>
        <v>1</v>
      </c>
      <c r="K4048">
        <f t="shared" ca="1" si="330"/>
        <v>0</v>
      </c>
      <c r="L4048">
        <f t="shared" si="331"/>
        <v>4042</v>
      </c>
      <c r="M4048" s="71">
        <f t="shared" ca="1" si="332"/>
        <v>0.79043484720427426</v>
      </c>
    </row>
    <row r="4049" spans="1:13" x14ac:dyDescent="0.25">
      <c r="A4049" s="2">
        <v>4043</v>
      </c>
      <c r="B4049" s="11">
        <f t="shared" ca="1" si="328"/>
        <v>1</v>
      </c>
      <c r="C4049" s="26">
        <f t="shared" ca="1" si="327"/>
        <v>0.44191761181978251</v>
      </c>
      <c r="J4049">
        <f t="shared" ca="1" si="329"/>
        <v>0</v>
      </c>
      <c r="K4049">
        <f t="shared" ca="1" si="330"/>
        <v>0</v>
      </c>
      <c r="L4049">
        <f t="shared" si="331"/>
        <v>4043</v>
      </c>
      <c r="M4049" s="71">
        <f t="shared" ca="1" si="332"/>
        <v>4.972811537649565</v>
      </c>
    </row>
    <row r="4050" spans="1:13" x14ac:dyDescent="0.25">
      <c r="A4050" s="2">
        <v>4044</v>
      </c>
      <c r="B4050" s="11">
        <f t="shared" ca="1" si="328"/>
        <v>0</v>
      </c>
      <c r="C4050" s="26">
        <f t="shared" ca="1" si="327"/>
        <v>0.88431299389030338</v>
      </c>
      <c r="J4050">
        <f t="shared" ca="1" si="329"/>
        <v>0</v>
      </c>
      <c r="K4050">
        <f t="shared" ca="1" si="330"/>
        <v>0</v>
      </c>
      <c r="L4050">
        <f t="shared" si="331"/>
        <v>4044</v>
      </c>
      <c r="M4050" s="71">
        <f t="shared" ca="1" si="332"/>
        <v>0</v>
      </c>
    </row>
    <row r="4051" spans="1:13" x14ac:dyDescent="0.25">
      <c r="A4051" s="2">
        <v>4045</v>
      </c>
      <c r="B4051" s="11">
        <f t="shared" ca="1" si="328"/>
        <v>1</v>
      </c>
      <c r="C4051" s="26">
        <f t="shared" ca="1" si="327"/>
        <v>0.46641946044844973</v>
      </c>
      <c r="J4051">
        <f t="shared" ca="1" si="329"/>
        <v>1</v>
      </c>
      <c r="K4051">
        <f t="shared" ca="1" si="330"/>
        <v>0</v>
      </c>
      <c r="L4051">
        <f t="shared" si="331"/>
        <v>4045</v>
      </c>
      <c r="M4051" s="71">
        <f t="shared" ca="1" si="332"/>
        <v>2.7303544186682678</v>
      </c>
    </row>
    <row r="4052" spans="1:13" x14ac:dyDescent="0.25">
      <c r="A4052" s="2">
        <v>4046</v>
      </c>
      <c r="B4052" s="11">
        <f t="shared" ca="1" si="328"/>
        <v>1</v>
      </c>
      <c r="C4052" s="26">
        <f t="shared" ca="1" si="327"/>
        <v>0.4799640550108476</v>
      </c>
      <c r="J4052">
        <f t="shared" ca="1" si="329"/>
        <v>1</v>
      </c>
      <c r="K4052">
        <f t="shared" ca="1" si="330"/>
        <v>0</v>
      </c>
      <c r="L4052">
        <f t="shared" si="331"/>
        <v>4046</v>
      </c>
      <c r="M4052" s="71">
        <f t="shared" ca="1" si="332"/>
        <v>0.69527908794600879</v>
      </c>
    </row>
    <row r="4053" spans="1:13" x14ac:dyDescent="0.25">
      <c r="A4053" s="2">
        <v>4047</v>
      </c>
      <c r="B4053" s="11">
        <f t="shared" ca="1" si="328"/>
        <v>1</v>
      </c>
      <c r="C4053" s="26">
        <f t="shared" ca="1" si="327"/>
        <v>0.67677985067940682</v>
      </c>
      <c r="J4053">
        <f t="shared" ca="1" si="329"/>
        <v>1</v>
      </c>
      <c r="K4053">
        <f t="shared" ca="1" si="330"/>
        <v>0</v>
      </c>
      <c r="L4053">
        <f t="shared" si="331"/>
        <v>4047</v>
      </c>
      <c r="M4053" s="71">
        <f t="shared" ca="1" si="332"/>
        <v>0.78025217466829311</v>
      </c>
    </row>
    <row r="4054" spans="1:13" x14ac:dyDescent="0.25">
      <c r="A4054" s="2">
        <v>4048</v>
      </c>
      <c r="B4054" s="11">
        <f t="shared" ca="1" si="328"/>
        <v>1</v>
      </c>
      <c r="C4054" s="26">
        <f t="shared" ca="1" si="327"/>
        <v>3.7998415769739058E-2</v>
      </c>
      <c r="J4054">
        <f t="shared" ca="1" si="329"/>
        <v>1</v>
      </c>
      <c r="K4054">
        <f t="shared" ca="1" si="330"/>
        <v>0</v>
      </c>
      <c r="L4054">
        <f t="shared" si="331"/>
        <v>4048</v>
      </c>
      <c r="M4054" s="71">
        <f t="shared" ca="1" si="332"/>
        <v>2.5176999787498824</v>
      </c>
    </row>
    <row r="4055" spans="1:13" x14ac:dyDescent="0.25">
      <c r="A4055" s="2">
        <v>4049</v>
      </c>
      <c r="B4055" s="11">
        <f t="shared" ca="1" si="328"/>
        <v>1</v>
      </c>
      <c r="C4055" s="26">
        <f t="shared" ca="1" si="327"/>
        <v>3.1650232495490371E-2</v>
      </c>
      <c r="J4055">
        <f t="shared" ca="1" si="329"/>
        <v>1</v>
      </c>
      <c r="K4055">
        <f t="shared" ca="1" si="330"/>
        <v>0</v>
      </c>
      <c r="L4055">
        <f t="shared" si="331"/>
        <v>4049</v>
      </c>
      <c r="M4055" s="71">
        <f t="shared" ca="1" si="332"/>
        <v>5.0733599519104589</v>
      </c>
    </row>
    <row r="4056" spans="1:13" x14ac:dyDescent="0.25">
      <c r="A4056" s="2">
        <v>4050</v>
      </c>
      <c r="B4056" s="11">
        <f t="shared" ca="1" si="328"/>
        <v>1</v>
      </c>
      <c r="C4056" s="26">
        <f t="shared" ca="1" si="327"/>
        <v>0.76693878816329619</v>
      </c>
      <c r="J4056">
        <f t="shared" ca="1" si="329"/>
        <v>1</v>
      </c>
      <c r="K4056">
        <f t="shared" ca="1" si="330"/>
        <v>0</v>
      </c>
      <c r="L4056">
        <f t="shared" si="331"/>
        <v>4050</v>
      </c>
      <c r="M4056" s="71">
        <f t="shared" ca="1" si="332"/>
        <v>0.57374173641607584</v>
      </c>
    </row>
    <row r="4057" spans="1:13" x14ac:dyDescent="0.25">
      <c r="A4057" s="2">
        <v>4051</v>
      </c>
      <c r="B4057" s="11">
        <f t="shared" ca="1" si="328"/>
        <v>1</v>
      </c>
      <c r="C4057" s="26">
        <f t="shared" ca="1" si="327"/>
        <v>0.17975773987688815</v>
      </c>
      <c r="J4057">
        <f t="shared" ca="1" si="329"/>
        <v>1</v>
      </c>
      <c r="K4057">
        <f t="shared" ca="1" si="330"/>
        <v>0</v>
      </c>
      <c r="L4057">
        <f t="shared" si="331"/>
        <v>4051</v>
      </c>
      <c r="M4057" s="71">
        <f t="shared" ca="1" si="332"/>
        <v>1.7060487761457581</v>
      </c>
    </row>
    <row r="4058" spans="1:13" x14ac:dyDescent="0.25">
      <c r="A4058" s="2">
        <v>4052</v>
      </c>
      <c r="B4058" s="11">
        <f t="shared" ca="1" si="328"/>
        <v>1</v>
      </c>
      <c r="C4058" s="26">
        <f t="shared" ca="1" si="327"/>
        <v>0.43717815827380957</v>
      </c>
      <c r="J4058">
        <f t="shared" ca="1" si="329"/>
        <v>0</v>
      </c>
      <c r="K4058">
        <f t="shared" ca="1" si="330"/>
        <v>0</v>
      </c>
      <c r="L4058">
        <f t="shared" si="331"/>
        <v>4052</v>
      </c>
      <c r="M4058" s="71">
        <f t="shared" ca="1" si="332"/>
        <v>2.339899821581406</v>
      </c>
    </row>
    <row r="4059" spans="1:13" x14ac:dyDescent="0.25">
      <c r="A4059" s="2">
        <v>4053</v>
      </c>
      <c r="B4059" s="11">
        <f t="shared" ca="1" si="328"/>
        <v>0</v>
      </c>
      <c r="C4059" s="26">
        <f t="shared" ca="1" si="327"/>
        <v>0.85255570208569109</v>
      </c>
      <c r="J4059">
        <f t="shared" ca="1" si="329"/>
        <v>0</v>
      </c>
      <c r="K4059">
        <f t="shared" ca="1" si="330"/>
        <v>0</v>
      </c>
      <c r="L4059">
        <f t="shared" si="331"/>
        <v>4053</v>
      </c>
      <c r="M4059" s="71">
        <f t="shared" ca="1" si="332"/>
        <v>0</v>
      </c>
    </row>
    <row r="4060" spans="1:13" x14ac:dyDescent="0.25">
      <c r="A4060" s="2">
        <v>4054</v>
      </c>
      <c r="B4060" s="11">
        <f t="shared" ca="1" si="328"/>
        <v>1</v>
      </c>
      <c r="C4060" s="26">
        <f t="shared" ca="1" si="327"/>
        <v>0.61201803709471092</v>
      </c>
      <c r="J4060">
        <f t="shared" ca="1" si="329"/>
        <v>1</v>
      </c>
      <c r="K4060">
        <f t="shared" ca="1" si="330"/>
        <v>0</v>
      </c>
      <c r="L4060">
        <f t="shared" si="331"/>
        <v>4054</v>
      </c>
      <c r="M4060" s="71">
        <f t="shared" ca="1" si="332"/>
        <v>1.4155977242014479</v>
      </c>
    </row>
    <row r="4061" spans="1:13" x14ac:dyDescent="0.25">
      <c r="A4061" s="2">
        <v>4055</v>
      </c>
      <c r="B4061" s="11">
        <f t="shared" ca="1" si="328"/>
        <v>1</v>
      </c>
      <c r="C4061" s="26">
        <f t="shared" ca="1" si="327"/>
        <v>0.71521408918731089</v>
      </c>
      <c r="J4061">
        <f t="shared" ca="1" si="329"/>
        <v>1</v>
      </c>
      <c r="K4061">
        <f t="shared" ca="1" si="330"/>
        <v>0</v>
      </c>
      <c r="L4061">
        <f t="shared" si="331"/>
        <v>4055</v>
      </c>
      <c r="M4061" s="71">
        <f t="shared" ca="1" si="332"/>
        <v>0.25867256065001487</v>
      </c>
    </row>
    <row r="4062" spans="1:13" x14ac:dyDescent="0.25">
      <c r="A4062" s="2">
        <v>4056</v>
      </c>
      <c r="B4062" s="11">
        <f t="shared" ca="1" si="328"/>
        <v>1</v>
      </c>
      <c r="C4062" s="26">
        <f t="shared" ca="1" si="327"/>
        <v>3.3376384567781692E-2</v>
      </c>
      <c r="J4062">
        <f t="shared" ca="1" si="329"/>
        <v>1</v>
      </c>
      <c r="K4062">
        <f t="shared" ca="1" si="330"/>
        <v>0</v>
      </c>
      <c r="L4062">
        <f t="shared" si="331"/>
        <v>4056</v>
      </c>
      <c r="M4062" s="71">
        <f t="shared" ca="1" si="332"/>
        <v>0.66680353962129291</v>
      </c>
    </row>
    <row r="4063" spans="1:13" x14ac:dyDescent="0.25">
      <c r="A4063" s="2">
        <v>4057</v>
      </c>
      <c r="B4063" s="11">
        <f t="shared" ca="1" si="328"/>
        <v>1</v>
      </c>
      <c r="C4063" s="26">
        <f t="shared" ca="1" si="327"/>
        <v>7.9004759009635217E-2</v>
      </c>
      <c r="J4063">
        <f t="shared" ca="1" si="329"/>
        <v>1</v>
      </c>
      <c r="K4063">
        <f t="shared" ca="1" si="330"/>
        <v>0</v>
      </c>
      <c r="L4063">
        <f t="shared" si="331"/>
        <v>4057</v>
      </c>
      <c r="M4063" s="71">
        <f t="shared" ca="1" si="332"/>
        <v>8.8808843844162446</v>
      </c>
    </row>
    <row r="4064" spans="1:13" x14ac:dyDescent="0.25">
      <c r="A4064" s="2">
        <v>4058</v>
      </c>
      <c r="B4064" s="11">
        <f t="shared" ca="1" si="328"/>
        <v>1</v>
      </c>
      <c r="C4064" s="26">
        <f t="shared" ca="1" si="327"/>
        <v>0.17955097271932896</v>
      </c>
      <c r="J4064">
        <f t="shared" ca="1" si="329"/>
        <v>0</v>
      </c>
      <c r="K4064">
        <f t="shared" ca="1" si="330"/>
        <v>0</v>
      </c>
      <c r="L4064">
        <f t="shared" si="331"/>
        <v>4058</v>
      </c>
      <c r="M4064" s="71">
        <f t="shared" ca="1" si="332"/>
        <v>2.6251411221761218</v>
      </c>
    </row>
    <row r="4065" spans="1:13" x14ac:dyDescent="0.25">
      <c r="A4065" s="2">
        <v>4059</v>
      </c>
      <c r="B4065" s="11">
        <f t="shared" ca="1" si="328"/>
        <v>0</v>
      </c>
      <c r="C4065" s="26">
        <f t="shared" ca="1" si="327"/>
        <v>0.81698029070649658</v>
      </c>
      <c r="J4065">
        <f t="shared" ca="1" si="329"/>
        <v>0</v>
      </c>
      <c r="K4065">
        <f t="shared" ca="1" si="330"/>
        <v>1</v>
      </c>
      <c r="L4065">
        <f t="shared" si="331"/>
        <v>4059</v>
      </c>
      <c r="M4065" s="71">
        <f t="shared" ca="1" si="332"/>
        <v>0</v>
      </c>
    </row>
    <row r="4066" spans="1:13" x14ac:dyDescent="0.25">
      <c r="A4066" s="2">
        <v>4060</v>
      </c>
      <c r="B4066" s="11">
        <f t="shared" ca="1" si="328"/>
        <v>0</v>
      </c>
      <c r="C4066" s="26">
        <f t="shared" ca="1" si="327"/>
        <v>0.90296693701057029</v>
      </c>
      <c r="J4066">
        <f t="shared" ca="1" si="329"/>
        <v>0</v>
      </c>
      <c r="K4066">
        <f t="shared" ca="1" si="330"/>
        <v>0</v>
      </c>
      <c r="L4066">
        <f t="shared" si="331"/>
        <v>4060</v>
      </c>
      <c r="M4066" s="71">
        <f t="shared" ca="1" si="332"/>
        <v>0</v>
      </c>
    </row>
    <row r="4067" spans="1:13" x14ac:dyDescent="0.25">
      <c r="A4067" s="2">
        <v>4061</v>
      </c>
      <c r="B4067" s="11">
        <f t="shared" ca="1" si="328"/>
        <v>1</v>
      </c>
      <c r="C4067" s="26">
        <f t="shared" ca="1" si="327"/>
        <v>0.55269392179224019</v>
      </c>
      <c r="J4067">
        <f t="shared" ca="1" si="329"/>
        <v>0</v>
      </c>
      <c r="K4067">
        <f t="shared" ca="1" si="330"/>
        <v>0</v>
      </c>
      <c r="L4067">
        <f t="shared" si="331"/>
        <v>4061</v>
      </c>
      <c r="M4067" s="71">
        <f t="shared" ca="1" si="332"/>
        <v>4.8390877444058722</v>
      </c>
    </row>
    <row r="4068" spans="1:13" x14ac:dyDescent="0.25">
      <c r="A4068" s="2">
        <v>4062</v>
      </c>
      <c r="B4068" s="11">
        <f t="shared" ca="1" si="328"/>
        <v>0</v>
      </c>
      <c r="C4068" s="26">
        <f t="shared" ca="1" si="327"/>
        <v>0.94246996868844646</v>
      </c>
      <c r="J4068">
        <f t="shared" ca="1" si="329"/>
        <v>0</v>
      </c>
      <c r="K4068">
        <f t="shared" ca="1" si="330"/>
        <v>0</v>
      </c>
      <c r="L4068">
        <f t="shared" si="331"/>
        <v>4062</v>
      </c>
      <c r="M4068" s="71">
        <f t="shared" ca="1" si="332"/>
        <v>0</v>
      </c>
    </row>
    <row r="4069" spans="1:13" x14ac:dyDescent="0.25">
      <c r="A4069" s="2">
        <v>4063</v>
      </c>
      <c r="B4069" s="11">
        <f t="shared" ca="1" si="328"/>
        <v>1</v>
      </c>
      <c r="C4069" s="26">
        <f t="shared" ca="1" si="327"/>
        <v>0.46260504657308876</v>
      </c>
      <c r="J4069">
        <f t="shared" ca="1" si="329"/>
        <v>1</v>
      </c>
      <c r="K4069">
        <f t="shared" ca="1" si="330"/>
        <v>0</v>
      </c>
      <c r="L4069">
        <f t="shared" si="331"/>
        <v>4063</v>
      </c>
      <c r="M4069" s="71">
        <f t="shared" ca="1" si="332"/>
        <v>6.7520620577709725</v>
      </c>
    </row>
    <row r="4070" spans="1:13" x14ac:dyDescent="0.25">
      <c r="A4070" s="2">
        <v>4064</v>
      </c>
      <c r="B4070" s="11">
        <f t="shared" ca="1" si="328"/>
        <v>1</v>
      </c>
      <c r="C4070" s="26">
        <f t="shared" ca="1" si="327"/>
        <v>0.59646292450861516</v>
      </c>
      <c r="J4070">
        <f t="shared" ca="1" si="329"/>
        <v>1</v>
      </c>
      <c r="K4070">
        <f t="shared" ca="1" si="330"/>
        <v>0</v>
      </c>
      <c r="L4070">
        <f t="shared" si="331"/>
        <v>4064</v>
      </c>
      <c r="M4070" s="71">
        <f t="shared" ca="1" si="332"/>
        <v>0.81138516271944494</v>
      </c>
    </row>
    <row r="4071" spans="1:13" x14ac:dyDescent="0.25">
      <c r="A4071" s="2">
        <v>4065</v>
      </c>
      <c r="B4071" s="11">
        <f t="shared" ca="1" si="328"/>
        <v>1</v>
      </c>
      <c r="C4071" s="26">
        <f t="shared" ca="1" si="327"/>
        <v>0.22656834234198142</v>
      </c>
      <c r="J4071">
        <f t="shared" ca="1" si="329"/>
        <v>1</v>
      </c>
      <c r="K4071">
        <f t="shared" ca="1" si="330"/>
        <v>0</v>
      </c>
      <c r="L4071">
        <f t="shared" si="331"/>
        <v>4065</v>
      </c>
      <c r="M4071" s="71">
        <f t="shared" ca="1" si="332"/>
        <v>1.7161162668337242</v>
      </c>
    </row>
    <row r="4072" spans="1:13" x14ac:dyDescent="0.25">
      <c r="A4072" s="2">
        <v>4066</v>
      </c>
      <c r="B4072" s="11">
        <f t="shared" ca="1" si="328"/>
        <v>1</v>
      </c>
      <c r="C4072" s="26">
        <f t="shared" ca="1" si="327"/>
        <v>0.77531235114663954</v>
      </c>
      <c r="J4072">
        <f t="shared" ca="1" si="329"/>
        <v>1</v>
      </c>
      <c r="K4072">
        <f t="shared" ca="1" si="330"/>
        <v>0</v>
      </c>
      <c r="L4072">
        <f t="shared" si="331"/>
        <v>4066</v>
      </c>
      <c r="M4072" s="71">
        <f t="shared" ca="1" si="332"/>
        <v>0.28274500521756429</v>
      </c>
    </row>
    <row r="4073" spans="1:13" x14ac:dyDescent="0.25">
      <c r="A4073" s="2">
        <v>4067</v>
      </c>
      <c r="B4073" s="11">
        <f t="shared" ca="1" si="328"/>
        <v>1</v>
      </c>
      <c r="C4073" s="26">
        <f t="shared" ca="1" si="327"/>
        <v>1.0998982127027546E-2</v>
      </c>
      <c r="J4073">
        <f t="shared" ca="1" si="329"/>
        <v>0</v>
      </c>
      <c r="K4073">
        <f t="shared" ca="1" si="330"/>
        <v>0</v>
      </c>
      <c r="L4073">
        <f t="shared" si="331"/>
        <v>4067</v>
      </c>
      <c r="M4073" s="71">
        <f t="shared" ca="1" si="332"/>
        <v>0.10337890201322099</v>
      </c>
    </row>
    <row r="4074" spans="1:13" x14ac:dyDescent="0.25">
      <c r="A4074" s="2">
        <v>4068</v>
      </c>
      <c r="B4074" s="11">
        <f t="shared" ca="1" si="328"/>
        <v>0</v>
      </c>
      <c r="C4074" s="26">
        <f t="shared" ca="1" si="327"/>
        <v>0.81146010356709519</v>
      </c>
      <c r="J4074">
        <f t="shared" ca="1" si="329"/>
        <v>0</v>
      </c>
      <c r="K4074">
        <f t="shared" ca="1" si="330"/>
        <v>0</v>
      </c>
      <c r="L4074">
        <f t="shared" si="331"/>
        <v>4068</v>
      </c>
      <c r="M4074" s="71">
        <f t="shared" ca="1" si="332"/>
        <v>0</v>
      </c>
    </row>
    <row r="4075" spans="1:13" x14ac:dyDescent="0.25">
      <c r="A4075" s="2">
        <v>4069</v>
      </c>
      <c r="B4075" s="11">
        <f t="shared" ca="1" si="328"/>
        <v>1</v>
      </c>
      <c r="C4075" s="26">
        <f t="shared" ca="1" si="327"/>
        <v>0.6565183088271529</v>
      </c>
      <c r="J4075">
        <f t="shared" ca="1" si="329"/>
        <v>0</v>
      </c>
      <c r="K4075">
        <f t="shared" ca="1" si="330"/>
        <v>0</v>
      </c>
      <c r="L4075">
        <f t="shared" si="331"/>
        <v>4069</v>
      </c>
      <c r="M4075" s="71">
        <f t="shared" ca="1" si="332"/>
        <v>1.707554304773732</v>
      </c>
    </row>
    <row r="4076" spans="1:13" x14ac:dyDescent="0.25">
      <c r="A4076" s="2">
        <v>4070</v>
      </c>
      <c r="B4076" s="11">
        <f t="shared" ca="1" si="328"/>
        <v>0</v>
      </c>
      <c r="C4076" s="26">
        <f t="shared" ca="1" si="327"/>
        <v>0.85255768380008368</v>
      </c>
      <c r="J4076">
        <f t="shared" ca="1" si="329"/>
        <v>0</v>
      </c>
      <c r="K4076">
        <f t="shared" ca="1" si="330"/>
        <v>1</v>
      </c>
      <c r="L4076">
        <f t="shared" si="331"/>
        <v>4070</v>
      </c>
      <c r="M4076" s="71">
        <f t="shared" ca="1" si="332"/>
        <v>0</v>
      </c>
    </row>
    <row r="4077" spans="1:13" x14ac:dyDescent="0.25">
      <c r="A4077" s="2">
        <v>4071</v>
      </c>
      <c r="B4077" s="11">
        <f t="shared" ca="1" si="328"/>
        <v>0</v>
      </c>
      <c r="C4077" s="26">
        <f t="shared" ca="1" si="327"/>
        <v>0.77000737625676996</v>
      </c>
      <c r="J4077">
        <f t="shared" ca="1" si="329"/>
        <v>0</v>
      </c>
      <c r="K4077">
        <f t="shared" ca="1" si="330"/>
        <v>0</v>
      </c>
      <c r="L4077">
        <f t="shared" si="331"/>
        <v>4071</v>
      </c>
      <c r="M4077" s="71">
        <f t="shared" ca="1" si="332"/>
        <v>0</v>
      </c>
    </row>
    <row r="4078" spans="1:13" x14ac:dyDescent="0.25">
      <c r="A4078" s="2">
        <v>4072</v>
      </c>
      <c r="B4078" s="11">
        <f t="shared" ca="1" si="328"/>
        <v>1</v>
      </c>
      <c r="C4078" s="26">
        <f t="shared" ca="1" si="327"/>
        <v>0.6783208570861049</v>
      </c>
      <c r="J4078">
        <f t="shared" ca="1" si="329"/>
        <v>1</v>
      </c>
      <c r="K4078">
        <f t="shared" ca="1" si="330"/>
        <v>0</v>
      </c>
      <c r="L4078">
        <f t="shared" si="331"/>
        <v>4072</v>
      </c>
      <c r="M4078" s="71">
        <f t="shared" ca="1" si="332"/>
        <v>2.537813318637685</v>
      </c>
    </row>
    <row r="4079" spans="1:13" x14ac:dyDescent="0.25">
      <c r="A4079" s="2">
        <v>4073</v>
      </c>
      <c r="B4079" s="11">
        <f t="shared" ca="1" si="328"/>
        <v>1</v>
      </c>
      <c r="C4079" s="26">
        <f t="shared" ca="1" si="327"/>
        <v>0.32043276216511851</v>
      </c>
      <c r="J4079">
        <f t="shared" ca="1" si="329"/>
        <v>1</v>
      </c>
      <c r="K4079">
        <f t="shared" ca="1" si="330"/>
        <v>0</v>
      </c>
      <c r="L4079">
        <f t="shared" si="331"/>
        <v>4073</v>
      </c>
      <c r="M4079" s="71">
        <f t="shared" ca="1" si="332"/>
        <v>5.412904158730993</v>
      </c>
    </row>
    <row r="4080" spans="1:13" x14ac:dyDescent="0.25">
      <c r="A4080" s="2">
        <v>4074</v>
      </c>
      <c r="B4080" s="11">
        <f t="shared" ca="1" si="328"/>
        <v>1</v>
      </c>
      <c r="C4080" s="26">
        <f t="shared" ca="1" si="327"/>
        <v>5.5740692709749018E-2</v>
      </c>
      <c r="J4080">
        <f t="shared" ca="1" si="329"/>
        <v>1</v>
      </c>
      <c r="K4080">
        <f t="shared" ca="1" si="330"/>
        <v>0</v>
      </c>
      <c r="L4080">
        <f t="shared" si="331"/>
        <v>4074</v>
      </c>
      <c r="M4080" s="71">
        <f t="shared" ca="1" si="332"/>
        <v>4.9078440543781277</v>
      </c>
    </row>
    <row r="4081" spans="1:13" x14ac:dyDescent="0.25">
      <c r="A4081" s="2">
        <v>4075</v>
      </c>
      <c r="B4081" s="11">
        <f t="shared" ca="1" si="328"/>
        <v>1</v>
      </c>
      <c r="C4081" s="26">
        <f t="shared" ca="1" si="327"/>
        <v>0.21122604363144959</v>
      </c>
      <c r="J4081">
        <f t="shared" ca="1" si="329"/>
        <v>1</v>
      </c>
      <c r="K4081">
        <f t="shared" ca="1" si="330"/>
        <v>0</v>
      </c>
      <c r="L4081">
        <f t="shared" si="331"/>
        <v>4075</v>
      </c>
      <c r="M4081" s="71">
        <f t="shared" ca="1" si="332"/>
        <v>0.76414243099087409</v>
      </c>
    </row>
    <row r="4082" spans="1:13" x14ac:dyDescent="0.25">
      <c r="A4082" s="2">
        <v>4076</v>
      </c>
      <c r="B4082" s="11">
        <f t="shared" ca="1" si="328"/>
        <v>1</v>
      </c>
      <c r="C4082" s="26">
        <f t="shared" ca="1" si="327"/>
        <v>0.18875904596907556</v>
      </c>
      <c r="J4082">
        <f t="shared" ca="1" si="329"/>
        <v>1</v>
      </c>
      <c r="K4082">
        <f t="shared" ca="1" si="330"/>
        <v>0</v>
      </c>
      <c r="L4082">
        <f t="shared" si="331"/>
        <v>4076</v>
      </c>
      <c r="M4082" s="71">
        <f t="shared" ca="1" si="332"/>
        <v>9.3719842824934894</v>
      </c>
    </row>
    <row r="4083" spans="1:13" x14ac:dyDescent="0.25">
      <c r="A4083" s="2">
        <v>4077</v>
      </c>
      <c r="B4083" s="11">
        <f t="shared" ca="1" si="328"/>
        <v>1</v>
      </c>
      <c r="C4083" s="26">
        <f t="shared" ca="1" si="327"/>
        <v>0.24869697267399693</v>
      </c>
      <c r="J4083">
        <f t="shared" ca="1" si="329"/>
        <v>1</v>
      </c>
      <c r="K4083">
        <f t="shared" ca="1" si="330"/>
        <v>0</v>
      </c>
      <c r="L4083">
        <f t="shared" si="331"/>
        <v>4077</v>
      </c>
      <c r="M4083" s="71">
        <f t="shared" ca="1" si="332"/>
        <v>12.95833680884817</v>
      </c>
    </row>
    <row r="4084" spans="1:13" x14ac:dyDescent="0.25">
      <c r="A4084" s="2">
        <v>4078</v>
      </c>
      <c r="B4084" s="11">
        <f t="shared" ca="1" si="328"/>
        <v>1</v>
      </c>
      <c r="C4084" s="26">
        <f t="shared" ca="1" si="327"/>
        <v>0.13271569855373377</v>
      </c>
      <c r="J4084">
        <f t="shared" ca="1" si="329"/>
        <v>1</v>
      </c>
      <c r="K4084">
        <f t="shared" ca="1" si="330"/>
        <v>0</v>
      </c>
      <c r="L4084">
        <f t="shared" si="331"/>
        <v>4078</v>
      </c>
      <c r="M4084" s="71">
        <f t="shared" ca="1" si="332"/>
        <v>7.17225998509885E-2</v>
      </c>
    </row>
    <row r="4085" spans="1:13" x14ac:dyDescent="0.25">
      <c r="A4085" s="2">
        <v>4079</v>
      </c>
      <c r="B4085" s="11">
        <f t="shared" ca="1" si="328"/>
        <v>1</v>
      </c>
      <c r="C4085" s="26">
        <f t="shared" ca="1" si="327"/>
        <v>0.71918448575924288</v>
      </c>
      <c r="J4085">
        <f t="shared" ca="1" si="329"/>
        <v>1</v>
      </c>
      <c r="K4085">
        <f t="shared" ca="1" si="330"/>
        <v>0</v>
      </c>
      <c r="L4085">
        <f t="shared" si="331"/>
        <v>4079</v>
      </c>
      <c r="M4085" s="71">
        <f t="shared" ca="1" si="332"/>
        <v>2.4203149402993955</v>
      </c>
    </row>
    <row r="4086" spans="1:13" x14ac:dyDescent="0.25">
      <c r="A4086" s="2">
        <v>4080</v>
      </c>
      <c r="B4086" s="11">
        <f t="shared" ca="1" si="328"/>
        <v>1</v>
      </c>
      <c r="C4086" s="26">
        <f t="shared" ca="1" si="327"/>
        <v>0.78052905274353335</v>
      </c>
      <c r="J4086">
        <f t="shared" ca="1" si="329"/>
        <v>1</v>
      </c>
      <c r="K4086">
        <f t="shared" ca="1" si="330"/>
        <v>0</v>
      </c>
      <c r="L4086">
        <f t="shared" si="331"/>
        <v>4080</v>
      </c>
      <c r="M4086" s="71">
        <f t="shared" ca="1" si="332"/>
        <v>2.8948000629215938</v>
      </c>
    </row>
    <row r="4087" spans="1:13" x14ac:dyDescent="0.25">
      <c r="A4087" s="2">
        <v>4081</v>
      </c>
      <c r="B4087" s="11">
        <f t="shared" ca="1" si="328"/>
        <v>1</v>
      </c>
      <c r="C4087" s="26">
        <f t="shared" ca="1" si="327"/>
        <v>3.2061077298891405E-2</v>
      </c>
      <c r="J4087">
        <f t="shared" ca="1" si="329"/>
        <v>1</v>
      </c>
      <c r="K4087">
        <f t="shared" ca="1" si="330"/>
        <v>0</v>
      </c>
      <c r="L4087">
        <f t="shared" si="331"/>
        <v>4081</v>
      </c>
      <c r="M4087" s="71">
        <f t="shared" ca="1" si="332"/>
        <v>0.61569945434221385</v>
      </c>
    </row>
    <row r="4088" spans="1:13" x14ac:dyDescent="0.25">
      <c r="A4088" s="2">
        <v>4082</v>
      </c>
      <c r="B4088" s="11">
        <f t="shared" ca="1" si="328"/>
        <v>1</v>
      </c>
      <c r="C4088" s="26">
        <f t="shared" ca="1" si="327"/>
        <v>0.46961926802899767</v>
      </c>
      <c r="J4088">
        <f t="shared" ca="1" si="329"/>
        <v>0</v>
      </c>
      <c r="K4088">
        <f t="shared" ca="1" si="330"/>
        <v>0</v>
      </c>
      <c r="L4088">
        <f t="shared" si="331"/>
        <v>4082</v>
      </c>
      <c r="M4088" s="71">
        <f t="shared" ca="1" si="332"/>
        <v>0.84643319597238886</v>
      </c>
    </row>
    <row r="4089" spans="1:13" x14ac:dyDescent="0.25">
      <c r="A4089" s="2">
        <v>4083</v>
      </c>
      <c r="B4089" s="11">
        <f t="shared" ca="1" si="328"/>
        <v>0</v>
      </c>
      <c r="C4089" s="26">
        <f t="shared" ca="1" si="327"/>
        <v>0.91858200483780472</v>
      </c>
      <c r="J4089">
        <f t="shared" ca="1" si="329"/>
        <v>0</v>
      </c>
      <c r="K4089">
        <f t="shared" ca="1" si="330"/>
        <v>0</v>
      </c>
      <c r="L4089">
        <f t="shared" si="331"/>
        <v>4083</v>
      </c>
      <c r="M4089" s="71">
        <f t="shared" ca="1" si="332"/>
        <v>0</v>
      </c>
    </row>
    <row r="4090" spans="1:13" x14ac:dyDescent="0.25">
      <c r="A4090" s="2">
        <v>4084</v>
      </c>
      <c r="B4090" s="11">
        <f t="shared" ca="1" si="328"/>
        <v>1</v>
      </c>
      <c r="C4090" s="26">
        <f t="shared" ca="1" si="327"/>
        <v>0.70689019740979653</v>
      </c>
      <c r="J4090">
        <f t="shared" ca="1" si="329"/>
        <v>0</v>
      </c>
      <c r="K4090">
        <f t="shared" ca="1" si="330"/>
        <v>0</v>
      </c>
      <c r="L4090">
        <f t="shared" si="331"/>
        <v>4084</v>
      </c>
      <c r="M4090" s="71">
        <f t="shared" ca="1" si="332"/>
        <v>7.4711881064057295E-2</v>
      </c>
    </row>
    <row r="4091" spans="1:13" x14ac:dyDescent="0.25">
      <c r="A4091" s="2">
        <v>4085</v>
      </c>
      <c r="B4091" s="11">
        <f t="shared" ca="1" si="328"/>
        <v>0</v>
      </c>
      <c r="C4091" s="26">
        <f t="shared" ca="1" si="327"/>
        <v>0.8218268147345118</v>
      </c>
      <c r="J4091">
        <f t="shared" ca="1" si="329"/>
        <v>0</v>
      </c>
      <c r="K4091">
        <f t="shared" ca="1" si="330"/>
        <v>0</v>
      </c>
      <c r="L4091">
        <f t="shared" si="331"/>
        <v>4085</v>
      </c>
      <c r="M4091" s="71">
        <f t="shared" ca="1" si="332"/>
        <v>0</v>
      </c>
    </row>
    <row r="4092" spans="1:13" x14ac:dyDescent="0.25">
      <c r="A4092" s="2">
        <v>4086</v>
      </c>
      <c r="B4092" s="11">
        <f t="shared" ca="1" si="328"/>
        <v>1</v>
      </c>
      <c r="C4092" s="26">
        <f t="shared" ca="1" si="327"/>
        <v>0.39216636350704581</v>
      </c>
      <c r="J4092">
        <f t="shared" ca="1" si="329"/>
        <v>0</v>
      </c>
      <c r="K4092">
        <f t="shared" ca="1" si="330"/>
        <v>0</v>
      </c>
      <c r="L4092">
        <f t="shared" si="331"/>
        <v>4086</v>
      </c>
      <c r="M4092" s="71">
        <f t="shared" ca="1" si="332"/>
        <v>1.0261227668889701</v>
      </c>
    </row>
    <row r="4093" spans="1:13" x14ac:dyDescent="0.25">
      <c r="A4093" s="2">
        <v>4087</v>
      </c>
      <c r="B4093" s="11">
        <f t="shared" ca="1" si="328"/>
        <v>0</v>
      </c>
      <c r="C4093" s="26">
        <f t="shared" ca="1" si="327"/>
        <v>0.90974552961369037</v>
      </c>
      <c r="J4093">
        <f t="shared" ca="1" si="329"/>
        <v>0</v>
      </c>
      <c r="K4093">
        <f t="shared" ca="1" si="330"/>
        <v>1</v>
      </c>
      <c r="L4093">
        <f t="shared" si="331"/>
        <v>4087</v>
      </c>
      <c r="M4093" s="71">
        <f t="shared" ca="1" si="332"/>
        <v>0</v>
      </c>
    </row>
    <row r="4094" spans="1:13" x14ac:dyDescent="0.25">
      <c r="A4094" s="2">
        <v>4088</v>
      </c>
      <c r="B4094" s="11">
        <f t="shared" ca="1" si="328"/>
        <v>0</v>
      </c>
      <c r="C4094" s="26">
        <f t="shared" ca="1" si="327"/>
        <v>0.89451464232918787</v>
      </c>
      <c r="J4094">
        <f t="shared" ca="1" si="329"/>
        <v>0</v>
      </c>
      <c r="K4094">
        <f t="shared" ca="1" si="330"/>
        <v>0</v>
      </c>
      <c r="L4094">
        <f t="shared" si="331"/>
        <v>4088</v>
      </c>
      <c r="M4094" s="71">
        <f t="shared" ca="1" si="332"/>
        <v>0</v>
      </c>
    </row>
    <row r="4095" spans="1:13" x14ac:dyDescent="0.25">
      <c r="A4095" s="2">
        <v>4089</v>
      </c>
      <c r="B4095" s="11">
        <f t="shared" ca="1" si="328"/>
        <v>1</v>
      </c>
      <c r="C4095" s="26">
        <f t="shared" ca="1" si="327"/>
        <v>0.28977609303980245</v>
      </c>
      <c r="J4095">
        <f t="shared" ca="1" si="329"/>
        <v>1</v>
      </c>
      <c r="K4095">
        <f t="shared" ca="1" si="330"/>
        <v>0</v>
      </c>
      <c r="L4095">
        <f t="shared" si="331"/>
        <v>4089</v>
      </c>
      <c r="M4095" s="71">
        <f t="shared" ca="1" si="332"/>
        <v>3.737852717052625</v>
      </c>
    </row>
    <row r="4096" spans="1:13" x14ac:dyDescent="0.25">
      <c r="A4096" s="2">
        <v>4090</v>
      </c>
      <c r="B4096" s="11">
        <f t="shared" ca="1" si="328"/>
        <v>1</v>
      </c>
      <c r="C4096" s="26">
        <f t="shared" ca="1" si="327"/>
        <v>0.54263798342947223</v>
      </c>
      <c r="J4096">
        <f t="shared" ca="1" si="329"/>
        <v>1</v>
      </c>
      <c r="K4096">
        <f t="shared" ca="1" si="330"/>
        <v>0</v>
      </c>
      <c r="L4096">
        <f t="shared" si="331"/>
        <v>4090</v>
      </c>
      <c r="M4096" s="71">
        <f t="shared" ca="1" si="332"/>
        <v>12.724464701621256</v>
      </c>
    </row>
    <row r="4097" spans="1:13" x14ac:dyDescent="0.25">
      <c r="A4097" s="2">
        <v>4091</v>
      </c>
      <c r="B4097" s="11">
        <f t="shared" ca="1" si="328"/>
        <v>1</v>
      </c>
      <c r="C4097" s="26">
        <f t="shared" ca="1" si="327"/>
        <v>0.14885637826334686</v>
      </c>
      <c r="J4097">
        <f t="shared" ca="1" si="329"/>
        <v>1</v>
      </c>
      <c r="K4097">
        <f t="shared" ca="1" si="330"/>
        <v>0</v>
      </c>
      <c r="L4097">
        <f t="shared" si="331"/>
        <v>4091</v>
      </c>
      <c r="M4097" s="71">
        <f t="shared" ca="1" si="332"/>
        <v>0.11417368912594922</v>
      </c>
    </row>
    <row r="4098" spans="1:13" x14ac:dyDescent="0.25">
      <c r="A4098" s="2">
        <v>4092</v>
      </c>
      <c r="B4098" s="11">
        <f t="shared" ca="1" si="328"/>
        <v>1</v>
      </c>
      <c r="C4098" s="26">
        <f t="shared" ca="1" si="327"/>
        <v>0.33979087435793498</v>
      </c>
      <c r="J4098">
        <f t="shared" ca="1" si="329"/>
        <v>1</v>
      </c>
      <c r="K4098">
        <f t="shared" ca="1" si="330"/>
        <v>0</v>
      </c>
      <c r="L4098">
        <f t="shared" si="331"/>
        <v>4092</v>
      </c>
      <c r="M4098" s="71">
        <f t="shared" ca="1" si="332"/>
        <v>10.472934150274909</v>
      </c>
    </row>
    <row r="4099" spans="1:13" x14ac:dyDescent="0.25">
      <c r="A4099" s="2">
        <v>4093</v>
      </c>
      <c r="B4099" s="11">
        <f t="shared" ca="1" si="328"/>
        <v>1</v>
      </c>
      <c r="C4099" s="26">
        <f t="shared" ca="1" si="327"/>
        <v>0.71202366367596892</v>
      </c>
      <c r="J4099">
        <f t="shared" ca="1" si="329"/>
        <v>0</v>
      </c>
      <c r="K4099">
        <f t="shared" ca="1" si="330"/>
        <v>0</v>
      </c>
      <c r="L4099">
        <f t="shared" si="331"/>
        <v>4093</v>
      </c>
      <c r="M4099" s="71">
        <f t="shared" ca="1" si="332"/>
        <v>0.84814451265141788</v>
      </c>
    </row>
    <row r="4100" spans="1:13" x14ac:dyDescent="0.25">
      <c r="A4100" s="2">
        <v>4094</v>
      </c>
      <c r="B4100" s="11">
        <f t="shared" ca="1" si="328"/>
        <v>0</v>
      </c>
      <c r="C4100" s="26">
        <f t="shared" ca="1" si="327"/>
        <v>0.94852946510541858</v>
      </c>
      <c r="J4100">
        <f t="shared" ca="1" si="329"/>
        <v>0</v>
      </c>
      <c r="K4100">
        <f t="shared" ca="1" si="330"/>
        <v>0</v>
      </c>
      <c r="L4100">
        <f t="shared" si="331"/>
        <v>4094</v>
      </c>
      <c r="M4100" s="71">
        <f t="shared" ca="1" si="332"/>
        <v>0</v>
      </c>
    </row>
    <row r="4101" spans="1:13" x14ac:dyDescent="0.25">
      <c r="A4101" s="2">
        <v>4095</v>
      </c>
      <c r="B4101" s="11">
        <f t="shared" ca="1" si="328"/>
        <v>1</v>
      </c>
      <c r="C4101" s="26">
        <f t="shared" ca="1" si="327"/>
        <v>8.1006353971576517E-2</v>
      </c>
      <c r="J4101">
        <f t="shared" ca="1" si="329"/>
        <v>1</v>
      </c>
      <c r="K4101">
        <f t="shared" ca="1" si="330"/>
        <v>0</v>
      </c>
      <c r="L4101">
        <f t="shared" si="331"/>
        <v>4095</v>
      </c>
      <c r="M4101" s="71">
        <f t="shared" ca="1" si="332"/>
        <v>1.1466765224764059</v>
      </c>
    </row>
    <row r="4102" spans="1:13" x14ac:dyDescent="0.25">
      <c r="A4102" s="2">
        <v>4096</v>
      </c>
      <c r="B4102" s="11">
        <f t="shared" ca="1" si="328"/>
        <v>1</v>
      </c>
      <c r="C4102" s="26">
        <f t="shared" ca="1" si="327"/>
        <v>0.40356634496066313</v>
      </c>
      <c r="J4102">
        <f t="shared" ca="1" si="329"/>
        <v>0</v>
      </c>
      <c r="K4102">
        <f t="shared" ca="1" si="330"/>
        <v>0</v>
      </c>
      <c r="L4102">
        <f t="shared" si="331"/>
        <v>4096</v>
      </c>
      <c r="M4102" s="71">
        <f t="shared" ca="1" si="332"/>
        <v>2.805457891084242</v>
      </c>
    </row>
    <row r="4103" spans="1:13" x14ac:dyDescent="0.25">
      <c r="A4103" s="2">
        <v>4097</v>
      </c>
      <c r="B4103" s="11">
        <f t="shared" ca="1" si="328"/>
        <v>0</v>
      </c>
      <c r="C4103" s="26">
        <f t="shared" ca="1" si="327"/>
        <v>0.88673778117372437</v>
      </c>
      <c r="J4103">
        <f t="shared" ca="1" si="329"/>
        <v>0</v>
      </c>
      <c r="K4103">
        <f t="shared" ca="1" si="330"/>
        <v>0</v>
      </c>
      <c r="L4103">
        <f t="shared" si="331"/>
        <v>4097</v>
      </c>
      <c r="M4103" s="71">
        <f t="shared" ca="1" si="332"/>
        <v>0</v>
      </c>
    </row>
    <row r="4104" spans="1:13" x14ac:dyDescent="0.25">
      <c r="A4104" s="2">
        <v>4098</v>
      </c>
      <c r="B4104" s="11">
        <f t="shared" ca="1" si="328"/>
        <v>1</v>
      </c>
      <c r="C4104" s="26">
        <f t="shared" ref="C4104:C4167" ca="1" si="333">RAND()</f>
        <v>0.66334768513351217</v>
      </c>
      <c r="J4104">
        <f t="shared" ca="1" si="329"/>
        <v>0</v>
      </c>
      <c r="K4104">
        <f t="shared" ca="1" si="330"/>
        <v>0</v>
      </c>
      <c r="L4104">
        <f t="shared" si="331"/>
        <v>4098</v>
      </c>
      <c r="M4104" s="71">
        <f t="shared" ca="1" si="332"/>
        <v>0.62341364767858831</v>
      </c>
    </row>
    <row r="4105" spans="1:13" x14ac:dyDescent="0.25">
      <c r="A4105" s="2">
        <v>4099</v>
      </c>
      <c r="B4105" s="11">
        <f t="shared" ref="B4105:B4168" ca="1" si="334">IF(B4104&gt;0,IF(C4105&lt;pww,1,0),IF(C4105&lt;pdw,1,0))</f>
        <v>0</v>
      </c>
      <c r="C4105" s="26">
        <f t="shared" ca="1" si="333"/>
        <v>0.96694479139174505</v>
      </c>
      <c r="J4105">
        <f t="shared" ca="1" si="329"/>
        <v>0</v>
      </c>
      <c r="K4105">
        <f t="shared" ca="1" si="330"/>
        <v>0</v>
      </c>
      <c r="L4105">
        <f t="shared" si="331"/>
        <v>4099</v>
      </c>
      <c r="M4105" s="71">
        <f t="shared" ca="1" si="332"/>
        <v>0</v>
      </c>
    </row>
    <row r="4106" spans="1:13" x14ac:dyDescent="0.25">
      <c r="A4106" s="2">
        <v>4100</v>
      </c>
      <c r="B4106" s="11">
        <f t="shared" ca="1" si="334"/>
        <v>1</v>
      </c>
      <c r="C4106" s="26">
        <f t="shared" ca="1" si="333"/>
        <v>0.28888123974533386</v>
      </c>
      <c r="J4106">
        <f t="shared" ref="J4106:J4169" ca="1" si="335">IF(AND(B4106,B4107),1,0)</f>
        <v>1</v>
      </c>
      <c r="K4106">
        <f t="shared" ref="K4106:K4169" ca="1" si="336">IF(AND(NOT(B4106),NOT(B4107)),1,0)</f>
        <v>0</v>
      </c>
      <c r="L4106">
        <f t="shared" ref="L4106:L4169" si="337">L4105+1</f>
        <v>4100</v>
      </c>
      <c r="M4106" s="71">
        <f t="shared" ref="M4106:M4169" ca="1" si="338">IF(B4106&gt;0,-LN(1-(RAND()))/lambda,0)</f>
        <v>5.8033114923757587</v>
      </c>
    </row>
    <row r="4107" spans="1:13" x14ac:dyDescent="0.25">
      <c r="A4107" s="2">
        <v>4101</v>
      </c>
      <c r="B4107" s="11">
        <f t="shared" ca="1" si="334"/>
        <v>1</v>
      </c>
      <c r="C4107" s="26">
        <f t="shared" ca="1" si="333"/>
        <v>0.46004250302996352</v>
      </c>
      <c r="J4107">
        <f t="shared" ca="1" si="335"/>
        <v>1</v>
      </c>
      <c r="K4107">
        <f t="shared" ca="1" si="336"/>
        <v>0</v>
      </c>
      <c r="L4107">
        <f t="shared" si="337"/>
        <v>4101</v>
      </c>
      <c r="M4107" s="71">
        <f t="shared" ca="1" si="338"/>
        <v>2.2941077593214092</v>
      </c>
    </row>
    <row r="4108" spans="1:13" x14ac:dyDescent="0.25">
      <c r="A4108" s="2">
        <v>4102</v>
      </c>
      <c r="B4108" s="11">
        <f t="shared" ca="1" si="334"/>
        <v>1</v>
      </c>
      <c r="C4108" s="26">
        <f t="shared" ca="1" si="333"/>
        <v>0.76262721446310822</v>
      </c>
      <c r="J4108">
        <f t="shared" ca="1" si="335"/>
        <v>0</v>
      </c>
      <c r="K4108">
        <f t="shared" ca="1" si="336"/>
        <v>0</v>
      </c>
      <c r="L4108">
        <f t="shared" si="337"/>
        <v>4102</v>
      </c>
      <c r="M4108" s="71">
        <f t="shared" ca="1" si="338"/>
        <v>0.91340363704139926</v>
      </c>
    </row>
    <row r="4109" spans="1:13" x14ac:dyDescent="0.25">
      <c r="A4109" s="2">
        <v>4103</v>
      </c>
      <c r="B4109" s="11">
        <f t="shared" ca="1" si="334"/>
        <v>0</v>
      </c>
      <c r="C4109" s="26">
        <f t="shared" ca="1" si="333"/>
        <v>0.85306879875641717</v>
      </c>
      <c r="J4109">
        <f t="shared" ca="1" si="335"/>
        <v>0</v>
      </c>
      <c r="K4109">
        <f t="shared" ca="1" si="336"/>
        <v>0</v>
      </c>
      <c r="L4109">
        <f t="shared" si="337"/>
        <v>4103</v>
      </c>
      <c r="M4109" s="71">
        <f t="shared" ca="1" si="338"/>
        <v>0</v>
      </c>
    </row>
    <row r="4110" spans="1:13" x14ac:dyDescent="0.25">
      <c r="A4110" s="2">
        <v>4104</v>
      </c>
      <c r="B4110" s="11">
        <f t="shared" ca="1" si="334"/>
        <v>1</v>
      </c>
      <c r="C4110" s="26">
        <f t="shared" ca="1" si="333"/>
        <v>6.0994973151776044E-2</v>
      </c>
      <c r="J4110">
        <f t="shared" ca="1" si="335"/>
        <v>1</v>
      </c>
      <c r="K4110">
        <f t="shared" ca="1" si="336"/>
        <v>0</v>
      </c>
      <c r="L4110">
        <f t="shared" si="337"/>
        <v>4104</v>
      </c>
      <c r="M4110" s="71">
        <f t="shared" ca="1" si="338"/>
        <v>1.6662918512959926</v>
      </c>
    </row>
    <row r="4111" spans="1:13" x14ac:dyDescent="0.25">
      <c r="A4111" s="2">
        <v>4105</v>
      </c>
      <c r="B4111" s="11">
        <f t="shared" ca="1" si="334"/>
        <v>1</v>
      </c>
      <c r="C4111" s="26">
        <f t="shared" ca="1" si="333"/>
        <v>0.76274173523232136</v>
      </c>
      <c r="J4111">
        <f t="shared" ca="1" si="335"/>
        <v>1</v>
      </c>
      <c r="K4111">
        <f t="shared" ca="1" si="336"/>
        <v>0</v>
      </c>
      <c r="L4111">
        <f t="shared" si="337"/>
        <v>4105</v>
      </c>
      <c r="M4111" s="71">
        <f t="shared" ca="1" si="338"/>
        <v>0.35114017877839371</v>
      </c>
    </row>
    <row r="4112" spans="1:13" x14ac:dyDescent="0.25">
      <c r="A4112" s="2">
        <v>4106</v>
      </c>
      <c r="B4112" s="11">
        <f t="shared" ca="1" si="334"/>
        <v>1</v>
      </c>
      <c r="C4112" s="26">
        <f t="shared" ca="1" si="333"/>
        <v>0.47865099204676753</v>
      </c>
      <c r="J4112">
        <f t="shared" ca="1" si="335"/>
        <v>1</v>
      </c>
      <c r="K4112">
        <f t="shared" ca="1" si="336"/>
        <v>0</v>
      </c>
      <c r="L4112">
        <f t="shared" si="337"/>
        <v>4106</v>
      </c>
      <c r="M4112" s="71">
        <f t="shared" ca="1" si="338"/>
        <v>6.9584003344394318</v>
      </c>
    </row>
    <row r="4113" spans="1:13" x14ac:dyDescent="0.25">
      <c r="A4113" s="2">
        <v>4107</v>
      </c>
      <c r="B4113" s="11">
        <f t="shared" ca="1" si="334"/>
        <v>1</v>
      </c>
      <c r="C4113" s="26">
        <f t="shared" ca="1" si="333"/>
        <v>0.71125425680730781</v>
      </c>
      <c r="J4113">
        <f t="shared" ca="1" si="335"/>
        <v>0</v>
      </c>
      <c r="K4113">
        <f t="shared" ca="1" si="336"/>
        <v>0</v>
      </c>
      <c r="L4113">
        <f t="shared" si="337"/>
        <v>4107</v>
      </c>
      <c r="M4113" s="71">
        <f t="shared" ca="1" si="338"/>
        <v>3.8470391158249173</v>
      </c>
    </row>
    <row r="4114" spans="1:13" x14ac:dyDescent="0.25">
      <c r="A4114" s="2">
        <v>4108</v>
      </c>
      <c r="B4114" s="11">
        <f t="shared" ca="1" si="334"/>
        <v>0</v>
      </c>
      <c r="C4114" s="26">
        <f t="shared" ca="1" si="333"/>
        <v>0.99837630198875549</v>
      </c>
      <c r="J4114">
        <f t="shared" ca="1" si="335"/>
        <v>0</v>
      </c>
      <c r="K4114">
        <f t="shared" ca="1" si="336"/>
        <v>0</v>
      </c>
      <c r="L4114">
        <f t="shared" si="337"/>
        <v>4108</v>
      </c>
      <c r="M4114" s="71">
        <f t="shared" ca="1" si="338"/>
        <v>0</v>
      </c>
    </row>
    <row r="4115" spans="1:13" x14ac:dyDescent="0.25">
      <c r="A4115" s="2">
        <v>4109</v>
      </c>
      <c r="B4115" s="11">
        <f t="shared" ca="1" si="334"/>
        <v>1</v>
      </c>
      <c r="C4115" s="26">
        <f t="shared" ca="1" si="333"/>
        <v>0.24339552878626469</v>
      </c>
      <c r="J4115">
        <f t="shared" ca="1" si="335"/>
        <v>1</v>
      </c>
      <c r="K4115">
        <f t="shared" ca="1" si="336"/>
        <v>0</v>
      </c>
      <c r="L4115">
        <f t="shared" si="337"/>
        <v>4109</v>
      </c>
      <c r="M4115" s="71">
        <f t="shared" ca="1" si="338"/>
        <v>4.7926688483282103</v>
      </c>
    </row>
    <row r="4116" spans="1:13" x14ac:dyDescent="0.25">
      <c r="A4116" s="2">
        <v>4110</v>
      </c>
      <c r="B4116" s="11">
        <f t="shared" ca="1" si="334"/>
        <v>1</v>
      </c>
      <c r="C4116" s="26">
        <f t="shared" ca="1" si="333"/>
        <v>0.16414173720327163</v>
      </c>
      <c r="J4116">
        <f t="shared" ca="1" si="335"/>
        <v>1</v>
      </c>
      <c r="K4116">
        <f t="shared" ca="1" si="336"/>
        <v>0</v>
      </c>
      <c r="L4116">
        <f t="shared" si="337"/>
        <v>4110</v>
      </c>
      <c r="M4116" s="71">
        <f t="shared" ca="1" si="338"/>
        <v>4.8737397717173447</v>
      </c>
    </row>
    <row r="4117" spans="1:13" x14ac:dyDescent="0.25">
      <c r="A4117" s="2">
        <v>4111</v>
      </c>
      <c r="B4117" s="11">
        <f t="shared" ca="1" si="334"/>
        <v>1</v>
      </c>
      <c r="C4117" s="26">
        <f t="shared" ca="1" si="333"/>
        <v>0.66760367748858096</v>
      </c>
      <c r="J4117">
        <f t="shared" ca="1" si="335"/>
        <v>0</v>
      </c>
      <c r="K4117">
        <f t="shared" ca="1" si="336"/>
        <v>0</v>
      </c>
      <c r="L4117">
        <f t="shared" si="337"/>
        <v>4111</v>
      </c>
      <c r="M4117" s="71">
        <f t="shared" ca="1" si="338"/>
        <v>3.8258262772860552</v>
      </c>
    </row>
    <row r="4118" spans="1:13" x14ac:dyDescent="0.25">
      <c r="A4118" s="2">
        <v>4112</v>
      </c>
      <c r="B4118" s="11">
        <f t="shared" ca="1" si="334"/>
        <v>0</v>
      </c>
      <c r="C4118" s="26">
        <f t="shared" ca="1" si="333"/>
        <v>0.80617163757034926</v>
      </c>
      <c r="J4118">
        <f t="shared" ca="1" si="335"/>
        <v>0</v>
      </c>
      <c r="K4118">
        <f t="shared" ca="1" si="336"/>
        <v>0</v>
      </c>
      <c r="L4118">
        <f t="shared" si="337"/>
        <v>4112</v>
      </c>
      <c r="M4118" s="71">
        <f t="shared" ca="1" si="338"/>
        <v>0</v>
      </c>
    </row>
    <row r="4119" spans="1:13" x14ac:dyDescent="0.25">
      <c r="A4119" s="2">
        <v>4113</v>
      </c>
      <c r="B4119" s="11">
        <f t="shared" ca="1" si="334"/>
        <v>1</v>
      </c>
      <c r="C4119" s="26">
        <f t="shared" ca="1" si="333"/>
        <v>7.8610578705767709E-2</v>
      </c>
      <c r="J4119">
        <f t="shared" ca="1" si="335"/>
        <v>1</v>
      </c>
      <c r="K4119">
        <f t="shared" ca="1" si="336"/>
        <v>0</v>
      </c>
      <c r="L4119">
        <f t="shared" si="337"/>
        <v>4113</v>
      </c>
      <c r="M4119" s="71">
        <f t="shared" ca="1" si="338"/>
        <v>0.29594931982783373</v>
      </c>
    </row>
    <row r="4120" spans="1:13" x14ac:dyDescent="0.25">
      <c r="A4120" s="2">
        <v>4114</v>
      </c>
      <c r="B4120" s="11">
        <f t="shared" ca="1" si="334"/>
        <v>1</v>
      </c>
      <c r="C4120" s="26">
        <f t="shared" ca="1" si="333"/>
        <v>0.23909910321016647</v>
      </c>
      <c r="J4120">
        <f t="shared" ca="1" si="335"/>
        <v>1</v>
      </c>
      <c r="K4120">
        <f t="shared" ca="1" si="336"/>
        <v>0</v>
      </c>
      <c r="L4120">
        <f t="shared" si="337"/>
        <v>4114</v>
      </c>
      <c r="M4120" s="71">
        <f t="shared" ca="1" si="338"/>
        <v>3.2626474606250429</v>
      </c>
    </row>
    <row r="4121" spans="1:13" x14ac:dyDescent="0.25">
      <c r="A4121" s="2">
        <v>4115</v>
      </c>
      <c r="B4121" s="11">
        <f t="shared" ca="1" si="334"/>
        <v>1</v>
      </c>
      <c r="C4121" s="26">
        <f t="shared" ca="1" si="333"/>
        <v>0.35948038232416146</v>
      </c>
      <c r="J4121">
        <f t="shared" ca="1" si="335"/>
        <v>1</v>
      </c>
      <c r="K4121">
        <f t="shared" ca="1" si="336"/>
        <v>0</v>
      </c>
      <c r="L4121">
        <f t="shared" si="337"/>
        <v>4115</v>
      </c>
      <c r="M4121" s="71">
        <f t="shared" ca="1" si="338"/>
        <v>6.0069887640208965E-2</v>
      </c>
    </row>
    <row r="4122" spans="1:13" x14ac:dyDescent="0.25">
      <c r="A4122" s="2">
        <v>4116</v>
      </c>
      <c r="B4122" s="11">
        <f t="shared" ca="1" si="334"/>
        <v>1</v>
      </c>
      <c r="C4122" s="26">
        <f t="shared" ca="1" si="333"/>
        <v>0.76459186162674664</v>
      </c>
      <c r="J4122">
        <f t="shared" ca="1" si="335"/>
        <v>1</v>
      </c>
      <c r="K4122">
        <f t="shared" ca="1" si="336"/>
        <v>0</v>
      </c>
      <c r="L4122">
        <f t="shared" si="337"/>
        <v>4116</v>
      </c>
      <c r="M4122" s="71">
        <f t="shared" ca="1" si="338"/>
        <v>2.8416253224213057</v>
      </c>
    </row>
    <row r="4123" spans="1:13" x14ac:dyDescent="0.25">
      <c r="A4123" s="2">
        <v>4117</v>
      </c>
      <c r="B4123" s="11">
        <f t="shared" ca="1" si="334"/>
        <v>1</v>
      </c>
      <c r="C4123" s="26">
        <f t="shared" ca="1" si="333"/>
        <v>0.49156730380710478</v>
      </c>
      <c r="J4123">
        <f t="shared" ca="1" si="335"/>
        <v>1</v>
      </c>
      <c r="K4123">
        <f t="shared" ca="1" si="336"/>
        <v>0</v>
      </c>
      <c r="L4123">
        <f t="shared" si="337"/>
        <v>4117</v>
      </c>
      <c r="M4123" s="71">
        <f t="shared" ca="1" si="338"/>
        <v>1.6949843853578899</v>
      </c>
    </row>
    <row r="4124" spans="1:13" x14ac:dyDescent="0.25">
      <c r="A4124" s="2">
        <v>4118</v>
      </c>
      <c r="B4124" s="11">
        <f t="shared" ca="1" si="334"/>
        <v>1</v>
      </c>
      <c r="C4124" s="26">
        <f t="shared" ca="1" si="333"/>
        <v>0.61614057890134399</v>
      </c>
      <c r="J4124">
        <f t="shared" ca="1" si="335"/>
        <v>1</v>
      </c>
      <c r="K4124">
        <f t="shared" ca="1" si="336"/>
        <v>0</v>
      </c>
      <c r="L4124">
        <f t="shared" si="337"/>
        <v>4118</v>
      </c>
      <c r="M4124" s="71">
        <f t="shared" ca="1" si="338"/>
        <v>4.1048437570050762</v>
      </c>
    </row>
    <row r="4125" spans="1:13" x14ac:dyDescent="0.25">
      <c r="A4125" s="2">
        <v>4119</v>
      </c>
      <c r="B4125" s="11">
        <f t="shared" ca="1" si="334"/>
        <v>1</v>
      </c>
      <c r="C4125" s="26">
        <f t="shared" ca="1" si="333"/>
        <v>0.775083533234047</v>
      </c>
      <c r="J4125">
        <f t="shared" ca="1" si="335"/>
        <v>1</v>
      </c>
      <c r="K4125">
        <f t="shared" ca="1" si="336"/>
        <v>0</v>
      </c>
      <c r="L4125">
        <f t="shared" si="337"/>
        <v>4119</v>
      </c>
      <c r="M4125" s="71">
        <f t="shared" ca="1" si="338"/>
        <v>6.2055550281103686</v>
      </c>
    </row>
    <row r="4126" spans="1:13" x14ac:dyDescent="0.25">
      <c r="A4126" s="2">
        <v>4120</v>
      </c>
      <c r="B4126" s="11">
        <f t="shared" ca="1" si="334"/>
        <v>1</v>
      </c>
      <c r="C4126" s="26">
        <f t="shared" ca="1" si="333"/>
        <v>0.15713252882610651</v>
      </c>
      <c r="J4126">
        <f t="shared" ca="1" si="335"/>
        <v>1</v>
      </c>
      <c r="K4126">
        <f t="shared" ca="1" si="336"/>
        <v>0</v>
      </c>
      <c r="L4126">
        <f t="shared" si="337"/>
        <v>4120</v>
      </c>
      <c r="M4126" s="71">
        <f t="shared" ca="1" si="338"/>
        <v>3.6189590105674099</v>
      </c>
    </row>
    <row r="4127" spans="1:13" x14ac:dyDescent="0.25">
      <c r="A4127" s="2">
        <v>4121</v>
      </c>
      <c r="B4127" s="11">
        <f t="shared" ca="1" si="334"/>
        <v>1</v>
      </c>
      <c r="C4127" s="26">
        <f t="shared" ca="1" si="333"/>
        <v>0.48877344763782127</v>
      </c>
      <c r="J4127">
        <f t="shared" ca="1" si="335"/>
        <v>1</v>
      </c>
      <c r="K4127">
        <f t="shared" ca="1" si="336"/>
        <v>0</v>
      </c>
      <c r="L4127">
        <f t="shared" si="337"/>
        <v>4121</v>
      </c>
      <c r="M4127" s="71">
        <f t="shared" ca="1" si="338"/>
        <v>1.6321337192231142</v>
      </c>
    </row>
    <row r="4128" spans="1:13" x14ac:dyDescent="0.25">
      <c r="A4128" s="2">
        <v>4122</v>
      </c>
      <c r="B4128" s="11">
        <f t="shared" ca="1" si="334"/>
        <v>1</v>
      </c>
      <c r="C4128" s="26">
        <f t="shared" ca="1" si="333"/>
        <v>1.906410329148267E-2</v>
      </c>
      <c r="J4128">
        <f t="shared" ca="1" si="335"/>
        <v>1</v>
      </c>
      <c r="K4128">
        <f t="shared" ca="1" si="336"/>
        <v>0</v>
      </c>
      <c r="L4128">
        <f t="shared" si="337"/>
        <v>4122</v>
      </c>
      <c r="M4128" s="71">
        <f t="shared" ca="1" si="338"/>
        <v>0.52508697198064347</v>
      </c>
    </row>
    <row r="4129" spans="1:13" x14ac:dyDescent="0.25">
      <c r="A4129" s="2">
        <v>4123</v>
      </c>
      <c r="B4129" s="11">
        <f t="shared" ca="1" si="334"/>
        <v>1</v>
      </c>
      <c r="C4129" s="26">
        <f t="shared" ca="1" si="333"/>
        <v>0.55656211631908936</v>
      </c>
      <c r="J4129">
        <f t="shared" ca="1" si="335"/>
        <v>1</v>
      </c>
      <c r="K4129">
        <f t="shared" ca="1" si="336"/>
        <v>0</v>
      </c>
      <c r="L4129">
        <f t="shared" si="337"/>
        <v>4123</v>
      </c>
      <c r="M4129" s="71">
        <f t="shared" ca="1" si="338"/>
        <v>2.6861756586939496</v>
      </c>
    </row>
    <row r="4130" spans="1:13" x14ac:dyDescent="0.25">
      <c r="A4130" s="2">
        <v>4124</v>
      </c>
      <c r="B4130" s="11">
        <f t="shared" ca="1" si="334"/>
        <v>1</v>
      </c>
      <c r="C4130" s="26">
        <f t="shared" ca="1" si="333"/>
        <v>0.66466286393361007</v>
      </c>
      <c r="J4130">
        <f t="shared" ca="1" si="335"/>
        <v>1</v>
      </c>
      <c r="K4130">
        <f t="shared" ca="1" si="336"/>
        <v>0</v>
      </c>
      <c r="L4130">
        <f t="shared" si="337"/>
        <v>4124</v>
      </c>
      <c r="M4130" s="71">
        <f t="shared" ca="1" si="338"/>
        <v>0.54425784084448403</v>
      </c>
    </row>
    <row r="4131" spans="1:13" x14ac:dyDescent="0.25">
      <c r="A4131" s="2">
        <v>4125</v>
      </c>
      <c r="B4131" s="11">
        <f t="shared" ca="1" si="334"/>
        <v>1</v>
      </c>
      <c r="C4131" s="26">
        <f t="shared" ca="1" si="333"/>
        <v>6.4322720923645993E-2</v>
      </c>
      <c r="J4131">
        <f t="shared" ca="1" si="335"/>
        <v>0</v>
      </c>
      <c r="K4131">
        <f t="shared" ca="1" si="336"/>
        <v>0</v>
      </c>
      <c r="L4131">
        <f t="shared" si="337"/>
        <v>4125</v>
      </c>
      <c r="M4131" s="71">
        <f t="shared" ca="1" si="338"/>
        <v>9.5148578805192869</v>
      </c>
    </row>
    <row r="4132" spans="1:13" x14ac:dyDescent="0.25">
      <c r="A4132" s="2">
        <v>4126</v>
      </c>
      <c r="B4132" s="11">
        <f t="shared" ca="1" si="334"/>
        <v>0</v>
      </c>
      <c r="C4132" s="26">
        <f t="shared" ca="1" si="333"/>
        <v>0.9385682129470091</v>
      </c>
      <c r="J4132">
        <f t="shared" ca="1" si="335"/>
        <v>0</v>
      </c>
      <c r="K4132">
        <f t="shared" ca="1" si="336"/>
        <v>0</v>
      </c>
      <c r="L4132">
        <f t="shared" si="337"/>
        <v>4126</v>
      </c>
      <c r="M4132" s="71">
        <f t="shared" ca="1" si="338"/>
        <v>0</v>
      </c>
    </row>
    <row r="4133" spans="1:13" x14ac:dyDescent="0.25">
      <c r="A4133" s="2">
        <v>4127</v>
      </c>
      <c r="B4133" s="11">
        <f t="shared" ca="1" si="334"/>
        <v>1</v>
      </c>
      <c r="C4133" s="26">
        <f t="shared" ca="1" si="333"/>
        <v>0.22541130298597489</v>
      </c>
      <c r="J4133">
        <f t="shared" ca="1" si="335"/>
        <v>1</v>
      </c>
      <c r="K4133">
        <f t="shared" ca="1" si="336"/>
        <v>0</v>
      </c>
      <c r="L4133">
        <f t="shared" si="337"/>
        <v>4127</v>
      </c>
      <c r="M4133" s="71">
        <f t="shared" ca="1" si="338"/>
        <v>3.5886663183325003</v>
      </c>
    </row>
    <row r="4134" spans="1:13" x14ac:dyDescent="0.25">
      <c r="A4134" s="2">
        <v>4128</v>
      </c>
      <c r="B4134" s="11">
        <f t="shared" ca="1" si="334"/>
        <v>1</v>
      </c>
      <c r="C4134" s="26">
        <f t="shared" ca="1" si="333"/>
        <v>0.76268083458279345</v>
      </c>
      <c r="J4134">
        <f t="shared" ca="1" si="335"/>
        <v>0</v>
      </c>
      <c r="K4134">
        <f t="shared" ca="1" si="336"/>
        <v>0</v>
      </c>
      <c r="L4134">
        <f t="shared" si="337"/>
        <v>4128</v>
      </c>
      <c r="M4134" s="71">
        <f t="shared" ca="1" si="338"/>
        <v>1.3184857204885951</v>
      </c>
    </row>
    <row r="4135" spans="1:13" x14ac:dyDescent="0.25">
      <c r="A4135" s="2">
        <v>4129</v>
      </c>
      <c r="B4135" s="11">
        <f t="shared" ca="1" si="334"/>
        <v>0</v>
      </c>
      <c r="C4135" s="26">
        <f t="shared" ca="1" si="333"/>
        <v>0.9897279488417362</v>
      </c>
      <c r="J4135">
        <f t="shared" ca="1" si="335"/>
        <v>0</v>
      </c>
      <c r="K4135">
        <f t="shared" ca="1" si="336"/>
        <v>0</v>
      </c>
      <c r="L4135">
        <f t="shared" si="337"/>
        <v>4129</v>
      </c>
      <c r="M4135" s="71">
        <f t="shared" ca="1" si="338"/>
        <v>0</v>
      </c>
    </row>
    <row r="4136" spans="1:13" x14ac:dyDescent="0.25">
      <c r="A4136" s="2">
        <v>4130</v>
      </c>
      <c r="B4136" s="11">
        <f t="shared" ca="1" si="334"/>
        <v>1</v>
      </c>
      <c r="C4136" s="26">
        <f t="shared" ca="1" si="333"/>
        <v>0.4894020918551889</v>
      </c>
      <c r="J4136">
        <f t="shared" ca="1" si="335"/>
        <v>1</v>
      </c>
      <c r="K4136">
        <f t="shared" ca="1" si="336"/>
        <v>0</v>
      </c>
      <c r="L4136">
        <f t="shared" si="337"/>
        <v>4130</v>
      </c>
      <c r="M4136" s="71">
        <f t="shared" ca="1" si="338"/>
        <v>8.474709820097484</v>
      </c>
    </row>
    <row r="4137" spans="1:13" x14ac:dyDescent="0.25">
      <c r="A4137" s="2">
        <v>4131</v>
      </c>
      <c r="B4137" s="11">
        <f t="shared" ca="1" si="334"/>
        <v>1</v>
      </c>
      <c r="C4137" s="26">
        <f t="shared" ca="1" si="333"/>
        <v>0.48978222406588501</v>
      </c>
      <c r="J4137">
        <f t="shared" ca="1" si="335"/>
        <v>1</v>
      </c>
      <c r="K4137">
        <f t="shared" ca="1" si="336"/>
        <v>0</v>
      </c>
      <c r="L4137">
        <f t="shared" si="337"/>
        <v>4131</v>
      </c>
      <c r="M4137" s="71">
        <f t="shared" ca="1" si="338"/>
        <v>12.588196629033602</v>
      </c>
    </row>
    <row r="4138" spans="1:13" x14ac:dyDescent="0.25">
      <c r="A4138" s="2">
        <v>4132</v>
      </c>
      <c r="B4138" s="11">
        <f t="shared" ca="1" si="334"/>
        <v>1</v>
      </c>
      <c r="C4138" s="26">
        <f t="shared" ca="1" si="333"/>
        <v>0.20487197442755511</v>
      </c>
      <c r="J4138">
        <f t="shared" ca="1" si="335"/>
        <v>1</v>
      </c>
      <c r="K4138">
        <f t="shared" ca="1" si="336"/>
        <v>0</v>
      </c>
      <c r="L4138">
        <f t="shared" si="337"/>
        <v>4132</v>
      </c>
      <c r="M4138" s="71">
        <f t="shared" ca="1" si="338"/>
        <v>9.1777877554037026</v>
      </c>
    </row>
    <row r="4139" spans="1:13" x14ac:dyDescent="0.25">
      <c r="A4139" s="2">
        <v>4133</v>
      </c>
      <c r="B4139" s="11">
        <f t="shared" ca="1" si="334"/>
        <v>1</v>
      </c>
      <c r="C4139" s="26">
        <f t="shared" ca="1" si="333"/>
        <v>0.37338550292501427</v>
      </c>
      <c r="J4139">
        <f t="shared" ca="1" si="335"/>
        <v>1</v>
      </c>
      <c r="K4139">
        <f t="shared" ca="1" si="336"/>
        <v>0</v>
      </c>
      <c r="L4139">
        <f t="shared" si="337"/>
        <v>4133</v>
      </c>
      <c r="M4139" s="71">
        <f t="shared" ca="1" si="338"/>
        <v>6.3239708948515805</v>
      </c>
    </row>
    <row r="4140" spans="1:13" x14ac:dyDescent="0.25">
      <c r="A4140" s="2">
        <v>4134</v>
      </c>
      <c r="B4140" s="11">
        <f t="shared" ca="1" si="334"/>
        <v>1</v>
      </c>
      <c r="C4140" s="26">
        <f t="shared" ca="1" si="333"/>
        <v>0.54385839702148597</v>
      </c>
      <c r="J4140">
        <f t="shared" ca="1" si="335"/>
        <v>1</v>
      </c>
      <c r="K4140">
        <f t="shared" ca="1" si="336"/>
        <v>0</v>
      </c>
      <c r="L4140">
        <f t="shared" si="337"/>
        <v>4134</v>
      </c>
      <c r="M4140" s="71">
        <f t="shared" ca="1" si="338"/>
        <v>0.28901406414137881</v>
      </c>
    </row>
    <row r="4141" spans="1:13" x14ac:dyDescent="0.25">
      <c r="A4141" s="2">
        <v>4135</v>
      </c>
      <c r="B4141" s="11">
        <f t="shared" ca="1" si="334"/>
        <v>1</v>
      </c>
      <c r="C4141" s="26">
        <f t="shared" ca="1" si="333"/>
        <v>0.41075122374389617</v>
      </c>
      <c r="J4141">
        <f t="shared" ca="1" si="335"/>
        <v>1</v>
      </c>
      <c r="K4141">
        <f t="shared" ca="1" si="336"/>
        <v>0</v>
      </c>
      <c r="L4141">
        <f t="shared" si="337"/>
        <v>4135</v>
      </c>
      <c r="M4141" s="71">
        <f t="shared" ca="1" si="338"/>
        <v>9.2984136765337073</v>
      </c>
    </row>
    <row r="4142" spans="1:13" x14ac:dyDescent="0.25">
      <c r="A4142" s="2">
        <v>4136</v>
      </c>
      <c r="B4142" s="11">
        <f t="shared" ca="1" si="334"/>
        <v>1</v>
      </c>
      <c r="C4142" s="26">
        <f t="shared" ca="1" si="333"/>
        <v>0.63068235544870488</v>
      </c>
      <c r="J4142">
        <f t="shared" ca="1" si="335"/>
        <v>1</v>
      </c>
      <c r="K4142">
        <f t="shared" ca="1" si="336"/>
        <v>0</v>
      </c>
      <c r="L4142">
        <f t="shared" si="337"/>
        <v>4136</v>
      </c>
      <c r="M4142" s="71">
        <f t="shared" ca="1" si="338"/>
        <v>3.1868185568527152</v>
      </c>
    </row>
    <row r="4143" spans="1:13" x14ac:dyDescent="0.25">
      <c r="A4143" s="2">
        <v>4137</v>
      </c>
      <c r="B4143" s="11">
        <f t="shared" ca="1" si="334"/>
        <v>1</v>
      </c>
      <c r="C4143" s="26">
        <f t="shared" ca="1" si="333"/>
        <v>0.76938832317971062</v>
      </c>
      <c r="J4143">
        <f t="shared" ca="1" si="335"/>
        <v>1</v>
      </c>
      <c r="K4143">
        <f t="shared" ca="1" si="336"/>
        <v>0</v>
      </c>
      <c r="L4143">
        <f t="shared" si="337"/>
        <v>4137</v>
      </c>
      <c r="M4143" s="71">
        <f t="shared" ca="1" si="338"/>
        <v>0.37706036551851646</v>
      </c>
    </row>
    <row r="4144" spans="1:13" x14ac:dyDescent="0.25">
      <c r="A4144" s="2">
        <v>4138</v>
      </c>
      <c r="B4144" s="11">
        <f t="shared" ca="1" si="334"/>
        <v>1</v>
      </c>
      <c r="C4144" s="26">
        <f t="shared" ca="1" si="333"/>
        <v>0.17746888236338965</v>
      </c>
      <c r="J4144">
        <f t="shared" ca="1" si="335"/>
        <v>1</v>
      </c>
      <c r="K4144">
        <f t="shared" ca="1" si="336"/>
        <v>0</v>
      </c>
      <c r="L4144">
        <f t="shared" si="337"/>
        <v>4138</v>
      </c>
      <c r="M4144" s="71">
        <f t="shared" ca="1" si="338"/>
        <v>2.1238852386630707</v>
      </c>
    </row>
    <row r="4145" spans="1:13" x14ac:dyDescent="0.25">
      <c r="A4145" s="2">
        <v>4139</v>
      </c>
      <c r="B4145" s="11">
        <f t="shared" ca="1" si="334"/>
        <v>1</v>
      </c>
      <c r="C4145" s="26">
        <f t="shared" ca="1" si="333"/>
        <v>0.3037252283334636</v>
      </c>
      <c r="J4145">
        <f t="shared" ca="1" si="335"/>
        <v>0</v>
      </c>
      <c r="K4145">
        <f t="shared" ca="1" si="336"/>
        <v>0</v>
      </c>
      <c r="L4145">
        <f t="shared" si="337"/>
        <v>4139</v>
      </c>
      <c r="M4145" s="71">
        <f t="shared" ca="1" si="338"/>
        <v>3.0559818348475019</v>
      </c>
    </row>
    <row r="4146" spans="1:13" x14ac:dyDescent="0.25">
      <c r="A4146" s="2">
        <v>4140</v>
      </c>
      <c r="B4146" s="11">
        <f t="shared" ca="1" si="334"/>
        <v>0</v>
      </c>
      <c r="C4146" s="26">
        <f t="shared" ca="1" si="333"/>
        <v>0.96299267997097904</v>
      </c>
      <c r="J4146">
        <f t="shared" ca="1" si="335"/>
        <v>0</v>
      </c>
      <c r="K4146">
        <f t="shared" ca="1" si="336"/>
        <v>0</v>
      </c>
      <c r="L4146">
        <f t="shared" si="337"/>
        <v>4140</v>
      </c>
      <c r="M4146" s="71">
        <f t="shared" ca="1" si="338"/>
        <v>0</v>
      </c>
    </row>
    <row r="4147" spans="1:13" x14ac:dyDescent="0.25">
      <c r="A4147" s="2">
        <v>4141</v>
      </c>
      <c r="B4147" s="11">
        <f t="shared" ca="1" si="334"/>
        <v>1</v>
      </c>
      <c r="C4147" s="26">
        <f t="shared" ca="1" si="333"/>
        <v>0.48581058949546008</v>
      </c>
      <c r="J4147">
        <f t="shared" ca="1" si="335"/>
        <v>1</v>
      </c>
      <c r="K4147">
        <f t="shared" ca="1" si="336"/>
        <v>0</v>
      </c>
      <c r="L4147">
        <f t="shared" si="337"/>
        <v>4141</v>
      </c>
      <c r="M4147" s="71">
        <f t="shared" ca="1" si="338"/>
        <v>0.19665086994292139</v>
      </c>
    </row>
    <row r="4148" spans="1:13" x14ac:dyDescent="0.25">
      <c r="A4148" s="2">
        <v>4142</v>
      </c>
      <c r="B4148" s="11">
        <f t="shared" ca="1" si="334"/>
        <v>1</v>
      </c>
      <c r="C4148" s="26">
        <f t="shared" ca="1" si="333"/>
        <v>0.50378757426919918</v>
      </c>
      <c r="J4148">
        <f t="shared" ca="1" si="335"/>
        <v>0</v>
      </c>
      <c r="K4148">
        <f t="shared" ca="1" si="336"/>
        <v>0</v>
      </c>
      <c r="L4148">
        <f t="shared" si="337"/>
        <v>4142</v>
      </c>
      <c r="M4148" s="71">
        <f t="shared" ca="1" si="338"/>
        <v>0.19062399941506139</v>
      </c>
    </row>
    <row r="4149" spans="1:13" x14ac:dyDescent="0.25">
      <c r="A4149" s="2">
        <v>4143</v>
      </c>
      <c r="B4149" s="11">
        <f t="shared" ca="1" si="334"/>
        <v>0</v>
      </c>
      <c r="C4149" s="26">
        <f t="shared" ca="1" si="333"/>
        <v>0.83300284870300545</v>
      </c>
      <c r="J4149">
        <f t="shared" ca="1" si="335"/>
        <v>0</v>
      </c>
      <c r="K4149">
        <f t="shared" ca="1" si="336"/>
        <v>1</v>
      </c>
      <c r="L4149">
        <f t="shared" si="337"/>
        <v>4143</v>
      </c>
      <c r="M4149" s="71">
        <f t="shared" ca="1" si="338"/>
        <v>0</v>
      </c>
    </row>
    <row r="4150" spans="1:13" x14ac:dyDescent="0.25">
      <c r="A4150" s="2">
        <v>4144</v>
      </c>
      <c r="B4150" s="11">
        <f t="shared" ca="1" si="334"/>
        <v>0</v>
      </c>
      <c r="C4150" s="26">
        <f t="shared" ca="1" si="333"/>
        <v>0.72917412945298199</v>
      </c>
      <c r="J4150">
        <f t="shared" ca="1" si="335"/>
        <v>0</v>
      </c>
      <c r="K4150">
        <f t="shared" ca="1" si="336"/>
        <v>0</v>
      </c>
      <c r="L4150">
        <f t="shared" si="337"/>
        <v>4144</v>
      </c>
      <c r="M4150" s="71">
        <f t="shared" ca="1" si="338"/>
        <v>0</v>
      </c>
    </row>
    <row r="4151" spans="1:13" x14ac:dyDescent="0.25">
      <c r="A4151" s="2">
        <v>4145</v>
      </c>
      <c r="B4151" s="11">
        <f t="shared" ca="1" si="334"/>
        <v>1</v>
      </c>
      <c r="C4151" s="26">
        <f t="shared" ca="1" si="333"/>
        <v>0.69325931778556704</v>
      </c>
      <c r="J4151">
        <f t="shared" ca="1" si="335"/>
        <v>0</v>
      </c>
      <c r="K4151">
        <f t="shared" ca="1" si="336"/>
        <v>0</v>
      </c>
      <c r="L4151">
        <f t="shared" si="337"/>
        <v>4145</v>
      </c>
      <c r="M4151" s="71">
        <f t="shared" ca="1" si="338"/>
        <v>2.1356860599368077</v>
      </c>
    </row>
    <row r="4152" spans="1:13" x14ac:dyDescent="0.25">
      <c r="A4152" s="2">
        <v>4146</v>
      </c>
      <c r="B4152" s="11">
        <f t="shared" ca="1" si="334"/>
        <v>0</v>
      </c>
      <c r="C4152" s="26">
        <f t="shared" ca="1" si="333"/>
        <v>0.9246378226800307</v>
      </c>
      <c r="J4152">
        <f t="shared" ca="1" si="335"/>
        <v>0</v>
      </c>
      <c r="K4152">
        <f t="shared" ca="1" si="336"/>
        <v>1</v>
      </c>
      <c r="L4152">
        <f t="shared" si="337"/>
        <v>4146</v>
      </c>
      <c r="M4152" s="71">
        <f t="shared" ca="1" si="338"/>
        <v>0</v>
      </c>
    </row>
    <row r="4153" spans="1:13" x14ac:dyDescent="0.25">
      <c r="A4153" s="2">
        <v>4147</v>
      </c>
      <c r="B4153" s="11">
        <f t="shared" ca="1" si="334"/>
        <v>0</v>
      </c>
      <c r="C4153" s="26">
        <f t="shared" ca="1" si="333"/>
        <v>0.81016402998574799</v>
      </c>
      <c r="J4153">
        <f t="shared" ca="1" si="335"/>
        <v>0</v>
      </c>
      <c r="K4153">
        <f t="shared" ca="1" si="336"/>
        <v>0</v>
      </c>
      <c r="L4153">
        <f t="shared" si="337"/>
        <v>4147</v>
      </c>
      <c r="M4153" s="71">
        <f t="shared" ca="1" si="338"/>
        <v>0</v>
      </c>
    </row>
    <row r="4154" spans="1:13" x14ac:dyDescent="0.25">
      <c r="A4154" s="2">
        <v>4148</v>
      </c>
      <c r="B4154" s="11">
        <f t="shared" ca="1" si="334"/>
        <v>1</v>
      </c>
      <c r="C4154" s="26">
        <f t="shared" ca="1" si="333"/>
        <v>0.14427737485444136</v>
      </c>
      <c r="J4154">
        <f t="shared" ca="1" si="335"/>
        <v>1</v>
      </c>
      <c r="K4154">
        <f t="shared" ca="1" si="336"/>
        <v>0</v>
      </c>
      <c r="L4154">
        <f t="shared" si="337"/>
        <v>4148</v>
      </c>
      <c r="M4154" s="71">
        <f t="shared" ca="1" si="338"/>
        <v>1.5441301696045144E-2</v>
      </c>
    </row>
    <row r="4155" spans="1:13" x14ac:dyDescent="0.25">
      <c r="A4155" s="2">
        <v>4149</v>
      </c>
      <c r="B4155" s="11">
        <f t="shared" ca="1" si="334"/>
        <v>1</v>
      </c>
      <c r="C4155" s="26">
        <f t="shared" ca="1" si="333"/>
        <v>9.0839635139223551E-2</v>
      </c>
      <c r="J4155">
        <f t="shared" ca="1" si="335"/>
        <v>1</v>
      </c>
      <c r="K4155">
        <f t="shared" ca="1" si="336"/>
        <v>0</v>
      </c>
      <c r="L4155">
        <f t="shared" si="337"/>
        <v>4149</v>
      </c>
      <c r="M4155" s="71">
        <f t="shared" ca="1" si="338"/>
        <v>2.4624602233098565</v>
      </c>
    </row>
    <row r="4156" spans="1:13" x14ac:dyDescent="0.25">
      <c r="A4156" s="2">
        <v>4150</v>
      </c>
      <c r="B4156" s="11">
        <f t="shared" ca="1" si="334"/>
        <v>1</v>
      </c>
      <c r="C4156" s="26">
        <f t="shared" ca="1" si="333"/>
        <v>0.20182722488253735</v>
      </c>
      <c r="J4156">
        <f t="shared" ca="1" si="335"/>
        <v>0</v>
      </c>
      <c r="K4156">
        <f t="shared" ca="1" si="336"/>
        <v>0</v>
      </c>
      <c r="L4156">
        <f t="shared" si="337"/>
        <v>4150</v>
      </c>
      <c r="M4156" s="71">
        <f t="shared" ca="1" si="338"/>
        <v>0.50865486736600896</v>
      </c>
    </row>
    <row r="4157" spans="1:13" x14ac:dyDescent="0.25">
      <c r="A4157" s="2">
        <v>4151</v>
      </c>
      <c r="B4157" s="11">
        <f t="shared" ca="1" si="334"/>
        <v>0</v>
      </c>
      <c r="C4157" s="26">
        <f t="shared" ca="1" si="333"/>
        <v>0.93651030700511639</v>
      </c>
      <c r="J4157">
        <f t="shared" ca="1" si="335"/>
        <v>0</v>
      </c>
      <c r="K4157">
        <f t="shared" ca="1" si="336"/>
        <v>0</v>
      </c>
      <c r="L4157">
        <f t="shared" si="337"/>
        <v>4151</v>
      </c>
      <c r="M4157" s="71">
        <f t="shared" ca="1" si="338"/>
        <v>0</v>
      </c>
    </row>
    <row r="4158" spans="1:13" x14ac:dyDescent="0.25">
      <c r="A4158" s="2">
        <v>4152</v>
      </c>
      <c r="B4158" s="11">
        <f t="shared" ca="1" si="334"/>
        <v>1</v>
      </c>
      <c r="C4158" s="26">
        <f t="shared" ca="1" si="333"/>
        <v>0.16953813027349185</v>
      </c>
      <c r="J4158">
        <f t="shared" ca="1" si="335"/>
        <v>1</v>
      </c>
      <c r="K4158">
        <f t="shared" ca="1" si="336"/>
        <v>0</v>
      </c>
      <c r="L4158">
        <f t="shared" si="337"/>
        <v>4152</v>
      </c>
      <c r="M4158" s="71">
        <f t="shared" ca="1" si="338"/>
        <v>13.900061937000014</v>
      </c>
    </row>
    <row r="4159" spans="1:13" x14ac:dyDescent="0.25">
      <c r="A4159" s="2">
        <v>4153</v>
      </c>
      <c r="B4159" s="11">
        <f t="shared" ca="1" si="334"/>
        <v>1</v>
      </c>
      <c r="C4159" s="26">
        <f t="shared" ca="1" si="333"/>
        <v>0.25905174133072273</v>
      </c>
      <c r="J4159">
        <f t="shared" ca="1" si="335"/>
        <v>1</v>
      </c>
      <c r="K4159">
        <f t="shared" ca="1" si="336"/>
        <v>0</v>
      </c>
      <c r="L4159">
        <f t="shared" si="337"/>
        <v>4153</v>
      </c>
      <c r="M4159" s="71">
        <f t="shared" ca="1" si="338"/>
        <v>0.29663456632157592</v>
      </c>
    </row>
    <row r="4160" spans="1:13" x14ac:dyDescent="0.25">
      <c r="A4160" s="2">
        <v>4154</v>
      </c>
      <c r="B4160" s="11">
        <f t="shared" ca="1" si="334"/>
        <v>1</v>
      </c>
      <c r="C4160" s="26">
        <f t="shared" ca="1" si="333"/>
        <v>0.65467918397720626</v>
      </c>
      <c r="J4160">
        <f t="shared" ca="1" si="335"/>
        <v>1</v>
      </c>
      <c r="K4160">
        <f t="shared" ca="1" si="336"/>
        <v>0</v>
      </c>
      <c r="L4160">
        <f t="shared" si="337"/>
        <v>4154</v>
      </c>
      <c r="M4160" s="71">
        <f t="shared" ca="1" si="338"/>
        <v>2.4907648815976189</v>
      </c>
    </row>
    <row r="4161" spans="1:13" x14ac:dyDescent="0.25">
      <c r="A4161" s="2">
        <v>4155</v>
      </c>
      <c r="B4161" s="11">
        <f t="shared" ca="1" si="334"/>
        <v>1</v>
      </c>
      <c r="C4161" s="26">
        <f t="shared" ca="1" si="333"/>
        <v>0.7987839982351187</v>
      </c>
      <c r="J4161">
        <f t="shared" ca="1" si="335"/>
        <v>1</v>
      </c>
      <c r="K4161">
        <f t="shared" ca="1" si="336"/>
        <v>0</v>
      </c>
      <c r="L4161">
        <f t="shared" si="337"/>
        <v>4155</v>
      </c>
      <c r="M4161" s="71">
        <f t="shared" ca="1" si="338"/>
        <v>4.1200120566119072</v>
      </c>
    </row>
    <row r="4162" spans="1:13" x14ac:dyDescent="0.25">
      <c r="A4162" s="2">
        <v>4156</v>
      </c>
      <c r="B4162" s="11">
        <f t="shared" ca="1" si="334"/>
        <v>1</v>
      </c>
      <c r="C4162" s="26">
        <f t="shared" ca="1" si="333"/>
        <v>0.67340817888649107</v>
      </c>
      <c r="J4162">
        <f t="shared" ca="1" si="335"/>
        <v>0</v>
      </c>
      <c r="K4162">
        <f t="shared" ca="1" si="336"/>
        <v>0</v>
      </c>
      <c r="L4162">
        <f t="shared" si="337"/>
        <v>4156</v>
      </c>
      <c r="M4162" s="71">
        <f t="shared" ca="1" si="338"/>
        <v>6.9473675942679396</v>
      </c>
    </row>
    <row r="4163" spans="1:13" x14ac:dyDescent="0.25">
      <c r="A4163" s="2">
        <v>4157</v>
      </c>
      <c r="B4163" s="11">
        <f t="shared" ca="1" si="334"/>
        <v>0</v>
      </c>
      <c r="C4163" s="26">
        <f t="shared" ca="1" si="333"/>
        <v>0.85429326174599629</v>
      </c>
      <c r="J4163">
        <f t="shared" ca="1" si="335"/>
        <v>0</v>
      </c>
      <c r="K4163">
        <f t="shared" ca="1" si="336"/>
        <v>0</v>
      </c>
      <c r="L4163">
        <f t="shared" si="337"/>
        <v>4157</v>
      </c>
      <c r="M4163" s="71">
        <f t="shared" ca="1" si="338"/>
        <v>0</v>
      </c>
    </row>
    <row r="4164" spans="1:13" x14ac:dyDescent="0.25">
      <c r="A4164" s="2">
        <v>4158</v>
      </c>
      <c r="B4164" s="11">
        <f t="shared" ca="1" si="334"/>
        <v>1</v>
      </c>
      <c r="C4164" s="26">
        <f t="shared" ca="1" si="333"/>
        <v>0.10468802275842037</v>
      </c>
      <c r="J4164">
        <f t="shared" ca="1" si="335"/>
        <v>0</v>
      </c>
      <c r="K4164">
        <f t="shared" ca="1" si="336"/>
        <v>0</v>
      </c>
      <c r="L4164">
        <f t="shared" si="337"/>
        <v>4158</v>
      </c>
      <c r="M4164" s="71">
        <f t="shared" ca="1" si="338"/>
        <v>1.066322289620683</v>
      </c>
    </row>
    <row r="4165" spans="1:13" x14ac:dyDescent="0.25">
      <c r="A4165" s="2">
        <v>4159</v>
      </c>
      <c r="B4165" s="11">
        <f t="shared" ca="1" si="334"/>
        <v>0</v>
      </c>
      <c r="C4165" s="26">
        <f t="shared" ca="1" si="333"/>
        <v>0.88498248735106722</v>
      </c>
      <c r="J4165">
        <f t="shared" ca="1" si="335"/>
        <v>0</v>
      </c>
      <c r="K4165">
        <f t="shared" ca="1" si="336"/>
        <v>0</v>
      </c>
      <c r="L4165">
        <f t="shared" si="337"/>
        <v>4159</v>
      </c>
      <c r="M4165" s="71">
        <f t="shared" ca="1" si="338"/>
        <v>0</v>
      </c>
    </row>
    <row r="4166" spans="1:13" x14ac:dyDescent="0.25">
      <c r="A4166" s="2">
        <v>4160</v>
      </c>
      <c r="B4166" s="11">
        <f t="shared" ca="1" si="334"/>
        <v>1</v>
      </c>
      <c r="C4166" s="26">
        <f t="shared" ca="1" si="333"/>
        <v>0.66807751123357106</v>
      </c>
      <c r="J4166">
        <f t="shared" ca="1" si="335"/>
        <v>1</v>
      </c>
      <c r="K4166">
        <f t="shared" ca="1" si="336"/>
        <v>0</v>
      </c>
      <c r="L4166">
        <f t="shared" si="337"/>
        <v>4160</v>
      </c>
      <c r="M4166" s="71">
        <f t="shared" ca="1" si="338"/>
        <v>3.6103198715021358</v>
      </c>
    </row>
    <row r="4167" spans="1:13" x14ac:dyDescent="0.25">
      <c r="A4167" s="2">
        <v>4161</v>
      </c>
      <c r="B4167" s="11">
        <f t="shared" ca="1" si="334"/>
        <v>1</v>
      </c>
      <c r="C4167" s="26">
        <f t="shared" ca="1" si="333"/>
        <v>0.15370127121284571</v>
      </c>
      <c r="J4167">
        <f t="shared" ca="1" si="335"/>
        <v>1</v>
      </c>
      <c r="K4167">
        <f t="shared" ca="1" si="336"/>
        <v>0</v>
      </c>
      <c r="L4167">
        <f t="shared" si="337"/>
        <v>4161</v>
      </c>
      <c r="M4167" s="71">
        <f t="shared" ca="1" si="338"/>
        <v>4.9521498033415021</v>
      </c>
    </row>
    <row r="4168" spans="1:13" x14ac:dyDescent="0.25">
      <c r="A4168" s="2">
        <v>4162</v>
      </c>
      <c r="B4168" s="11">
        <f t="shared" ca="1" si="334"/>
        <v>1</v>
      </c>
      <c r="C4168" s="26">
        <f t="shared" ref="C4168:C4231" ca="1" si="339">RAND()</f>
        <v>0.23720680087700652</v>
      </c>
      <c r="J4168">
        <f t="shared" ca="1" si="335"/>
        <v>1</v>
      </c>
      <c r="K4168">
        <f t="shared" ca="1" si="336"/>
        <v>0</v>
      </c>
      <c r="L4168">
        <f t="shared" si="337"/>
        <v>4162</v>
      </c>
      <c r="M4168" s="71">
        <f t="shared" ca="1" si="338"/>
        <v>6.1327086915792224</v>
      </c>
    </row>
    <row r="4169" spans="1:13" x14ac:dyDescent="0.25">
      <c r="A4169" s="2">
        <v>4163</v>
      </c>
      <c r="B4169" s="11">
        <f t="shared" ref="B4169:B4232" ca="1" si="340">IF(B4168&gt;0,IF(C4169&lt;pww,1,0),IF(C4169&lt;pdw,1,0))</f>
        <v>1</v>
      </c>
      <c r="C4169" s="26">
        <f t="shared" ca="1" si="339"/>
        <v>0.7173960138965022</v>
      </c>
      <c r="J4169">
        <f t="shared" ca="1" si="335"/>
        <v>0</v>
      </c>
      <c r="K4169">
        <f t="shared" ca="1" si="336"/>
        <v>0</v>
      </c>
      <c r="L4169">
        <f t="shared" si="337"/>
        <v>4163</v>
      </c>
      <c r="M4169" s="71">
        <f t="shared" ca="1" si="338"/>
        <v>1.5007493994865957</v>
      </c>
    </row>
    <row r="4170" spans="1:13" x14ac:dyDescent="0.25">
      <c r="A4170" s="2">
        <v>4164</v>
      </c>
      <c r="B4170" s="11">
        <f t="shared" ca="1" si="340"/>
        <v>0</v>
      </c>
      <c r="C4170" s="26">
        <f t="shared" ca="1" si="339"/>
        <v>0.82262630479390397</v>
      </c>
      <c r="J4170">
        <f t="shared" ref="J4170:J4233" ca="1" si="341">IF(AND(B4170,B4171),1,0)</f>
        <v>0</v>
      </c>
      <c r="K4170">
        <f t="shared" ref="K4170:K4233" ca="1" si="342">IF(AND(NOT(B4170),NOT(B4171)),1,0)</f>
        <v>0</v>
      </c>
      <c r="L4170">
        <f t="shared" ref="L4170:L4233" si="343">L4169+1</f>
        <v>4164</v>
      </c>
      <c r="M4170" s="71">
        <f t="shared" ref="M4170:M4233" ca="1" si="344">IF(B4170&gt;0,-LN(1-(RAND()))/lambda,0)</f>
        <v>0</v>
      </c>
    </row>
    <row r="4171" spans="1:13" x14ac:dyDescent="0.25">
      <c r="A4171" s="2">
        <v>4165</v>
      </c>
      <c r="B4171" s="11">
        <f t="shared" ca="1" si="340"/>
        <v>1</v>
      </c>
      <c r="C4171" s="26">
        <f t="shared" ca="1" si="339"/>
        <v>0.56901950769793697</v>
      </c>
      <c r="J4171">
        <f t="shared" ca="1" si="341"/>
        <v>1</v>
      </c>
      <c r="K4171">
        <f t="shared" ca="1" si="342"/>
        <v>0</v>
      </c>
      <c r="L4171">
        <f t="shared" si="343"/>
        <v>4165</v>
      </c>
      <c r="M4171" s="71">
        <f t="shared" ca="1" si="344"/>
        <v>0.18327704840255049</v>
      </c>
    </row>
    <row r="4172" spans="1:13" x14ac:dyDescent="0.25">
      <c r="A4172" s="2">
        <v>4166</v>
      </c>
      <c r="B4172" s="11">
        <f t="shared" ca="1" si="340"/>
        <v>1</v>
      </c>
      <c r="C4172" s="26">
        <f t="shared" ca="1" si="339"/>
        <v>0.68532685962634232</v>
      </c>
      <c r="J4172">
        <f t="shared" ca="1" si="341"/>
        <v>0</v>
      </c>
      <c r="K4172">
        <f t="shared" ca="1" si="342"/>
        <v>0</v>
      </c>
      <c r="L4172">
        <f t="shared" si="343"/>
        <v>4166</v>
      </c>
      <c r="M4172" s="71">
        <f t="shared" ca="1" si="344"/>
        <v>4.0835021878448359</v>
      </c>
    </row>
    <row r="4173" spans="1:13" x14ac:dyDescent="0.25">
      <c r="A4173" s="2">
        <v>4167</v>
      </c>
      <c r="B4173" s="11">
        <f t="shared" ca="1" si="340"/>
        <v>0</v>
      </c>
      <c r="C4173" s="26">
        <f t="shared" ca="1" si="339"/>
        <v>0.83139484325510926</v>
      </c>
      <c r="J4173">
        <f t="shared" ca="1" si="341"/>
        <v>0</v>
      </c>
      <c r="K4173">
        <f t="shared" ca="1" si="342"/>
        <v>1</v>
      </c>
      <c r="L4173">
        <f t="shared" si="343"/>
        <v>4167</v>
      </c>
      <c r="M4173" s="71">
        <f t="shared" ca="1" si="344"/>
        <v>0</v>
      </c>
    </row>
    <row r="4174" spans="1:13" x14ac:dyDescent="0.25">
      <c r="A4174" s="2">
        <v>4168</v>
      </c>
      <c r="B4174" s="11">
        <f t="shared" ca="1" si="340"/>
        <v>0</v>
      </c>
      <c r="C4174" s="26">
        <f t="shared" ca="1" si="339"/>
        <v>0.90781997722872376</v>
      </c>
      <c r="J4174">
        <f t="shared" ca="1" si="341"/>
        <v>0</v>
      </c>
      <c r="K4174">
        <f t="shared" ca="1" si="342"/>
        <v>1</v>
      </c>
      <c r="L4174">
        <f t="shared" si="343"/>
        <v>4168</v>
      </c>
      <c r="M4174" s="71">
        <f t="shared" ca="1" si="344"/>
        <v>0</v>
      </c>
    </row>
    <row r="4175" spans="1:13" x14ac:dyDescent="0.25">
      <c r="A4175" s="2">
        <v>4169</v>
      </c>
      <c r="B4175" s="11">
        <f t="shared" ca="1" si="340"/>
        <v>0</v>
      </c>
      <c r="C4175" s="26">
        <f t="shared" ca="1" si="339"/>
        <v>0.77331782629684276</v>
      </c>
      <c r="J4175">
        <f t="shared" ca="1" si="341"/>
        <v>0</v>
      </c>
      <c r="K4175">
        <f t="shared" ca="1" si="342"/>
        <v>1</v>
      </c>
      <c r="L4175">
        <f t="shared" si="343"/>
        <v>4169</v>
      </c>
      <c r="M4175" s="71">
        <f t="shared" ca="1" si="344"/>
        <v>0</v>
      </c>
    </row>
    <row r="4176" spans="1:13" x14ac:dyDescent="0.25">
      <c r="A4176" s="2">
        <v>4170</v>
      </c>
      <c r="B4176" s="11">
        <f t="shared" ca="1" si="340"/>
        <v>0</v>
      </c>
      <c r="C4176" s="26">
        <f t="shared" ca="1" si="339"/>
        <v>0.96108852908930886</v>
      </c>
      <c r="J4176">
        <f t="shared" ca="1" si="341"/>
        <v>0</v>
      </c>
      <c r="K4176">
        <f t="shared" ca="1" si="342"/>
        <v>1</v>
      </c>
      <c r="L4176">
        <f t="shared" si="343"/>
        <v>4170</v>
      </c>
      <c r="M4176" s="71">
        <f t="shared" ca="1" si="344"/>
        <v>0</v>
      </c>
    </row>
    <row r="4177" spans="1:13" x14ac:dyDescent="0.25">
      <c r="A4177" s="2">
        <v>4171</v>
      </c>
      <c r="B4177" s="11">
        <f t="shared" ca="1" si="340"/>
        <v>0</v>
      </c>
      <c r="C4177" s="26">
        <f t="shared" ca="1" si="339"/>
        <v>0.84993387213652349</v>
      </c>
      <c r="J4177">
        <f t="shared" ca="1" si="341"/>
        <v>0</v>
      </c>
      <c r="K4177">
        <f t="shared" ca="1" si="342"/>
        <v>0</v>
      </c>
      <c r="L4177">
        <f t="shared" si="343"/>
        <v>4171</v>
      </c>
      <c r="M4177" s="71">
        <f t="shared" ca="1" si="344"/>
        <v>0</v>
      </c>
    </row>
    <row r="4178" spans="1:13" x14ac:dyDescent="0.25">
      <c r="A4178" s="2">
        <v>4172</v>
      </c>
      <c r="B4178" s="11">
        <f t="shared" ca="1" si="340"/>
        <v>1</v>
      </c>
      <c r="C4178" s="26">
        <f t="shared" ca="1" si="339"/>
        <v>0.46087139627399965</v>
      </c>
      <c r="J4178">
        <f t="shared" ca="1" si="341"/>
        <v>1</v>
      </c>
      <c r="K4178">
        <f t="shared" ca="1" si="342"/>
        <v>0</v>
      </c>
      <c r="L4178">
        <f t="shared" si="343"/>
        <v>4172</v>
      </c>
      <c r="M4178" s="71">
        <f t="shared" ca="1" si="344"/>
        <v>1.1688731150052545</v>
      </c>
    </row>
    <row r="4179" spans="1:13" x14ac:dyDescent="0.25">
      <c r="A4179" s="2">
        <v>4173</v>
      </c>
      <c r="B4179" s="11">
        <f t="shared" ca="1" si="340"/>
        <v>1</v>
      </c>
      <c r="C4179" s="26">
        <f t="shared" ca="1" si="339"/>
        <v>0.40968655613164917</v>
      </c>
      <c r="J4179">
        <f t="shared" ca="1" si="341"/>
        <v>0</v>
      </c>
      <c r="K4179">
        <f t="shared" ca="1" si="342"/>
        <v>0</v>
      </c>
      <c r="L4179">
        <f t="shared" si="343"/>
        <v>4173</v>
      </c>
      <c r="M4179" s="71">
        <f t="shared" ca="1" si="344"/>
        <v>0.18193713915191087</v>
      </c>
    </row>
    <row r="4180" spans="1:13" x14ac:dyDescent="0.25">
      <c r="A4180" s="2">
        <v>4174</v>
      </c>
      <c r="B4180" s="11">
        <f t="shared" ca="1" si="340"/>
        <v>0</v>
      </c>
      <c r="C4180" s="26">
        <f t="shared" ca="1" si="339"/>
        <v>0.81483457511482271</v>
      </c>
      <c r="J4180">
        <f t="shared" ca="1" si="341"/>
        <v>0</v>
      </c>
      <c r="K4180">
        <f t="shared" ca="1" si="342"/>
        <v>0</v>
      </c>
      <c r="L4180">
        <f t="shared" si="343"/>
        <v>4174</v>
      </c>
      <c r="M4180" s="71">
        <f t="shared" ca="1" si="344"/>
        <v>0</v>
      </c>
    </row>
    <row r="4181" spans="1:13" x14ac:dyDescent="0.25">
      <c r="A4181" s="2">
        <v>4175</v>
      </c>
      <c r="B4181" s="11">
        <f t="shared" ca="1" si="340"/>
        <v>1</v>
      </c>
      <c r="C4181" s="26">
        <f t="shared" ca="1" si="339"/>
        <v>0.35359939088904258</v>
      </c>
      <c r="J4181">
        <f t="shared" ca="1" si="341"/>
        <v>1</v>
      </c>
      <c r="K4181">
        <f t="shared" ca="1" si="342"/>
        <v>0</v>
      </c>
      <c r="L4181">
        <f t="shared" si="343"/>
        <v>4175</v>
      </c>
      <c r="M4181" s="71">
        <f t="shared" ca="1" si="344"/>
        <v>0.53002771801713899</v>
      </c>
    </row>
    <row r="4182" spans="1:13" x14ac:dyDescent="0.25">
      <c r="A4182" s="2">
        <v>4176</v>
      </c>
      <c r="B4182" s="11">
        <f t="shared" ca="1" si="340"/>
        <v>1</v>
      </c>
      <c r="C4182" s="26">
        <f t="shared" ca="1" si="339"/>
        <v>0.45154408978201188</v>
      </c>
      <c r="J4182">
        <f t="shared" ca="1" si="341"/>
        <v>1</v>
      </c>
      <c r="K4182">
        <f t="shared" ca="1" si="342"/>
        <v>0</v>
      </c>
      <c r="L4182">
        <f t="shared" si="343"/>
        <v>4176</v>
      </c>
      <c r="M4182" s="71">
        <f t="shared" ca="1" si="344"/>
        <v>3.5345644006829207</v>
      </c>
    </row>
    <row r="4183" spans="1:13" x14ac:dyDescent="0.25">
      <c r="A4183" s="2">
        <v>4177</v>
      </c>
      <c r="B4183" s="11">
        <f t="shared" ca="1" si="340"/>
        <v>1</v>
      </c>
      <c r="C4183" s="26">
        <f t="shared" ca="1" si="339"/>
        <v>0.48472408548680013</v>
      </c>
      <c r="J4183">
        <f t="shared" ca="1" si="341"/>
        <v>1</v>
      </c>
      <c r="K4183">
        <f t="shared" ca="1" si="342"/>
        <v>0</v>
      </c>
      <c r="L4183">
        <f t="shared" si="343"/>
        <v>4177</v>
      </c>
      <c r="M4183" s="71">
        <f t="shared" ca="1" si="344"/>
        <v>4.3794960814417205</v>
      </c>
    </row>
    <row r="4184" spans="1:13" x14ac:dyDescent="0.25">
      <c r="A4184" s="2">
        <v>4178</v>
      </c>
      <c r="B4184" s="11">
        <f t="shared" ca="1" si="340"/>
        <v>1</v>
      </c>
      <c r="C4184" s="26">
        <f t="shared" ca="1" si="339"/>
        <v>0.7833897580176673</v>
      </c>
      <c r="J4184">
        <f t="shared" ca="1" si="341"/>
        <v>0</v>
      </c>
      <c r="K4184">
        <f t="shared" ca="1" si="342"/>
        <v>0</v>
      </c>
      <c r="L4184">
        <f t="shared" si="343"/>
        <v>4178</v>
      </c>
      <c r="M4184" s="71">
        <f t="shared" ca="1" si="344"/>
        <v>0.87147032700673099</v>
      </c>
    </row>
    <row r="4185" spans="1:13" x14ac:dyDescent="0.25">
      <c r="A4185" s="2">
        <v>4179</v>
      </c>
      <c r="B4185" s="11">
        <f t="shared" ca="1" si="340"/>
        <v>0</v>
      </c>
      <c r="C4185" s="26">
        <f t="shared" ca="1" si="339"/>
        <v>0.99260133322700417</v>
      </c>
      <c r="J4185">
        <f t="shared" ca="1" si="341"/>
        <v>0</v>
      </c>
      <c r="K4185">
        <f t="shared" ca="1" si="342"/>
        <v>0</v>
      </c>
      <c r="L4185">
        <f t="shared" si="343"/>
        <v>4179</v>
      </c>
      <c r="M4185" s="71">
        <f t="shared" ca="1" si="344"/>
        <v>0</v>
      </c>
    </row>
    <row r="4186" spans="1:13" x14ac:dyDescent="0.25">
      <c r="A4186" s="2">
        <v>4180</v>
      </c>
      <c r="B4186" s="11">
        <f t="shared" ca="1" si="340"/>
        <v>1</v>
      </c>
      <c r="C4186" s="26">
        <f t="shared" ca="1" si="339"/>
        <v>0.12899867859627956</v>
      </c>
      <c r="J4186">
        <f t="shared" ca="1" si="341"/>
        <v>1</v>
      </c>
      <c r="K4186">
        <f t="shared" ca="1" si="342"/>
        <v>0</v>
      </c>
      <c r="L4186">
        <f t="shared" si="343"/>
        <v>4180</v>
      </c>
      <c r="M4186" s="71">
        <f t="shared" ca="1" si="344"/>
        <v>4.7470050674982014</v>
      </c>
    </row>
    <row r="4187" spans="1:13" x14ac:dyDescent="0.25">
      <c r="A4187" s="2">
        <v>4181</v>
      </c>
      <c r="B4187" s="11">
        <f t="shared" ca="1" si="340"/>
        <v>1</v>
      </c>
      <c r="C4187" s="26">
        <f t="shared" ca="1" si="339"/>
        <v>0.4343284249483762</v>
      </c>
      <c r="J4187">
        <f t="shared" ca="1" si="341"/>
        <v>1</v>
      </c>
      <c r="K4187">
        <f t="shared" ca="1" si="342"/>
        <v>0</v>
      </c>
      <c r="L4187">
        <f t="shared" si="343"/>
        <v>4181</v>
      </c>
      <c r="M4187" s="71">
        <f t="shared" ca="1" si="344"/>
        <v>1.9279165084416963</v>
      </c>
    </row>
    <row r="4188" spans="1:13" x14ac:dyDescent="0.25">
      <c r="A4188" s="2">
        <v>4182</v>
      </c>
      <c r="B4188" s="11">
        <f t="shared" ca="1" si="340"/>
        <v>1</v>
      </c>
      <c r="C4188" s="26">
        <f t="shared" ca="1" si="339"/>
        <v>0.41454930227096076</v>
      </c>
      <c r="J4188">
        <f t="shared" ca="1" si="341"/>
        <v>1</v>
      </c>
      <c r="K4188">
        <f t="shared" ca="1" si="342"/>
        <v>0</v>
      </c>
      <c r="L4188">
        <f t="shared" si="343"/>
        <v>4182</v>
      </c>
      <c r="M4188" s="71">
        <f t="shared" ca="1" si="344"/>
        <v>2.1842339699209283</v>
      </c>
    </row>
    <row r="4189" spans="1:13" x14ac:dyDescent="0.25">
      <c r="A4189" s="2">
        <v>4183</v>
      </c>
      <c r="B4189" s="11">
        <f t="shared" ca="1" si="340"/>
        <v>1</v>
      </c>
      <c r="C4189" s="26">
        <f t="shared" ca="1" si="339"/>
        <v>0.49557149263875477</v>
      </c>
      <c r="J4189">
        <f t="shared" ca="1" si="341"/>
        <v>1</v>
      </c>
      <c r="K4189">
        <f t="shared" ca="1" si="342"/>
        <v>0</v>
      </c>
      <c r="L4189">
        <f t="shared" si="343"/>
        <v>4183</v>
      </c>
      <c r="M4189" s="71">
        <f t="shared" ca="1" si="344"/>
        <v>6.7091167781665666</v>
      </c>
    </row>
    <row r="4190" spans="1:13" x14ac:dyDescent="0.25">
      <c r="A4190" s="2">
        <v>4184</v>
      </c>
      <c r="B4190" s="11">
        <f t="shared" ca="1" si="340"/>
        <v>1</v>
      </c>
      <c r="C4190" s="26">
        <f t="shared" ca="1" si="339"/>
        <v>0.61121766853049564</v>
      </c>
      <c r="J4190">
        <f t="shared" ca="1" si="341"/>
        <v>0</v>
      </c>
      <c r="K4190">
        <f t="shared" ca="1" si="342"/>
        <v>0</v>
      </c>
      <c r="L4190">
        <f t="shared" si="343"/>
        <v>4184</v>
      </c>
      <c r="M4190" s="71">
        <f t="shared" ca="1" si="344"/>
        <v>4.9178733048280501</v>
      </c>
    </row>
    <row r="4191" spans="1:13" x14ac:dyDescent="0.25">
      <c r="A4191" s="2">
        <v>4185</v>
      </c>
      <c r="B4191" s="11">
        <f t="shared" ca="1" si="340"/>
        <v>0</v>
      </c>
      <c r="C4191" s="26">
        <f t="shared" ca="1" si="339"/>
        <v>0.92305179465320519</v>
      </c>
      <c r="J4191">
        <f t="shared" ca="1" si="341"/>
        <v>0</v>
      </c>
      <c r="K4191">
        <f t="shared" ca="1" si="342"/>
        <v>0</v>
      </c>
      <c r="L4191">
        <f t="shared" si="343"/>
        <v>4185</v>
      </c>
      <c r="M4191" s="71">
        <f t="shared" ca="1" si="344"/>
        <v>0</v>
      </c>
    </row>
    <row r="4192" spans="1:13" x14ac:dyDescent="0.25">
      <c r="A4192" s="2">
        <v>4186</v>
      </c>
      <c r="B4192" s="11">
        <f t="shared" ca="1" si="340"/>
        <v>1</v>
      </c>
      <c r="C4192" s="26">
        <f t="shared" ca="1" si="339"/>
        <v>0.20797650910499721</v>
      </c>
      <c r="J4192">
        <f t="shared" ca="1" si="341"/>
        <v>0</v>
      </c>
      <c r="K4192">
        <f t="shared" ca="1" si="342"/>
        <v>0</v>
      </c>
      <c r="L4192">
        <f t="shared" si="343"/>
        <v>4186</v>
      </c>
      <c r="M4192" s="71">
        <f t="shared" ca="1" si="344"/>
        <v>1.9160401430904095</v>
      </c>
    </row>
    <row r="4193" spans="1:13" x14ac:dyDescent="0.25">
      <c r="A4193" s="2">
        <v>4187</v>
      </c>
      <c r="B4193" s="11">
        <f t="shared" ca="1" si="340"/>
        <v>0</v>
      </c>
      <c r="C4193" s="26">
        <f t="shared" ca="1" si="339"/>
        <v>0.97753222326644618</v>
      </c>
      <c r="J4193">
        <f t="shared" ca="1" si="341"/>
        <v>0</v>
      </c>
      <c r="K4193">
        <f t="shared" ca="1" si="342"/>
        <v>0</v>
      </c>
      <c r="L4193">
        <f t="shared" si="343"/>
        <v>4187</v>
      </c>
      <c r="M4193" s="71">
        <f t="shared" ca="1" si="344"/>
        <v>0</v>
      </c>
    </row>
    <row r="4194" spans="1:13" x14ac:dyDescent="0.25">
      <c r="A4194" s="2">
        <v>4188</v>
      </c>
      <c r="B4194" s="11">
        <f t="shared" ca="1" si="340"/>
        <v>1</v>
      </c>
      <c r="C4194" s="26">
        <f t="shared" ca="1" si="339"/>
        <v>0.32548945701692644</v>
      </c>
      <c r="J4194">
        <f t="shared" ca="1" si="341"/>
        <v>0</v>
      </c>
      <c r="K4194">
        <f t="shared" ca="1" si="342"/>
        <v>0</v>
      </c>
      <c r="L4194">
        <f t="shared" si="343"/>
        <v>4188</v>
      </c>
      <c r="M4194" s="71">
        <f t="shared" ca="1" si="344"/>
        <v>0.10069711524122418</v>
      </c>
    </row>
    <row r="4195" spans="1:13" x14ac:dyDescent="0.25">
      <c r="A4195" s="2">
        <v>4189</v>
      </c>
      <c r="B4195" s="11">
        <f t="shared" ca="1" si="340"/>
        <v>0</v>
      </c>
      <c r="C4195" s="26">
        <f t="shared" ca="1" si="339"/>
        <v>0.9992487562518575</v>
      </c>
      <c r="J4195">
        <f t="shared" ca="1" si="341"/>
        <v>0</v>
      </c>
      <c r="K4195">
        <f t="shared" ca="1" si="342"/>
        <v>0</v>
      </c>
      <c r="L4195">
        <f t="shared" si="343"/>
        <v>4189</v>
      </c>
      <c r="M4195" s="71">
        <f t="shared" ca="1" si="344"/>
        <v>0</v>
      </c>
    </row>
    <row r="4196" spans="1:13" x14ac:dyDescent="0.25">
      <c r="A4196" s="2">
        <v>4190</v>
      </c>
      <c r="B4196" s="11">
        <f t="shared" ca="1" si="340"/>
        <v>1</v>
      </c>
      <c r="C4196" s="26">
        <f t="shared" ca="1" si="339"/>
        <v>0.11168811054280325</v>
      </c>
      <c r="J4196">
        <f t="shared" ca="1" si="341"/>
        <v>1</v>
      </c>
      <c r="K4196">
        <f t="shared" ca="1" si="342"/>
        <v>0</v>
      </c>
      <c r="L4196">
        <f t="shared" si="343"/>
        <v>4190</v>
      </c>
      <c r="M4196" s="71">
        <f t="shared" ca="1" si="344"/>
        <v>0.89256780496741306</v>
      </c>
    </row>
    <row r="4197" spans="1:13" x14ac:dyDescent="0.25">
      <c r="A4197" s="2">
        <v>4191</v>
      </c>
      <c r="B4197" s="11">
        <f t="shared" ca="1" si="340"/>
        <v>1</v>
      </c>
      <c r="C4197" s="26">
        <f t="shared" ca="1" si="339"/>
        <v>0.31775833004664744</v>
      </c>
      <c r="J4197">
        <f t="shared" ca="1" si="341"/>
        <v>1</v>
      </c>
      <c r="K4197">
        <f t="shared" ca="1" si="342"/>
        <v>0</v>
      </c>
      <c r="L4197">
        <f t="shared" si="343"/>
        <v>4191</v>
      </c>
      <c r="M4197" s="71">
        <f t="shared" ca="1" si="344"/>
        <v>5.172091653965154</v>
      </c>
    </row>
    <row r="4198" spans="1:13" x14ac:dyDescent="0.25">
      <c r="A4198" s="2">
        <v>4192</v>
      </c>
      <c r="B4198" s="11">
        <f t="shared" ca="1" si="340"/>
        <v>1</v>
      </c>
      <c r="C4198" s="26">
        <f t="shared" ca="1" si="339"/>
        <v>0.1926729116193393</v>
      </c>
      <c r="J4198">
        <f t="shared" ca="1" si="341"/>
        <v>0</v>
      </c>
      <c r="K4198">
        <f t="shared" ca="1" si="342"/>
        <v>0</v>
      </c>
      <c r="L4198">
        <f t="shared" si="343"/>
        <v>4192</v>
      </c>
      <c r="M4198" s="71">
        <f t="shared" ca="1" si="344"/>
        <v>1.8575307705279411</v>
      </c>
    </row>
    <row r="4199" spans="1:13" x14ac:dyDescent="0.25">
      <c r="A4199" s="2">
        <v>4193</v>
      </c>
      <c r="B4199" s="11">
        <f t="shared" ca="1" si="340"/>
        <v>0</v>
      </c>
      <c r="C4199" s="26">
        <f t="shared" ca="1" si="339"/>
        <v>0.83516015719751835</v>
      </c>
      <c r="J4199">
        <f t="shared" ca="1" si="341"/>
        <v>0</v>
      </c>
      <c r="K4199">
        <f t="shared" ca="1" si="342"/>
        <v>0</v>
      </c>
      <c r="L4199">
        <f t="shared" si="343"/>
        <v>4193</v>
      </c>
      <c r="M4199" s="71">
        <f t="shared" ca="1" si="344"/>
        <v>0</v>
      </c>
    </row>
    <row r="4200" spans="1:13" x14ac:dyDescent="0.25">
      <c r="A4200" s="2">
        <v>4194</v>
      </c>
      <c r="B4200" s="11">
        <f t="shared" ca="1" si="340"/>
        <v>1</v>
      </c>
      <c r="C4200" s="26">
        <f t="shared" ca="1" si="339"/>
        <v>0.67972833142278322</v>
      </c>
      <c r="J4200">
        <f t="shared" ca="1" si="341"/>
        <v>1</v>
      </c>
      <c r="K4200">
        <f t="shared" ca="1" si="342"/>
        <v>0</v>
      </c>
      <c r="L4200">
        <f t="shared" si="343"/>
        <v>4194</v>
      </c>
      <c r="M4200" s="71">
        <f t="shared" ca="1" si="344"/>
        <v>3.872999807424534</v>
      </c>
    </row>
    <row r="4201" spans="1:13" x14ac:dyDescent="0.25">
      <c r="A4201" s="2">
        <v>4195</v>
      </c>
      <c r="B4201" s="11">
        <f t="shared" ca="1" si="340"/>
        <v>1</v>
      </c>
      <c r="C4201" s="26">
        <f t="shared" ca="1" si="339"/>
        <v>1.9741849964843849E-3</v>
      </c>
      <c r="J4201">
        <f t="shared" ca="1" si="341"/>
        <v>1</v>
      </c>
      <c r="K4201">
        <f t="shared" ca="1" si="342"/>
        <v>0</v>
      </c>
      <c r="L4201">
        <f t="shared" si="343"/>
        <v>4195</v>
      </c>
      <c r="M4201" s="71">
        <f t="shared" ca="1" si="344"/>
        <v>0.74059290725203353</v>
      </c>
    </row>
    <row r="4202" spans="1:13" x14ac:dyDescent="0.25">
      <c r="A4202" s="2">
        <v>4196</v>
      </c>
      <c r="B4202" s="11">
        <f t="shared" ca="1" si="340"/>
        <v>1</v>
      </c>
      <c r="C4202" s="26">
        <f t="shared" ca="1" si="339"/>
        <v>0.1423751907970412</v>
      </c>
      <c r="J4202">
        <f t="shared" ca="1" si="341"/>
        <v>1</v>
      </c>
      <c r="K4202">
        <f t="shared" ca="1" si="342"/>
        <v>0</v>
      </c>
      <c r="L4202">
        <f t="shared" si="343"/>
        <v>4196</v>
      </c>
      <c r="M4202" s="71">
        <f t="shared" ca="1" si="344"/>
        <v>1.4759381787786019</v>
      </c>
    </row>
    <row r="4203" spans="1:13" x14ac:dyDescent="0.25">
      <c r="A4203" s="2">
        <v>4197</v>
      </c>
      <c r="B4203" s="11">
        <f t="shared" ca="1" si="340"/>
        <v>1</v>
      </c>
      <c r="C4203" s="26">
        <f t="shared" ca="1" si="339"/>
        <v>0.70918126360912781</v>
      </c>
      <c r="J4203">
        <f t="shared" ca="1" si="341"/>
        <v>1</v>
      </c>
      <c r="K4203">
        <f t="shared" ca="1" si="342"/>
        <v>0</v>
      </c>
      <c r="L4203">
        <f t="shared" si="343"/>
        <v>4197</v>
      </c>
      <c r="M4203" s="71">
        <f t="shared" ca="1" si="344"/>
        <v>1.8857964040588089</v>
      </c>
    </row>
    <row r="4204" spans="1:13" x14ac:dyDescent="0.25">
      <c r="A4204" s="2">
        <v>4198</v>
      </c>
      <c r="B4204" s="11">
        <f t="shared" ca="1" si="340"/>
        <v>1</v>
      </c>
      <c r="C4204" s="26">
        <f t="shared" ca="1" si="339"/>
        <v>0.22944632392163544</v>
      </c>
      <c r="J4204">
        <f t="shared" ca="1" si="341"/>
        <v>1</v>
      </c>
      <c r="K4204">
        <f t="shared" ca="1" si="342"/>
        <v>0</v>
      </c>
      <c r="L4204">
        <f t="shared" si="343"/>
        <v>4198</v>
      </c>
      <c r="M4204" s="71">
        <f t="shared" ca="1" si="344"/>
        <v>0.99763735482544003</v>
      </c>
    </row>
    <row r="4205" spans="1:13" x14ac:dyDescent="0.25">
      <c r="A4205" s="2">
        <v>4199</v>
      </c>
      <c r="B4205" s="11">
        <f t="shared" ca="1" si="340"/>
        <v>1</v>
      </c>
      <c r="C4205" s="26">
        <f t="shared" ca="1" si="339"/>
        <v>9.4712615156546609E-2</v>
      </c>
      <c r="J4205">
        <f t="shared" ca="1" si="341"/>
        <v>0</v>
      </c>
      <c r="K4205">
        <f t="shared" ca="1" si="342"/>
        <v>0</v>
      </c>
      <c r="L4205">
        <f t="shared" si="343"/>
        <v>4199</v>
      </c>
      <c r="M4205" s="71">
        <f t="shared" ca="1" si="344"/>
        <v>10.869113106423844</v>
      </c>
    </row>
    <row r="4206" spans="1:13" x14ac:dyDescent="0.25">
      <c r="A4206" s="2">
        <v>4200</v>
      </c>
      <c r="B4206" s="11">
        <f t="shared" ca="1" si="340"/>
        <v>0</v>
      </c>
      <c r="C4206" s="26">
        <f t="shared" ca="1" si="339"/>
        <v>0.80991126135972302</v>
      </c>
      <c r="J4206">
        <f t="shared" ca="1" si="341"/>
        <v>0</v>
      </c>
      <c r="K4206">
        <f t="shared" ca="1" si="342"/>
        <v>0</v>
      </c>
      <c r="L4206">
        <f t="shared" si="343"/>
        <v>4200</v>
      </c>
      <c r="M4206" s="71">
        <f t="shared" ca="1" si="344"/>
        <v>0</v>
      </c>
    </row>
    <row r="4207" spans="1:13" x14ac:dyDescent="0.25">
      <c r="A4207" s="2">
        <v>4201</v>
      </c>
      <c r="B4207" s="11">
        <f t="shared" ca="1" si="340"/>
        <v>1</v>
      </c>
      <c r="C4207" s="26">
        <f t="shared" ca="1" si="339"/>
        <v>0.49995241817427394</v>
      </c>
      <c r="J4207">
        <f t="shared" ca="1" si="341"/>
        <v>1</v>
      </c>
      <c r="K4207">
        <f t="shared" ca="1" si="342"/>
        <v>0</v>
      </c>
      <c r="L4207">
        <f t="shared" si="343"/>
        <v>4201</v>
      </c>
      <c r="M4207" s="71">
        <f t="shared" ca="1" si="344"/>
        <v>16.188567835490201</v>
      </c>
    </row>
    <row r="4208" spans="1:13" x14ac:dyDescent="0.25">
      <c r="A4208" s="2">
        <v>4202</v>
      </c>
      <c r="B4208" s="11">
        <f t="shared" ca="1" si="340"/>
        <v>1</v>
      </c>
      <c r="C4208" s="26">
        <f t="shared" ca="1" si="339"/>
        <v>0.18138593472818276</v>
      </c>
      <c r="J4208">
        <f t="shared" ca="1" si="341"/>
        <v>1</v>
      </c>
      <c r="K4208">
        <f t="shared" ca="1" si="342"/>
        <v>0</v>
      </c>
      <c r="L4208">
        <f t="shared" si="343"/>
        <v>4202</v>
      </c>
      <c r="M4208" s="71">
        <f t="shared" ca="1" si="344"/>
        <v>8.3286918242132852</v>
      </c>
    </row>
    <row r="4209" spans="1:13" x14ac:dyDescent="0.25">
      <c r="A4209" s="2">
        <v>4203</v>
      </c>
      <c r="B4209" s="11">
        <f t="shared" ca="1" si="340"/>
        <v>1</v>
      </c>
      <c r="C4209" s="26">
        <f t="shared" ca="1" si="339"/>
        <v>0.15561461146668865</v>
      </c>
      <c r="J4209">
        <f t="shared" ca="1" si="341"/>
        <v>0</v>
      </c>
      <c r="K4209">
        <f t="shared" ca="1" si="342"/>
        <v>0</v>
      </c>
      <c r="L4209">
        <f t="shared" si="343"/>
        <v>4203</v>
      </c>
      <c r="M4209" s="71">
        <f t="shared" ca="1" si="344"/>
        <v>1.9299134086005985</v>
      </c>
    </row>
    <row r="4210" spans="1:13" x14ac:dyDescent="0.25">
      <c r="A4210" s="2">
        <v>4204</v>
      </c>
      <c r="B4210" s="11">
        <f t="shared" ca="1" si="340"/>
        <v>0</v>
      </c>
      <c r="C4210" s="26">
        <f t="shared" ca="1" si="339"/>
        <v>0.83994180457730983</v>
      </c>
      <c r="J4210">
        <f t="shared" ca="1" si="341"/>
        <v>0</v>
      </c>
      <c r="K4210">
        <f t="shared" ca="1" si="342"/>
        <v>0</v>
      </c>
      <c r="L4210">
        <f t="shared" si="343"/>
        <v>4204</v>
      </c>
      <c r="M4210" s="71">
        <f t="shared" ca="1" si="344"/>
        <v>0</v>
      </c>
    </row>
    <row r="4211" spans="1:13" x14ac:dyDescent="0.25">
      <c r="A4211" s="2">
        <v>4205</v>
      </c>
      <c r="B4211" s="11">
        <f t="shared" ca="1" si="340"/>
        <v>1</v>
      </c>
      <c r="C4211" s="26">
        <f t="shared" ca="1" si="339"/>
        <v>0.15103982416542983</v>
      </c>
      <c r="J4211">
        <f t="shared" ca="1" si="341"/>
        <v>1</v>
      </c>
      <c r="K4211">
        <f t="shared" ca="1" si="342"/>
        <v>0</v>
      </c>
      <c r="L4211">
        <f t="shared" si="343"/>
        <v>4205</v>
      </c>
      <c r="M4211" s="71">
        <f t="shared" ca="1" si="344"/>
        <v>0.85539678235099903</v>
      </c>
    </row>
    <row r="4212" spans="1:13" x14ac:dyDescent="0.25">
      <c r="A4212" s="2">
        <v>4206</v>
      </c>
      <c r="B4212" s="11">
        <f t="shared" ca="1" si="340"/>
        <v>1</v>
      </c>
      <c r="C4212" s="26">
        <f t="shared" ca="1" si="339"/>
        <v>0.52211769208237413</v>
      </c>
      <c r="J4212">
        <f t="shared" ca="1" si="341"/>
        <v>1</v>
      </c>
      <c r="K4212">
        <f t="shared" ca="1" si="342"/>
        <v>0</v>
      </c>
      <c r="L4212">
        <f t="shared" si="343"/>
        <v>4206</v>
      </c>
      <c r="M4212" s="71">
        <f t="shared" ca="1" si="344"/>
        <v>3.8481293525068865</v>
      </c>
    </row>
    <row r="4213" spans="1:13" x14ac:dyDescent="0.25">
      <c r="A4213" s="2">
        <v>4207</v>
      </c>
      <c r="B4213" s="11">
        <f t="shared" ca="1" si="340"/>
        <v>1</v>
      </c>
      <c r="C4213" s="26">
        <f t="shared" ca="1" si="339"/>
        <v>3.9765419835596671E-2</v>
      </c>
      <c r="J4213">
        <f t="shared" ca="1" si="341"/>
        <v>1</v>
      </c>
      <c r="K4213">
        <f t="shared" ca="1" si="342"/>
        <v>0</v>
      </c>
      <c r="L4213">
        <f t="shared" si="343"/>
        <v>4207</v>
      </c>
      <c r="M4213" s="71">
        <f t="shared" ca="1" si="344"/>
        <v>1.8292055433348102</v>
      </c>
    </row>
    <row r="4214" spans="1:13" x14ac:dyDescent="0.25">
      <c r="A4214" s="2">
        <v>4208</v>
      </c>
      <c r="B4214" s="11">
        <f t="shared" ca="1" si="340"/>
        <v>1</v>
      </c>
      <c r="C4214" s="26">
        <f t="shared" ca="1" si="339"/>
        <v>0.29673908761836787</v>
      </c>
      <c r="J4214">
        <f t="shared" ca="1" si="341"/>
        <v>1</v>
      </c>
      <c r="K4214">
        <f t="shared" ca="1" si="342"/>
        <v>0</v>
      </c>
      <c r="L4214">
        <f t="shared" si="343"/>
        <v>4208</v>
      </c>
      <c r="M4214" s="71">
        <f t="shared" ca="1" si="344"/>
        <v>0.88935075345935888</v>
      </c>
    </row>
    <row r="4215" spans="1:13" x14ac:dyDescent="0.25">
      <c r="A4215" s="2">
        <v>4209</v>
      </c>
      <c r="B4215" s="11">
        <f t="shared" ca="1" si="340"/>
        <v>1</v>
      </c>
      <c r="C4215" s="26">
        <f t="shared" ca="1" si="339"/>
        <v>0.57111992282712343</v>
      </c>
      <c r="J4215">
        <f t="shared" ca="1" si="341"/>
        <v>1</v>
      </c>
      <c r="K4215">
        <f t="shared" ca="1" si="342"/>
        <v>0</v>
      </c>
      <c r="L4215">
        <f t="shared" si="343"/>
        <v>4209</v>
      </c>
      <c r="M4215" s="71">
        <f t="shared" ca="1" si="344"/>
        <v>0.21465571919919357</v>
      </c>
    </row>
    <row r="4216" spans="1:13" x14ac:dyDescent="0.25">
      <c r="A4216" s="2">
        <v>4210</v>
      </c>
      <c r="B4216" s="11">
        <f t="shared" ca="1" si="340"/>
        <v>1</v>
      </c>
      <c r="C4216" s="26">
        <f t="shared" ca="1" si="339"/>
        <v>0.74351309713512903</v>
      </c>
      <c r="J4216">
        <f t="shared" ca="1" si="341"/>
        <v>0</v>
      </c>
      <c r="K4216">
        <f t="shared" ca="1" si="342"/>
        <v>0</v>
      </c>
      <c r="L4216">
        <f t="shared" si="343"/>
        <v>4210</v>
      </c>
      <c r="M4216" s="71">
        <f t="shared" ca="1" si="344"/>
        <v>5.985199391130255</v>
      </c>
    </row>
    <row r="4217" spans="1:13" x14ac:dyDescent="0.25">
      <c r="A4217" s="2">
        <v>4211</v>
      </c>
      <c r="B4217" s="11">
        <f t="shared" ca="1" si="340"/>
        <v>0</v>
      </c>
      <c r="C4217" s="26">
        <f t="shared" ca="1" si="339"/>
        <v>0.94061677762149165</v>
      </c>
      <c r="J4217">
        <f t="shared" ca="1" si="341"/>
        <v>0</v>
      </c>
      <c r="K4217">
        <f t="shared" ca="1" si="342"/>
        <v>0</v>
      </c>
      <c r="L4217">
        <f t="shared" si="343"/>
        <v>4211</v>
      </c>
      <c r="M4217" s="71">
        <f t="shared" ca="1" si="344"/>
        <v>0</v>
      </c>
    </row>
    <row r="4218" spans="1:13" x14ac:dyDescent="0.25">
      <c r="A4218" s="2">
        <v>4212</v>
      </c>
      <c r="B4218" s="11">
        <f t="shared" ca="1" si="340"/>
        <v>1</v>
      </c>
      <c r="C4218" s="26">
        <f t="shared" ca="1" si="339"/>
        <v>0.40905479028422931</v>
      </c>
      <c r="J4218">
        <f t="shared" ca="1" si="341"/>
        <v>1</v>
      </c>
      <c r="K4218">
        <f t="shared" ca="1" si="342"/>
        <v>0</v>
      </c>
      <c r="L4218">
        <f t="shared" si="343"/>
        <v>4212</v>
      </c>
      <c r="M4218" s="71">
        <f t="shared" ca="1" si="344"/>
        <v>0.90118030369602553</v>
      </c>
    </row>
    <row r="4219" spans="1:13" x14ac:dyDescent="0.25">
      <c r="A4219" s="2">
        <v>4213</v>
      </c>
      <c r="B4219" s="11">
        <f t="shared" ca="1" si="340"/>
        <v>1</v>
      </c>
      <c r="C4219" s="26">
        <f t="shared" ca="1" si="339"/>
        <v>0.48486620675280501</v>
      </c>
      <c r="J4219">
        <f t="shared" ca="1" si="341"/>
        <v>0</v>
      </c>
      <c r="K4219">
        <f t="shared" ca="1" si="342"/>
        <v>0</v>
      </c>
      <c r="L4219">
        <f t="shared" si="343"/>
        <v>4213</v>
      </c>
      <c r="M4219" s="71">
        <f t="shared" ca="1" si="344"/>
        <v>0.20063508920014325</v>
      </c>
    </row>
    <row r="4220" spans="1:13" x14ac:dyDescent="0.25">
      <c r="A4220" s="2">
        <v>4214</v>
      </c>
      <c r="B4220" s="11">
        <f t="shared" ca="1" si="340"/>
        <v>0</v>
      </c>
      <c r="C4220" s="26">
        <f t="shared" ca="1" si="339"/>
        <v>0.80344167433184466</v>
      </c>
      <c r="J4220">
        <f t="shared" ca="1" si="341"/>
        <v>0</v>
      </c>
      <c r="K4220">
        <f t="shared" ca="1" si="342"/>
        <v>1</v>
      </c>
      <c r="L4220">
        <f t="shared" si="343"/>
        <v>4214</v>
      </c>
      <c r="M4220" s="71">
        <f t="shared" ca="1" si="344"/>
        <v>0</v>
      </c>
    </row>
    <row r="4221" spans="1:13" x14ac:dyDescent="0.25">
      <c r="A4221" s="2">
        <v>4215</v>
      </c>
      <c r="B4221" s="11">
        <f t="shared" ca="1" si="340"/>
        <v>0</v>
      </c>
      <c r="C4221" s="26">
        <f t="shared" ca="1" si="339"/>
        <v>0.79255464731445446</v>
      </c>
      <c r="J4221">
        <f t="shared" ca="1" si="341"/>
        <v>0</v>
      </c>
      <c r="K4221">
        <f t="shared" ca="1" si="342"/>
        <v>0</v>
      </c>
      <c r="L4221">
        <f t="shared" si="343"/>
        <v>4215</v>
      </c>
      <c r="M4221" s="71">
        <f t="shared" ca="1" si="344"/>
        <v>0</v>
      </c>
    </row>
    <row r="4222" spans="1:13" x14ac:dyDescent="0.25">
      <c r="A4222" s="2">
        <v>4216</v>
      </c>
      <c r="B4222" s="11">
        <f t="shared" ca="1" si="340"/>
        <v>1</v>
      </c>
      <c r="C4222" s="26">
        <f t="shared" ca="1" si="339"/>
        <v>0.39054584697023365</v>
      </c>
      <c r="J4222">
        <f t="shared" ca="1" si="341"/>
        <v>1</v>
      </c>
      <c r="K4222">
        <f t="shared" ca="1" si="342"/>
        <v>0</v>
      </c>
      <c r="L4222">
        <f t="shared" si="343"/>
        <v>4216</v>
      </c>
      <c r="M4222" s="71">
        <f t="shared" ca="1" si="344"/>
        <v>4.3752669299640328</v>
      </c>
    </row>
    <row r="4223" spans="1:13" x14ac:dyDescent="0.25">
      <c r="A4223" s="2">
        <v>4217</v>
      </c>
      <c r="B4223" s="11">
        <f t="shared" ca="1" si="340"/>
        <v>1</v>
      </c>
      <c r="C4223" s="26">
        <f t="shared" ca="1" si="339"/>
        <v>0.33492155585501693</v>
      </c>
      <c r="J4223">
        <f t="shared" ca="1" si="341"/>
        <v>1</v>
      </c>
      <c r="K4223">
        <f t="shared" ca="1" si="342"/>
        <v>0</v>
      </c>
      <c r="L4223">
        <f t="shared" si="343"/>
        <v>4217</v>
      </c>
      <c r="M4223" s="71">
        <f t="shared" ca="1" si="344"/>
        <v>1.2912484903712318</v>
      </c>
    </row>
    <row r="4224" spans="1:13" x14ac:dyDescent="0.25">
      <c r="A4224" s="2">
        <v>4218</v>
      </c>
      <c r="B4224" s="11">
        <f t="shared" ca="1" si="340"/>
        <v>1</v>
      </c>
      <c r="C4224" s="26">
        <f t="shared" ca="1" si="339"/>
        <v>0.51932678026535095</v>
      </c>
      <c r="J4224">
        <f t="shared" ca="1" si="341"/>
        <v>1</v>
      </c>
      <c r="K4224">
        <f t="shared" ca="1" si="342"/>
        <v>0</v>
      </c>
      <c r="L4224">
        <f t="shared" si="343"/>
        <v>4218</v>
      </c>
      <c r="M4224" s="71">
        <f t="shared" ca="1" si="344"/>
        <v>0.73152238293236826</v>
      </c>
    </row>
    <row r="4225" spans="1:13" x14ac:dyDescent="0.25">
      <c r="A4225" s="2">
        <v>4219</v>
      </c>
      <c r="B4225" s="11">
        <f t="shared" ca="1" si="340"/>
        <v>1</v>
      </c>
      <c r="C4225" s="26">
        <f t="shared" ca="1" si="339"/>
        <v>6.8812689995933041E-2</v>
      </c>
      <c r="J4225">
        <f t="shared" ca="1" si="341"/>
        <v>0</v>
      </c>
      <c r="K4225">
        <f t="shared" ca="1" si="342"/>
        <v>0</v>
      </c>
      <c r="L4225">
        <f t="shared" si="343"/>
        <v>4219</v>
      </c>
      <c r="M4225" s="71">
        <f t="shared" ca="1" si="344"/>
        <v>2.837691962253543</v>
      </c>
    </row>
    <row r="4226" spans="1:13" x14ac:dyDescent="0.25">
      <c r="A4226" s="2">
        <v>4220</v>
      </c>
      <c r="B4226" s="11">
        <f t="shared" ca="1" si="340"/>
        <v>0</v>
      </c>
      <c r="C4226" s="26">
        <f t="shared" ca="1" si="339"/>
        <v>0.86851723394743419</v>
      </c>
      <c r="J4226">
        <f t="shared" ca="1" si="341"/>
        <v>0</v>
      </c>
      <c r="K4226">
        <f t="shared" ca="1" si="342"/>
        <v>0</v>
      </c>
      <c r="L4226">
        <f t="shared" si="343"/>
        <v>4220</v>
      </c>
      <c r="M4226" s="71">
        <f t="shared" ca="1" si="344"/>
        <v>0</v>
      </c>
    </row>
    <row r="4227" spans="1:13" x14ac:dyDescent="0.25">
      <c r="A4227" s="2">
        <v>4221</v>
      </c>
      <c r="B4227" s="11">
        <f t="shared" ca="1" si="340"/>
        <v>1</v>
      </c>
      <c r="C4227" s="26">
        <f t="shared" ca="1" si="339"/>
        <v>0.54961438804878571</v>
      </c>
      <c r="J4227">
        <f t="shared" ca="1" si="341"/>
        <v>1</v>
      </c>
      <c r="K4227">
        <f t="shared" ca="1" si="342"/>
        <v>0</v>
      </c>
      <c r="L4227">
        <f t="shared" si="343"/>
        <v>4221</v>
      </c>
      <c r="M4227" s="71">
        <f t="shared" ca="1" si="344"/>
        <v>3.9979209947996348</v>
      </c>
    </row>
    <row r="4228" spans="1:13" x14ac:dyDescent="0.25">
      <c r="A4228" s="2">
        <v>4222</v>
      </c>
      <c r="B4228" s="11">
        <f t="shared" ca="1" si="340"/>
        <v>1</v>
      </c>
      <c r="C4228" s="26">
        <f t="shared" ca="1" si="339"/>
        <v>0.44325944103144232</v>
      </c>
      <c r="J4228">
        <f t="shared" ca="1" si="341"/>
        <v>1</v>
      </c>
      <c r="K4228">
        <f t="shared" ca="1" si="342"/>
        <v>0</v>
      </c>
      <c r="L4228">
        <f t="shared" si="343"/>
        <v>4222</v>
      </c>
      <c r="M4228" s="71">
        <f t="shared" ca="1" si="344"/>
        <v>1.6579842122356354</v>
      </c>
    </row>
    <row r="4229" spans="1:13" x14ac:dyDescent="0.25">
      <c r="A4229" s="2">
        <v>4223</v>
      </c>
      <c r="B4229" s="11">
        <f t="shared" ca="1" si="340"/>
        <v>1</v>
      </c>
      <c r="C4229" s="26">
        <f t="shared" ca="1" si="339"/>
        <v>0.58207206459951311</v>
      </c>
      <c r="J4229">
        <f t="shared" ca="1" si="341"/>
        <v>1</v>
      </c>
      <c r="K4229">
        <f t="shared" ca="1" si="342"/>
        <v>0</v>
      </c>
      <c r="L4229">
        <f t="shared" si="343"/>
        <v>4223</v>
      </c>
      <c r="M4229" s="71">
        <f t="shared" ca="1" si="344"/>
        <v>3.59154902586668</v>
      </c>
    </row>
    <row r="4230" spans="1:13" x14ac:dyDescent="0.25">
      <c r="A4230" s="2">
        <v>4224</v>
      </c>
      <c r="B4230" s="11">
        <f t="shared" ca="1" si="340"/>
        <v>1</v>
      </c>
      <c r="C4230" s="26">
        <f t="shared" ca="1" si="339"/>
        <v>0.6424238574434693</v>
      </c>
      <c r="J4230">
        <f t="shared" ca="1" si="341"/>
        <v>0</v>
      </c>
      <c r="K4230">
        <f t="shared" ca="1" si="342"/>
        <v>0</v>
      </c>
      <c r="L4230">
        <f t="shared" si="343"/>
        <v>4224</v>
      </c>
      <c r="M4230" s="71">
        <f t="shared" ca="1" si="344"/>
        <v>3.508920861993047</v>
      </c>
    </row>
    <row r="4231" spans="1:13" x14ac:dyDescent="0.25">
      <c r="A4231" s="2">
        <v>4225</v>
      </c>
      <c r="B4231" s="11">
        <f t="shared" ca="1" si="340"/>
        <v>0</v>
      </c>
      <c r="C4231" s="26">
        <f t="shared" ca="1" si="339"/>
        <v>0.81089055765312956</v>
      </c>
      <c r="J4231">
        <f t="shared" ca="1" si="341"/>
        <v>0</v>
      </c>
      <c r="K4231">
        <f t="shared" ca="1" si="342"/>
        <v>0</v>
      </c>
      <c r="L4231">
        <f t="shared" si="343"/>
        <v>4225</v>
      </c>
      <c r="M4231" s="71">
        <f t="shared" ca="1" si="344"/>
        <v>0</v>
      </c>
    </row>
    <row r="4232" spans="1:13" x14ac:dyDescent="0.25">
      <c r="A4232" s="2">
        <v>4226</v>
      </c>
      <c r="B4232" s="11">
        <f t="shared" ca="1" si="340"/>
        <v>1</v>
      </c>
      <c r="C4232" s="26">
        <f t="shared" ref="C4232:C4295" ca="1" si="345">RAND()</f>
        <v>0.35402545404685848</v>
      </c>
      <c r="J4232">
        <f t="shared" ca="1" si="341"/>
        <v>0</v>
      </c>
      <c r="K4232">
        <f t="shared" ca="1" si="342"/>
        <v>0</v>
      </c>
      <c r="L4232">
        <f t="shared" si="343"/>
        <v>4226</v>
      </c>
      <c r="M4232" s="71">
        <f t="shared" ca="1" si="344"/>
        <v>0.85633428116919119</v>
      </c>
    </row>
    <row r="4233" spans="1:13" x14ac:dyDescent="0.25">
      <c r="A4233" s="2">
        <v>4227</v>
      </c>
      <c r="B4233" s="11">
        <f t="shared" ref="B4233:B4296" ca="1" si="346">IF(B4232&gt;0,IF(C4233&lt;pww,1,0),IF(C4233&lt;pdw,1,0))</f>
        <v>0</v>
      </c>
      <c r="C4233" s="26">
        <f t="shared" ca="1" si="345"/>
        <v>0.85308297588607707</v>
      </c>
      <c r="J4233">
        <f t="shared" ca="1" si="341"/>
        <v>0</v>
      </c>
      <c r="K4233">
        <f t="shared" ca="1" si="342"/>
        <v>0</v>
      </c>
      <c r="L4233">
        <f t="shared" si="343"/>
        <v>4227</v>
      </c>
      <c r="M4233" s="71">
        <f t="shared" ca="1" si="344"/>
        <v>0</v>
      </c>
    </row>
    <row r="4234" spans="1:13" x14ac:dyDescent="0.25">
      <c r="A4234" s="2">
        <v>4228</v>
      </c>
      <c r="B4234" s="11">
        <f t="shared" ca="1" si="346"/>
        <v>1</v>
      </c>
      <c r="C4234" s="26">
        <f t="shared" ca="1" si="345"/>
        <v>0.38160641435810161</v>
      </c>
      <c r="J4234">
        <f t="shared" ref="J4234:J4297" ca="1" si="347">IF(AND(B4234,B4235),1,0)</f>
        <v>1</v>
      </c>
      <c r="K4234">
        <f t="shared" ref="K4234:K4297" ca="1" si="348">IF(AND(NOT(B4234),NOT(B4235)),1,0)</f>
        <v>0</v>
      </c>
      <c r="L4234">
        <f t="shared" ref="L4234:L4297" si="349">L4233+1</f>
        <v>4228</v>
      </c>
      <c r="M4234" s="71">
        <f t="shared" ref="M4234:M4297" ca="1" si="350">IF(B4234&gt;0,-LN(1-(RAND()))/lambda,0)</f>
        <v>3.9070868065592106</v>
      </c>
    </row>
    <row r="4235" spans="1:13" x14ac:dyDescent="0.25">
      <c r="A4235" s="2">
        <v>4229</v>
      </c>
      <c r="B4235" s="11">
        <f t="shared" ca="1" si="346"/>
        <v>1</v>
      </c>
      <c r="C4235" s="26">
        <f t="shared" ca="1" si="345"/>
        <v>0.36824095195695516</v>
      </c>
      <c r="J4235">
        <f t="shared" ca="1" si="347"/>
        <v>1</v>
      </c>
      <c r="K4235">
        <f t="shared" ca="1" si="348"/>
        <v>0</v>
      </c>
      <c r="L4235">
        <f t="shared" si="349"/>
        <v>4229</v>
      </c>
      <c r="M4235" s="71">
        <f t="shared" ca="1" si="350"/>
        <v>1.8234952010642194</v>
      </c>
    </row>
    <row r="4236" spans="1:13" x14ac:dyDescent="0.25">
      <c r="A4236" s="2">
        <v>4230</v>
      </c>
      <c r="B4236" s="11">
        <f t="shared" ca="1" si="346"/>
        <v>1</v>
      </c>
      <c r="C4236" s="26">
        <f t="shared" ca="1" si="345"/>
        <v>0.30015410118922181</v>
      </c>
      <c r="J4236">
        <f t="shared" ca="1" si="347"/>
        <v>1</v>
      </c>
      <c r="K4236">
        <f t="shared" ca="1" si="348"/>
        <v>0</v>
      </c>
      <c r="L4236">
        <f t="shared" si="349"/>
        <v>4230</v>
      </c>
      <c r="M4236" s="71">
        <f t="shared" ca="1" si="350"/>
        <v>13.078429453178847</v>
      </c>
    </row>
    <row r="4237" spans="1:13" x14ac:dyDescent="0.25">
      <c r="A4237" s="2">
        <v>4231</v>
      </c>
      <c r="B4237" s="11">
        <f t="shared" ca="1" si="346"/>
        <v>1</v>
      </c>
      <c r="C4237" s="26">
        <f t="shared" ca="1" si="345"/>
        <v>0.65193844853700678</v>
      </c>
      <c r="J4237">
        <f t="shared" ca="1" si="347"/>
        <v>1</v>
      </c>
      <c r="K4237">
        <f t="shared" ca="1" si="348"/>
        <v>0</v>
      </c>
      <c r="L4237">
        <f t="shared" si="349"/>
        <v>4231</v>
      </c>
      <c r="M4237" s="71">
        <f t="shared" ca="1" si="350"/>
        <v>8.2567895311972013</v>
      </c>
    </row>
    <row r="4238" spans="1:13" x14ac:dyDescent="0.25">
      <c r="A4238" s="2">
        <v>4232</v>
      </c>
      <c r="B4238" s="11">
        <f t="shared" ca="1" si="346"/>
        <v>1</v>
      </c>
      <c r="C4238" s="26">
        <f t="shared" ca="1" si="345"/>
        <v>0.17550330761829869</v>
      </c>
      <c r="J4238">
        <f t="shared" ca="1" si="347"/>
        <v>0</v>
      </c>
      <c r="K4238">
        <f t="shared" ca="1" si="348"/>
        <v>0</v>
      </c>
      <c r="L4238">
        <f t="shared" si="349"/>
        <v>4232</v>
      </c>
      <c r="M4238" s="71">
        <f t="shared" ca="1" si="350"/>
        <v>11.446007858639856</v>
      </c>
    </row>
    <row r="4239" spans="1:13" x14ac:dyDescent="0.25">
      <c r="A4239" s="2">
        <v>4233</v>
      </c>
      <c r="B4239" s="11">
        <f t="shared" ca="1" si="346"/>
        <v>0</v>
      </c>
      <c r="C4239" s="26">
        <f t="shared" ca="1" si="345"/>
        <v>0.9228090218461541</v>
      </c>
      <c r="J4239">
        <f t="shared" ca="1" si="347"/>
        <v>0</v>
      </c>
      <c r="K4239">
        <f t="shared" ca="1" si="348"/>
        <v>0</v>
      </c>
      <c r="L4239">
        <f t="shared" si="349"/>
        <v>4233</v>
      </c>
      <c r="M4239" s="71">
        <f t="shared" ca="1" si="350"/>
        <v>0</v>
      </c>
    </row>
    <row r="4240" spans="1:13" x14ac:dyDescent="0.25">
      <c r="A4240" s="2">
        <v>4234</v>
      </c>
      <c r="B4240" s="11">
        <f t="shared" ca="1" si="346"/>
        <v>1</v>
      </c>
      <c r="C4240" s="26">
        <f t="shared" ca="1" si="345"/>
        <v>0.11968036545674354</v>
      </c>
      <c r="J4240">
        <f t="shared" ca="1" si="347"/>
        <v>1</v>
      </c>
      <c r="K4240">
        <f t="shared" ca="1" si="348"/>
        <v>0</v>
      </c>
      <c r="L4240">
        <f t="shared" si="349"/>
        <v>4234</v>
      </c>
      <c r="M4240" s="71">
        <f t="shared" ca="1" si="350"/>
        <v>3.0402598799028819</v>
      </c>
    </row>
    <row r="4241" spans="1:13" x14ac:dyDescent="0.25">
      <c r="A4241" s="2">
        <v>4235</v>
      </c>
      <c r="B4241" s="11">
        <f t="shared" ca="1" si="346"/>
        <v>1</v>
      </c>
      <c r="C4241" s="26">
        <f t="shared" ca="1" si="345"/>
        <v>0.29898777780374608</v>
      </c>
      <c r="J4241">
        <f t="shared" ca="1" si="347"/>
        <v>1</v>
      </c>
      <c r="K4241">
        <f t="shared" ca="1" si="348"/>
        <v>0</v>
      </c>
      <c r="L4241">
        <f t="shared" si="349"/>
        <v>4235</v>
      </c>
      <c r="M4241" s="71">
        <f t="shared" ca="1" si="350"/>
        <v>0.63471579013007784</v>
      </c>
    </row>
    <row r="4242" spans="1:13" x14ac:dyDescent="0.25">
      <c r="A4242" s="2">
        <v>4236</v>
      </c>
      <c r="B4242" s="11">
        <f t="shared" ca="1" si="346"/>
        <v>1</v>
      </c>
      <c r="C4242" s="26">
        <f t="shared" ca="1" si="345"/>
        <v>0.19001548406308244</v>
      </c>
      <c r="J4242">
        <f t="shared" ca="1" si="347"/>
        <v>1</v>
      </c>
      <c r="K4242">
        <f t="shared" ca="1" si="348"/>
        <v>0</v>
      </c>
      <c r="L4242">
        <f t="shared" si="349"/>
        <v>4236</v>
      </c>
      <c r="M4242" s="71">
        <f t="shared" ca="1" si="350"/>
        <v>5.19555684461087</v>
      </c>
    </row>
    <row r="4243" spans="1:13" x14ac:dyDescent="0.25">
      <c r="A4243" s="2">
        <v>4237</v>
      </c>
      <c r="B4243" s="11">
        <f t="shared" ca="1" si="346"/>
        <v>1</v>
      </c>
      <c r="C4243" s="26">
        <f t="shared" ca="1" si="345"/>
        <v>9.4625126116633096E-2</v>
      </c>
      <c r="J4243">
        <f t="shared" ca="1" si="347"/>
        <v>1</v>
      </c>
      <c r="K4243">
        <f t="shared" ca="1" si="348"/>
        <v>0</v>
      </c>
      <c r="L4243">
        <f t="shared" si="349"/>
        <v>4237</v>
      </c>
      <c r="M4243" s="71">
        <f t="shared" ca="1" si="350"/>
        <v>12.664106232570003</v>
      </c>
    </row>
    <row r="4244" spans="1:13" x14ac:dyDescent="0.25">
      <c r="A4244" s="2">
        <v>4238</v>
      </c>
      <c r="B4244" s="11">
        <f t="shared" ca="1" si="346"/>
        <v>1</v>
      </c>
      <c r="C4244" s="26">
        <f t="shared" ca="1" si="345"/>
        <v>0.27698831286011283</v>
      </c>
      <c r="J4244">
        <f t="shared" ca="1" si="347"/>
        <v>1</v>
      </c>
      <c r="K4244">
        <f t="shared" ca="1" si="348"/>
        <v>0</v>
      </c>
      <c r="L4244">
        <f t="shared" si="349"/>
        <v>4238</v>
      </c>
      <c r="M4244" s="71">
        <f t="shared" ca="1" si="350"/>
        <v>3.0144989974648064</v>
      </c>
    </row>
    <row r="4245" spans="1:13" x14ac:dyDescent="0.25">
      <c r="A4245" s="2">
        <v>4239</v>
      </c>
      <c r="B4245" s="11">
        <f t="shared" ca="1" si="346"/>
        <v>1</v>
      </c>
      <c r="C4245" s="26">
        <f t="shared" ca="1" si="345"/>
        <v>0.23088492724255816</v>
      </c>
      <c r="J4245">
        <f t="shared" ca="1" si="347"/>
        <v>1</v>
      </c>
      <c r="K4245">
        <f t="shared" ca="1" si="348"/>
        <v>0</v>
      </c>
      <c r="L4245">
        <f t="shared" si="349"/>
        <v>4239</v>
      </c>
      <c r="M4245" s="71">
        <f t="shared" ca="1" si="350"/>
        <v>4.012778935384735</v>
      </c>
    </row>
    <row r="4246" spans="1:13" x14ac:dyDescent="0.25">
      <c r="A4246" s="2">
        <v>4240</v>
      </c>
      <c r="B4246" s="11">
        <f t="shared" ca="1" si="346"/>
        <v>1</v>
      </c>
      <c r="C4246" s="26">
        <f t="shared" ca="1" si="345"/>
        <v>0.21851393071065972</v>
      </c>
      <c r="J4246">
        <f t="shared" ca="1" si="347"/>
        <v>1</v>
      </c>
      <c r="K4246">
        <f t="shared" ca="1" si="348"/>
        <v>0</v>
      </c>
      <c r="L4246">
        <f t="shared" si="349"/>
        <v>4240</v>
      </c>
      <c r="M4246" s="71">
        <f t="shared" ca="1" si="350"/>
        <v>5.3148949979326146</v>
      </c>
    </row>
    <row r="4247" spans="1:13" x14ac:dyDescent="0.25">
      <c r="A4247" s="2">
        <v>4241</v>
      </c>
      <c r="B4247" s="11">
        <f t="shared" ca="1" si="346"/>
        <v>1</v>
      </c>
      <c r="C4247" s="26">
        <f t="shared" ca="1" si="345"/>
        <v>0.4619040784100108</v>
      </c>
      <c r="J4247">
        <f t="shared" ca="1" si="347"/>
        <v>1</v>
      </c>
      <c r="K4247">
        <f t="shared" ca="1" si="348"/>
        <v>0</v>
      </c>
      <c r="L4247">
        <f t="shared" si="349"/>
        <v>4241</v>
      </c>
      <c r="M4247" s="71">
        <f t="shared" ca="1" si="350"/>
        <v>4.7343582145529526</v>
      </c>
    </row>
    <row r="4248" spans="1:13" x14ac:dyDescent="0.25">
      <c r="A4248" s="2">
        <v>4242</v>
      </c>
      <c r="B4248" s="11">
        <f t="shared" ca="1" si="346"/>
        <v>1</v>
      </c>
      <c r="C4248" s="26">
        <f t="shared" ca="1" si="345"/>
        <v>0.22043111548145977</v>
      </c>
      <c r="J4248">
        <f t="shared" ca="1" si="347"/>
        <v>1</v>
      </c>
      <c r="K4248">
        <f t="shared" ca="1" si="348"/>
        <v>0</v>
      </c>
      <c r="L4248">
        <f t="shared" si="349"/>
        <v>4242</v>
      </c>
      <c r="M4248" s="71">
        <f t="shared" ca="1" si="350"/>
        <v>3.5127766678830543</v>
      </c>
    </row>
    <row r="4249" spans="1:13" x14ac:dyDescent="0.25">
      <c r="A4249" s="2">
        <v>4243</v>
      </c>
      <c r="B4249" s="11">
        <f t="shared" ca="1" si="346"/>
        <v>1</v>
      </c>
      <c r="C4249" s="26">
        <f t="shared" ca="1" si="345"/>
        <v>0.78095174163680858</v>
      </c>
      <c r="J4249">
        <f t="shared" ca="1" si="347"/>
        <v>1</v>
      </c>
      <c r="K4249">
        <f t="shared" ca="1" si="348"/>
        <v>0</v>
      </c>
      <c r="L4249">
        <f t="shared" si="349"/>
        <v>4243</v>
      </c>
      <c r="M4249" s="71">
        <f t="shared" ca="1" si="350"/>
        <v>1.9313965525378978</v>
      </c>
    </row>
    <row r="4250" spans="1:13" x14ac:dyDescent="0.25">
      <c r="A4250" s="2">
        <v>4244</v>
      </c>
      <c r="B4250" s="11">
        <f t="shared" ca="1" si="346"/>
        <v>1</v>
      </c>
      <c r="C4250" s="26">
        <f t="shared" ca="1" si="345"/>
        <v>0.70805477505010916</v>
      </c>
      <c r="J4250">
        <f t="shared" ca="1" si="347"/>
        <v>1</v>
      </c>
      <c r="K4250">
        <f t="shared" ca="1" si="348"/>
        <v>0</v>
      </c>
      <c r="L4250">
        <f t="shared" si="349"/>
        <v>4244</v>
      </c>
      <c r="M4250" s="71">
        <f t="shared" ca="1" si="350"/>
        <v>2.8793169635035363</v>
      </c>
    </row>
    <row r="4251" spans="1:13" x14ac:dyDescent="0.25">
      <c r="A4251" s="2">
        <v>4245</v>
      </c>
      <c r="B4251" s="11">
        <f t="shared" ca="1" si="346"/>
        <v>1</v>
      </c>
      <c r="C4251" s="26">
        <f t="shared" ca="1" si="345"/>
        <v>0.72053907221219271</v>
      </c>
      <c r="J4251">
        <f t="shared" ca="1" si="347"/>
        <v>1</v>
      </c>
      <c r="K4251">
        <f t="shared" ca="1" si="348"/>
        <v>0</v>
      </c>
      <c r="L4251">
        <f t="shared" si="349"/>
        <v>4245</v>
      </c>
      <c r="M4251" s="71">
        <f t="shared" ca="1" si="350"/>
        <v>6.1956002297068791</v>
      </c>
    </row>
    <row r="4252" spans="1:13" x14ac:dyDescent="0.25">
      <c r="A4252" s="2">
        <v>4246</v>
      </c>
      <c r="B4252" s="11">
        <f t="shared" ca="1" si="346"/>
        <v>1</v>
      </c>
      <c r="C4252" s="26">
        <f t="shared" ca="1" si="345"/>
        <v>0.34074652152908846</v>
      </c>
      <c r="J4252">
        <f t="shared" ca="1" si="347"/>
        <v>1</v>
      </c>
      <c r="K4252">
        <f t="shared" ca="1" si="348"/>
        <v>0</v>
      </c>
      <c r="L4252">
        <f t="shared" si="349"/>
        <v>4246</v>
      </c>
      <c r="M4252" s="71">
        <f t="shared" ca="1" si="350"/>
        <v>25.863795083652882</v>
      </c>
    </row>
    <row r="4253" spans="1:13" x14ac:dyDescent="0.25">
      <c r="A4253" s="2">
        <v>4247</v>
      </c>
      <c r="B4253" s="11">
        <f t="shared" ca="1" si="346"/>
        <v>1</v>
      </c>
      <c r="C4253" s="26">
        <f t="shared" ca="1" si="345"/>
        <v>0.33316330419469764</v>
      </c>
      <c r="J4253">
        <f t="shared" ca="1" si="347"/>
        <v>0</v>
      </c>
      <c r="K4253">
        <f t="shared" ca="1" si="348"/>
        <v>0</v>
      </c>
      <c r="L4253">
        <f t="shared" si="349"/>
        <v>4247</v>
      </c>
      <c r="M4253" s="71">
        <f t="shared" ca="1" si="350"/>
        <v>7.0945908684361987</v>
      </c>
    </row>
    <row r="4254" spans="1:13" x14ac:dyDescent="0.25">
      <c r="A4254" s="2">
        <v>4248</v>
      </c>
      <c r="B4254" s="11">
        <f t="shared" ca="1" si="346"/>
        <v>0</v>
      </c>
      <c r="C4254" s="26">
        <f t="shared" ca="1" si="345"/>
        <v>0.97033108475699137</v>
      </c>
      <c r="J4254">
        <f t="shared" ca="1" si="347"/>
        <v>0</v>
      </c>
      <c r="K4254">
        <f t="shared" ca="1" si="348"/>
        <v>0</v>
      </c>
      <c r="L4254">
        <f t="shared" si="349"/>
        <v>4248</v>
      </c>
      <c r="M4254" s="71">
        <f t="shared" ca="1" si="350"/>
        <v>0</v>
      </c>
    </row>
    <row r="4255" spans="1:13" x14ac:dyDescent="0.25">
      <c r="A4255" s="2">
        <v>4249</v>
      </c>
      <c r="B4255" s="11">
        <f t="shared" ca="1" si="346"/>
        <v>1</v>
      </c>
      <c r="C4255" s="26">
        <f t="shared" ca="1" si="345"/>
        <v>0.62282892756423469</v>
      </c>
      <c r="J4255">
        <f t="shared" ca="1" si="347"/>
        <v>1</v>
      </c>
      <c r="K4255">
        <f t="shared" ca="1" si="348"/>
        <v>0</v>
      </c>
      <c r="L4255">
        <f t="shared" si="349"/>
        <v>4249</v>
      </c>
      <c r="M4255" s="71">
        <f t="shared" ca="1" si="350"/>
        <v>4.918796853118141</v>
      </c>
    </row>
    <row r="4256" spans="1:13" x14ac:dyDescent="0.25">
      <c r="A4256" s="2">
        <v>4250</v>
      </c>
      <c r="B4256" s="11">
        <f t="shared" ca="1" si="346"/>
        <v>1</v>
      </c>
      <c r="C4256" s="26">
        <f t="shared" ca="1" si="345"/>
        <v>0.78087038310751766</v>
      </c>
      <c r="J4256">
        <f t="shared" ca="1" si="347"/>
        <v>1</v>
      </c>
      <c r="K4256">
        <f t="shared" ca="1" si="348"/>
        <v>0</v>
      </c>
      <c r="L4256">
        <f t="shared" si="349"/>
        <v>4250</v>
      </c>
      <c r="M4256" s="71">
        <f t="shared" ca="1" si="350"/>
        <v>2.6695582903886934</v>
      </c>
    </row>
    <row r="4257" spans="1:13" x14ac:dyDescent="0.25">
      <c r="A4257" s="2">
        <v>4251</v>
      </c>
      <c r="B4257" s="11">
        <f t="shared" ca="1" si="346"/>
        <v>1</v>
      </c>
      <c r="C4257" s="26">
        <f t="shared" ca="1" si="345"/>
        <v>0.35511685252967906</v>
      </c>
      <c r="J4257">
        <f t="shared" ca="1" si="347"/>
        <v>1</v>
      </c>
      <c r="K4257">
        <f t="shared" ca="1" si="348"/>
        <v>0</v>
      </c>
      <c r="L4257">
        <f t="shared" si="349"/>
        <v>4251</v>
      </c>
      <c r="M4257" s="71">
        <f t="shared" ca="1" si="350"/>
        <v>0.50701433292350262</v>
      </c>
    </row>
    <row r="4258" spans="1:13" x14ac:dyDescent="0.25">
      <c r="A4258" s="2">
        <v>4252</v>
      </c>
      <c r="B4258" s="11">
        <f t="shared" ca="1" si="346"/>
        <v>1</v>
      </c>
      <c r="C4258" s="26">
        <f t="shared" ca="1" si="345"/>
        <v>0.79637938691918142</v>
      </c>
      <c r="J4258">
        <f t="shared" ca="1" si="347"/>
        <v>1</v>
      </c>
      <c r="K4258">
        <f t="shared" ca="1" si="348"/>
        <v>0</v>
      </c>
      <c r="L4258">
        <f t="shared" si="349"/>
        <v>4252</v>
      </c>
      <c r="M4258" s="71">
        <f t="shared" ca="1" si="350"/>
        <v>3.8751081838326118</v>
      </c>
    </row>
    <row r="4259" spans="1:13" x14ac:dyDescent="0.25">
      <c r="A4259" s="2">
        <v>4253</v>
      </c>
      <c r="B4259" s="11">
        <f t="shared" ca="1" si="346"/>
        <v>1</v>
      </c>
      <c r="C4259" s="26">
        <f t="shared" ca="1" si="345"/>
        <v>0.36662198241904054</v>
      </c>
      <c r="J4259">
        <f t="shared" ca="1" si="347"/>
        <v>1</v>
      </c>
      <c r="K4259">
        <f t="shared" ca="1" si="348"/>
        <v>0</v>
      </c>
      <c r="L4259">
        <f t="shared" si="349"/>
        <v>4253</v>
      </c>
      <c r="M4259" s="71">
        <f t="shared" ca="1" si="350"/>
        <v>1.8768590621504377</v>
      </c>
    </row>
    <row r="4260" spans="1:13" x14ac:dyDescent="0.25">
      <c r="A4260" s="2">
        <v>4254</v>
      </c>
      <c r="B4260" s="11">
        <f t="shared" ca="1" si="346"/>
        <v>1</v>
      </c>
      <c r="C4260" s="26">
        <f t="shared" ca="1" si="345"/>
        <v>0.34773840963735925</v>
      </c>
      <c r="J4260">
        <f t="shared" ca="1" si="347"/>
        <v>1</v>
      </c>
      <c r="K4260">
        <f t="shared" ca="1" si="348"/>
        <v>0</v>
      </c>
      <c r="L4260">
        <f t="shared" si="349"/>
        <v>4254</v>
      </c>
      <c r="M4260" s="71">
        <f t="shared" ca="1" si="350"/>
        <v>1.5137008373124403</v>
      </c>
    </row>
    <row r="4261" spans="1:13" x14ac:dyDescent="0.25">
      <c r="A4261" s="2">
        <v>4255</v>
      </c>
      <c r="B4261" s="11">
        <f t="shared" ca="1" si="346"/>
        <v>1</v>
      </c>
      <c r="C4261" s="26">
        <f t="shared" ca="1" si="345"/>
        <v>0.41221909341421559</v>
      </c>
      <c r="J4261">
        <f t="shared" ca="1" si="347"/>
        <v>1</v>
      </c>
      <c r="K4261">
        <f t="shared" ca="1" si="348"/>
        <v>0</v>
      </c>
      <c r="L4261">
        <f t="shared" si="349"/>
        <v>4255</v>
      </c>
      <c r="M4261" s="71">
        <f t="shared" ca="1" si="350"/>
        <v>2.700242921894314</v>
      </c>
    </row>
    <row r="4262" spans="1:13" x14ac:dyDescent="0.25">
      <c r="A4262" s="2">
        <v>4256</v>
      </c>
      <c r="B4262" s="11">
        <f t="shared" ca="1" si="346"/>
        <v>1</v>
      </c>
      <c r="C4262" s="26">
        <f t="shared" ca="1" si="345"/>
        <v>0.63878744701803158</v>
      </c>
      <c r="J4262">
        <f t="shared" ca="1" si="347"/>
        <v>1</v>
      </c>
      <c r="K4262">
        <f t="shared" ca="1" si="348"/>
        <v>0</v>
      </c>
      <c r="L4262">
        <f t="shared" si="349"/>
        <v>4256</v>
      </c>
      <c r="M4262" s="71">
        <f t="shared" ca="1" si="350"/>
        <v>1.9715777912143233</v>
      </c>
    </row>
    <row r="4263" spans="1:13" x14ac:dyDescent="0.25">
      <c r="A4263" s="2">
        <v>4257</v>
      </c>
      <c r="B4263" s="11">
        <f t="shared" ca="1" si="346"/>
        <v>1</v>
      </c>
      <c r="C4263" s="26">
        <f t="shared" ca="1" si="345"/>
        <v>0.29726912156033958</v>
      </c>
      <c r="J4263">
        <f t="shared" ca="1" si="347"/>
        <v>1</v>
      </c>
      <c r="K4263">
        <f t="shared" ca="1" si="348"/>
        <v>0</v>
      </c>
      <c r="L4263">
        <f t="shared" si="349"/>
        <v>4257</v>
      </c>
      <c r="M4263" s="71">
        <f t="shared" ca="1" si="350"/>
        <v>3.9915869636960979</v>
      </c>
    </row>
    <row r="4264" spans="1:13" x14ac:dyDescent="0.25">
      <c r="A4264" s="2">
        <v>4258</v>
      </c>
      <c r="B4264" s="11">
        <f t="shared" ca="1" si="346"/>
        <v>1</v>
      </c>
      <c r="C4264" s="26">
        <f t="shared" ca="1" si="345"/>
        <v>0.69819614692965715</v>
      </c>
      <c r="J4264">
        <f t="shared" ca="1" si="347"/>
        <v>1</v>
      </c>
      <c r="K4264">
        <f t="shared" ca="1" si="348"/>
        <v>0</v>
      </c>
      <c r="L4264">
        <f t="shared" si="349"/>
        <v>4258</v>
      </c>
      <c r="M4264" s="71">
        <f t="shared" ca="1" si="350"/>
        <v>0.99304280338073825</v>
      </c>
    </row>
    <row r="4265" spans="1:13" x14ac:dyDescent="0.25">
      <c r="A4265" s="2">
        <v>4259</v>
      </c>
      <c r="B4265" s="11">
        <f t="shared" ca="1" si="346"/>
        <v>1</v>
      </c>
      <c r="C4265" s="26">
        <f t="shared" ca="1" si="345"/>
        <v>0.73217828236494997</v>
      </c>
      <c r="J4265">
        <f t="shared" ca="1" si="347"/>
        <v>1</v>
      </c>
      <c r="K4265">
        <f t="shared" ca="1" si="348"/>
        <v>0</v>
      </c>
      <c r="L4265">
        <f t="shared" si="349"/>
        <v>4259</v>
      </c>
      <c r="M4265" s="71">
        <f t="shared" ca="1" si="350"/>
        <v>3.3045729872558844</v>
      </c>
    </row>
    <row r="4266" spans="1:13" x14ac:dyDescent="0.25">
      <c r="A4266" s="2">
        <v>4260</v>
      </c>
      <c r="B4266" s="11">
        <f t="shared" ca="1" si="346"/>
        <v>1</v>
      </c>
      <c r="C4266" s="26">
        <f t="shared" ca="1" si="345"/>
        <v>0.4532625140480192</v>
      </c>
      <c r="J4266">
        <f t="shared" ca="1" si="347"/>
        <v>1</v>
      </c>
      <c r="K4266">
        <f t="shared" ca="1" si="348"/>
        <v>0</v>
      </c>
      <c r="L4266">
        <f t="shared" si="349"/>
        <v>4260</v>
      </c>
      <c r="M4266" s="71">
        <f t="shared" ca="1" si="350"/>
        <v>4.3438410599907584</v>
      </c>
    </row>
    <row r="4267" spans="1:13" x14ac:dyDescent="0.25">
      <c r="A4267" s="2">
        <v>4261</v>
      </c>
      <c r="B4267" s="11">
        <f t="shared" ca="1" si="346"/>
        <v>1</v>
      </c>
      <c r="C4267" s="26">
        <f t="shared" ca="1" si="345"/>
        <v>0.28913504497869236</v>
      </c>
      <c r="J4267">
        <f t="shared" ca="1" si="347"/>
        <v>0</v>
      </c>
      <c r="K4267">
        <f t="shared" ca="1" si="348"/>
        <v>0</v>
      </c>
      <c r="L4267">
        <f t="shared" si="349"/>
        <v>4261</v>
      </c>
      <c r="M4267" s="71">
        <f t="shared" ca="1" si="350"/>
        <v>1.9377551604883241</v>
      </c>
    </row>
    <row r="4268" spans="1:13" x14ac:dyDescent="0.25">
      <c r="A4268" s="2">
        <v>4262</v>
      </c>
      <c r="B4268" s="11">
        <f t="shared" ca="1" si="346"/>
        <v>0</v>
      </c>
      <c r="C4268" s="26">
        <f t="shared" ca="1" si="345"/>
        <v>0.9206129339585496</v>
      </c>
      <c r="J4268">
        <f t="shared" ca="1" si="347"/>
        <v>0</v>
      </c>
      <c r="K4268">
        <f t="shared" ca="1" si="348"/>
        <v>0</v>
      </c>
      <c r="L4268">
        <f t="shared" si="349"/>
        <v>4262</v>
      </c>
      <c r="M4268" s="71">
        <f t="shared" ca="1" si="350"/>
        <v>0</v>
      </c>
    </row>
    <row r="4269" spans="1:13" x14ac:dyDescent="0.25">
      <c r="A4269" s="2">
        <v>4263</v>
      </c>
      <c r="B4269" s="11">
        <f t="shared" ca="1" si="346"/>
        <v>1</v>
      </c>
      <c r="C4269" s="26">
        <f t="shared" ca="1" si="345"/>
        <v>0.56297270955319567</v>
      </c>
      <c r="J4269">
        <f t="shared" ca="1" si="347"/>
        <v>1</v>
      </c>
      <c r="K4269">
        <f t="shared" ca="1" si="348"/>
        <v>0</v>
      </c>
      <c r="L4269">
        <f t="shared" si="349"/>
        <v>4263</v>
      </c>
      <c r="M4269" s="71">
        <f t="shared" ca="1" si="350"/>
        <v>0.93102049451595892</v>
      </c>
    </row>
    <row r="4270" spans="1:13" x14ac:dyDescent="0.25">
      <c r="A4270" s="2">
        <v>4264</v>
      </c>
      <c r="B4270" s="11">
        <f t="shared" ca="1" si="346"/>
        <v>1</v>
      </c>
      <c r="C4270" s="26">
        <f t="shared" ca="1" si="345"/>
        <v>0.22579812018499834</v>
      </c>
      <c r="J4270">
        <f t="shared" ca="1" si="347"/>
        <v>0</v>
      </c>
      <c r="K4270">
        <f t="shared" ca="1" si="348"/>
        <v>0</v>
      </c>
      <c r="L4270">
        <f t="shared" si="349"/>
        <v>4264</v>
      </c>
      <c r="M4270" s="71">
        <f t="shared" ca="1" si="350"/>
        <v>4.2725923332052274</v>
      </c>
    </row>
    <row r="4271" spans="1:13" x14ac:dyDescent="0.25">
      <c r="A4271" s="2">
        <v>4265</v>
      </c>
      <c r="B4271" s="11">
        <f t="shared" ca="1" si="346"/>
        <v>0</v>
      </c>
      <c r="C4271" s="26">
        <f t="shared" ca="1" si="345"/>
        <v>0.93978450893570686</v>
      </c>
      <c r="J4271">
        <f t="shared" ca="1" si="347"/>
        <v>0</v>
      </c>
      <c r="K4271">
        <f t="shared" ca="1" si="348"/>
        <v>0</v>
      </c>
      <c r="L4271">
        <f t="shared" si="349"/>
        <v>4265</v>
      </c>
      <c r="M4271" s="71">
        <f t="shared" ca="1" si="350"/>
        <v>0</v>
      </c>
    </row>
    <row r="4272" spans="1:13" x14ac:dyDescent="0.25">
      <c r="A4272" s="2">
        <v>4266</v>
      </c>
      <c r="B4272" s="11">
        <f t="shared" ca="1" si="346"/>
        <v>1</v>
      </c>
      <c r="C4272" s="26">
        <f t="shared" ca="1" si="345"/>
        <v>5.7147629946312728E-2</v>
      </c>
      <c r="J4272">
        <f t="shared" ca="1" si="347"/>
        <v>1</v>
      </c>
      <c r="K4272">
        <f t="shared" ca="1" si="348"/>
        <v>0</v>
      </c>
      <c r="L4272">
        <f t="shared" si="349"/>
        <v>4266</v>
      </c>
      <c r="M4272" s="71">
        <f t="shared" ca="1" si="350"/>
        <v>8.4408930861070282</v>
      </c>
    </row>
    <row r="4273" spans="1:13" x14ac:dyDescent="0.25">
      <c r="A4273" s="2">
        <v>4267</v>
      </c>
      <c r="B4273" s="11">
        <f t="shared" ca="1" si="346"/>
        <v>1</v>
      </c>
      <c r="C4273" s="26">
        <f t="shared" ca="1" si="345"/>
        <v>0.71669313135332913</v>
      </c>
      <c r="J4273">
        <f t="shared" ca="1" si="347"/>
        <v>1</v>
      </c>
      <c r="K4273">
        <f t="shared" ca="1" si="348"/>
        <v>0</v>
      </c>
      <c r="L4273">
        <f t="shared" si="349"/>
        <v>4267</v>
      </c>
      <c r="M4273" s="71">
        <f t="shared" ca="1" si="350"/>
        <v>2.2995256390597136</v>
      </c>
    </row>
    <row r="4274" spans="1:13" x14ac:dyDescent="0.25">
      <c r="A4274" s="2">
        <v>4268</v>
      </c>
      <c r="B4274" s="11">
        <f t="shared" ca="1" si="346"/>
        <v>1</v>
      </c>
      <c r="C4274" s="26">
        <f t="shared" ca="1" si="345"/>
        <v>0.22662368951498268</v>
      </c>
      <c r="J4274">
        <f t="shared" ca="1" si="347"/>
        <v>1</v>
      </c>
      <c r="K4274">
        <f t="shared" ca="1" si="348"/>
        <v>0</v>
      </c>
      <c r="L4274">
        <f t="shared" si="349"/>
        <v>4268</v>
      </c>
      <c r="M4274" s="71">
        <f t="shared" ca="1" si="350"/>
        <v>2.1406182906872013</v>
      </c>
    </row>
    <row r="4275" spans="1:13" x14ac:dyDescent="0.25">
      <c r="A4275" s="2">
        <v>4269</v>
      </c>
      <c r="B4275" s="11">
        <f t="shared" ca="1" si="346"/>
        <v>1</v>
      </c>
      <c r="C4275" s="26">
        <f t="shared" ca="1" si="345"/>
        <v>0.38718130468083667</v>
      </c>
      <c r="J4275">
        <f t="shared" ca="1" si="347"/>
        <v>1</v>
      </c>
      <c r="K4275">
        <f t="shared" ca="1" si="348"/>
        <v>0</v>
      </c>
      <c r="L4275">
        <f t="shared" si="349"/>
        <v>4269</v>
      </c>
      <c r="M4275" s="71">
        <f t="shared" ca="1" si="350"/>
        <v>3.1074279237637108E-2</v>
      </c>
    </row>
    <row r="4276" spans="1:13" x14ac:dyDescent="0.25">
      <c r="A4276" s="2">
        <v>4270</v>
      </c>
      <c r="B4276" s="11">
        <f t="shared" ca="1" si="346"/>
        <v>1</v>
      </c>
      <c r="C4276" s="26">
        <f t="shared" ca="1" si="345"/>
        <v>0.28509093831647758</v>
      </c>
      <c r="J4276">
        <f t="shared" ca="1" si="347"/>
        <v>0</v>
      </c>
      <c r="K4276">
        <f t="shared" ca="1" si="348"/>
        <v>0</v>
      </c>
      <c r="L4276">
        <f t="shared" si="349"/>
        <v>4270</v>
      </c>
      <c r="M4276" s="71">
        <f t="shared" ca="1" si="350"/>
        <v>1.6416975305256134</v>
      </c>
    </row>
    <row r="4277" spans="1:13" x14ac:dyDescent="0.25">
      <c r="A4277" s="2">
        <v>4271</v>
      </c>
      <c r="B4277" s="11">
        <f t="shared" ca="1" si="346"/>
        <v>0</v>
      </c>
      <c r="C4277" s="26">
        <f t="shared" ca="1" si="345"/>
        <v>0.86283470693363118</v>
      </c>
      <c r="J4277">
        <f t="shared" ca="1" si="347"/>
        <v>0</v>
      </c>
      <c r="K4277">
        <f t="shared" ca="1" si="348"/>
        <v>0</v>
      </c>
      <c r="L4277">
        <f t="shared" si="349"/>
        <v>4271</v>
      </c>
      <c r="M4277" s="71">
        <f t="shared" ca="1" si="350"/>
        <v>0</v>
      </c>
    </row>
    <row r="4278" spans="1:13" x14ac:dyDescent="0.25">
      <c r="A4278" s="2">
        <v>4272</v>
      </c>
      <c r="B4278" s="11">
        <f t="shared" ca="1" si="346"/>
        <v>1</v>
      </c>
      <c r="C4278" s="26">
        <f t="shared" ca="1" si="345"/>
        <v>0.13955716261765649</v>
      </c>
      <c r="J4278">
        <f t="shared" ca="1" si="347"/>
        <v>1</v>
      </c>
      <c r="K4278">
        <f t="shared" ca="1" si="348"/>
        <v>0</v>
      </c>
      <c r="L4278">
        <f t="shared" si="349"/>
        <v>4272</v>
      </c>
      <c r="M4278" s="71">
        <f t="shared" ca="1" si="350"/>
        <v>3.0067974569678584</v>
      </c>
    </row>
    <row r="4279" spans="1:13" x14ac:dyDescent="0.25">
      <c r="A4279" s="2">
        <v>4273</v>
      </c>
      <c r="B4279" s="11">
        <f t="shared" ca="1" si="346"/>
        <v>1</v>
      </c>
      <c r="C4279" s="26">
        <f t="shared" ca="1" si="345"/>
        <v>8.5098396049995251E-2</v>
      </c>
      <c r="J4279">
        <f t="shared" ca="1" si="347"/>
        <v>1</v>
      </c>
      <c r="K4279">
        <f t="shared" ca="1" si="348"/>
        <v>0</v>
      </c>
      <c r="L4279">
        <f t="shared" si="349"/>
        <v>4273</v>
      </c>
      <c r="M4279" s="71">
        <f t="shared" ca="1" si="350"/>
        <v>6.9171748654523624</v>
      </c>
    </row>
    <row r="4280" spans="1:13" x14ac:dyDescent="0.25">
      <c r="A4280" s="2">
        <v>4274</v>
      </c>
      <c r="B4280" s="11">
        <f t="shared" ca="1" si="346"/>
        <v>1</v>
      </c>
      <c r="C4280" s="26">
        <f t="shared" ca="1" si="345"/>
        <v>0.32074938700122246</v>
      </c>
      <c r="J4280">
        <f t="shared" ca="1" si="347"/>
        <v>1</v>
      </c>
      <c r="K4280">
        <f t="shared" ca="1" si="348"/>
        <v>0</v>
      </c>
      <c r="L4280">
        <f t="shared" si="349"/>
        <v>4274</v>
      </c>
      <c r="M4280" s="71">
        <f t="shared" ca="1" si="350"/>
        <v>4.2277671989249077</v>
      </c>
    </row>
    <row r="4281" spans="1:13" x14ac:dyDescent="0.25">
      <c r="A4281" s="2">
        <v>4275</v>
      </c>
      <c r="B4281" s="11">
        <f t="shared" ca="1" si="346"/>
        <v>1</v>
      </c>
      <c r="C4281" s="26">
        <f t="shared" ca="1" si="345"/>
        <v>0.13948317937249965</v>
      </c>
      <c r="J4281">
        <f t="shared" ca="1" si="347"/>
        <v>1</v>
      </c>
      <c r="K4281">
        <f t="shared" ca="1" si="348"/>
        <v>0</v>
      </c>
      <c r="L4281">
        <f t="shared" si="349"/>
        <v>4275</v>
      </c>
      <c r="M4281" s="71">
        <f t="shared" ca="1" si="350"/>
        <v>1.7167539663449563</v>
      </c>
    </row>
    <row r="4282" spans="1:13" x14ac:dyDescent="0.25">
      <c r="A4282" s="2">
        <v>4276</v>
      </c>
      <c r="B4282" s="11">
        <f t="shared" ca="1" si="346"/>
        <v>1</v>
      </c>
      <c r="C4282" s="26">
        <f t="shared" ca="1" si="345"/>
        <v>0.41095010084152783</v>
      </c>
      <c r="J4282">
        <f t="shared" ca="1" si="347"/>
        <v>0</v>
      </c>
      <c r="K4282">
        <f t="shared" ca="1" si="348"/>
        <v>0</v>
      </c>
      <c r="L4282">
        <f t="shared" si="349"/>
        <v>4276</v>
      </c>
      <c r="M4282" s="71">
        <f t="shared" ca="1" si="350"/>
        <v>2.9423313706566785</v>
      </c>
    </row>
    <row r="4283" spans="1:13" x14ac:dyDescent="0.25">
      <c r="A4283" s="2">
        <v>4277</v>
      </c>
      <c r="B4283" s="11">
        <f t="shared" ca="1" si="346"/>
        <v>0</v>
      </c>
      <c r="C4283" s="26">
        <f t="shared" ca="1" si="345"/>
        <v>0.91957050533644702</v>
      </c>
      <c r="J4283">
        <f t="shared" ca="1" si="347"/>
        <v>0</v>
      </c>
      <c r="K4283">
        <f t="shared" ca="1" si="348"/>
        <v>0</v>
      </c>
      <c r="L4283">
        <f t="shared" si="349"/>
        <v>4277</v>
      </c>
      <c r="M4283" s="71">
        <f t="shared" ca="1" si="350"/>
        <v>0</v>
      </c>
    </row>
    <row r="4284" spans="1:13" x14ac:dyDescent="0.25">
      <c r="A4284" s="2">
        <v>4278</v>
      </c>
      <c r="B4284" s="11">
        <f t="shared" ca="1" si="346"/>
        <v>1</v>
      </c>
      <c r="C4284" s="26">
        <f t="shared" ca="1" si="345"/>
        <v>0.21066218412970217</v>
      </c>
      <c r="J4284">
        <f t="shared" ca="1" si="347"/>
        <v>1</v>
      </c>
      <c r="K4284">
        <f t="shared" ca="1" si="348"/>
        <v>0</v>
      </c>
      <c r="L4284">
        <f t="shared" si="349"/>
        <v>4278</v>
      </c>
      <c r="M4284" s="71">
        <f t="shared" ca="1" si="350"/>
        <v>4.4657230998643627</v>
      </c>
    </row>
    <row r="4285" spans="1:13" x14ac:dyDescent="0.25">
      <c r="A4285" s="2">
        <v>4279</v>
      </c>
      <c r="B4285" s="11">
        <f t="shared" ca="1" si="346"/>
        <v>1</v>
      </c>
      <c r="C4285" s="26">
        <f t="shared" ca="1" si="345"/>
        <v>0.13678277595269905</v>
      </c>
      <c r="J4285">
        <f t="shared" ca="1" si="347"/>
        <v>1</v>
      </c>
      <c r="K4285">
        <f t="shared" ca="1" si="348"/>
        <v>0</v>
      </c>
      <c r="L4285">
        <f t="shared" si="349"/>
        <v>4279</v>
      </c>
      <c r="M4285" s="71">
        <f t="shared" ca="1" si="350"/>
        <v>6.6599105674674899</v>
      </c>
    </row>
    <row r="4286" spans="1:13" x14ac:dyDescent="0.25">
      <c r="A4286" s="2">
        <v>4280</v>
      </c>
      <c r="B4286" s="11">
        <f t="shared" ca="1" si="346"/>
        <v>1</v>
      </c>
      <c r="C4286" s="26">
        <f t="shared" ca="1" si="345"/>
        <v>0.3159386361061064</v>
      </c>
      <c r="J4286">
        <f t="shared" ca="1" si="347"/>
        <v>0</v>
      </c>
      <c r="K4286">
        <f t="shared" ca="1" si="348"/>
        <v>0</v>
      </c>
      <c r="L4286">
        <f t="shared" si="349"/>
        <v>4280</v>
      </c>
      <c r="M4286" s="71">
        <f t="shared" ca="1" si="350"/>
        <v>1.7792286326991016</v>
      </c>
    </row>
    <row r="4287" spans="1:13" x14ac:dyDescent="0.25">
      <c r="A4287" s="2">
        <v>4281</v>
      </c>
      <c r="B4287" s="11">
        <f t="shared" ca="1" si="346"/>
        <v>0</v>
      </c>
      <c r="C4287" s="26">
        <f t="shared" ca="1" si="345"/>
        <v>0.83746844962403721</v>
      </c>
      <c r="J4287">
        <f t="shared" ca="1" si="347"/>
        <v>0</v>
      </c>
      <c r="K4287">
        <f t="shared" ca="1" si="348"/>
        <v>1</v>
      </c>
      <c r="L4287">
        <f t="shared" si="349"/>
        <v>4281</v>
      </c>
      <c r="M4287" s="71">
        <f t="shared" ca="1" si="350"/>
        <v>0</v>
      </c>
    </row>
    <row r="4288" spans="1:13" x14ac:dyDescent="0.25">
      <c r="A4288" s="2">
        <v>4282</v>
      </c>
      <c r="B4288" s="11">
        <f t="shared" ca="1" si="346"/>
        <v>0</v>
      </c>
      <c r="C4288" s="26">
        <f t="shared" ca="1" si="345"/>
        <v>0.92841655897597219</v>
      </c>
      <c r="J4288">
        <f t="shared" ca="1" si="347"/>
        <v>0</v>
      </c>
      <c r="K4288">
        <f t="shared" ca="1" si="348"/>
        <v>0</v>
      </c>
      <c r="L4288">
        <f t="shared" si="349"/>
        <v>4282</v>
      </c>
      <c r="M4288" s="71">
        <f t="shared" ca="1" si="350"/>
        <v>0</v>
      </c>
    </row>
    <row r="4289" spans="1:13" x14ac:dyDescent="0.25">
      <c r="A4289" s="2">
        <v>4283</v>
      </c>
      <c r="B4289" s="11">
        <f t="shared" ca="1" si="346"/>
        <v>1</v>
      </c>
      <c r="C4289" s="26">
        <f t="shared" ca="1" si="345"/>
        <v>4.5263520120846445E-2</v>
      </c>
      <c r="J4289">
        <f t="shared" ca="1" si="347"/>
        <v>1</v>
      </c>
      <c r="K4289">
        <f t="shared" ca="1" si="348"/>
        <v>0</v>
      </c>
      <c r="L4289">
        <f t="shared" si="349"/>
        <v>4283</v>
      </c>
      <c r="M4289" s="71">
        <f t="shared" ca="1" si="350"/>
        <v>1.9059709021134237</v>
      </c>
    </row>
    <row r="4290" spans="1:13" x14ac:dyDescent="0.25">
      <c r="A4290" s="2">
        <v>4284</v>
      </c>
      <c r="B4290" s="11">
        <f t="shared" ca="1" si="346"/>
        <v>1</v>
      </c>
      <c r="C4290" s="26">
        <f t="shared" ca="1" si="345"/>
        <v>0.50981455821241262</v>
      </c>
      <c r="J4290">
        <f t="shared" ca="1" si="347"/>
        <v>0</v>
      </c>
      <c r="K4290">
        <f t="shared" ca="1" si="348"/>
        <v>0</v>
      </c>
      <c r="L4290">
        <f t="shared" si="349"/>
        <v>4284</v>
      </c>
      <c r="M4290" s="71">
        <f t="shared" ca="1" si="350"/>
        <v>0.13425952583019515</v>
      </c>
    </row>
    <row r="4291" spans="1:13" x14ac:dyDescent="0.25">
      <c r="A4291" s="2">
        <v>4285</v>
      </c>
      <c r="B4291" s="11">
        <f t="shared" ca="1" si="346"/>
        <v>0</v>
      </c>
      <c r="C4291" s="26">
        <f t="shared" ca="1" si="345"/>
        <v>0.92265692917859765</v>
      </c>
      <c r="J4291">
        <f t="shared" ca="1" si="347"/>
        <v>0</v>
      </c>
      <c r="K4291">
        <f t="shared" ca="1" si="348"/>
        <v>1</v>
      </c>
      <c r="L4291">
        <f t="shared" si="349"/>
        <v>4285</v>
      </c>
      <c r="M4291" s="71">
        <f t="shared" ca="1" si="350"/>
        <v>0</v>
      </c>
    </row>
    <row r="4292" spans="1:13" x14ac:dyDescent="0.25">
      <c r="A4292" s="2">
        <v>4286</v>
      </c>
      <c r="B4292" s="11">
        <f t="shared" ca="1" si="346"/>
        <v>0</v>
      </c>
      <c r="C4292" s="26">
        <f t="shared" ca="1" si="345"/>
        <v>0.75541294906110645</v>
      </c>
      <c r="J4292">
        <f t="shared" ca="1" si="347"/>
        <v>0</v>
      </c>
      <c r="K4292">
        <f t="shared" ca="1" si="348"/>
        <v>0</v>
      </c>
      <c r="L4292">
        <f t="shared" si="349"/>
        <v>4286</v>
      </c>
      <c r="M4292" s="71">
        <f t="shared" ca="1" si="350"/>
        <v>0</v>
      </c>
    </row>
    <row r="4293" spans="1:13" x14ac:dyDescent="0.25">
      <c r="A4293" s="2">
        <v>4287</v>
      </c>
      <c r="B4293" s="11">
        <f t="shared" ca="1" si="346"/>
        <v>1</v>
      </c>
      <c r="C4293" s="26">
        <f t="shared" ca="1" si="345"/>
        <v>0.45315652839319787</v>
      </c>
      <c r="J4293">
        <f t="shared" ca="1" si="347"/>
        <v>1</v>
      </c>
      <c r="K4293">
        <f t="shared" ca="1" si="348"/>
        <v>0</v>
      </c>
      <c r="L4293">
        <f t="shared" si="349"/>
        <v>4287</v>
      </c>
      <c r="M4293" s="71">
        <f t="shared" ca="1" si="350"/>
        <v>1.4545026830145633</v>
      </c>
    </row>
    <row r="4294" spans="1:13" x14ac:dyDescent="0.25">
      <c r="A4294" s="2">
        <v>4288</v>
      </c>
      <c r="B4294" s="11">
        <f t="shared" ca="1" si="346"/>
        <v>1</v>
      </c>
      <c r="C4294" s="26">
        <f t="shared" ca="1" si="345"/>
        <v>0.52211942976794956</v>
      </c>
      <c r="J4294">
        <f t="shared" ca="1" si="347"/>
        <v>0</v>
      </c>
      <c r="K4294">
        <f t="shared" ca="1" si="348"/>
        <v>0</v>
      </c>
      <c r="L4294">
        <f t="shared" si="349"/>
        <v>4288</v>
      </c>
      <c r="M4294" s="71">
        <f t="shared" ca="1" si="350"/>
        <v>7.146709283857013</v>
      </c>
    </row>
    <row r="4295" spans="1:13" x14ac:dyDescent="0.25">
      <c r="A4295" s="2">
        <v>4289</v>
      </c>
      <c r="B4295" s="11">
        <f t="shared" ca="1" si="346"/>
        <v>0</v>
      </c>
      <c r="C4295" s="26">
        <f t="shared" ca="1" si="345"/>
        <v>0.91534715249574006</v>
      </c>
      <c r="J4295">
        <f t="shared" ca="1" si="347"/>
        <v>0</v>
      </c>
      <c r="K4295">
        <f t="shared" ca="1" si="348"/>
        <v>0</v>
      </c>
      <c r="L4295">
        <f t="shared" si="349"/>
        <v>4289</v>
      </c>
      <c r="M4295" s="71">
        <f t="shared" ca="1" si="350"/>
        <v>0</v>
      </c>
    </row>
    <row r="4296" spans="1:13" x14ac:dyDescent="0.25">
      <c r="A4296" s="2">
        <v>4290</v>
      </c>
      <c r="B4296" s="11">
        <f t="shared" ca="1" si="346"/>
        <v>1</v>
      </c>
      <c r="C4296" s="26">
        <f t="shared" ref="C4296:C4359" ca="1" si="351">RAND()</f>
        <v>0.65333207691275197</v>
      </c>
      <c r="J4296">
        <f t="shared" ca="1" si="347"/>
        <v>1</v>
      </c>
      <c r="K4296">
        <f t="shared" ca="1" si="348"/>
        <v>0</v>
      </c>
      <c r="L4296">
        <f t="shared" si="349"/>
        <v>4290</v>
      </c>
      <c r="M4296" s="71">
        <f t="shared" ca="1" si="350"/>
        <v>6.7239991215077062</v>
      </c>
    </row>
    <row r="4297" spans="1:13" x14ac:dyDescent="0.25">
      <c r="A4297" s="2">
        <v>4291</v>
      </c>
      <c r="B4297" s="11">
        <f t="shared" ref="B4297:B4360" ca="1" si="352">IF(B4296&gt;0,IF(C4297&lt;pww,1,0),IF(C4297&lt;pdw,1,0))</f>
        <v>1</v>
      </c>
      <c r="C4297" s="26">
        <f t="shared" ca="1" si="351"/>
        <v>0.67189809892780183</v>
      </c>
      <c r="J4297">
        <f t="shared" ca="1" si="347"/>
        <v>1</v>
      </c>
      <c r="K4297">
        <f t="shared" ca="1" si="348"/>
        <v>0</v>
      </c>
      <c r="L4297">
        <f t="shared" si="349"/>
        <v>4291</v>
      </c>
      <c r="M4297" s="71">
        <f t="shared" ca="1" si="350"/>
        <v>1.1481590325748567</v>
      </c>
    </row>
    <row r="4298" spans="1:13" x14ac:dyDescent="0.25">
      <c r="A4298" s="2">
        <v>4292</v>
      </c>
      <c r="B4298" s="11">
        <f t="shared" ca="1" si="352"/>
        <v>1</v>
      </c>
      <c r="C4298" s="26">
        <f t="shared" ca="1" si="351"/>
        <v>0.35878982943415028</v>
      </c>
      <c r="J4298">
        <f t="shared" ref="J4298:J4361" ca="1" si="353">IF(AND(B4298,B4299),1,0)</f>
        <v>1</v>
      </c>
      <c r="K4298">
        <f t="shared" ref="K4298:K4361" ca="1" si="354">IF(AND(NOT(B4298),NOT(B4299)),1,0)</f>
        <v>0</v>
      </c>
      <c r="L4298">
        <f t="shared" ref="L4298:L4361" si="355">L4297+1</f>
        <v>4292</v>
      </c>
      <c r="M4298" s="71">
        <f t="shared" ref="M4298:M4361" ca="1" si="356">IF(B4298&gt;0,-LN(1-(RAND()))/lambda,0)</f>
        <v>3.3694257245072463</v>
      </c>
    </row>
    <row r="4299" spans="1:13" x14ac:dyDescent="0.25">
      <c r="A4299" s="2">
        <v>4293</v>
      </c>
      <c r="B4299" s="11">
        <f t="shared" ca="1" si="352"/>
        <v>1</v>
      </c>
      <c r="C4299" s="26">
        <f t="shared" ca="1" si="351"/>
        <v>0.4100040294144206</v>
      </c>
      <c r="J4299">
        <f t="shared" ca="1" si="353"/>
        <v>1</v>
      </c>
      <c r="K4299">
        <f t="shared" ca="1" si="354"/>
        <v>0</v>
      </c>
      <c r="L4299">
        <f t="shared" si="355"/>
        <v>4293</v>
      </c>
      <c r="M4299" s="71">
        <f t="shared" ca="1" si="356"/>
        <v>1.2685088336795161</v>
      </c>
    </row>
    <row r="4300" spans="1:13" x14ac:dyDescent="0.25">
      <c r="A4300" s="2">
        <v>4294</v>
      </c>
      <c r="B4300" s="11">
        <f t="shared" ca="1" si="352"/>
        <v>1</v>
      </c>
      <c r="C4300" s="26">
        <f t="shared" ca="1" si="351"/>
        <v>0.65849950823992975</v>
      </c>
      <c r="J4300">
        <f t="shared" ca="1" si="353"/>
        <v>1</v>
      </c>
      <c r="K4300">
        <f t="shared" ca="1" si="354"/>
        <v>0</v>
      </c>
      <c r="L4300">
        <f t="shared" si="355"/>
        <v>4294</v>
      </c>
      <c r="M4300" s="71">
        <f t="shared" ca="1" si="356"/>
        <v>1.4599718297191555</v>
      </c>
    </row>
    <row r="4301" spans="1:13" x14ac:dyDescent="0.25">
      <c r="A4301" s="2">
        <v>4295</v>
      </c>
      <c r="B4301" s="11">
        <f t="shared" ca="1" si="352"/>
        <v>1</v>
      </c>
      <c r="C4301" s="26">
        <f t="shared" ca="1" si="351"/>
        <v>0.5864558889893885</v>
      </c>
      <c r="J4301">
        <f t="shared" ca="1" si="353"/>
        <v>1</v>
      </c>
      <c r="K4301">
        <f t="shared" ca="1" si="354"/>
        <v>0</v>
      </c>
      <c r="L4301">
        <f t="shared" si="355"/>
        <v>4295</v>
      </c>
      <c r="M4301" s="71">
        <f t="shared" ca="1" si="356"/>
        <v>5.6218847998781252</v>
      </c>
    </row>
    <row r="4302" spans="1:13" x14ac:dyDescent="0.25">
      <c r="A4302" s="2">
        <v>4296</v>
      </c>
      <c r="B4302" s="11">
        <f t="shared" ca="1" si="352"/>
        <v>1</v>
      </c>
      <c r="C4302" s="26">
        <f t="shared" ca="1" si="351"/>
        <v>9.5241422885607663E-2</v>
      </c>
      <c r="J4302">
        <f t="shared" ca="1" si="353"/>
        <v>1</v>
      </c>
      <c r="K4302">
        <f t="shared" ca="1" si="354"/>
        <v>0</v>
      </c>
      <c r="L4302">
        <f t="shared" si="355"/>
        <v>4296</v>
      </c>
      <c r="M4302" s="71">
        <f t="shared" ca="1" si="356"/>
        <v>0.84810895581027856</v>
      </c>
    </row>
    <row r="4303" spans="1:13" x14ac:dyDescent="0.25">
      <c r="A4303" s="2">
        <v>4297</v>
      </c>
      <c r="B4303" s="11">
        <f t="shared" ca="1" si="352"/>
        <v>1</v>
      </c>
      <c r="C4303" s="26">
        <f t="shared" ca="1" si="351"/>
        <v>0.40218810382822867</v>
      </c>
      <c r="J4303">
        <f t="shared" ca="1" si="353"/>
        <v>1</v>
      </c>
      <c r="K4303">
        <f t="shared" ca="1" si="354"/>
        <v>0</v>
      </c>
      <c r="L4303">
        <f t="shared" si="355"/>
        <v>4297</v>
      </c>
      <c r="M4303" s="71">
        <f t="shared" ca="1" si="356"/>
        <v>18.797218583572189</v>
      </c>
    </row>
    <row r="4304" spans="1:13" x14ac:dyDescent="0.25">
      <c r="A4304" s="2">
        <v>4298</v>
      </c>
      <c r="B4304" s="11">
        <f t="shared" ca="1" si="352"/>
        <v>1</v>
      </c>
      <c r="C4304" s="26">
        <f t="shared" ca="1" si="351"/>
        <v>0.22635175071708147</v>
      </c>
      <c r="J4304">
        <f t="shared" ca="1" si="353"/>
        <v>0</v>
      </c>
      <c r="K4304">
        <f t="shared" ca="1" si="354"/>
        <v>0</v>
      </c>
      <c r="L4304">
        <f t="shared" si="355"/>
        <v>4298</v>
      </c>
      <c r="M4304" s="71">
        <f t="shared" ca="1" si="356"/>
        <v>2.6583903102039321</v>
      </c>
    </row>
    <row r="4305" spans="1:13" x14ac:dyDescent="0.25">
      <c r="A4305" s="2">
        <v>4299</v>
      </c>
      <c r="B4305" s="11">
        <f t="shared" ca="1" si="352"/>
        <v>0</v>
      </c>
      <c r="C4305" s="26">
        <f t="shared" ca="1" si="351"/>
        <v>0.95676092623948117</v>
      </c>
      <c r="J4305">
        <f t="shared" ca="1" si="353"/>
        <v>0</v>
      </c>
      <c r="K4305">
        <f t="shared" ca="1" si="354"/>
        <v>0</v>
      </c>
      <c r="L4305">
        <f t="shared" si="355"/>
        <v>4299</v>
      </c>
      <c r="M4305" s="71">
        <f t="shared" ca="1" si="356"/>
        <v>0</v>
      </c>
    </row>
    <row r="4306" spans="1:13" x14ac:dyDescent="0.25">
      <c r="A4306" s="2">
        <v>4300</v>
      </c>
      <c r="B4306" s="11">
        <f t="shared" ca="1" si="352"/>
        <v>1</v>
      </c>
      <c r="C4306" s="26">
        <f t="shared" ca="1" si="351"/>
        <v>0.18258615358200359</v>
      </c>
      <c r="J4306">
        <f t="shared" ca="1" si="353"/>
        <v>1</v>
      </c>
      <c r="K4306">
        <f t="shared" ca="1" si="354"/>
        <v>0</v>
      </c>
      <c r="L4306">
        <f t="shared" si="355"/>
        <v>4300</v>
      </c>
      <c r="M4306" s="71">
        <f t="shared" ca="1" si="356"/>
        <v>6.8483813920757433</v>
      </c>
    </row>
    <row r="4307" spans="1:13" x14ac:dyDescent="0.25">
      <c r="A4307" s="2">
        <v>4301</v>
      </c>
      <c r="B4307" s="11">
        <f t="shared" ca="1" si="352"/>
        <v>1</v>
      </c>
      <c r="C4307" s="26">
        <f t="shared" ca="1" si="351"/>
        <v>0.50581522792534828</v>
      </c>
      <c r="J4307">
        <f t="shared" ca="1" si="353"/>
        <v>1</v>
      </c>
      <c r="K4307">
        <f t="shared" ca="1" si="354"/>
        <v>0</v>
      </c>
      <c r="L4307">
        <f t="shared" si="355"/>
        <v>4301</v>
      </c>
      <c r="M4307" s="71">
        <f t="shared" ca="1" si="356"/>
        <v>3.7766122842427055</v>
      </c>
    </row>
    <row r="4308" spans="1:13" x14ac:dyDescent="0.25">
      <c r="A4308" s="2">
        <v>4302</v>
      </c>
      <c r="B4308" s="11">
        <f t="shared" ca="1" si="352"/>
        <v>1</v>
      </c>
      <c r="C4308" s="26">
        <f t="shared" ca="1" si="351"/>
        <v>0.28516545062018872</v>
      </c>
      <c r="J4308">
        <f t="shared" ca="1" si="353"/>
        <v>0</v>
      </c>
      <c r="K4308">
        <f t="shared" ca="1" si="354"/>
        <v>0</v>
      </c>
      <c r="L4308">
        <f t="shared" si="355"/>
        <v>4302</v>
      </c>
      <c r="M4308" s="71">
        <f t="shared" ca="1" si="356"/>
        <v>4.7210360780358487</v>
      </c>
    </row>
    <row r="4309" spans="1:13" x14ac:dyDescent="0.25">
      <c r="A4309" s="2">
        <v>4303</v>
      </c>
      <c r="B4309" s="11">
        <f t="shared" ca="1" si="352"/>
        <v>0</v>
      </c>
      <c r="C4309" s="26">
        <f t="shared" ca="1" si="351"/>
        <v>0.83122600727036222</v>
      </c>
      <c r="J4309">
        <f t="shared" ca="1" si="353"/>
        <v>0</v>
      </c>
      <c r="K4309">
        <f t="shared" ca="1" si="354"/>
        <v>0</v>
      </c>
      <c r="L4309">
        <f t="shared" si="355"/>
        <v>4303</v>
      </c>
      <c r="M4309" s="71">
        <f t="shared" ca="1" si="356"/>
        <v>0</v>
      </c>
    </row>
    <row r="4310" spans="1:13" x14ac:dyDescent="0.25">
      <c r="A4310" s="2">
        <v>4304</v>
      </c>
      <c r="B4310" s="11">
        <f t="shared" ca="1" si="352"/>
        <v>1</v>
      </c>
      <c r="C4310" s="26">
        <f t="shared" ca="1" si="351"/>
        <v>0.48580794525579896</v>
      </c>
      <c r="J4310">
        <f t="shared" ca="1" si="353"/>
        <v>0</v>
      </c>
      <c r="K4310">
        <f t="shared" ca="1" si="354"/>
        <v>0</v>
      </c>
      <c r="L4310">
        <f t="shared" si="355"/>
        <v>4304</v>
      </c>
      <c r="M4310" s="71">
        <f t="shared" ca="1" si="356"/>
        <v>0.52286700898648919</v>
      </c>
    </row>
    <row r="4311" spans="1:13" x14ac:dyDescent="0.25">
      <c r="A4311" s="2">
        <v>4305</v>
      </c>
      <c r="B4311" s="11">
        <f t="shared" ca="1" si="352"/>
        <v>0</v>
      </c>
      <c r="C4311" s="26">
        <f t="shared" ca="1" si="351"/>
        <v>0.99025617135805921</v>
      </c>
      <c r="J4311">
        <f t="shared" ca="1" si="353"/>
        <v>0</v>
      </c>
      <c r="K4311">
        <f t="shared" ca="1" si="354"/>
        <v>0</v>
      </c>
      <c r="L4311">
        <f t="shared" si="355"/>
        <v>4305</v>
      </c>
      <c r="M4311" s="71">
        <f t="shared" ca="1" si="356"/>
        <v>0</v>
      </c>
    </row>
    <row r="4312" spans="1:13" x14ac:dyDescent="0.25">
      <c r="A4312" s="2">
        <v>4306</v>
      </c>
      <c r="B4312" s="11">
        <f t="shared" ca="1" si="352"/>
        <v>1</v>
      </c>
      <c r="C4312" s="26">
        <f t="shared" ca="1" si="351"/>
        <v>0.43902550257014017</v>
      </c>
      <c r="J4312">
        <f t="shared" ca="1" si="353"/>
        <v>1</v>
      </c>
      <c r="K4312">
        <f t="shared" ca="1" si="354"/>
        <v>0</v>
      </c>
      <c r="L4312">
        <f t="shared" si="355"/>
        <v>4306</v>
      </c>
      <c r="M4312" s="71">
        <f t="shared" ca="1" si="356"/>
        <v>1.1627954553920243</v>
      </c>
    </row>
    <row r="4313" spans="1:13" x14ac:dyDescent="0.25">
      <c r="A4313" s="2">
        <v>4307</v>
      </c>
      <c r="B4313" s="11">
        <f t="shared" ca="1" si="352"/>
        <v>1</v>
      </c>
      <c r="C4313" s="26">
        <f t="shared" ca="1" si="351"/>
        <v>0.35877534710897663</v>
      </c>
      <c r="J4313">
        <f t="shared" ca="1" si="353"/>
        <v>1</v>
      </c>
      <c r="K4313">
        <f t="shared" ca="1" si="354"/>
        <v>0</v>
      </c>
      <c r="L4313">
        <f t="shared" si="355"/>
        <v>4307</v>
      </c>
      <c r="M4313" s="71">
        <f t="shared" ca="1" si="356"/>
        <v>3.1948376538500258</v>
      </c>
    </row>
    <row r="4314" spans="1:13" x14ac:dyDescent="0.25">
      <c r="A4314" s="2">
        <v>4308</v>
      </c>
      <c r="B4314" s="11">
        <f t="shared" ca="1" si="352"/>
        <v>1</v>
      </c>
      <c r="C4314" s="26">
        <f t="shared" ca="1" si="351"/>
        <v>2.2397360258180954E-2</v>
      </c>
      <c r="J4314">
        <f t="shared" ca="1" si="353"/>
        <v>1</v>
      </c>
      <c r="K4314">
        <f t="shared" ca="1" si="354"/>
        <v>0</v>
      </c>
      <c r="L4314">
        <f t="shared" si="355"/>
        <v>4308</v>
      </c>
      <c r="M4314" s="71">
        <f t="shared" ca="1" si="356"/>
        <v>0.31143204320437917</v>
      </c>
    </row>
    <row r="4315" spans="1:13" x14ac:dyDescent="0.25">
      <c r="A4315" s="2">
        <v>4309</v>
      </c>
      <c r="B4315" s="11">
        <f t="shared" ca="1" si="352"/>
        <v>1</v>
      </c>
      <c r="C4315" s="26">
        <f t="shared" ca="1" si="351"/>
        <v>0.49524554939128285</v>
      </c>
      <c r="J4315">
        <f t="shared" ca="1" si="353"/>
        <v>1</v>
      </c>
      <c r="K4315">
        <f t="shared" ca="1" si="354"/>
        <v>0</v>
      </c>
      <c r="L4315">
        <f t="shared" si="355"/>
        <v>4309</v>
      </c>
      <c r="M4315" s="71">
        <f t="shared" ca="1" si="356"/>
        <v>6.220917890614361</v>
      </c>
    </row>
    <row r="4316" spans="1:13" x14ac:dyDescent="0.25">
      <c r="A4316" s="2">
        <v>4310</v>
      </c>
      <c r="B4316" s="11">
        <f t="shared" ca="1" si="352"/>
        <v>1</v>
      </c>
      <c r="C4316" s="26">
        <f t="shared" ca="1" si="351"/>
        <v>0.40321924145286014</v>
      </c>
      <c r="J4316">
        <f t="shared" ca="1" si="353"/>
        <v>0</v>
      </c>
      <c r="K4316">
        <f t="shared" ca="1" si="354"/>
        <v>0</v>
      </c>
      <c r="L4316">
        <f t="shared" si="355"/>
        <v>4310</v>
      </c>
      <c r="M4316" s="71">
        <f t="shared" ca="1" si="356"/>
        <v>1.383889296019112</v>
      </c>
    </row>
    <row r="4317" spans="1:13" x14ac:dyDescent="0.25">
      <c r="A4317" s="2">
        <v>4311</v>
      </c>
      <c r="B4317" s="11">
        <f t="shared" ca="1" si="352"/>
        <v>0</v>
      </c>
      <c r="C4317" s="26">
        <f t="shared" ca="1" si="351"/>
        <v>0.85433936470281335</v>
      </c>
      <c r="J4317">
        <f t="shared" ca="1" si="353"/>
        <v>0</v>
      </c>
      <c r="K4317">
        <f t="shared" ca="1" si="354"/>
        <v>0</v>
      </c>
      <c r="L4317">
        <f t="shared" si="355"/>
        <v>4311</v>
      </c>
      <c r="M4317" s="71">
        <f t="shared" ca="1" si="356"/>
        <v>0</v>
      </c>
    </row>
    <row r="4318" spans="1:13" x14ac:dyDescent="0.25">
      <c r="A4318" s="2">
        <v>4312</v>
      </c>
      <c r="B4318" s="11">
        <f t="shared" ca="1" si="352"/>
        <v>1</v>
      </c>
      <c r="C4318" s="26">
        <f t="shared" ca="1" si="351"/>
        <v>0.45712883463738774</v>
      </c>
      <c r="J4318">
        <f t="shared" ca="1" si="353"/>
        <v>1</v>
      </c>
      <c r="K4318">
        <f t="shared" ca="1" si="354"/>
        <v>0</v>
      </c>
      <c r="L4318">
        <f t="shared" si="355"/>
        <v>4312</v>
      </c>
      <c r="M4318" s="71">
        <f t="shared" ca="1" si="356"/>
        <v>3.3195105293748624</v>
      </c>
    </row>
    <row r="4319" spans="1:13" x14ac:dyDescent="0.25">
      <c r="A4319" s="2">
        <v>4313</v>
      </c>
      <c r="B4319" s="11">
        <f t="shared" ca="1" si="352"/>
        <v>1</v>
      </c>
      <c r="C4319" s="26">
        <f t="shared" ca="1" si="351"/>
        <v>0.29797481862512287</v>
      </c>
      <c r="J4319">
        <f t="shared" ca="1" si="353"/>
        <v>1</v>
      </c>
      <c r="K4319">
        <f t="shared" ca="1" si="354"/>
        <v>0</v>
      </c>
      <c r="L4319">
        <f t="shared" si="355"/>
        <v>4313</v>
      </c>
      <c r="M4319" s="71">
        <f t="shared" ca="1" si="356"/>
        <v>2.4088832445232495</v>
      </c>
    </row>
    <row r="4320" spans="1:13" x14ac:dyDescent="0.25">
      <c r="A4320" s="2">
        <v>4314</v>
      </c>
      <c r="B4320" s="11">
        <f t="shared" ca="1" si="352"/>
        <v>1</v>
      </c>
      <c r="C4320" s="26">
        <f t="shared" ca="1" si="351"/>
        <v>0.59921563607405481</v>
      </c>
      <c r="J4320">
        <f t="shared" ca="1" si="353"/>
        <v>1</v>
      </c>
      <c r="K4320">
        <f t="shared" ca="1" si="354"/>
        <v>0</v>
      </c>
      <c r="L4320">
        <f t="shared" si="355"/>
        <v>4314</v>
      </c>
      <c r="M4320" s="71">
        <f t="shared" ca="1" si="356"/>
        <v>1.4060025602096409</v>
      </c>
    </row>
    <row r="4321" spans="1:13" x14ac:dyDescent="0.25">
      <c r="A4321" s="2">
        <v>4315</v>
      </c>
      <c r="B4321" s="11">
        <f t="shared" ca="1" si="352"/>
        <v>1</v>
      </c>
      <c r="C4321" s="26">
        <f t="shared" ca="1" si="351"/>
        <v>4.6387749226620256E-2</v>
      </c>
      <c r="J4321">
        <f t="shared" ca="1" si="353"/>
        <v>1</v>
      </c>
      <c r="K4321">
        <f t="shared" ca="1" si="354"/>
        <v>0</v>
      </c>
      <c r="L4321">
        <f t="shared" si="355"/>
        <v>4315</v>
      </c>
      <c r="M4321" s="71">
        <f t="shared" ca="1" si="356"/>
        <v>22.706250011264871</v>
      </c>
    </row>
    <row r="4322" spans="1:13" x14ac:dyDescent="0.25">
      <c r="A4322" s="2">
        <v>4316</v>
      </c>
      <c r="B4322" s="11">
        <f t="shared" ca="1" si="352"/>
        <v>1</v>
      </c>
      <c r="C4322" s="26">
        <f t="shared" ca="1" si="351"/>
        <v>0.73428536468710726</v>
      </c>
      <c r="J4322">
        <f t="shared" ca="1" si="353"/>
        <v>1</v>
      </c>
      <c r="K4322">
        <f t="shared" ca="1" si="354"/>
        <v>0</v>
      </c>
      <c r="L4322">
        <f t="shared" si="355"/>
        <v>4316</v>
      </c>
      <c r="M4322" s="71">
        <f t="shared" ca="1" si="356"/>
        <v>0.29575235008778017</v>
      </c>
    </row>
    <row r="4323" spans="1:13" x14ac:dyDescent="0.25">
      <c r="A4323" s="2">
        <v>4317</v>
      </c>
      <c r="B4323" s="11">
        <f t="shared" ca="1" si="352"/>
        <v>1</v>
      </c>
      <c r="C4323" s="26">
        <f t="shared" ca="1" si="351"/>
        <v>0.49994469302035516</v>
      </c>
      <c r="J4323">
        <f t="shared" ca="1" si="353"/>
        <v>1</v>
      </c>
      <c r="K4323">
        <f t="shared" ca="1" si="354"/>
        <v>0</v>
      </c>
      <c r="L4323">
        <f t="shared" si="355"/>
        <v>4317</v>
      </c>
      <c r="M4323" s="71">
        <f t="shared" ca="1" si="356"/>
        <v>2.4282421187834724</v>
      </c>
    </row>
    <row r="4324" spans="1:13" x14ac:dyDescent="0.25">
      <c r="A4324" s="2">
        <v>4318</v>
      </c>
      <c r="B4324" s="11">
        <f t="shared" ca="1" si="352"/>
        <v>1</v>
      </c>
      <c r="C4324" s="26">
        <f t="shared" ca="1" si="351"/>
        <v>0.19131966210189211</v>
      </c>
      <c r="J4324">
        <f t="shared" ca="1" si="353"/>
        <v>0</v>
      </c>
      <c r="K4324">
        <f t="shared" ca="1" si="354"/>
        <v>0</v>
      </c>
      <c r="L4324">
        <f t="shared" si="355"/>
        <v>4318</v>
      </c>
      <c r="M4324" s="71">
        <f t="shared" ca="1" si="356"/>
        <v>3.2484245975087567</v>
      </c>
    </row>
    <row r="4325" spans="1:13" x14ac:dyDescent="0.25">
      <c r="A4325" s="2">
        <v>4319</v>
      </c>
      <c r="B4325" s="11">
        <f t="shared" ca="1" si="352"/>
        <v>0</v>
      </c>
      <c r="C4325" s="26">
        <f t="shared" ca="1" si="351"/>
        <v>0.85059814574446391</v>
      </c>
      <c r="J4325">
        <f t="shared" ca="1" si="353"/>
        <v>0</v>
      </c>
      <c r="K4325">
        <f t="shared" ca="1" si="354"/>
        <v>1</v>
      </c>
      <c r="L4325">
        <f t="shared" si="355"/>
        <v>4319</v>
      </c>
      <c r="M4325" s="71">
        <f t="shared" ca="1" si="356"/>
        <v>0</v>
      </c>
    </row>
    <row r="4326" spans="1:13" x14ac:dyDescent="0.25">
      <c r="A4326" s="2">
        <v>4320</v>
      </c>
      <c r="B4326" s="11">
        <f t="shared" ca="1" si="352"/>
        <v>0</v>
      </c>
      <c r="C4326" s="26">
        <f t="shared" ca="1" si="351"/>
        <v>0.84667342676508706</v>
      </c>
      <c r="J4326">
        <f t="shared" ca="1" si="353"/>
        <v>0</v>
      </c>
      <c r="K4326">
        <f t="shared" ca="1" si="354"/>
        <v>0</v>
      </c>
      <c r="L4326">
        <f t="shared" si="355"/>
        <v>4320</v>
      </c>
      <c r="M4326" s="71">
        <f t="shared" ca="1" si="356"/>
        <v>0</v>
      </c>
    </row>
    <row r="4327" spans="1:13" x14ac:dyDescent="0.25">
      <c r="A4327" s="2">
        <v>4321</v>
      </c>
      <c r="B4327" s="11">
        <f t="shared" ca="1" si="352"/>
        <v>1</v>
      </c>
      <c r="C4327" s="26">
        <f t="shared" ca="1" si="351"/>
        <v>0.35206537386684345</v>
      </c>
      <c r="J4327">
        <f t="shared" ca="1" si="353"/>
        <v>1</v>
      </c>
      <c r="K4327">
        <f t="shared" ca="1" si="354"/>
        <v>0</v>
      </c>
      <c r="L4327">
        <f t="shared" si="355"/>
        <v>4321</v>
      </c>
      <c r="M4327" s="71">
        <f t="shared" ca="1" si="356"/>
        <v>2.1740340947951817</v>
      </c>
    </row>
    <row r="4328" spans="1:13" x14ac:dyDescent="0.25">
      <c r="A4328" s="2">
        <v>4322</v>
      </c>
      <c r="B4328" s="11">
        <f t="shared" ca="1" si="352"/>
        <v>1</v>
      </c>
      <c r="C4328" s="26">
        <f t="shared" ca="1" si="351"/>
        <v>0.41795847725740531</v>
      </c>
      <c r="J4328">
        <f t="shared" ca="1" si="353"/>
        <v>1</v>
      </c>
      <c r="K4328">
        <f t="shared" ca="1" si="354"/>
        <v>0</v>
      </c>
      <c r="L4328">
        <f t="shared" si="355"/>
        <v>4322</v>
      </c>
      <c r="M4328" s="71">
        <f t="shared" ca="1" si="356"/>
        <v>6.307362039088499</v>
      </c>
    </row>
    <row r="4329" spans="1:13" x14ac:dyDescent="0.25">
      <c r="A4329" s="2">
        <v>4323</v>
      </c>
      <c r="B4329" s="11">
        <f t="shared" ca="1" si="352"/>
        <v>1</v>
      </c>
      <c r="C4329" s="26">
        <f t="shared" ca="1" si="351"/>
        <v>0.61298524226971629</v>
      </c>
      <c r="J4329">
        <f t="shared" ca="1" si="353"/>
        <v>1</v>
      </c>
      <c r="K4329">
        <f t="shared" ca="1" si="354"/>
        <v>0</v>
      </c>
      <c r="L4329">
        <f t="shared" si="355"/>
        <v>4323</v>
      </c>
      <c r="M4329" s="71">
        <f t="shared" ca="1" si="356"/>
        <v>1.4137480744783038</v>
      </c>
    </row>
    <row r="4330" spans="1:13" x14ac:dyDescent="0.25">
      <c r="A4330" s="2">
        <v>4324</v>
      </c>
      <c r="B4330" s="11">
        <f t="shared" ca="1" si="352"/>
        <v>1</v>
      </c>
      <c r="C4330" s="26">
        <f t="shared" ca="1" si="351"/>
        <v>0.20835416545717811</v>
      </c>
      <c r="J4330">
        <f t="shared" ca="1" si="353"/>
        <v>1</v>
      </c>
      <c r="K4330">
        <f t="shared" ca="1" si="354"/>
        <v>0</v>
      </c>
      <c r="L4330">
        <f t="shared" si="355"/>
        <v>4324</v>
      </c>
      <c r="M4330" s="71">
        <f t="shared" ca="1" si="356"/>
        <v>0.58554229516084511</v>
      </c>
    </row>
    <row r="4331" spans="1:13" x14ac:dyDescent="0.25">
      <c r="A4331" s="2">
        <v>4325</v>
      </c>
      <c r="B4331" s="11">
        <f t="shared" ca="1" si="352"/>
        <v>1</v>
      </c>
      <c r="C4331" s="26">
        <f t="shared" ca="1" si="351"/>
        <v>0.11361091299988435</v>
      </c>
      <c r="J4331">
        <f t="shared" ca="1" si="353"/>
        <v>1</v>
      </c>
      <c r="K4331">
        <f t="shared" ca="1" si="354"/>
        <v>0</v>
      </c>
      <c r="L4331">
        <f t="shared" si="355"/>
        <v>4325</v>
      </c>
      <c r="M4331" s="71">
        <f t="shared" ca="1" si="356"/>
        <v>0.99858186240969782</v>
      </c>
    </row>
    <row r="4332" spans="1:13" x14ac:dyDescent="0.25">
      <c r="A4332" s="2">
        <v>4326</v>
      </c>
      <c r="B4332" s="11">
        <f t="shared" ca="1" si="352"/>
        <v>1</v>
      </c>
      <c r="C4332" s="26">
        <f t="shared" ca="1" si="351"/>
        <v>0.24047824770024517</v>
      </c>
      <c r="J4332">
        <f t="shared" ca="1" si="353"/>
        <v>0</v>
      </c>
      <c r="K4332">
        <f t="shared" ca="1" si="354"/>
        <v>0</v>
      </c>
      <c r="L4332">
        <f t="shared" si="355"/>
        <v>4326</v>
      </c>
      <c r="M4332" s="71">
        <f t="shared" ca="1" si="356"/>
        <v>5.4032516261178776</v>
      </c>
    </row>
    <row r="4333" spans="1:13" x14ac:dyDescent="0.25">
      <c r="A4333" s="2">
        <v>4327</v>
      </c>
      <c r="B4333" s="11">
        <f t="shared" ca="1" si="352"/>
        <v>0</v>
      </c>
      <c r="C4333" s="26">
        <f t="shared" ca="1" si="351"/>
        <v>0.95772708783942806</v>
      </c>
      <c r="J4333">
        <f t="shared" ca="1" si="353"/>
        <v>0</v>
      </c>
      <c r="K4333">
        <f t="shared" ca="1" si="354"/>
        <v>0</v>
      </c>
      <c r="L4333">
        <f t="shared" si="355"/>
        <v>4327</v>
      </c>
      <c r="M4333" s="71">
        <f t="shared" ca="1" si="356"/>
        <v>0</v>
      </c>
    </row>
    <row r="4334" spans="1:13" x14ac:dyDescent="0.25">
      <c r="A4334" s="2">
        <v>4328</v>
      </c>
      <c r="B4334" s="11">
        <f t="shared" ca="1" si="352"/>
        <v>1</v>
      </c>
      <c r="C4334" s="26">
        <f t="shared" ca="1" si="351"/>
        <v>0.23555401342121662</v>
      </c>
      <c r="J4334">
        <f t="shared" ca="1" si="353"/>
        <v>0</v>
      </c>
      <c r="K4334">
        <f t="shared" ca="1" si="354"/>
        <v>0</v>
      </c>
      <c r="L4334">
        <f t="shared" si="355"/>
        <v>4328</v>
      </c>
      <c r="M4334" s="71">
        <f t="shared" ca="1" si="356"/>
        <v>5.1430907217097905</v>
      </c>
    </row>
    <row r="4335" spans="1:13" x14ac:dyDescent="0.25">
      <c r="A4335" s="2">
        <v>4329</v>
      </c>
      <c r="B4335" s="11">
        <f t="shared" ca="1" si="352"/>
        <v>0</v>
      </c>
      <c r="C4335" s="26">
        <f t="shared" ca="1" si="351"/>
        <v>0.89966549488069159</v>
      </c>
      <c r="J4335">
        <f t="shared" ca="1" si="353"/>
        <v>0</v>
      </c>
      <c r="K4335">
        <f t="shared" ca="1" si="354"/>
        <v>0</v>
      </c>
      <c r="L4335">
        <f t="shared" si="355"/>
        <v>4329</v>
      </c>
      <c r="M4335" s="71">
        <f t="shared" ca="1" si="356"/>
        <v>0</v>
      </c>
    </row>
    <row r="4336" spans="1:13" x14ac:dyDescent="0.25">
      <c r="A4336" s="2">
        <v>4330</v>
      </c>
      <c r="B4336" s="11">
        <f t="shared" ca="1" si="352"/>
        <v>1</v>
      </c>
      <c r="C4336" s="26">
        <f t="shared" ca="1" si="351"/>
        <v>0.70202335744073763</v>
      </c>
      <c r="J4336">
        <f t="shared" ca="1" si="353"/>
        <v>1</v>
      </c>
      <c r="K4336">
        <f t="shared" ca="1" si="354"/>
        <v>0</v>
      </c>
      <c r="L4336">
        <f t="shared" si="355"/>
        <v>4330</v>
      </c>
      <c r="M4336" s="71">
        <f t="shared" ca="1" si="356"/>
        <v>4.8163233569878932</v>
      </c>
    </row>
    <row r="4337" spans="1:13" x14ac:dyDescent="0.25">
      <c r="A4337" s="2">
        <v>4331</v>
      </c>
      <c r="B4337" s="11">
        <f t="shared" ca="1" si="352"/>
        <v>1</v>
      </c>
      <c r="C4337" s="26">
        <f t="shared" ca="1" si="351"/>
        <v>0.52454058107277368</v>
      </c>
      <c r="J4337">
        <f t="shared" ca="1" si="353"/>
        <v>1</v>
      </c>
      <c r="K4337">
        <f t="shared" ca="1" si="354"/>
        <v>0</v>
      </c>
      <c r="L4337">
        <f t="shared" si="355"/>
        <v>4331</v>
      </c>
      <c r="M4337" s="71">
        <f t="shared" ca="1" si="356"/>
        <v>1.0445094040143554</v>
      </c>
    </row>
    <row r="4338" spans="1:13" x14ac:dyDescent="0.25">
      <c r="A4338" s="2">
        <v>4332</v>
      </c>
      <c r="B4338" s="11">
        <f t="shared" ca="1" si="352"/>
        <v>1</v>
      </c>
      <c r="C4338" s="26">
        <f t="shared" ca="1" si="351"/>
        <v>0.4821926953086787</v>
      </c>
      <c r="J4338">
        <f t="shared" ca="1" si="353"/>
        <v>1</v>
      </c>
      <c r="K4338">
        <f t="shared" ca="1" si="354"/>
        <v>0</v>
      </c>
      <c r="L4338">
        <f t="shared" si="355"/>
        <v>4332</v>
      </c>
      <c r="M4338" s="71">
        <f t="shared" ca="1" si="356"/>
        <v>1.7388415651261535</v>
      </c>
    </row>
    <row r="4339" spans="1:13" x14ac:dyDescent="0.25">
      <c r="A4339" s="2">
        <v>4333</v>
      </c>
      <c r="B4339" s="11">
        <f t="shared" ca="1" si="352"/>
        <v>1</v>
      </c>
      <c r="C4339" s="26">
        <f t="shared" ca="1" si="351"/>
        <v>0.69215362258658031</v>
      </c>
      <c r="J4339">
        <f t="shared" ca="1" si="353"/>
        <v>1</v>
      </c>
      <c r="K4339">
        <f t="shared" ca="1" si="354"/>
        <v>0</v>
      </c>
      <c r="L4339">
        <f t="shared" si="355"/>
        <v>4333</v>
      </c>
      <c r="M4339" s="71">
        <f t="shared" ca="1" si="356"/>
        <v>0.65082932943030414</v>
      </c>
    </row>
    <row r="4340" spans="1:13" x14ac:dyDescent="0.25">
      <c r="A4340" s="2">
        <v>4334</v>
      </c>
      <c r="B4340" s="11">
        <f t="shared" ca="1" si="352"/>
        <v>1</v>
      </c>
      <c r="C4340" s="26">
        <f t="shared" ca="1" si="351"/>
        <v>0.45689654482952657</v>
      </c>
      <c r="J4340">
        <f t="shared" ca="1" si="353"/>
        <v>0</v>
      </c>
      <c r="K4340">
        <f t="shared" ca="1" si="354"/>
        <v>0</v>
      </c>
      <c r="L4340">
        <f t="shared" si="355"/>
        <v>4334</v>
      </c>
      <c r="M4340" s="71">
        <f t="shared" ca="1" si="356"/>
        <v>0.48954319736343177</v>
      </c>
    </row>
    <row r="4341" spans="1:13" x14ac:dyDescent="0.25">
      <c r="A4341" s="2">
        <v>4335</v>
      </c>
      <c r="B4341" s="11">
        <f t="shared" ca="1" si="352"/>
        <v>0</v>
      </c>
      <c r="C4341" s="26">
        <f t="shared" ca="1" si="351"/>
        <v>0.85749702020992646</v>
      </c>
      <c r="J4341">
        <f t="shared" ca="1" si="353"/>
        <v>0</v>
      </c>
      <c r="K4341">
        <f t="shared" ca="1" si="354"/>
        <v>0</v>
      </c>
      <c r="L4341">
        <f t="shared" si="355"/>
        <v>4335</v>
      </c>
      <c r="M4341" s="71">
        <f t="shared" ca="1" si="356"/>
        <v>0</v>
      </c>
    </row>
    <row r="4342" spans="1:13" x14ac:dyDescent="0.25">
      <c r="A4342" s="2">
        <v>4336</v>
      </c>
      <c r="B4342" s="11">
        <f t="shared" ca="1" si="352"/>
        <v>1</v>
      </c>
      <c r="C4342" s="26">
        <f t="shared" ca="1" si="351"/>
        <v>0.3134419301685607</v>
      </c>
      <c r="J4342">
        <f t="shared" ca="1" si="353"/>
        <v>1</v>
      </c>
      <c r="K4342">
        <f t="shared" ca="1" si="354"/>
        <v>0</v>
      </c>
      <c r="L4342">
        <f t="shared" si="355"/>
        <v>4336</v>
      </c>
      <c r="M4342" s="71">
        <f t="shared" ca="1" si="356"/>
        <v>2.4673533739444355</v>
      </c>
    </row>
    <row r="4343" spans="1:13" x14ac:dyDescent="0.25">
      <c r="A4343" s="2">
        <v>4337</v>
      </c>
      <c r="B4343" s="11">
        <f t="shared" ca="1" si="352"/>
        <v>1</v>
      </c>
      <c r="C4343" s="26">
        <f t="shared" ca="1" si="351"/>
        <v>0.13324456616302738</v>
      </c>
      <c r="J4343">
        <f t="shared" ca="1" si="353"/>
        <v>1</v>
      </c>
      <c r="K4343">
        <f t="shared" ca="1" si="354"/>
        <v>0</v>
      </c>
      <c r="L4343">
        <f t="shared" si="355"/>
        <v>4337</v>
      </c>
      <c r="M4343" s="71">
        <f t="shared" ca="1" si="356"/>
        <v>1.4308311690669353</v>
      </c>
    </row>
    <row r="4344" spans="1:13" x14ac:dyDescent="0.25">
      <c r="A4344" s="2">
        <v>4338</v>
      </c>
      <c r="B4344" s="11">
        <f t="shared" ca="1" si="352"/>
        <v>1</v>
      </c>
      <c r="C4344" s="26">
        <f t="shared" ca="1" si="351"/>
        <v>0.6451280411044541</v>
      </c>
      <c r="J4344">
        <f t="shared" ca="1" si="353"/>
        <v>1</v>
      </c>
      <c r="K4344">
        <f t="shared" ca="1" si="354"/>
        <v>0</v>
      </c>
      <c r="L4344">
        <f t="shared" si="355"/>
        <v>4338</v>
      </c>
      <c r="M4344" s="71">
        <f t="shared" ca="1" si="356"/>
        <v>3.078686538986517</v>
      </c>
    </row>
    <row r="4345" spans="1:13" x14ac:dyDescent="0.25">
      <c r="A4345" s="2">
        <v>4339</v>
      </c>
      <c r="B4345" s="11">
        <f t="shared" ca="1" si="352"/>
        <v>1</v>
      </c>
      <c r="C4345" s="26">
        <f t="shared" ca="1" si="351"/>
        <v>0.28422300902022279</v>
      </c>
      <c r="J4345">
        <f t="shared" ca="1" si="353"/>
        <v>1</v>
      </c>
      <c r="K4345">
        <f t="shared" ca="1" si="354"/>
        <v>0</v>
      </c>
      <c r="L4345">
        <f t="shared" si="355"/>
        <v>4339</v>
      </c>
      <c r="M4345" s="71">
        <f t="shared" ca="1" si="356"/>
        <v>1.9780873474969991</v>
      </c>
    </row>
    <row r="4346" spans="1:13" x14ac:dyDescent="0.25">
      <c r="A4346" s="2">
        <v>4340</v>
      </c>
      <c r="B4346" s="11">
        <f t="shared" ca="1" si="352"/>
        <v>1</v>
      </c>
      <c r="C4346" s="26">
        <f t="shared" ca="1" si="351"/>
        <v>0.68177284549312334</v>
      </c>
      <c r="J4346">
        <f t="shared" ca="1" si="353"/>
        <v>1</v>
      </c>
      <c r="K4346">
        <f t="shared" ca="1" si="354"/>
        <v>0</v>
      </c>
      <c r="L4346">
        <f t="shared" si="355"/>
        <v>4340</v>
      </c>
      <c r="M4346" s="71">
        <f t="shared" ca="1" si="356"/>
        <v>1.7150604750035057</v>
      </c>
    </row>
    <row r="4347" spans="1:13" x14ac:dyDescent="0.25">
      <c r="A4347" s="2">
        <v>4341</v>
      </c>
      <c r="B4347" s="11">
        <f t="shared" ca="1" si="352"/>
        <v>1</v>
      </c>
      <c r="C4347" s="26">
        <f t="shared" ca="1" si="351"/>
        <v>0.22928107039534529</v>
      </c>
      <c r="J4347">
        <f t="shared" ca="1" si="353"/>
        <v>1</v>
      </c>
      <c r="K4347">
        <f t="shared" ca="1" si="354"/>
        <v>0</v>
      </c>
      <c r="L4347">
        <f t="shared" si="355"/>
        <v>4341</v>
      </c>
      <c r="M4347" s="71">
        <f t="shared" ca="1" si="356"/>
        <v>0.4008528804750649</v>
      </c>
    </row>
    <row r="4348" spans="1:13" x14ac:dyDescent="0.25">
      <c r="A4348" s="2">
        <v>4342</v>
      </c>
      <c r="B4348" s="11">
        <f t="shared" ca="1" si="352"/>
        <v>1</v>
      </c>
      <c r="C4348" s="26">
        <f t="shared" ca="1" si="351"/>
        <v>0.63674182570313698</v>
      </c>
      <c r="J4348">
        <f t="shared" ca="1" si="353"/>
        <v>1</v>
      </c>
      <c r="K4348">
        <f t="shared" ca="1" si="354"/>
        <v>0</v>
      </c>
      <c r="L4348">
        <f t="shared" si="355"/>
        <v>4342</v>
      </c>
      <c r="M4348" s="71">
        <f t="shared" ca="1" si="356"/>
        <v>1.1796248738341928</v>
      </c>
    </row>
    <row r="4349" spans="1:13" x14ac:dyDescent="0.25">
      <c r="A4349" s="2">
        <v>4343</v>
      </c>
      <c r="B4349" s="11">
        <f t="shared" ca="1" si="352"/>
        <v>1</v>
      </c>
      <c r="C4349" s="26">
        <f t="shared" ca="1" si="351"/>
        <v>4.2524981734695433E-2</v>
      </c>
      <c r="J4349">
        <f t="shared" ca="1" si="353"/>
        <v>0</v>
      </c>
      <c r="K4349">
        <f t="shared" ca="1" si="354"/>
        <v>0</v>
      </c>
      <c r="L4349">
        <f t="shared" si="355"/>
        <v>4343</v>
      </c>
      <c r="M4349" s="71">
        <f t="shared" ca="1" si="356"/>
        <v>11.275364747849405</v>
      </c>
    </row>
    <row r="4350" spans="1:13" x14ac:dyDescent="0.25">
      <c r="A4350" s="2">
        <v>4344</v>
      </c>
      <c r="B4350" s="11">
        <f t="shared" ca="1" si="352"/>
        <v>0</v>
      </c>
      <c r="C4350" s="26">
        <f t="shared" ca="1" si="351"/>
        <v>0.86727323813282942</v>
      </c>
      <c r="J4350">
        <f t="shared" ca="1" si="353"/>
        <v>0</v>
      </c>
      <c r="K4350">
        <f t="shared" ca="1" si="354"/>
        <v>0</v>
      </c>
      <c r="L4350">
        <f t="shared" si="355"/>
        <v>4344</v>
      </c>
      <c r="M4350" s="71">
        <f t="shared" ca="1" si="356"/>
        <v>0</v>
      </c>
    </row>
    <row r="4351" spans="1:13" x14ac:dyDescent="0.25">
      <c r="A4351" s="2">
        <v>4345</v>
      </c>
      <c r="B4351" s="11">
        <f t="shared" ca="1" si="352"/>
        <v>1</v>
      </c>
      <c r="C4351" s="26">
        <f t="shared" ca="1" si="351"/>
        <v>9.6393188702565857E-2</v>
      </c>
      <c r="J4351">
        <f t="shared" ca="1" si="353"/>
        <v>1</v>
      </c>
      <c r="K4351">
        <f t="shared" ca="1" si="354"/>
        <v>0</v>
      </c>
      <c r="L4351">
        <f t="shared" si="355"/>
        <v>4345</v>
      </c>
      <c r="M4351" s="71">
        <f t="shared" ca="1" si="356"/>
        <v>0.74624183397479971</v>
      </c>
    </row>
    <row r="4352" spans="1:13" x14ac:dyDescent="0.25">
      <c r="A4352" s="2">
        <v>4346</v>
      </c>
      <c r="B4352" s="11">
        <f t="shared" ca="1" si="352"/>
        <v>1</v>
      </c>
      <c r="C4352" s="26">
        <f t="shared" ca="1" si="351"/>
        <v>0.35778379261842952</v>
      </c>
      <c r="J4352">
        <f t="shared" ca="1" si="353"/>
        <v>1</v>
      </c>
      <c r="K4352">
        <f t="shared" ca="1" si="354"/>
        <v>0</v>
      </c>
      <c r="L4352">
        <f t="shared" si="355"/>
        <v>4346</v>
      </c>
      <c r="M4352" s="71">
        <f t="shared" ca="1" si="356"/>
        <v>7.2734975820516556</v>
      </c>
    </row>
    <row r="4353" spans="1:13" x14ac:dyDescent="0.25">
      <c r="A4353" s="2">
        <v>4347</v>
      </c>
      <c r="B4353" s="11">
        <f t="shared" ca="1" si="352"/>
        <v>1</v>
      </c>
      <c r="C4353" s="26">
        <f t="shared" ca="1" si="351"/>
        <v>0.51553026578106675</v>
      </c>
      <c r="J4353">
        <f t="shared" ca="1" si="353"/>
        <v>1</v>
      </c>
      <c r="K4353">
        <f t="shared" ca="1" si="354"/>
        <v>0</v>
      </c>
      <c r="L4353">
        <f t="shared" si="355"/>
        <v>4347</v>
      </c>
      <c r="M4353" s="71">
        <f t="shared" ca="1" si="356"/>
        <v>1.8640030007176696</v>
      </c>
    </row>
    <row r="4354" spans="1:13" x14ac:dyDescent="0.25">
      <c r="A4354" s="2">
        <v>4348</v>
      </c>
      <c r="B4354" s="11">
        <f t="shared" ca="1" si="352"/>
        <v>1</v>
      </c>
      <c r="C4354" s="26">
        <f t="shared" ca="1" si="351"/>
        <v>0.24944285845149305</v>
      </c>
      <c r="J4354">
        <f t="shared" ca="1" si="353"/>
        <v>1</v>
      </c>
      <c r="K4354">
        <f t="shared" ca="1" si="354"/>
        <v>0</v>
      </c>
      <c r="L4354">
        <f t="shared" si="355"/>
        <v>4348</v>
      </c>
      <c r="M4354" s="71">
        <f t="shared" ca="1" si="356"/>
        <v>0.71756529986566941</v>
      </c>
    </row>
    <row r="4355" spans="1:13" x14ac:dyDescent="0.25">
      <c r="A4355" s="2">
        <v>4349</v>
      </c>
      <c r="B4355" s="11">
        <f t="shared" ca="1" si="352"/>
        <v>1</v>
      </c>
      <c r="C4355" s="26">
        <f t="shared" ca="1" si="351"/>
        <v>0.66025203486800299</v>
      </c>
      <c r="J4355">
        <f t="shared" ca="1" si="353"/>
        <v>1</v>
      </c>
      <c r="K4355">
        <f t="shared" ca="1" si="354"/>
        <v>0</v>
      </c>
      <c r="L4355">
        <f t="shared" si="355"/>
        <v>4349</v>
      </c>
      <c r="M4355" s="71">
        <f t="shared" ca="1" si="356"/>
        <v>0.88700203245811138</v>
      </c>
    </row>
    <row r="4356" spans="1:13" x14ac:dyDescent="0.25">
      <c r="A4356" s="2">
        <v>4350</v>
      </c>
      <c r="B4356" s="11">
        <f t="shared" ca="1" si="352"/>
        <v>1</v>
      </c>
      <c r="C4356" s="26">
        <f t="shared" ca="1" si="351"/>
        <v>0.70721059485512971</v>
      </c>
      <c r="J4356">
        <f t="shared" ca="1" si="353"/>
        <v>1</v>
      </c>
      <c r="K4356">
        <f t="shared" ca="1" si="354"/>
        <v>0</v>
      </c>
      <c r="L4356">
        <f t="shared" si="355"/>
        <v>4350</v>
      </c>
      <c r="M4356" s="71">
        <f t="shared" ca="1" si="356"/>
        <v>3.1496334295462294</v>
      </c>
    </row>
    <row r="4357" spans="1:13" x14ac:dyDescent="0.25">
      <c r="A4357" s="2">
        <v>4351</v>
      </c>
      <c r="B4357" s="11">
        <f t="shared" ca="1" si="352"/>
        <v>1</v>
      </c>
      <c r="C4357" s="26">
        <f t="shared" ca="1" si="351"/>
        <v>0.47439170170014888</v>
      </c>
      <c r="J4357">
        <f t="shared" ca="1" si="353"/>
        <v>1</v>
      </c>
      <c r="K4357">
        <f t="shared" ca="1" si="354"/>
        <v>0</v>
      </c>
      <c r="L4357">
        <f t="shared" si="355"/>
        <v>4351</v>
      </c>
      <c r="M4357" s="71">
        <f t="shared" ca="1" si="356"/>
        <v>1.2864459461963418</v>
      </c>
    </row>
    <row r="4358" spans="1:13" x14ac:dyDescent="0.25">
      <c r="A4358" s="2">
        <v>4352</v>
      </c>
      <c r="B4358" s="11">
        <f t="shared" ca="1" si="352"/>
        <v>1</v>
      </c>
      <c r="C4358" s="26">
        <f t="shared" ca="1" si="351"/>
        <v>1.1700733916755413E-2</v>
      </c>
      <c r="J4358">
        <f t="shared" ca="1" si="353"/>
        <v>1</v>
      </c>
      <c r="K4358">
        <f t="shared" ca="1" si="354"/>
        <v>0</v>
      </c>
      <c r="L4358">
        <f t="shared" si="355"/>
        <v>4352</v>
      </c>
      <c r="M4358" s="71">
        <f t="shared" ca="1" si="356"/>
        <v>1.6352616371215032</v>
      </c>
    </row>
    <row r="4359" spans="1:13" x14ac:dyDescent="0.25">
      <c r="A4359" s="2">
        <v>4353</v>
      </c>
      <c r="B4359" s="11">
        <f t="shared" ca="1" si="352"/>
        <v>1</v>
      </c>
      <c r="C4359" s="26">
        <f t="shared" ca="1" si="351"/>
        <v>0.10133676811170778</v>
      </c>
      <c r="J4359">
        <f t="shared" ca="1" si="353"/>
        <v>1</v>
      </c>
      <c r="K4359">
        <f t="shared" ca="1" si="354"/>
        <v>0</v>
      </c>
      <c r="L4359">
        <f t="shared" si="355"/>
        <v>4353</v>
      </c>
      <c r="M4359" s="71">
        <f t="shared" ca="1" si="356"/>
        <v>4.8639962927572178</v>
      </c>
    </row>
    <row r="4360" spans="1:13" x14ac:dyDescent="0.25">
      <c r="A4360" s="2">
        <v>4354</v>
      </c>
      <c r="B4360" s="11">
        <f t="shared" ca="1" si="352"/>
        <v>1</v>
      </c>
      <c r="C4360" s="26">
        <f t="shared" ref="C4360:C4423" ca="1" si="357">RAND()</f>
        <v>0.10497919575481462</v>
      </c>
      <c r="J4360">
        <f t="shared" ca="1" si="353"/>
        <v>0</v>
      </c>
      <c r="K4360">
        <f t="shared" ca="1" si="354"/>
        <v>0</v>
      </c>
      <c r="L4360">
        <f t="shared" si="355"/>
        <v>4354</v>
      </c>
      <c r="M4360" s="71">
        <f t="shared" ca="1" si="356"/>
        <v>0.72914944488834688</v>
      </c>
    </row>
    <row r="4361" spans="1:13" x14ac:dyDescent="0.25">
      <c r="A4361" s="2">
        <v>4355</v>
      </c>
      <c r="B4361" s="11">
        <f t="shared" ref="B4361:B4424" ca="1" si="358">IF(B4360&gt;0,IF(C4361&lt;pww,1,0),IF(C4361&lt;pdw,1,0))</f>
        <v>0</v>
      </c>
      <c r="C4361" s="26">
        <f t="shared" ca="1" si="357"/>
        <v>0.99689771435689289</v>
      </c>
      <c r="J4361">
        <f t="shared" ca="1" si="353"/>
        <v>0</v>
      </c>
      <c r="K4361">
        <f t="shared" ca="1" si="354"/>
        <v>0</v>
      </c>
      <c r="L4361">
        <f t="shared" si="355"/>
        <v>4355</v>
      </c>
      <c r="M4361" s="71">
        <f t="shared" ca="1" si="356"/>
        <v>0</v>
      </c>
    </row>
    <row r="4362" spans="1:13" x14ac:dyDescent="0.25">
      <c r="A4362" s="2">
        <v>4356</v>
      </c>
      <c r="B4362" s="11">
        <f t="shared" ca="1" si="358"/>
        <v>1</v>
      </c>
      <c r="C4362" s="26">
        <f t="shared" ca="1" si="357"/>
        <v>0.36753312348280964</v>
      </c>
      <c r="J4362">
        <f t="shared" ref="J4362:J4425" ca="1" si="359">IF(AND(B4362,B4363),1,0)</f>
        <v>0</v>
      </c>
      <c r="K4362">
        <f t="shared" ref="K4362:K4425" ca="1" si="360">IF(AND(NOT(B4362),NOT(B4363)),1,0)</f>
        <v>0</v>
      </c>
      <c r="L4362">
        <f t="shared" ref="L4362:L4425" si="361">L4361+1</f>
        <v>4356</v>
      </c>
      <c r="M4362" s="71">
        <f t="shared" ref="M4362:M4425" ca="1" si="362">IF(B4362&gt;0,-LN(1-(RAND()))/lambda,0)</f>
        <v>0.27522317114555467</v>
      </c>
    </row>
    <row r="4363" spans="1:13" x14ac:dyDescent="0.25">
      <c r="A4363" s="2">
        <v>4357</v>
      </c>
      <c r="B4363" s="11">
        <f t="shared" ca="1" si="358"/>
        <v>0</v>
      </c>
      <c r="C4363" s="26">
        <f t="shared" ca="1" si="357"/>
        <v>0.90364622224728008</v>
      </c>
      <c r="J4363">
        <f t="shared" ca="1" si="359"/>
        <v>0</v>
      </c>
      <c r="K4363">
        <f t="shared" ca="1" si="360"/>
        <v>0</v>
      </c>
      <c r="L4363">
        <f t="shared" si="361"/>
        <v>4357</v>
      </c>
      <c r="M4363" s="71">
        <f t="shared" ca="1" si="362"/>
        <v>0</v>
      </c>
    </row>
    <row r="4364" spans="1:13" x14ac:dyDescent="0.25">
      <c r="A4364" s="2">
        <v>4358</v>
      </c>
      <c r="B4364" s="11">
        <f t="shared" ca="1" si="358"/>
        <v>1</v>
      </c>
      <c r="C4364" s="26">
        <f t="shared" ca="1" si="357"/>
        <v>0.71756926030483348</v>
      </c>
      <c r="J4364">
        <f t="shared" ca="1" si="359"/>
        <v>1</v>
      </c>
      <c r="K4364">
        <f t="shared" ca="1" si="360"/>
        <v>0</v>
      </c>
      <c r="L4364">
        <f t="shared" si="361"/>
        <v>4358</v>
      </c>
      <c r="M4364" s="71">
        <f t="shared" ca="1" si="362"/>
        <v>1.2853055198676804</v>
      </c>
    </row>
    <row r="4365" spans="1:13" x14ac:dyDescent="0.25">
      <c r="A4365" s="2">
        <v>4359</v>
      </c>
      <c r="B4365" s="11">
        <f t="shared" ca="1" si="358"/>
        <v>1</v>
      </c>
      <c r="C4365" s="26">
        <f t="shared" ca="1" si="357"/>
        <v>0.21061906989027701</v>
      </c>
      <c r="J4365">
        <f t="shared" ca="1" si="359"/>
        <v>1</v>
      </c>
      <c r="K4365">
        <f t="shared" ca="1" si="360"/>
        <v>0</v>
      </c>
      <c r="L4365">
        <f t="shared" si="361"/>
        <v>4359</v>
      </c>
      <c r="M4365" s="71">
        <f t="shared" ca="1" si="362"/>
        <v>3.7146746675933136</v>
      </c>
    </row>
    <row r="4366" spans="1:13" x14ac:dyDescent="0.25">
      <c r="A4366" s="2">
        <v>4360</v>
      </c>
      <c r="B4366" s="11">
        <f t="shared" ca="1" si="358"/>
        <v>1</v>
      </c>
      <c r="C4366" s="26">
        <f t="shared" ca="1" si="357"/>
        <v>0.4742432543500078</v>
      </c>
      <c r="J4366">
        <f t="shared" ca="1" si="359"/>
        <v>1</v>
      </c>
      <c r="K4366">
        <f t="shared" ca="1" si="360"/>
        <v>0</v>
      </c>
      <c r="L4366">
        <f t="shared" si="361"/>
        <v>4360</v>
      </c>
      <c r="M4366" s="71">
        <f t="shared" ca="1" si="362"/>
        <v>0.6709872012413024</v>
      </c>
    </row>
    <row r="4367" spans="1:13" x14ac:dyDescent="0.25">
      <c r="A4367" s="2">
        <v>4361</v>
      </c>
      <c r="B4367" s="11">
        <f t="shared" ca="1" si="358"/>
        <v>1</v>
      </c>
      <c r="C4367" s="26">
        <f t="shared" ca="1" si="357"/>
        <v>4.810969282074995E-2</v>
      </c>
      <c r="J4367">
        <f t="shared" ca="1" si="359"/>
        <v>1</v>
      </c>
      <c r="K4367">
        <f t="shared" ca="1" si="360"/>
        <v>0</v>
      </c>
      <c r="L4367">
        <f t="shared" si="361"/>
        <v>4361</v>
      </c>
      <c r="M4367" s="71">
        <f t="shared" ca="1" si="362"/>
        <v>1.88737842423471</v>
      </c>
    </row>
    <row r="4368" spans="1:13" x14ac:dyDescent="0.25">
      <c r="A4368" s="2">
        <v>4362</v>
      </c>
      <c r="B4368" s="11">
        <f t="shared" ca="1" si="358"/>
        <v>1</v>
      </c>
      <c r="C4368" s="26">
        <f t="shared" ca="1" si="357"/>
        <v>0.33349172197321308</v>
      </c>
      <c r="J4368">
        <f t="shared" ca="1" si="359"/>
        <v>1</v>
      </c>
      <c r="K4368">
        <f t="shared" ca="1" si="360"/>
        <v>0</v>
      </c>
      <c r="L4368">
        <f t="shared" si="361"/>
        <v>4362</v>
      </c>
      <c r="M4368" s="71">
        <f t="shared" ca="1" si="362"/>
        <v>1.484604686402708</v>
      </c>
    </row>
    <row r="4369" spans="1:13" x14ac:dyDescent="0.25">
      <c r="A4369" s="2">
        <v>4363</v>
      </c>
      <c r="B4369" s="11">
        <f t="shared" ca="1" si="358"/>
        <v>1</v>
      </c>
      <c r="C4369" s="26">
        <f t="shared" ca="1" si="357"/>
        <v>0.10677728218138216</v>
      </c>
      <c r="J4369">
        <f t="shared" ca="1" si="359"/>
        <v>1</v>
      </c>
      <c r="K4369">
        <f t="shared" ca="1" si="360"/>
        <v>0</v>
      </c>
      <c r="L4369">
        <f t="shared" si="361"/>
        <v>4363</v>
      </c>
      <c r="M4369" s="71">
        <f t="shared" ca="1" si="362"/>
        <v>4.0463791099081252</v>
      </c>
    </row>
    <row r="4370" spans="1:13" x14ac:dyDescent="0.25">
      <c r="A4370" s="2">
        <v>4364</v>
      </c>
      <c r="B4370" s="11">
        <f t="shared" ca="1" si="358"/>
        <v>1</v>
      </c>
      <c r="C4370" s="26">
        <f t="shared" ca="1" si="357"/>
        <v>0.28457147800917793</v>
      </c>
      <c r="J4370">
        <f t="shared" ca="1" si="359"/>
        <v>1</v>
      </c>
      <c r="K4370">
        <f t="shared" ca="1" si="360"/>
        <v>0</v>
      </c>
      <c r="L4370">
        <f t="shared" si="361"/>
        <v>4364</v>
      </c>
      <c r="M4370" s="71">
        <f t="shared" ca="1" si="362"/>
        <v>1.2487383038024782</v>
      </c>
    </row>
    <row r="4371" spans="1:13" x14ac:dyDescent="0.25">
      <c r="A4371" s="2">
        <v>4365</v>
      </c>
      <c r="B4371" s="11">
        <f t="shared" ca="1" si="358"/>
        <v>1</v>
      </c>
      <c r="C4371" s="26">
        <f t="shared" ca="1" si="357"/>
        <v>0.3522777921291711</v>
      </c>
      <c r="J4371">
        <f t="shared" ca="1" si="359"/>
        <v>1</v>
      </c>
      <c r="K4371">
        <f t="shared" ca="1" si="360"/>
        <v>0</v>
      </c>
      <c r="L4371">
        <f t="shared" si="361"/>
        <v>4365</v>
      </c>
      <c r="M4371" s="71">
        <f t="shared" ca="1" si="362"/>
        <v>4.7978536058473242</v>
      </c>
    </row>
    <row r="4372" spans="1:13" x14ac:dyDescent="0.25">
      <c r="A4372" s="2">
        <v>4366</v>
      </c>
      <c r="B4372" s="11">
        <f t="shared" ca="1" si="358"/>
        <v>1</v>
      </c>
      <c r="C4372" s="26">
        <f t="shared" ca="1" si="357"/>
        <v>6.8351276179911657E-2</v>
      </c>
      <c r="J4372">
        <f t="shared" ca="1" si="359"/>
        <v>1</v>
      </c>
      <c r="K4372">
        <f t="shared" ca="1" si="360"/>
        <v>0</v>
      </c>
      <c r="L4372">
        <f t="shared" si="361"/>
        <v>4366</v>
      </c>
      <c r="M4372" s="71">
        <f t="shared" ca="1" si="362"/>
        <v>0.84461740363071458</v>
      </c>
    </row>
    <row r="4373" spans="1:13" x14ac:dyDescent="0.25">
      <c r="A4373" s="2">
        <v>4367</v>
      </c>
      <c r="B4373" s="11">
        <f t="shared" ca="1" si="358"/>
        <v>1</v>
      </c>
      <c r="C4373" s="26">
        <f t="shared" ca="1" si="357"/>
        <v>0.48479084786836668</v>
      </c>
      <c r="J4373">
        <f t="shared" ca="1" si="359"/>
        <v>1</v>
      </c>
      <c r="K4373">
        <f t="shared" ca="1" si="360"/>
        <v>0</v>
      </c>
      <c r="L4373">
        <f t="shared" si="361"/>
        <v>4367</v>
      </c>
      <c r="M4373" s="71">
        <f t="shared" ca="1" si="362"/>
        <v>6.8076517656613573</v>
      </c>
    </row>
    <row r="4374" spans="1:13" x14ac:dyDescent="0.25">
      <c r="A4374" s="2">
        <v>4368</v>
      </c>
      <c r="B4374" s="11">
        <f t="shared" ca="1" si="358"/>
        <v>1</v>
      </c>
      <c r="C4374" s="26">
        <f t="shared" ca="1" si="357"/>
        <v>0.2439848897587541</v>
      </c>
      <c r="J4374">
        <f t="shared" ca="1" si="359"/>
        <v>1</v>
      </c>
      <c r="K4374">
        <f t="shared" ca="1" si="360"/>
        <v>0</v>
      </c>
      <c r="L4374">
        <f t="shared" si="361"/>
        <v>4368</v>
      </c>
      <c r="M4374" s="71">
        <f t="shared" ca="1" si="362"/>
        <v>4.0467299995699468</v>
      </c>
    </row>
    <row r="4375" spans="1:13" x14ac:dyDescent="0.25">
      <c r="A4375" s="2">
        <v>4369</v>
      </c>
      <c r="B4375" s="11">
        <f t="shared" ca="1" si="358"/>
        <v>1</v>
      </c>
      <c r="C4375" s="26">
        <f t="shared" ca="1" si="357"/>
        <v>0.28356587916014264</v>
      </c>
      <c r="J4375">
        <f t="shared" ca="1" si="359"/>
        <v>1</v>
      </c>
      <c r="K4375">
        <f t="shared" ca="1" si="360"/>
        <v>0</v>
      </c>
      <c r="L4375">
        <f t="shared" si="361"/>
        <v>4369</v>
      </c>
      <c r="M4375" s="71">
        <f t="shared" ca="1" si="362"/>
        <v>0.18220623218356938</v>
      </c>
    </row>
    <row r="4376" spans="1:13" x14ac:dyDescent="0.25">
      <c r="A4376" s="2">
        <v>4370</v>
      </c>
      <c r="B4376" s="11">
        <f t="shared" ca="1" si="358"/>
        <v>1</v>
      </c>
      <c r="C4376" s="26">
        <f t="shared" ca="1" si="357"/>
        <v>0.3798278954571872</v>
      </c>
      <c r="J4376">
        <f t="shared" ca="1" si="359"/>
        <v>0</v>
      </c>
      <c r="K4376">
        <f t="shared" ca="1" si="360"/>
        <v>0</v>
      </c>
      <c r="L4376">
        <f t="shared" si="361"/>
        <v>4370</v>
      </c>
      <c r="M4376" s="71">
        <f t="shared" ca="1" si="362"/>
        <v>4.0599365719855396E-2</v>
      </c>
    </row>
    <row r="4377" spans="1:13" x14ac:dyDescent="0.25">
      <c r="A4377" s="2">
        <v>4371</v>
      </c>
      <c r="B4377" s="11">
        <f t="shared" ca="1" si="358"/>
        <v>0</v>
      </c>
      <c r="C4377" s="26">
        <f t="shared" ca="1" si="357"/>
        <v>0.98289655783311836</v>
      </c>
      <c r="J4377">
        <f t="shared" ca="1" si="359"/>
        <v>0</v>
      </c>
      <c r="K4377">
        <f t="shared" ca="1" si="360"/>
        <v>0</v>
      </c>
      <c r="L4377">
        <f t="shared" si="361"/>
        <v>4371</v>
      </c>
      <c r="M4377" s="71">
        <f t="shared" ca="1" si="362"/>
        <v>0</v>
      </c>
    </row>
    <row r="4378" spans="1:13" x14ac:dyDescent="0.25">
      <c r="A4378" s="2">
        <v>4372</v>
      </c>
      <c r="B4378" s="11">
        <f t="shared" ca="1" si="358"/>
        <v>1</v>
      </c>
      <c r="C4378" s="26">
        <f t="shared" ca="1" si="357"/>
        <v>0.49292962063007106</v>
      </c>
      <c r="J4378">
        <f t="shared" ca="1" si="359"/>
        <v>1</v>
      </c>
      <c r="K4378">
        <f t="shared" ca="1" si="360"/>
        <v>0</v>
      </c>
      <c r="L4378">
        <f t="shared" si="361"/>
        <v>4372</v>
      </c>
      <c r="M4378" s="71">
        <f t="shared" ca="1" si="362"/>
        <v>5.9280961671936803</v>
      </c>
    </row>
    <row r="4379" spans="1:13" x14ac:dyDescent="0.25">
      <c r="A4379" s="2">
        <v>4373</v>
      </c>
      <c r="B4379" s="11">
        <f t="shared" ca="1" si="358"/>
        <v>1</v>
      </c>
      <c r="C4379" s="26">
        <f t="shared" ca="1" si="357"/>
        <v>0.7778771486071101</v>
      </c>
      <c r="J4379">
        <f t="shared" ca="1" si="359"/>
        <v>1</v>
      </c>
      <c r="K4379">
        <f t="shared" ca="1" si="360"/>
        <v>0</v>
      </c>
      <c r="L4379">
        <f t="shared" si="361"/>
        <v>4373</v>
      </c>
      <c r="M4379" s="71">
        <f t="shared" ca="1" si="362"/>
        <v>0.84199848602908522</v>
      </c>
    </row>
    <row r="4380" spans="1:13" x14ac:dyDescent="0.25">
      <c r="A4380" s="2">
        <v>4374</v>
      </c>
      <c r="B4380" s="11">
        <f t="shared" ca="1" si="358"/>
        <v>1</v>
      </c>
      <c r="C4380" s="26">
        <f t="shared" ca="1" si="357"/>
        <v>0.29164414768382751</v>
      </c>
      <c r="J4380">
        <f t="shared" ca="1" si="359"/>
        <v>1</v>
      </c>
      <c r="K4380">
        <f t="shared" ca="1" si="360"/>
        <v>0</v>
      </c>
      <c r="L4380">
        <f t="shared" si="361"/>
        <v>4374</v>
      </c>
      <c r="M4380" s="71">
        <f t="shared" ca="1" si="362"/>
        <v>1.7148258691731288</v>
      </c>
    </row>
    <row r="4381" spans="1:13" x14ac:dyDescent="0.25">
      <c r="A4381" s="2">
        <v>4375</v>
      </c>
      <c r="B4381" s="11">
        <f t="shared" ca="1" si="358"/>
        <v>1</v>
      </c>
      <c r="C4381" s="26">
        <f t="shared" ca="1" si="357"/>
        <v>0.14625365227140208</v>
      </c>
      <c r="J4381">
        <f t="shared" ca="1" si="359"/>
        <v>1</v>
      </c>
      <c r="K4381">
        <f t="shared" ca="1" si="360"/>
        <v>0</v>
      </c>
      <c r="L4381">
        <f t="shared" si="361"/>
        <v>4375</v>
      </c>
      <c r="M4381" s="71">
        <f t="shared" ca="1" si="362"/>
        <v>0.46083246258122895</v>
      </c>
    </row>
    <row r="4382" spans="1:13" x14ac:dyDescent="0.25">
      <c r="A4382" s="2">
        <v>4376</v>
      </c>
      <c r="B4382" s="11">
        <f t="shared" ca="1" si="358"/>
        <v>1</v>
      </c>
      <c r="C4382" s="26">
        <f t="shared" ca="1" si="357"/>
        <v>0.73958279943061855</v>
      </c>
      <c r="J4382">
        <f t="shared" ca="1" si="359"/>
        <v>1</v>
      </c>
      <c r="K4382">
        <f t="shared" ca="1" si="360"/>
        <v>0</v>
      </c>
      <c r="L4382">
        <f t="shared" si="361"/>
        <v>4376</v>
      </c>
      <c r="M4382" s="71">
        <f t="shared" ca="1" si="362"/>
        <v>1.8871606829613303</v>
      </c>
    </row>
    <row r="4383" spans="1:13" x14ac:dyDescent="0.25">
      <c r="A4383" s="2">
        <v>4377</v>
      </c>
      <c r="B4383" s="11">
        <f t="shared" ca="1" si="358"/>
        <v>1</v>
      </c>
      <c r="C4383" s="26">
        <f t="shared" ca="1" si="357"/>
        <v>0.24664066172500121</v>
      </c>
      <c r="J4383">
        <f t="shared" ca="1" si="359"/>
        <v>1</v>
      </c>
      <c r="K4383">
        <f t="shared" ca="1" si="360"/>
        <v>0</v>
      </c>
      <c r="L4383">
        <f t="shared" si="361"/>
        <v>4377</v>
      </c>
      <c r="M4383" s="71">
        <f t="shared" ca="1" si="362"/>
        <v>8.024723810861623</v>
      </c>
    </row>
    <row r="4384" spans="1:13" x14ac:dyDescent="0.25">
      <c r="A4384" s="2">
        <v>4378</v>
      </c>
      <c r="B4384" s="11">
        <f t="shared" ca="1" si="358"/>
        <v>1</v>
      </c>
      <c r="C4384" s="26">
        <f t="shared" ca="1" si="357"/>
        <v>0.78655436891219088</v>
      </c>
      <c r="J4384">
        <f t="shared" ca="1" si="359"/>
        <v>0</v>
      </c>
      <c r="K4384">
        <f t="shared" ca="1" si="360"/>
        <v>0</v>
      </c>
      <c r="L4384">
        <f t="shared" si="361"/>
        <v>4378</v>
      </c>
      <c r="M4384" s="71">
        <f t="shared" ca="1" si="362"/>
        <v>3.5115273512684477</v>
      </c>
    </row>
    <row r="4385" spans="1:13" x14ac:dyDescent="0.25">
      <c r="A4385" s="2">
        <v>4379</v>
      </c>
      <c r="B4385" s="11">
        <f t="shared" ca="1" si="358"/>
        <v>0</v>
      </c>
      <c r="C4385" s="26">
        <f t="shared" ca="1" si="357"/>
        <v>0.91299383789272315</v>
      </c>
      <c r="J4385">
        <f t="shared" ca="1" si="359"/>
        <v>0</v>
      </c>
      <c r="K4385">
        <f t="shared" ca="1" si="360"/>
        <v>0</v>
      </c>
      <c r="L4385">
        <f t="shared" si="361"/>
        <v>4379</v>
      </c>
      <c r="M4385" s="71">
        <f t="shared" ca="1" si="362"/>
        <v>0</v>
      </c>
    </row>
    <row r="4386" spans="1:13" x14ac:dyDescent="0.25">
      <c r="A4386" s="2">
        <v>4380</v>
      </c>
      <c r="B4386" s="11">
        <f t="shared" ca="1" si="358"/>
        <v>1</v>
      </c>
      <c r="C4386" s="26">
        <f t="shared" ca="1" si="357"/>
        <v>0.41270789847372047</v>
      </c>
      <c r="J4386">
        <f t="shared" ca="1" si="359"/>
        <v>1</v>
      </c>
      <c r="K4386">
        <f t="shared" ca="1" si="360"/>
        <v>0</v>
      </c>
      <c r="L4386">
        <f t="shared" si="361"/>
        <v>4380</v>
      </c>
      <c r="M4386" s="71">
        <f t="shared" ca="1" si="362"/>
        <v>0.48970986026066865</v>
      </c>
    </row>
    <row r="4387" spans="1:13" x14ac:dyDescent="0.25">
      <c r="A4387" s="2">
        <v>4381</v>
      </c>
      <c r="B4387" s="11">
        <f t="shared" ca="1" si="358"/>
        <v>1</v>
      </c>
      <c r="C4387" s="26">
        <f t="shared" ca="1" si="357"/>
        <v>1.9826025596812236E-2</v>
      </c>
      <c r="J4387">
        <f t="shared" ca="1" si="359"/>
        <v>1</v>
      </c>
      <c r="K4387">
        <f t="shared" ca="1" si="360"/>
        <v>0</v>
      </c>
      <c r="L4387">
        <f t="shared" si="361"/>
        <v>4381</v>
      </c>
      <c r="M4387" s="71">
        <f t="shared" ca="1" si="362"/>
        <v>3.9181936703298605</v>
      </c>
    </row>
    <row r="4388" spans="1:13" x14ac:dyDescent="0.25">
      <c r="A4388" s="2">
        <v>4382</v>
      </c>
      <c r="B4388" s="11">
        <f t="shared" ca="1" si="358"/>
        <v>1</v>
      </c>
      <c r="C4388" s="26">
        <f t="shared" ca="1" si="357"/>
        <v>2.7803857624403405E-2</v>
      </c>
      <c r="J4388">
        <f t="shared" ca="1" si="359"/>
        <v>0</v>
      </c>
      <c r="K4388">
        <f t="shared" ca="1" si="360"/>
        <v>0</v>
      </c>
      <c r="L4388">
        <f t="shared" si="361"/>
        <v>4382</v>
      </c>
      <c r="M4388" s="71">
        <f t="shared" ca="1" si="362"/>
        <v>9.2348155369286297E-2</v>
      </c>
    </row>
    <row r="4389" spans="1:13" x14ac:dyDescent="0.25">
      <c r="A4389" s="2">
        <v>4383</v>
      </c>
      <c r="B4389" s="11">
        <f t="shared" ca="1" si="358"/>
        <v>0</v>
      </c>
      <c r="C4389" s="26">
        <f t="shared" ca="1" si="357"/>
        <v>0.83348658485080196</v>
      </c>
      <c r="J4389">
        <f t="shared" ca="1" si="359"/>
        <v>0</v>
      </c>
      <c r="K4389">
        <f t="shared" ca="1" si="360"/>
        <v>0</v>
      </c>
      <c r="L4389">
        <f t="shared" si="361"/>
        <v>4383</v>
      </c>
      <c r="M4389" s="71">
        <f t="shared" ca="1" si="362"/>
        <v>0</v>
      </c>
    </row>
    <row r="4390" spans="1:13" x14ac:dyDescent="0.25">
      <c r="A4390" s="2">
        <v>4384</v>
      </c>
      <c r="B4390" s="11">
        <f t="shared" ca="1" si="358"/>
        <v>1</v>
      </c>
      <c r="C4390" s="26">
        <f t="shared" ca="1" si="357"/>
        <v>0.16187304661687851</v>
      </c>
      <c r="J4390">
        <f t="shared" ca="1" si="359"/>
        <v>0</v>
      </c>
      <c r="K4390">
        <f t="shared" ca="1" si="360"/>
        <v>0</v>
      </c>
      <c r="L4390">
        <f t="shared" si="361"/>
        <v>4384</v>
      </c>
      <c r="M4390" s="71">
        <f t="shared" ca="1" si="362"/>
        <v>6.3353645023992504</v>
      </c>
    </row>
    <row r="4391" spans="1:13" x14ac:dyDescent="0.25">
      <c r="A4391" s="2">
        <v>4385</v>
      </c>
      <c r="B4391" s="11">
        <f t="shared" ca="1" si="358"/>
        <v>0</v>
      </c>
      <c r="C4391" s="26">
        <f t="shared" ca="1" si="357"/>
        <v>0.90116366348427668</v>
      </c>
      <c r="J4391">
        <f t="shared" ca="1" si="359"/>
        <v>0</v>
      </c>
      <c r="K4391">
        <f t="shared" ca="1" si="360"/>
        <v>1</v>
      </c>
      <c r="L4391">
        <f t="shared" si="361"/>
        <v>4385</v>
      </c>
      <c r="M4391" s="71">
        <f t="shared" ca="1" si="362"/>
        <v>0</v>
      </c>
    </row>
    <row r="4392" spans="1:13" x14ac:dyDescent="0.25">
      <c r="A4392" s="2">
        <v>4386</v>
      </c>
      <c r="B4392" s="11">
        <f t="shared" ca="1" si="358"/>
        <v>0</v>
      </c>
      <c r="C4392" s="26">
        <f t="shared" ca="1" si="357"/>
        <v>0.87859291829867092</v>
      </c>
      <c r="J4392">
        <f t="shared" ca="1" si="359"/>
        <v>0</v>
      </c>
      <c r="K4392">
        <f t="shared" ca="1" si="360"/>
        <v>0</v>
      </c>
      <c r="L4392">
        <f t="shared" si="361"/>
        <v>4386</v>
      </c>
      <c r="M4392" s="71">
        <f t="shared" ca="1" si="362"/>
        <v>0</v>
      </c>
    </row>
    <row r="4393" spans="1:13" x14ac:dyDescent="0.25">
      <c r="A4393" s="2">
        <v>4387</v>
      </c>
      <c r="B4393" s="11">
        <f t="shared" ca="1" si="358"/>
        <v>1</v>
      </c>
      <c r="C4393" s="26">
        <f t="shared" ca="1" si="357"/>
        <v>0.1534704420878461</v>
      </c>
      <c r="J4393">
        <f t="shared" ca="1" si="359"/>
        <v>0</v>
      </c>
      <c r="K4393">
        <f t="shared" ca="1" si="360"/>
        <v>0</v>
      </c>
      <c r="L4393">
        <f t="shared" si="361"/>
        <v>4387</v>
      </c>
      <c r="M4393" s="71">
        <f t="shared" ca="1" si="362"/>
        <v>10.836734656285071</v>
      </c>
    </row>
    <row r="4394" spans="1:13" x14ac:dyDescent="0.25">
      <c r="A4394" s="2">
        <v>4388</v>
      </c>
      <c r="B4394" s="11">
        <f t="shared" ca="1" si="358"/>
        <v>0</v>
      </c>
      <c r="C4394" s="26">
        <f t="shared" ca="1" si="357"/>
        <v>0.86940459263388814</v>
      </c>
      <c r="J4394">
        <f t="shared" ca="1" si="359"/>
        <v>0</v>
      </c>
      <c r="K4394">
        <f t="shared" ca="1" si="360"/>
        <v>1</v>
      </c>
      <c r="L4394">
        <f t="shared" si="361"/>
        <v>4388</v>
      </c>
      <c r="M4394" s="71">
        <f t="shared" ca="1" si="362"/>
        <v>0</v>
      </c>
    </row>
    <row r="4395" spans="1:13" x14ac:dyDescent="0.25">
      <c r="A4395" s="2">
        <v>4389</v>
      </c>
      <c r="B4395" s="11">
        <f t="shared" ca="1" si="358"/>
        <v>0</v>
      </c>
      <c r="C4395" s="26">
        <f t="shared" ca="1" si="357"/>
        <v>0.89327850336165793</v>
      </c>
      <c r="J4395">
        <f t="shared" ca="1" si="359"/>
        <v>0</v>
      </c>
      <c r="K4395">
        <f t="shared" ca="1" si="360"/>
        <v>0</v>
      </c>
      <c r="L4395">
        <f t="shared" si="361"/>
        <v>4389</v>
      </c>
      <c r="M4395" s="71">
        <f t="shared" ca="1" si="362"/>
        <v>0</v>
      </c>
    </row>
    <row r="4396" spans="1:13" x14ac:dyDescent="0.25">
      <c r="A4396" s="2">
        <v>4390</v>
      </c>
      <c r="B4396" s="11">
        <f t="shared" ca="1" si="358"/>
        <v>1</v>
      </c>
      <c r="C4396" s="26">
        <f t="shared" ca="1" si="357"/>
        <v>0.46700794978127336</v>
      </c>
      <c r="J4396">
        <f t="shared" ca="1" si="359"/>
        <v>1</v>
      </c>
      <c r="K4396">
        <f t="shared" ca="1" si="360"/>
        <v>0</v>
      </c>
      <c r="L4396">
        <f t="shared" si="361"/>
        <v>4390</v>
      </c>
      <c r="M4396" s="71">
        <f t="shared" ca="1" si="362"/>
        <v>1.4868520506771219</v>
      </c>
    </row>
    <row r="4397" spans="1:13" x14ac:dyDescent="0.25">
      <c r="A4397" s="2">
        <v>4391</v>
      </c>
      <c r="B4397" s="11">
        <f t="shared" ca="1" si="358"/>
        <v>1</v>
      </c>
      <c r="C4397" s="26">
        <f t="shared" ca="1" si="357"/>
        <v>0.49522852382812488</v>
      </c>
      <c r="J4397">
        <f t="shared" ca="1" si="359"/>
        <v>1</v>
      </c>
      <c r="K4397">
        <f t="shared" ca="1" si="360"/>
        <v>0</v>
      </c>
      <c r="L4397">
        <f t="shared" si="361"/>
        <v>4391</v>
      </c>
      <c r="M4397" s="71">
        <f t="shared" ca="1" si="362"/>
        <v>1.4512159401755225</v>
      </c>
    </row>
    <row r="4398" spans="1:13" x14ac:dyDescent="0.25">
      <c r="A4398" s="2">
        <v>4392</v>
      </c>
      <c r="B4398" s="11">
        <f t="shared" ca="1" si="358"/>
        <v>1</v>
      </c>
      <c r="C4398" s="26">
        <f t="shared" ca="1" si="357"/>
        <v>0.41925377021903587</v>
      </c>
      <c r="J4398">
        <f t="shared" ca="1" si="359"/>
        <v>1</v>
      </c>
      <c r="K4398">
        <f t="shared" ca="1" si="360"/>
        <v>0</v>
      </c>
      <c r="L4398">
        <f t="shared" si="361"/>
        <v>4392</v>
      </c>
      <c r="M4398" s="71">
        <f t="shared" ca="1" si="362"/>
        <v>7.2743801931715808</v>
      </c>
    </row>
    <row r="4399" spans="1:13" x14ac:dyDescent="0.25">
      <c r="A4399" s="2">
        <v>4393</v>
      </c>
      <c r="B4399" s="11">
        <f t="shared" ca="1" si="358"/>
        <v>1</v>
      </c>
      <c r="C4399" s="26">
        <f t="shared" ca="1" si="357"/>
        <v>0.27433961046644195</v>
      </c>
      <c r="J4399">
        <f t="shared" ca="1" si="359"/>
        <v>0</v>
      </c>
      <c r="K4399">
        <f t="shared" ca="1" si="360"/>
        <v>0</v>
      </c>
      <c r="L4399">
        <f t="shared" si="361"/>
        <v>4393</v>
      </c>
      <c r="M4399" s="71">
        <f t="shared" ca="1" si="362"/>
        <v>2.9213148664874358</v>
      </c>
    </row>
    <row r="4400" spans="1:13" x14ac:dyDescent="0.25">
      <c r="A4400" s="2">
        <v>4394</v>
      </c>
      <c r="B4400" s="11">
        <f t="shared" ca="1" si="358"/>
        <v>0</v>
      </c>
      <c r="C4400" s="26">
        <f t="shared" ca="1" si="357"/>
        <v>0.93138187904297232</v>
      </c>
      <c r="J4400">
        <f t="shared" ca="1" si="359"/>
        <v>0</v>
      </c>
      <c r="K4400">
        <f t="shared" ca="1" si="360"/>
        <v>1</v>
      </c>
      <c r="L4400">
        <f t="shared" si="361"/>
        <v>4394</v>
      </c>
      <c r="M4400" s="71">
        <f t="shared" ca="1" si="362"/>
        <v>0</v>
      </c>
    </row>
    <row r="4401" spans="1:13" x14ac:dyDescent="0.25">
      <c r="A4401" s="2">
        <v>4395</v>
      </c>
      <c r="B4401" s="11">
        <f t="shared" ca="1" si="358"/>
        <v>0</v>
      </c>
      <c r="C4401" s="26">
        <f t="shared" ca="1" si="357"/>
        <v>0.92942818325673826</v>
      </c>
      <c r="J4401">
        <f t="shared" ca="1" si="359"/>
        <v>0</v>
      </c>
      <c r="K4401">
        <f t="shared" ca="1" si="360"/>
        <v>0</v>
      </c>
      <c r="L4401">
        <f t="shared" si="361"/>
        <v>4395</v>
      </c>
      <c r="M4401" s="71">
        <f t="shared" ca="1" si="362"/>
        <v>0</v>
      </c>
    </row>
    <row r="4402" spans="1:13" x14ac:dyDescent="0.25">
      <c r="A4402" s="2">
        <v>4396</v>
      </c>
      <c r="B4402" s="11">
        <f t="shared" ca="1" si="358"/>
        <v>1</v>
      </c>
      <c r="C4402" s="26">
        <f t="shared" ca="1" si="357"/>
        <v>0.53528403934744451</v>
      </c>
      <c r="J4402">
        <f t="shared" ca="1" si="359"/>
        <v>1</v>
      </c>
      <c r="K4402">
        <f t="shared" ca="1" si="360"/>
        <v>0</v>
      </c>
      <c r="L4402">
        <f t="shared" si="361"/>
        <v>4396</v>
      </c>
      <c r="M4402" s="71">
        <f t="shared" ca="1" si="362"/>
        <v>8.0487356772114449</v>
      </c>
    </row>
    <row r="4403" spans="1:13" x14ac:dyDescent="0.25">
      <c r="A4403" s="2">
        <v>4397</v>
      </c>
      <c r="B4403" s="11">
        <f t="shared" ca="1" si="358"/>
        <v>1</v>
      </c>
      <c r="C4403" s="26">
        <f t="shared" ca="1" si="357"/>
        <v>0.21382835281557788</v>
      </c>
      <c r="J4403">
        <f t="shared" ca="1" si="359"/>
        <v>1</v>
      </c>
      <c r="K4403">
        <f t="shared" ca="1" si="360"/>
        <v>0</v>
      </c>
      <c r="L4403">
        <f t="shared" si="361"/>
        <v>4397</v>
      </c>
      <c r="M4403" s="71">
        <f t="shared" ca="1" si="362"/>
        <v>11.069936333052587</v>
      </c>
    </row>
    <row r="4404" spans="1:13" x14ac:dyDescent="0.25">
      <c r="A4404" s="2">
        <v>4398</v>
      </c>
      <c r="B4404" s="11">
        <f t="shared" ca="1" si="358"/>
        <v>1</v>
      </c>
      <c r="C4404" s="26">
        <f t="shared" ca="1" si="357"/>
        <v>0.12051312163469996</v>
      </c>
      <c r="J4404">
        <f t="shared" ca="1" si="359"/>
        <v>1</v>
      </c>
      <c r="K4404">
        <f t="shared" ca="1" si="360"/>
        <v>0</v>
      </c>
      <c r="L4404">
        <f t="shared" si="361"/>
        <v>4398</v>
      </c>
      <c r="M4404" s="71">
        <f t="shared" ca="1" si="362"/>
        <v>2.498082192745549</v>
      </c>
    </row>
    <row r="4405" spans="1:13" x14ac:dyDescent="0.25">
      <c r="A4405" s="2">
        <v>4399</v>
      </c>
      <c r="B4405" s="11">
        <f t="shared" ca="1" si="358"/>
        <v>1</v>
      </c>
      <c r="C4405" s="26">
        <f t="shared" ca="1" si="357"/>
        <v>0.20435275425596677</v>
      </c>
      <c r="J4405">
        <f t="shared" ca="1" si="359"/>
        <v>1</v>
      </c>
      <c r="K4405">
        <f t="shared" ca="1" si="360"/>
        <v>0</v>
      </c>
      <c r="L4405">
        <f t="shared" si="361"/>
        <v>4399</v>
      </c>
      <c r="M4405" s="71">
        <f t="shared" ca="1" si="362"/>
        <v>0.52705469100085223</v>
      </c>
    </row>
    <row r="4406" spans="1:13" x14ac:dyDescent="0.25">
      <c r="A4406" s="2">
        <v>4400</v>
      </c>
      <c r="B4406" s="11">
        <f t="shared" ca="1" si="358"/>
        <v>1</v>
      </c>
      <c r="C4406" s="26">
        <f t="shared" ca="1" si="357"/>
        <v>0.76794546468853653</v>
      </c>
      <c r="J4406">
        <f t="shared" ca="1" si="359"/>
        <v>1</v>
      </c>
      <c r="K4406">
        <f t="shared" ca="1" si="360"/>
        <v>0</v>
      </c>
      <c r="L4406">
        <f t="shared" si="361"/>
        <v>4400</v>
      </c>
      <c r="M4406" s="71">
        <f t="shared" ca="1" si="362"/>
        <v>8.8298812056967613</v>
      </c>
    </row>
    <row r="4407" spans="1:13" x14ac:dyDescent="0.25">
      <c r="A4407" s="2">
        <v>4401</v>
      </c>
      <c r="B4407" s="11">
        <f t="shared" ca="1" si="358"/>
        <v>1</v>
      </c>
      <c r="C4407" s="26">
        <f t="shared" ca="1" si="357"/>
        <v>0.4118694309593447</v>
      </c>
      <c r="J4407">
        <f t="shared" ca="1" si="359"/>
        <v>1</v>
      </c>
      <c r="K4407">
        <f t="shared" ca="1" si="360"/>
        <v>0</v>
      </c>
      <c r="L4407">
        <f t="shared" si="361"/>
        <v>4401</v>
      </c>
      <c r="M4407" s="71">
        <f t="shared" ca="1" si="362"/>
        <v>7.5938385229120193</v>
      </c>
    </row>
    <row r="4408" spans="1:13" x14ac:dyDescent="0.25">
      <c r="A4408" s="2">
        <v>4402</v>
      </c>
      <c r="B4408" s="11">
        <f t="shared" ca="1" si="358"/>
        <v>1</v>
      </c>
      <c r="C4408" s="26">
        <f t="shared" ca="1" si="357"/>
        <v>0.74563275478603641</v>
      </c>
      <c r="J4408">
        <f t="shared" ca="1" si="359"/>
        <v>1</v>
      </c>
      <c r="K4408">
        <f t="shared" ca="1" si="360"/>
        <v>0</v>
      </c>
      <c r="L4408">
        <f t="shared" si="361"/>
        <v>4402</v>
      </c>
      <c r="M4408" s="71">
        <f t="shared" ca="1" si="362"/>
        <v>1.5653642977701563</v>
      </c>
    </row>
    <row r="4409" spans="1:13" x14ac:dyDescent="0.25">
      <c r="A4409" s="2">
        <v>4403</v>
      </c>
      <c r="B4409" s="11">
        <f t="shared" ca="1" si="358"/>
        <v>1</v>
      </c>
      <c r="C4409" s="26">
        <f t="shared" ca="1" si="357"/>
        <v>0.16770618967693929</v>
      </c>
      <c r="J4409">
        <f t="shared" ca="1" si="359"/>
        <v>1</v>
      </c>
      <c r="K4409">
        <f t="shared" ca="1" si="360"/>
        <v>0</v>
      </c>
      <c r="L4409">
        <f t="shared" si="361"/>
        <v>4403</v>
      </c>
      <c r="M4409" s="71">
        <f t="shared" ca="1" si="362"/>
        <v>0.58651154067242794</v>
      </c>
    </row>
    <row r="4410" spans="1:13" x14ac:dyDescent="0.25">
      <c r="A4410" s="2">
        <v>4404</v>
      </c>
      <c r="B4410" s="11">
        <f t="shared" ca="1" si="358"/>
        <v>1</v>
      </c>
      <c r="C4410" s="26">
        <f t="shared" ca="1" si="357"/>
        <v>2.0425040388109661E-2</v>
      </c>
      <c r="J4410">
        <f t="shared" ca="1" si="359"/>
        <v>0</v>
      </c>
      <c r="K4410">
        <f t="shared" ca="1" si="360"/>
        <v>0</v>
      </c>
      <c r="L4410">
        <f t="shared" si="361"/>
        <v>4404</v>
      </c>
      <c r="M4410" s="71">
        <f t="shared" ca="1" si="362"/>
        <v>1.4580443847078124</v>
      </c>
    </row>
    <row r="4411" spans="1:13" x14ac:dyDescent="0.25">
      <c r="A4411" s="2">
        <v>4405</v>
      </c>
      <c r="B4411" s="11">
        <f t="shared" ca="1" si="358"/>
        <v>0</v>
      </c>
      <c r="C4411" s="26">
        <f t="shared" ca="1" si="357"/>
        <v>0.94771377970987225</v>
      </c>
      <c r="J4411">
        <f t="shared" ca="1" si="359"/>
        <v>0</v>
      </c>
      <c r="K4411">
        <f t="shared" ca="1" si="360"/>
        <v>1</v>
      </c>
      <c r="L4411">
        <f t="shared" si="361"/>
        <v>4405</v>
      </c>
      <c r="M4411" s="71">
        <f t="shared" ca="1" si="362"/>
        <v>0</v>
      </c>
    </row>
    <row r="4412" spans="1:13" x14ac:dyDescent="0.25">
      <c r="A4412" s="2">
        <v>4406</v>
      </c>
      <c r="B4412" s="11">
        <f t="shared" ca="1" si="358"/>
        <v>0</v>
      </c>
      <c r="C4412" s="26">
        <f t="shared" ca="1" si="357"/>
        <v>0.97324060440303028</v>
      </c>
      <c r="J4412">
        <f t="shared" ca="1" si="359"/>
        <v>0</v>
      </c>
      <c r="K4412">
        <f t="shared" ca="1" si="360"/>
        <v>1</v>
      </c>
      <c r="L4412">
        <f t="shared" si="361"/>
        <v>4406</v>
      </c>
      <c r="M4412" s="71">
        <f t="shared" ca="1" si="362"/>
        <v>0</v>
      </c>
    </row>
    <row r="4413" spans="1:13" x14ac:dyDescent="0.25">
      <c r="A4413" s="2">
        <v>4407</v>
      </c>
      <c r="B4413" s="11">
        <f t="shared" ca="1" si="358"/>
        <v>0</v>
      </c>
      <c r="C4413" s="26">
        <f t="shared" ca="1" si="357"/>
        <v>0.74579548619610725</v>
      </c>
      <c r="J4413">
        <f t="shared" ca="1" si="359"/>
        <v>0</v>
      </c>
      <c r="K4413">
        <f t="shared" ca="1" si="360"/>
        <v>0</v>
      </c>
      <c r="L4413">
        <f t="shared" si="361"/>
        <v>4407</v>
      </c>
      <c r="M4413" s="71">
        <f t="shared" ca="1" si="362"/>
        <v>0</v>
      </c>
    </row>
    <row r="4414" spans="1:13" x14ac:dyDescent="0.25">
      <c r="A4414" s="2">
        <v>4408</v>
      </c>
      <c r="B4414" s="11">
        <f t="shared" ca="1" si="358"/>
        <v>1</v>
      </c>
      <c r="C4414" s="26">
        <f t="shared" ca="1" si="357"/>
        <v>0.43526139844691614</v>
      </c>
      <c r="J4414">
        <f t="shared" ca="1" si="359"/>
        <v>0</v>
      </c>
      <c r="K4414">
        <f t="shared" ca="1" si="360"/>
        <v>0</v>
      </c>
      <c r="L4414">
        <f t="shared" si="361"/>
        <v>4408</v>
      </c>
      <c r="M4414" s="71">
        <f t="shared" ca="1" si="362"/>
        <v>2.1369855024522963</v>
      </c>
    </row>
    <row r="4415" spans="1:13" x14ac:dyDescent="0.25">
      <c r="A4415" s="2">
        <v>4409</v>
      </c>
      <c r="B4415" s="11">
        <f t="shared" ca="1" si="358"/>
        <v>0</v>
      </c>
      <c r="C4415" s="26">
        <f t="shared" ca="1" si="357"/>
        <v>0.93242793835329696</v>
      </c>
      <c r="J4415">
        <f t="shared" ca="1" si="359"/>
        <v>0</v>
      </c>
      <c r="K4415">
        <f t="shared" ca="1" si="360"/>
        <v>0</v>
      </c>
      <c r="L4415">
        <f t="shared" si="361"/>
        <v>4409</v>
      </c>
      <c r="M4415" s="71">
        <f t="shared" ca="1" si="362"/>
        <v>0</v>
      </c>
    </row>
    <row r="4416" spans="1:13" x14ac:dyDescent="0.25">
      <c r="A4416" s="2">
        <v>4410</v>
      </c>
      <c r="B4416" s="11">
        <f t="shared" ca="1" si="358"/>
        <v>1</v>
      </c>
      <c r="C4416" s="26">
        <f t="shared" ca="1" si="357"/>
        <v>0.70168075360601734</v>
      </c>
      <c r="J4416">
        <f t="shared" ca="1" si="359"/>
        <v>0</v>
      </c>
      <c r="K4416">
        <f t="shared" ca="1" si="360"/>
        <v>0</v>
      </c>
      <c r="L4416">
        <f t="shared" si="361"/>
        <v>4410</v>
      </c>
      <c r="M4416" s="71">
        <f t="shared" ca="1" si="362"/>
        <v>9.4651893888688914</v>
      </c>
    </row>
    <row r="4417" spans="1:13" x14ac:dyDescent="0.25">
      <c r="A4417" s="2">
        <v>4411</v>
      </c>
      <c r="B4417" s="11">
        <f t="shared" ca="1" si="358"/>
        <v>0</v>
      </c>
      <c r="C4417" s="26">
        <f t="shared" ca="1" si="357"/>
        <v>0.81384254766743713</v>
      </c>
      <c r="J4417">
        <f t="shared" ca="1" si="359"/>
        <v>0</v>
      </c>
      <c r="K4417">
        <f t="shared" ca="1" si="360"/>
        <v>0</v>
      </c>
      <c r="L4417">
        <f t="shared" si="361"/>
        <v>4411</v>
      </c>
      <c r="M4417" s="71">
        <f t="shared" ca="1" si="362"/>
        <v>0</v>
      </c>
    </row>
    <row r="4418" spans="1:13" x14ac:dyDescent="0.25">
      <c r="A4418" s="2">
        <v>4412</v>
      </c>
      <c r="B4418" s="11">
        <f t="shared" ca="1" si="358"/>
        <v>1</v>
      </c>
      <c r="C4418" s="26">
        <f t="shared" ca="1" si="357"/>
        <v>0.61694506468863264</v>
      </c>
      <c r="J4418">
        <f t="shared" ca="1" si="359"/>
        <v>1</v>
      </c>
      <c r="K4418">
        <f t="shared" ca="1" si="360"/>
        <v>0</v>
      </c>
      <c r="L4418">
        <f t="shared" si="361"/>
        <v>4412</v>
      </c>
      <c r="M4418" s="71">
        <f t="shared" ca="1" si="362"/>
        <v>2.0519278710252964</v>
      </c>
    </row>
    <row r="4419" spans="1:13" x14ac:dyDescent="0.25">
      <c r="A4419" s="2">
        <v>4413</v>
      </c>
      <c r="B4419" s="11">
        <f t="shared" ca="1" si="358"/>
        <v>1</v>
      </c>
      <c r="C4419" s="26">
        <f t="shared" ca="1" si="357"/>
        <v>0.62571064130079423</v>
      </c>
      <c r="J4419">
        <f t="shared" ca="1" si="359"/>
        <v>1</v>
      </c>
      <c r="K4419">
        <f t="shared" ca="1" si="360"/>
        <v>0</v>
      </c>
      <c r="L4419">
        <f t="shared" si="361"/>
        <v>4413</v>
      </c>
      <c r="M4419" s="71">
        <f t="shared" ca="1" si="362"/>
        <v>0.99436310776554782</v>
      </c>
    </row>
    <row r="4420" spans="1:13" x14ac:dyDescent="0.25">
      <c r="A4420" s="2">
        <v>4414</v>
      </c>
      <c r="B4420" s="11">
        <f t="shared" ca="1" si="358"/>
        <v>1</v>
      </c>
      <c r="C4420" s="26">
        <f t="shared" ca="1" si="357"/>
        <v>0.15564560817716711</v>
      </c>
      <c r="J4420">
        <f t="shared" ca="1" si="359"/>
        <v>1</v>
      </c>
      <c r="K4420">
        <f t="shared" ca="1" si="360"/>
        <v>0</v>
      </c>
      <c r="L4420">
        <f t="shared" si="361"/>
        <v>4414</v>
      </c>
      <c r="M4420" s="71">
        <f t="shared" ca="1" si="362"/>
        <v>0.83891668140250453</v>
      </c>
    </row>
    <row r="4421" spans="1:13" x14ac:dyDescent="0.25">
      <c r="A4421" s="2">
        <v>4415</v>
      </c>
      <c r="B4421" s="11">
        <f t="shared" ca="1" si="358"/>
        <v>1</v>
      </c>
      <c r="C4421" s="26">
        <f t="shared" ca="1" si="357"/>
        <v>0.39676799488549019</v>
      </c>
      <c r="J4421">
        <f t="shared" ca="1" si="359"/>
        <v>0</v>
      </c>
      <c r="K4421">
        <f t="shared" ca="1" si="360"/>
        <v>0</v>
      </c>
      <c r="L4421">
        <f t="shared" si="361"/>
        <v>4415</v>
      </c>
      <c r="M4421" s="71">
        <f t="shared" ca="1" si="362"/>
        <v>4.7920006965065554</v>
      </c>
    </row>
    <row r="4422" spans="1:13" x14ac:dyDescent="0.25">
      <c r="A4422" s="2">
        <v>4416</v>
      </c>
      <c r="B4422" s="11">
        <f t="shared" ca="1" si="358"/>
        <v>0</v>
      </c>
      <c r="C4422" s="26">
        <f t="shared" ca="1" si="357"/>
        <v>0.92017133019800113</v>
      </c>
      <c r="J4422">
        <f t="shared" ca="1" si="359"/>
        <v>0</v>
      </c>
      <c r="K4422">
        <f t="shared" ca="1" si="360"/>
        <v>1</v>
      </c>
      <c r="L4422">
        <f t="shared" si="361"/>
        <v>4416</v>
      </c>
      <c r="M4422" s="71">
        <f t="shared" ca="1" si="362"/>
        <v>0</v>
      </c>
    </row>
    <row r="4423" spans="1:13" x14ac:dyDescent="0.25">
      <c r="A4423" s="2">
        <v>4417</v>
      </c>
      <c r="B4423" s="11">
        <f t="shared" ca="1" si="358"/>
        <v>0</v>
      </c>
      <c r="C4423" s="26">
        <f t="shared" ca="1" si="357"/>
        <v>0.92939070234855159</v>
      </c>
      <c r="J4423">
        <f t="shared" ca="1" si="359"/>
        <v>0</v>
      </c>
      <c r="K4423">
        <f t="shared" ca="1" si="360"/>
        <v>1</v>
      </c>
      <c r="L4423">
        <f t="shared" si="361"/>
        <v>4417</v>
      </c>
      <c r="M4423" s="71">
        <f t="shared" ca="1" si="362"/>
        <v>0</v>
      </c>
    </row>
    <row r="4424" spans="1:13" x14ac:dyDescent="0.25">
      <c r="A4424" s="2">
        <v>4418</v>
      </c>
      <c r="B4424" s="11">
        <f t="shared" ca="1" si="358"/>
        <v>0</v>
      </c>
      <c r="C4424" s="26">
        <f t="shared" ref="C4424:C4487" ca="1" si="363">RAND()</f>
        <v>0.97808530537480542</v>
      </c>
      <c r="J4424">
        <f t="shared" ca="1" si="359"/>
        <v>0</v>
      </c>
      <c r="K4424">
        <f t="shared" ca="1" si="360"/>
        <v>1</v>
      </c>
      <c r="L4424">
        <f t="shared" si="361"/>
        <v>4418</v>
      </c>
      <c r="M4424" s="71">
        <f t="shared" ca="1" si="362"/>
        <v>0</v>
      </c>
    </row>
    <row r="4425" spans="1:13" x14ac:dyDescent="0.25">
      <c r="A4425" s="2">
        <v>4419</v>
      </c>
      <c r="B4425" s="11">
        <f t="shared" ref="B4425:B4488" ca="1" si="364">IF(B4424&gt;0,IF(C4425&lt;pww,1,0),IF(C4425&lt;pdw,1,0))</f>
        <v>0</v>
      </c>
      <c r="C4425" s="26">
        <f t="shared" ca="1" si="363"/>
        <v>0.84281157160532139</v>
      </c>
      <c r="J4425">
        <f t="shared" ca="1" si="359"/>
        <v>0</v>
      </c>
      <c r="K4425">
        <f t="shared" ca="1" si="360"/>
        <v>0</v>
      </c>
      <c r="L4425">
        <f t="shared" si="361"/>
        <v>4419</v>
      </c>
      <c r="M4425" s="71">
        <f t="shared" ca="1" si="362"/>
        <v>0</v>
      </c>
    </row>
    <row r="4426" spans="1:13" x14ac:dyDescent="0.25">
      <c r="A4426" s="2">
        <v>4420</v>
      </c>
      <c r="B4426" s="11">
        <f t="shared" ca="1" si="364"/>
        <v>1</v>
      </c>
      <c r="C4426" s="26">
        <f t="shared" ca="1" si="363"/>
        <v>0.61512691898399685</v>
      </c>
      <c r="J4426">
        <f t="shared" ref="J4426:J4489" ca="1" si="365">IF(AND(B4426,B4427),1,0)</f>
        <v>1</v>
      </c>
      <c r="K4426">
        <f t="shared" ref="K4426:K4489" ca="1" si="366">IF(AND(NOT(B4426),NOT(B4427)),1,0)</f>
        <v>0</v>
      </c>
      <c r="L4426">
        <f t="shared" ref="L4426:L4489" si="367">L4425+1</f>
        <v>4420</v>
      </c>
      <c r="M4426" s="71">
        <f t="shared" ref="M4426:M4489" ca="1" si="368">IF(B4426&gt;0,-LN(1-(RAND()))/lambda,0)</f>
        <v>8.2673887288075836</v>
      </c>
    </row>
    <row r="4427" spans="1:13" x14ac:dyDescent="0.25">
      <c r="A4427" s="2">
        <v>4421</v>
      </c>
      <c r="B4427" s="11">
        <f t="shared" ca="1" si="364"/>
        <v>1</v>
      </c>
      <c r="C4427" s="26">
        <f t="shared" ca="1" si="363"/>
        <v>0.79394482017586199</v>
      </c>
      <c r="J4427">
        <f t="shared" ca="1" si="365"/>
        <v>1</v>
      </c>
      <c r="K4427">
        <f t="shared" ca="1" si="366"/>
        <v>0</v>
      </c>
      <c r="L4427">
        <f t="shared" si="367"/>
        <v>4421</v>
      </c>
      <c r="M4427" s="71">
        <f t="shared" ca="1" si="368"/>
        <v>0.30035334237106359</v>
      </c>
    </row>
    <row r="4428" spans="1:13" x14ac:dyDescent="0.25">
      <c r="A4428" s="2">
        <v>4422</v>
      </c>
      <c r="B4428" s="11">
        <f t="shared" ca="1" si="364"/>
        <v>1</v>
      </c>
      <c r="C4428" s="26">
        <f t="shared" ca="1" si="363"/>
        <v>6.1884000790700333E-2</v>
      </c>
      <c r="J4428">
        <f t="shared" ca="1" si="365"/>
        <v>0</v>
      </c>
      <c r="K4428">
        <f t="shared" ca="1" si="366"/>
        <v>0</v>
      </c>
      <c r="L4428">
        <f t="shared" si="367"/>
        <v>4422</v>
      </c>
      <c r="M4428" s="71">
        <f t="shared" ca="1" si="368"/>
        <v>5.8635609620664644</v>
      </c>
    </row>
    <row r="4429" spans="1:13" x14ac:dyDescent="0.25">
      <c r="A4429" s="2">
        <v>4423</v>
      </c>
      <c r="B4429" s="11">
        <f t="shared" ca="1" si="364"/>
        <v>0</v>
      </c>
      <c r="C4429" s="26">
        <f t="shared" ca="1" si="363"/>
        <v>0.90582583724306942</v>
      </c>
      <c r="J4429">
        <f t="shared" ca="1" si="365"/>
        <v>0</v>
      </c>
      <c r="K4429">
        <f t="shared" ca="1" si="366"/>
        <v>0</v>
      </c>
      <c r="L4429">
        <f t="shared" si="367"/>
        <v>4423</v>
      </c>
      <c r="M4429" s="71">
        <f t="shared" ca="1" si="368"/>
        <v>0</v>
      </c>
    </row>
    <row r="4430" spans="1:13" x14ac:dyDescent="0.25">
      <c r="A4430" s="2">
        <v>4424</v>
      </c>
      <c r="B4430" s="11">
        <f t="shared" ca="1" si="364"/>
        <v>1</v>
      </c>
      <c r="C4430" s="26">
        <f t="shared" ca="1" si="363"/>
        <v>0.43102626825768586</v>
      </c>
      <c r="J4430">
        <f t="shared" ca="1" si="365"/>
        <v>1</v>
      </c>
      <c r="K4430">
        <f t="shared" ca="1" si="366"/>
        <v>0</v>
      </c>
      <c r="L4430">
        <f t="shared" si="367"/>
        <v>4424</v>
      </c>
      <c r="M4430" s="71">
        <f t="shared" ca="1" si="368"/>
        <v>5.0589170099309309</v>
      </c>
    </row>
    <row r="4431" spans="1:13" x14ac:dyDescent="0.25">
      <c r="A4431" s="2">
        <v>4425</v>
      </c>
      <c r="B4431" s="11">
        <f t="shared" ca="1" si="364"/>
        <v>1</v>
      </c>
      <c r="C4431" s="26">
        <f t="shared" ca="1" si="363"/>
        <v>0.68953079368692605</v>
      </c>
      <c r="J4431">
        <f t="shared" ca="1" si="365"/>
        <v>0</v>
      </c>
      <c r="K4431">
        <f t="shared" ca="1" si="366"/>
        <v>0</v>
      </c>
      <c r="L4431">
        <f t="shared" si="367"/>
        <v>4425</v>
      </c>
      <c r="M4431" s="71">
        <f t="shared" ca="1" si="368"/>
        <v>5.5508998500778164</v>
      </c>
    </row>
    <row r="4432" spans="1:13" x14ac:dyDescent="0.25">
      <c r="A4432" s="2">
        <v>4426</v>
      </c>
      <c r="B4432" s="11">
        <f t="shared" ca="1" si="364"/>
        <v>0</v>
      </c>
      <c r="C4432" s="26">
        <f t="shared" ca="1" si="363"/>
        <v>0.88555646006990152</v>
      </c>
      <c r="J4432">
        <f t="shared" ca="1" si="365"/>
        <v>0</v>
      </c>
      <c r="K4432">
        <f t="shared" ca="1" si="366"/>
        <v>0</v>
      </c>
      <c r="L4432">
        <f t="shared" si="367"/>
        <v>4426</v>
      </c>
      <c r="M4432" s="71">
        <f t="shared" ca="1" si="368"/>
        <v>0</v>
      </c>
    </row>
    <row r="4433" spans="1:13" x14ac:dyDescent="0.25">
      <c r="A4433" s="2">
        <v>4427</v>
      </c>
      <c r="B4433" s="11">
        <f t="shared" ca="1" si="364"/>
        <v>1</v>
      </c>
      <c r="C4433" s="26">
        <f t="shared" ca="1" si="363"/>
        <v>0.25124016511007941</v>
      </c>
      <c r="J4433">
        <f t="shared" ca="1" si="365"/>
        <v>1</v>
      </c>
      <c r="K4433">
        <f t="shared" ca="1" si="366"/>
        <v>0</v>
      </c>
      <c r="L4433">
        <f t="shared" si="367"/>
        <v>4427</v>
      </c>
      <c r="M4433" s="71">
        <f t="shared" ca="1" si="368"/>
        <v>1.2700901377106473</v>
      </c>
    </row>
    <row r="4434" spans="1:13" x14ac:dyDescent="0.25">
      <c r="A4434" s="2">
        <v>4428</v>
      </c>
      <c r="B4434" s="11">
        <f t="shared" ca="1" si="364"/>
        <v>1</v>
      </c>
      <c r="C4434" s="26">
        <f t="shared" ca="1" si="363"/>
        <v>3.0422386521771982E-2</v>
      </c>
      <c r="J4434">
        <f t="shared" ca="1" si="365"/>
        <v>0</v>
      </c>
      <c r="K4434">
        <f t="shared" ca="1" si="366"/>
        <v>0</v>
      </c>
      <c r="L4434">
        <f t="shared" si="367"/>
        <v>4428</v>
      </c>
      <c r="M4434" s="71">
        <f t="shared" ca="1" si="368"/>
        <v>1.1109755860621817</v>
      </c>
    </row>
    <row r="4435" spans="1:13" x14ac:dyDescent="0.25">
      <c r="A4435" s="2">
        <v>4429</v>
      </c>
      <c r="B4435" s="11">
        <f t="shared" ca="1" si="364"/>
        <v>0</v>
      </c>
      <c r="C4435" s="26">
        <f t="shared" ca="1" si="363"/>
        <v>0.94104836935940195</v>
      </c>
      <c r="J4435">
        <f t="shared" ca="1" si="365"/>
        <v>0</v>
      </c>
      <c r="K4435">
        <f t="shared" ca="1" si="366"/>
        <v>1</v>
      </c>
      <c r="L4435">
        <f t="shared" si="367"/>
        <v>4429</v>
      </c>
      <c r="M4435" s="71">
        <f t="shared" ca="1" si="368"/>
        <v>0</v>
      </c>
    </row>
    <row r="4436" spans="1:13" x14ac:dyDescent="0.25">
      <c r="A4436" s="2">
        <v>4430</v>
      </c>
      <c r="B4436" s="11">
        <f t="shared" ca="1" si="364"/>
        <v>0</v>
      </c>
      <c r="C4436" s="26">
        <f t="shared" ca="1" si="363"/>
        <v>0.84333661982786601</v>
      </c>
      <c r="J4436">
        <f t="shared" ca="1" si="365"/>
        <v>0</v>
      </c>
      <c r="K4436">
        <f t="shared" ca="1" si="366"/>
        <v>0</v>
      </c>
      <c r="L4436">
        <f t="shared" si="367"/>
        <v>4430</v>
      </c>
      <c r="M4436" s="71">
        <f t="shared" ca="1" si="368"/>
        <v>0</v>
      </c>
    </row>
    <row r="4437" spans="1:13" x14ac:dyDescent="0.25">
      <c r="A4437" s="2">
        <v>4431</v>
      </c>
      <c r="B4437" s="11">
        <f t="shared" ca="1" si="364"/>
        <v>1</v>
      </c>
      <c r="C4437" s="26">
        <f t="shared" ca="1" si="363"/>
        <v>0.60897305592627893</v>
      </c>
      <c r="J4437">
        <f t="shared" ca="1" si="365"/>
        <v>1</v>
      </c>
      <c r="K4437">
        <f t="shared" ca="1" si="366"/>
        <v>0</v>
      </c>
      <c r="L4437">
        <f t="shared" si="367"/>
        <v>4431</v>
      </c>
      <c r="M4437" s="71">
        <f t="shared" ca="1" si="368"/>
        <v>0.65476018041450035</v>
      </c>
    </row>
    <row r="4438" spans="1:13" x14ac:dyDescent="0.25">
      <c r="A4438" s="2">
        <v>4432</v>
      </c>
      <c r="B4438" s="11">
        <f t="shared" ca="1" si="364"/>
        <v>1</v>
      </c>
      <c r="C4438" s="26">
        <f t="shared" ca="1" si="363"/>
        <v>0.65062883383367009</v>
      </c>
      <c r="J4438">
        <f t="shared" ca="1" si="365"/>
        <v>1</v>
      </c>
      <c r="K4438">
        <f t="shared" ca="1" si="366"/>
        <v>0</v>
      </c>
      <c r="L4438">
        <f t="shared" si="367"/>
        <v>4432</v>
      </c>
      <c r="M4438" s="71">
        <f t="shared" ca="1" si="368"/>
        <v>2.849289460767098</v>
      </c>
    </row>
    <row r="4439" spans="1:13" x14ac:dyDescent="0.25">
      <c r="A4439" s="2">
        <v>4433</v>
      </c>
      <c r="B4439" s="11">
        <f t="shared" ca="1" si="364"/>
        <v>1</v>
      </c>
      <c r="C4439" s="26">
        <f t="shared" ca="1" si="363"/>
        <v>0.51748045703084622</v>
      </c>
      <c r="J4439">
        <f t="shared" ca="1" si="365"/>
        <v>1</v>
      </c>
      <c r="K4439">
        <f t="shared" ca="1" si="366"/>
        <v>0</v>
      </c>
      <c r="L4439">
        <f t="shared" si="367"/>
        <v>4433</v>
      </c>
      <c r="M4439" s="71">
        <f t="shared" ca="1" si="368"/>
        <v>0.73364313644193724</v>
      </c>
    </row>
    <row r="4440" spans="1:13" x14ac:dyDescent="0.25">
      <c r="A4440" s="2">
        <v>4434</v>
      </c>
      <c r="B4440" s="11">
        <f t="shared" ca="1" si="364"/>
        <v>1</v>
      </c>
      <c r="C4440" s="26">
        <f t="shared" ca="1" si="363"/>
        <v>0.29834021243356101</v>
      </c>
      <c r="J4440">
        <f t="shared" ca="1" si="365"/>
        <v>1</v>
      </c>
      <c r="K4440">
        <f t="shared" ca="1" si="366"/>
        <v>0</v>
      </c>
      <c r="L4440">
        <f t="shared" si="367"/>
        <v>4434</v>
      </c>
      <c r="M4440" s="71">
        <f t="shared" ca="1" si="368"/>
        <v>0.30478754705553496</v>
      </c>
    </row>
    <row r="4441" spans="1:13" x14ac:dyDescent="0.25">
      <c r="A4441" s="2">
        <v>4435</v>
      </c>
      <c r="B4441" s="11">
        <f t="shared" ca="1" si="364"/>
        <v>1</v>
      </c>
      <c r="C4441" s="26">
        <f t="shared" ca="1" si="363"/>
        <v>0.1811230043747285</v>
      </c>
      <c r="J4441">
        <f t="shared" ca="1" si="365"/>
        <v>1</v>
      </c>
      <c r="K4441">
        <f t="shared" ca="1" si="366"/>
        <v>0</v>
      </c>
      <c r="L4441">
        <f t="shared" si="367"/>
        <v>4435</v>
      </c>
      <c r="M4441" s="71">
        <f t="shared" ca="1" si="368"/>
        <v>2.8375314961463123</v>
      </c>
    </row>
    <row r="4442" spans="1:13" x14ac:dyDescent="0.25">
      <c r="A4442" s="2">
        <v>4436</v>
      </c>
      <c r="B4442" s="11">
        <f t="shared" ca="1" si="364"/>
        <v>1</v>
      </c>
      <c r="C4442" s="26">
        <f t="shared" ca="1" si="363"/>
        <v>0.39614261745638957</v>
      </c>
      <c r="J4442">
        <f t="shared" ca="1" si="365"/>
        <v>0</v>
      </c>
      <c r="K4442">
        <f t="shared" ca="1" si="366"/>
        <v>0</v>
      </c>
      <c r="L4442">
        <f t="shared" si="367"/>
        <v>4436</v>
      </c>
      <c r="M4442" s="71">
        <f t="shared" ca="1" si="368"/>
        <v>2.7723409366592771</v>
      </c>
    </row>
    <row r="4443" spans="1:13" x14ac:dyDescent="0.25">
      <c r="A4443" s="2">
        <v>4437</v>
      </c>
      <c r="B4443" s="11">
        <f t="shared" ca="1" si="364"/>
        <v>0</v>
      </c>
      <c r="C4443" s="26">
        <f t="shared" ca="1" si="363"/>
        <v>0.99819974096571096</v>
      </c>
      <c r="J4443">
        <f t="shared" ca="1" si="365"/>
        <v>0</v>
      </c>
      <c r="K4443">
        <f t="shared" ca="1" si="366"/>
        <v>1</v>
      </c>
      <c r="L4443">
        <f t="shared" si="367"/>
        <v>4437</v>
      </c>
      <c r="M4443" s="71">
        <f t="shared" ca="1" si="368"/>
        <v>0</v>
      </c>
    </row>
    <row r="4444" spans="1:13" x14ac:dyDescent="0.25">
      <c r="A4444" s="2">
        <v>4438</v>
      </c>
      <c r="B4444" s="11">
        <f t="shared" ca="1" si="364"/>
        <v>0</v>
      </c>
      <c r="C4444" s="26">
        <f t="shared" ca="1" si="363"/>
        <v>0.79842596626916196</v>
      </c>
      <c r="J4444">
        <f t="shared" ca="1" si="365"/>
        <v>0</v>
      </c>
      <c r="K4444">
        <f t="shared" ca="1" si="366"/>
        <v>0</v>
      </c>
      <c r="L4444">
        <f t="shared" si="367"/>
        <v>4438</v>
      </c>
      <c r="M4444" s="71">
        <f t="shared" ca="1" si="368"/>
        <v>0</v>
      </c>
    </row>
    <row r="4445" spans="1:13" x14ac:dyDescent="0.25">
      <c r="A4445" s="2">
        <v>4439</v>
      </c>
      <c r="B4445" s="11">
        <f t="shared" ca="1" si="364"/>
        <v>1</v>
      </c>
      <c r="C4445" s="26">
        <f t="shared" ca="1" si="363"/>
        <v>0.30652635172322384</v>
      </c>
      <c r="J4445">
        <f t="shared" ca="1" si="365"/>
        <v>0</v>
      </c>
      <c r="K4445">
        <f t="shared" ca="1" si="366"/>
        <v>0</v>
      </c>
      <c r="L4445">
        <f t="shared" si="367"/>
        <v>4439</v>
      </c>
      <c r="M4445" s="71">
        <f t="shared" ca="1" si="368"/>
        <v>7.6026130437687831</v>
      </c>
    </row>
    <row r="4446" spans="1:13" x14ac:dyDescent="0.25">
      <c r="A4446" s="2">
        <v>4440</v>
      </c>
      <c r="B4446" s="11">
        <f t="shared" ca="1" si="364"/>
        <v>0</v>
      </c>
      <c r="C4446" s="26">
        <f t="shared" ca="1" si="363"/>
        <v>0.84617108309665034</v>
      </c>
      <c r="J4446">
        <f t="shared" ca="1" si="365"/>
        <v>0</v>
      </c>
      <c r="K4446">
        <f t="shared" ca="1" si="366"/>
        <v>0</v>
      </c>
      <c r="L4446">
        <f t="shared" si="367"/>
        <v>4440</v>
      </c>
      <c r="M4446" s="71">
        <f t="shared" ca="1" si="368"/>
        <v>0</v>
      </c>
    </row>
    <row r="4447" spans="1:13" x14ac:dyDescent="0.25">
      <c r="A4447" s="2">
        <v>4441</v>
      </c>
      <c r="B4447" s="11">
        <f t="shared" ca="1" si="364"/>
        <v>1</v>
      </c>
      <c r="C4447" s="26">
        <f t="shared" ca="1" si="363"/>
        <v>0.65239473418176108</v>
      </c>
      <c r="J4447">
        <f t="shared" ca="1" si="365"/>
        <v>0</v>
      </c>
      <c r="K4447">
        <f t="shared" ca="1" si="366"/>
        <v>0</v>
      </c>
      <c r="L4447">
        <f t="shared" si="367"/>
        <v>4441</v>
      </c>
      <c r="M4447" s="71">
        <f t="shared" ca="1" si="368"/>
        <v>0.44771187060924317</v>
      </c>
    </row>
    <row r="4448" spans="1:13" x14ac:dyDescent="0.25">
      <c r="A4448" s="2">
        <v>4442</v>
      </c>
      <c r="B4448" s="11">
        <f t="shared" ca="1" si="364"/>
        <v>0</v>
      </c>
      <c r="C4448" s="26">
        <f t="shared" ca="1" si="363"/>
        <v>0.95010486289924201</v>
      </c>
      <c r="J4448">
        <f t="shared" ca="1" si="365"/>
        <v>0</v>
      </c>
      <c r="K4448">
        <f t="shared" ca="1" si="366"/>
        <v>1</v>
      </c>
      <c r="L4448">
        <f t="shared" si="367"/>
        <v>4442</v>
      </c>
      <c r="M4448" s="71">
        <f t="shared" ca="1" si="368"/>
        <v>0</v>
      </c>
    </row>
    <row r="4449" spans="1:13" x14ac:dyDescent="0.25">
      <c r="A4449" s="2">
        <v>4443</v>
      </c>
      <c r="B4449" s="11">
        <f t="shared" ca="1" si="364"/>
        <v>0</v>
      </c>
      <c r="C4449" s="26">
        <f t="shared" ca="1" si="363"/>
        <v>0.79747946813615656</v>
      </c>
      <c r="J4449">
        <f t="shared" ca="1" si="365"/>
        <v>0</v>
      </c>
      <c r="K4449">
        <f t="shared" ca="1" si="366"/>
        <v>1</v>
      </c>
      <c r="L4449">
        <f t="shared" si="367"/>
        <v>4443</v>
      </c>
      <c r="M4449" s="71">
        <f t="shared" ca="1" si="368"/>
        <v>0</v>
      </c>
    </row>
    <row r="4450" spans="1:13" x14ac:dyDescent="0.25">
      <c r="A4450" s="2">
        <v>4444</v>
      </c>
      <c r="B4450" s="11">
        <f t="shared" ca="1" si="364"/>
        <v>0</v>
      </c>
      <c r="C4450" s="26">
        <f t="shared" ca="1" si="363"/>
        <v>0.75744830874027813</v>
      </c>
      <c r="J4450">
        <f t="shared" ca="1" si="365"/>
        <v>0</v>
      </c>
      <c r="K4450">
        <f t="shared" ca="1" si="366"/>
        <v>0</v>
      </c>
      <c r="L4450">
        <f t="shared" si="367"/>
        <v>4444</v>
      </c>
      <c r="M4450" s="71">
        <f t="shared" ca="1" si="368"/>
        <v>0</v>
      </c>
    </row>
    <row r="4451" spans="1:13" x14ac:dyDescent="0.25">
      <c r="A4451" s="2">
        <v>4445</v>
      </c>
      <c r="B4451" s="11">
        <f t="shared" ca="1" si="364"/>
        <v>1</v>
      </c>
      <c r="C4451" s="26">
        <f t="shared" ca="1" si="363"/>
        <v>0.21335779327807192</v>
      </c>
      <c r="J4451">
        <f t="shared" ca="1" si="365"/>
        <v>1</v>
      </c>
      <c r="K4451">
        <f t="shared" ca="1" si="366"/>
        <v>0</v>
      </c>
      <c r="L4451">
        <f t="shared" si="367"/>
        <v>4445</v>
      </c>
      <c r="M4451" s="71">
        <f t="shared" ca="1" si="368"/>
        <v>0.69770314648031373</v>
      </c>
    </row>
    <row r="4452" spans="1:13" x14ac:dyDescent="0.25">
      <c r="A4452" s="2">
        <v>4446</v>
      </c>
      <c r="B4452" s="11">
        <f t="shared" ca="1" si="364"/>
        <v>1</v>
      </c>
      <c r="C4452" s="26">
        <f t="shared" ca="1" si="363"/>
        <v>0.76954235773274016</v>
      </c>
      <c r="J4452">
        <f t="shared" ca="1" si="365"/>
        <v>1</v>
      </c>
      <c r="K4452">
        <f t="shared" ca="1" si="366"/>
        <v>0</v>
      </c>
      <c r="L4452">
        <f t="shared" si="367"/>
        <v>4446</v>
      </c>
      <c r="M4452" s="71">
        <f t="shared" ca="1" si="368"/>
        <v>1.0828588074911891</v>
      </c>
    </row>
    <row r="4453" spans="1:13" x14ac:dyDescent="0.25">
      <c r="A4453" s="2">
        <v>4447</v>
      </c>
      <c r="B4453" s="11">
        <f t="shared" ca="1" si="364"/>
        <v>1</v>
      </c>
      <c r="C4453" s="26">
        <f t="shared" ca="1" si="363"/>
        <v>3.3124800573059998E-2</v>
      </c>
      <c r="J4453">
        <f t="shared" ca="1" si="365"/>
        <v>1</v>
      </c>
      <c r="K4453">
        <f t="shared" ca="1" si="366"/>
        <v>0</v>
      </c>
      <c r="L4453">
        <f t="shared" si="367"/>
        <v>4447</v>
      </c>
      <c r="M4453" s="71">
        <f t="shared" ca="1" si="368"/>
        <v>2.1034517849734029</v>
      </c>
    </row>
    <row r="4454" spans="1:13" x14ac:dyDescent="0.25">
      <c r="A4454" s="2">
        <v>4448</v>
      </c>
      <c r="B4454" s="11">
        <f t="shared" ca="1" si="364"/>
        <v>1</v>
      </c>
      <c r="C4454" s="26">
        <f t="shared" ca="1" si="363"/>
        <v>0.77131224443484325</v>
      </c>
      <c r="J4454">
        <f t="shared" ca="1" si="365"/>
        <v>1</v>
      </c>
      <c r="K4454">
        <f t="shared" ca="1" si="366"/>
        <v>0</v>
      </c>
      <c r="L4454">
        <f t="shared" si="367"/>
        <v>4448</v>
      </c>
      <c r="M4454" s="71">
        <f t="shared" ca="1" si="368"/>
        <v>1.9854866636558826</v>
      </c>
    </row>
    <row r="4455" spans="1:13" x14ac:dyDescent="0.25">
      <c r="A4455" s="2">
        <v>4449</v>
      </c>
      <c r="B4455" s="11">
        <f t="shared" ca="1" si="364"/>
        <v>1</v>
      </c>
      <c r="C4455" s="26">
        <f t="shared" ca="1" si="363"/>
        <v>0.36625568526256624</v>
      </c>
      <c r="J4455">
        <f t="shared" ca="1" si="365"/>
        <v>1</v>
      </c>
      <c r="K4455">
        <f t="shared" ca="1" si="366"/>
        <v>0</v>
      </c>
      <c r="L4455">
        <f t="shared" si="367"/>
        <v>4449</v>
      </c>
      <c r="M4455" s="71">
        <f t="shared" ca="1" si="368"/>
        <v>0.47861941443003003</v>
      </c>
    </row>
    <row r="4456" spans="1:13" x14ac:dyDescent="0.25">
      <c r="A4456" s="2">
        <v>4450</v>
      </c>
      <c r="B4456" s="11">
        <f t="shared" ca="1" si="364"/>
        <v>1</v>
      </c>
      <c r="C4456" s="26">
        <f t="shared" ca="1" si="363"/>
        <v>0.36743982276086951</v>
      </c>
      <c r="J4456">
        <f t="shared" ca="1" si="365"/>
        <v>1</v>
      </c>
      <c r="K4456">
        <f t="shared" ca="1" si="366"/>
        <v>0</v>
      </c>
      <c r="L4456">
        <f t="shared" si="367"/>
        <v>4450</v>
      </c>
      <c r="M4456" s="71">
        <f t="shared" ca="1" si="368"/>
        <v>5.9412420392486078</v>
      </c>
    </row>
    <row r="4457" spans="1:13" x14ac:dyDescent="0.25">
      <c r="A4457" s="2">
        <v>4451</v>
      </c>
      <c r="B4457" s="11">
        <f t="shared" ca="1" si="364"/>
        <v>1</v>
      </c>
      <c r="C4457" s="26">
        <f t="shared" ca="1" si="363"/>
        <v>6.363752386760213E-2</v>
      </c>
      <c r="J4457">
        <f t="shared" ca="1" si="365"/>
        <v>1</v>
      </c>
      <c r="K4457">
        <f t="shared" ca="1" si="366"/>
        <v>0</v>
      </c>
      <c r="L4457">
        <f t="shared" si="367"/>
        <v>4451</v>
      </c>
      <c r="M4457" s="71">
        <f t="shared" ca="1" si="368"/>
        <v>20.32184348429162</v>
      </c>
    </row>
    <row r="4458" spans="1:13" x14ac:dyDescent="0.25">
      <c r="A4458" s="2">
        <v>4452</v>
      </c>
      <c r="B4458" s="11">
        <f t="shared" ca="1" si="364"/>
        <v>1</v>
      </c>
      <c r="C4458" s="26">
        <f t="shared" ca="1" si="363"/>
        <v>0.27516822296460963</v>
      </c>
      <c r="J4458">
        <f t="shared" ca="1" si="365"/>
        <v>1</v>
      </c>
      <c r="K4458">
        <f t="shared" ca="1" si="366"/>
        <v>0</v>
      </c>
      <c r="L4458">
        <f t="shared" si="367"/>
        <v>4452</v>
      </c>
      <c r="M4458" s="71">
        <f t="shared" ca="1" si="368"/>
        <v>4.7576560452066543</v>
      </c>
    </row>
    <row r="4459" spans="1:13" x14ac:dyDescent="0.25">
      <c r="A4459" s="2">
        <v>4453</v>
      </c>
      <c r="B4459" s="11">
        <f t="shared" ca="1" si="364"/>
        <v>1</v>
      </c>
      <c r="C4459" s="26">
        <f t="shared" ca="1" si="363"/>
        <v>4.1799992647956308E-2</v>
      </c>
      <c r="J4459">
        <f t="shared" ca="1" si="365"/>
        <v>1</v>
      </c>
      <c r="K4459">
        <f t="shared" ca="1" si="366"/>
        <v>0</v>
      </c>
      <c r="L4459">
        <f t="shared" si="367"/>
        <v>4453</v>
      </c>
      <c r="M4459" s="71">
        <f t="shared" ca="1" si="368"/>
        <v>1.946320510376196</v>
      </c>
    </row>
    <row r="4460" spans="1:13" x14ac:dyDescent="0.25">
      <c r="A4460" s="2">
        <v>4454</v>
      </c>
      <c r="B4460" s="11">
        <f t="shared" ca="1" si="364"/>
        <v>1</v>
      </c>
      <c r="C4460" s="26">
        <f t="shared" ca="1" si="363"/>
        <v>0.36843043278452337</v>
      </c>
      <c r="J4460">
        <f t="shared" ca="1" si="365"/>
        <v>1</v>
      </c>
      <c r="K4460">
        <f t="shared" ca="1" si="366"/>
        <v>0</v>
      </c>
      <c r="L4460">
        <f t="shared" si="367"/>
        <v>4454</v>
      </c>
      <c r="M4460" s="71">
        <f t="shared" ca="1" si="368"/>
        <v>1.3168917321269304</v>
      </c>
    </row>
    <row r="4461" spans="1:13" x14ac:dyDescent="0.25">
      <c r="A4461" s="2">
        <v>4455</v>
      </c>
      <c r="B4461" s="11">
        <f t="shared" ca="1" si="364"/>
        <v>1</v>
      </c>
      <c r="C4461" s="26">
        <f t="shared" ca="1" si="363"/>
        <v>0.67338570417843546</v>
      </c>
      <c r="J4461">
        <f t="shared" ca="1" si="365"/>
        <v>1</v>
      </c>
      <c r="K4461">
        <f t="shared" ca="1" si="366"/>
        <v>0</v>
      </c>
      <c r="L4461">
        <f t="shared" si="367"/>
        <v>4455</v>
      </c>
      <c r="M4461" s="71">
        <f t="shared" ca="1" si="368"/>
        <v>8.8922253664799147</v>
      </c>
    </row>
    <row r="4462" spans="1:13" x14ac:dyDescent="0.25">
      <c r="A4462" s="2">
        <v>4456</v>
      </c>
      <c r="B4462" s="11">
        <f t="shared" ca="1" si="364"/>
        <v>1</v>
      </c>
      <c r="C4462" s="26">
        <f t="shared" ca="1" si="363"/>
        <v>0.14933484074323178</v>
      </c>
      <c r="J4462">
        <f t="shared" ca="1" si="365"/>
        <v>1</v>
      </c>
      <c r="K4462">
        <f t="shared" ca="1" si="366"/>
        <v>0</v>
      </c>
      <c r="L4462">
        <f t="shared" si="367"/>
        <v>4456</v>
      </c>
      <c r="M4462" s="71">
        <f t="shared" ca="1" si="368"/>
        <v>1.6995108143848263</v>
      </c>
    </row>
    <row r="4463" spans="1:13" x14ac:dyDescent="0.25">
      <c r="A4463" s="2">
        <v>4457</v>
      </c>
      <c r="B4463" s="11">
        <f t="shared" ca="1" si="364"/>
        <v>1</v>
      </c>
      <c r="C4463" s="26">
        <f t="shared" ca="1" si="363"/>
        <v>0.55026900088985564</v>
      </c>
      <c r="J4463">
        <f t="shared" ca="1" si="365"/>
        <v>0</v>
      </c>
      <c r="K4463">
        <f t="shared" ca="1" si="366"/>
        <v>0</v>
      </c>
      <c r="L4463">
        <f t="shared" si="367"/>
        <v>4457</v>
      </c>
      <c r="M4463" s="71">
        <f t="shared" ca="1" si="368"/>
        <v>1.8526808235571706</v>
      </c>
    </row>
    <row r="4464" spans="1:13" x14ac:dyDescent="0.25">
      <c r="A4464" s="2">
        <v>4458</v>
      </c>
      <c r="B4464" s="11">
        <f t="shared" ca="1" si="364"/>
        <v>0</v>
      </c>
      <c r="C4464" s="26">
        <f t="shared" ca="1" si="363"/>
        <v>0.9019311447190006</v>
      </c>
      <c r="J4464">
        <f t="shared" ca="1" si="365"/>
        <v>0</v>
      </c>
      <c r="K4464">
        <f t="shared" ca="1" si="366"/>
        <v>0</v>
      </c>
      <c r="L4464">
        <f t="shared" si="367"/>
        <v>4458</v>
      </c>
      <c r="M4464" s="71">
        <f t="shared" ca="1" si="368"/>
        <v>0</v>
      </c>
    </row>
    <row r="4465" spans="1:13" x14ac:dyDescent="0.25">
      <c r="A4465" s="2">
        <v>4459</v>
      </c>
      <c r="B4465" s="11">
        <f t="shared" ca="1" si="364"/>
        <v>1</v>
      </c>
      <c r="C4465" s="26">
        <f t="shared" ca="1" si="363"/>
        <v>0.36622814359405187</v>
      </c>
      <c r="J4465">
        <f t="shared" ca="1" si="365"/>
        <v>0</v>
      </c>
      <c r="K4465">
        <f t="shared" ca="1" si="366"/>
        <v>0</v>
      </c>
      <c r="L4465">
        <f t="shared" si="367"/>
        <v>4459</v>
      </c>
      <c r="M4465" s="71">
        <f t="shared" ca="1" si="368"/>
        <v>7.2579862723293695</v>
      </c>
    </row>
    <row r="4466" spans="1:13" x14ac:dyDescent="0.25">
      <c r="A4466" s="2">
        <v>4460</v>
      </c>
      <c r="B4466" s="11">
        <f t="shared" ca="1" si="364"/>
        <v>0</v>
      </c>
      <c r="C4466" s="26">
        <f t="shared" ca="1" si="363"/>
        <v>0.96763982792514591</v>
      </c>
      <c r="J4466">
        <f t="shared" ca="1" si="365"/>
        <v>0</v>
      </c>
      <c r="K4466">
        <f t="shared" ca="1" si="366"/>
        <v>0</v>
      </c>
      <c r="L4466">
        <f t="shared" si="367"/>
        <v>4460</v>
      </c>
      <c r="M4466" s="71">
        <f t="shared" ca="1" si="368"/>
        <v>0</v>
      </c>
    </row>
    <row r="4467" spans="1:13" x14ac:dyDescent="0.25">
      <c r="A4467" s="2">
        <v>4461</v>
      </c>
      <c r="B4467" s="11">
        <f t="shared" ca="1" si="364"/>
        <v>1</v>
      </c>
      <c r="C4467" s="26">
        <f t="shared" ca="1" si="363"/>
        <v>0.62623846377728609</v>
      </c>
      <c r="J4467">
        <f t="shared" ca="1" si="365"/>
        <v>0</v>
      </c>
      <c r="K4467">
        <f t="shared" ca="1" si="366"/>
        <v>0</v>
      </c>
      <c r="L4467">
        <f t="shared" si="367"/>
        <v>4461</v>
      </c>
      <c r="M4467" s="71">
        <f t="shared" ca="1" si="368"/>
        <v>1.5261768900004882</v>
      </c>
    </row>
    <row r="4468" spans="1:13" x14ac:dyDescent="0.25">
      <c r="A4468" s="2">
        <v>4462</v>
      </c>
      <c r="B4468" s="11">
        <f t="shared" ca="1" si="364"/>
        <v>0</v>
      </c>
      <c r="C4468" s="26">
        <f t="shared" ca="1" si="363"/>
        <v>0.95807254775100958</v>
      </c>
      <c r="J4468">
        <f t="shared" ca="1" si="365"/>
        <v>0</v>
      </c>
      <c r="K4468">
        <f t="shared" ca="1" si="366"/>
        <v>0</v>
      </c>
      <c r="L4468">
        <f t="shared" si="367"/>
        <v>4462</v>
      </c>
      <c r="M4468" s="71">
        <f t="shared" ca="1" si="368"/>
        <v>0</v>
      </c>
    </row>
    <row r="4469" spans="1:13" x14ac:dyDescent="0.25">
      <c r="A4469" s="2">
        <v>4463</v>
      </c>
      <c r="B4469" s="11">
        <f t="shared" ca="1" si="364"/>
        <v>1</v>
      </c>
      <c r="C4469" s="26">
        <f t="shared" ca="1" si="363"/>
        <v>0.58731763719385999</v>
      </c>
      <c r="J4469">
        <f t="shared" ca="1" si="365"/>
        <v>1</v>
      </c>
      <c r="K4469">
        <f t="shared" ca="1" si="366"/>
        <v>0</v>
      </c>
      <c r="L4469">
        <f t="shared" si="367"/>
        <v>4463</v>
      </c>
      <c r="M4469" s="71">
        <f t="shared" ca="1" si="368"/>
        <v>13.67560898211083</v>
      </c>
    </row>
    <row r="4470" spans="1:13" x14ac:dyDescent="0.25">
      <c r="A4470" s="2">
        <v>4464</v>
      </c>
      <c r="B4470" s="11">
        <f t="shared" ca="1" si="364"/>
        <v>1</v>
      </c>
      <c r="C4470" s="26">
        <f t="shared" ca="1" si="363"/>
        <v>0.6141904709796504</v>
      </c>
      <c r="J4470">
        <f t="shared" ca="1" si="365"/>
        <v>0</v>
      </c>
      <c r="K4470">
        <f t="shared" ca="1" si="366"/>
        <v>0</v>
      </c>
      <c r="L4470">
        <f t="shared" si="367"/>
        <v>4464</v>
      </c>
      <c r="M4470" s="71">
        <f t="shared" ca="1" si="368"/>
        <v>2.0518968012462948</v>
      </c>
    </row>
    <row r="4471" spans="1:13" x14ac:dyDescent="0.25">
      <c r="A4471" s="2">
        <v>4465</v>
      </c>
      <c r="B4471" s="11">
        <f t="shared" ca="1" si="364"/>
        <v>0</v>
      </c>
      <c r="C4471" s="26">
        <f t="shared" ca="1" si="363"/>
        <v>0.85115253942690683</v>
      </c>
      <c r="J4471">
        <f t="shared" ca="1" si="365"/>
        <v>0</v>
      </c>
      <c r="K4471">
        <f t="shared" ca="1" si="366"/>
        <v>1</v>
      </c>
      <c r="L4471">
        <f t="shared" si="367"/>
        <v>4465</v>
      </c>
      <c r="M4471" s="71">
        <f t="shared" ca="1" si="368"/>
        <v>0</v>
      </c>
    </row>
    <row r="4472" spans="1:13" x14ac:dyDescent="0.25">
      <c r="A4472" s="2">
        <v>4466</v>
      </c>
      <c r="B4472" s="11">
        <f t="shared" ca="1" si="364"/>
        <v>0</v>
      </c>
      <c r="C4472" s="26">
        <f t="shared" ca="1" si="363"/>
        <v>0.98933652799701377</v>
      </c>
      <c r="J4472">
        <f t="shared" ca="1" si="365"/>
        <v>0</v>
      </c>
      <c r="K4472">
        <f t="shared" ca="1" si="366"/>
        <v>0</v>
      </c>
      <c r="L4472">
        <f t="shared" si="367"/>
        <v>4466</v>
      </c>
      <c r="M4472" s="71">
        <f t="shared" ca="1" si="368"/>
        <v>0</v>
      </c>
    </row>
    <row r="4473" spans="1:13" x14ac:dyDescent="0.25">
      <c r="A4473" s="2">
        <v>4467</v>
      </c>
      <c r="B4473" s="11">
        <f t="shared" ca="1" si="364"/>
        <v>1</v>
      </c>
      <c r="C4473" s="26">
        <f t="shared" ca="1" si="363"/>
        <v>0.11571869247108957</v>
      </c>
      <c r="J4473">
        <f t="shared" ca="1" si="365"/>
        <v>1</v>
      </c>
      <c r="K4473">
        <f t="shared" ca="1" si="366"/>
        <v>0</v>
      </c>
      <c r="L4473">
        <f t="shared" si="367"/>
        <v>4467</v>
      </c>
      <c r="M4473" s="71">
        <f t="shared" ca="1" si="368"/>
        <v>1.7503541303509254</v>
      </c>
    </row>
    <row r="4474" spans="1:13" x14ac:dyDescent="0.25">
      <c r="A4474" s="2">
        <v>4468</v>
      </c>
      <c r="B4474" s="11">
        <f t="shared" ca="1" si="364"/>
        <v>1</v>
      </c>
      <c r="C4474" s="26">
        <f t="shared" ca="1" si="363"/>
        <v>0.3668947719982506</v>
      </c>
      <c r="J4474">
        <f t="shared" ca="1" si="365"/>
        <v>0</v>
      </c>
      <c r="K4474">
        <f t="shared" ca="1" si="366"/>
        <v>0</v>
      </c>
      <c r="L4474">
        <f t="shared" si="367"/>
        <v>4468</v>
      </c>
      <c r="M4474" s="71">
        <f t="shared" ca="1" si="368"/>
        <v>1.1293044356216591</v>
      </c>
    </row>
    <row r="4475" spans="1:13" x14ac:dyDescent="0.25">
      <c r="A4475" s="2">
        <v>4469</v>
      </c>
      <c r="B4475" s="11">
        <f t="shared" ca="1" si="364"/>
        <v>0</v>
      </c>
      <c r="C4475" s="26">
        <f t="shared" ca="1" si="363"/>
        <v>0.81799922270975989</v>
      </c>
      <c r="J4475">
        <f t="shared" ca="1" si="365"/>
        <v>0</v>
      </c>
      <c r="K4475">
        <f t="shared" ca="1" si="366"/>
        <v>0</v>
      </c>
      <c r="L4475">
        <f t="shared" si="367"/>
        <v>4469</v>
      </c>
      <c r="M4475" s="71">
        <f t="shared" ca="1" si="368"/>
        <v>0</v>
      </c>
    </row>
    <row r="4476" spans="1:13" x14ac:dyDescent="0.25">
      <c r="A4476" s="2">
        <v>4470</v>
      </c>
      <c r="B4476" s="11">
        <f t="shared" ca="1" si="364"/>
        <v>1</v>
      </c>
      <c r="C4476" s="26">
        <f t="shared" ca="1" si="363"/>
        <v>0.48456628690352588</v>
      </c>
      <c r="J4476">
        <f t="shared" ca="1" si="365"/>
        <v>1</v>
      </c>
      <c r="K4476">
        <f t="shared" ca="1" si="366"/>
        <v>0</v>
      </c>
      <c r="L4476">
        <f t="shared" si="367"/>
        <v>4470</v>
      </c>
      <c r="M4476" s="71">
        <f t="shared" ca="1" si="368"/>
        <v>1.5449489643099401</v>
      </c>
    </row>
    <row r="4477" spans="1:13" x14ac:dyDescent="0.25">
      <c r="A4477" s="2">
        <v>4471</v>
      </c>
      <c r="B4477" s="11">
        <f t="shared" ca="1" si="364"/>
        <v>1</v>
      </c>
      <c r="C4477" s="26">
        <f t="shared" ca="1" si="363"/>
        <v>0.50599249696786619</v>
      </c>
      <c r="J4477">
        <f t="shared" ca="1" si="365"/>
        <v>1</v>
      </c>
      <c r="K4477">
        <f t="shared" ca="1" si="366"/>
        <v>0</v>
      </c>
      <c r="L4477">
        <f t="shared" si="367"/>
        <v>4471</v>
      </c>
      <c r="M4477" s="71">
        <f t="shared" ca="1" si="368"/>
        <v>3.8906774954298782</v>
      </c>
    </row>
    <row r="4478" spans="1:13" x14ac:dyDescent="0.25">
      <c r="A4478" s="2">
        <v>4472</v>
      </c>
      <c r="B4478" s="11">
        <f t="shared" ca="1" si="364"/>
        <v>1</v>
      </c>
      <c r="C4478" s="26">
        <f t="shared" ca="1" si="363"/>
        <v>0.41512130041022566</v>
      </c>
      <c r="J4478">
        <f t="shared" ca="1" si="365"/>
        <v>0</v>
      </c>
      <c r="K4478">
        <f t="shared" ca="1" si="366"/>
        <v>0</v>
      </c>
      <c r="L4478">
        <f t="shared" si="367"/>
        <v>4472</v>
      </c>
      <c r="M4478" s="71">
        <f t="shared" ca="1" si="368"/>
        <v>1.1105934292967528</v>
      </c>
    </row>
    <row r="4479" spans="1:13" x14ac:dyDescent="0.25">
      <c r="A4479" s="2">
        <v>4473</v>
      </c>
      <c r="B4479" s="11">
        <f t="shared" ca="1" si="364"/>
        <v>0</v>
      </c>
      <c r="C4479" s="26">
        <f t="shared" ca="1" si="363"/>
        <v>0.90243534367573341</v>
      </c>
      <c r="J4479">
        <f t="shared" ca="1" si="365"/>
        <v>0</v>
      </c>
      <c r="K4479">
        <f t="shared" ca="1" si="366"/>
        <v>0</v>
      </c>
      <c r="L4479">
        <f t="shared" si="367"/>
        <v>4473</v>
      </c>
      <c r="M4479" s="71">
        <f t="shared" ca="1" si="368"/>
        <v>0</v>
      </c>
    </row>
    <row r="4480" spans="1:13" x14ac:dyDescent="0.25">
      <c r="A4480" s="2">
        <v>4474</v>
      </c>
      <c r="B4480" s="11">
        <f t="shared" ca="1" si="364"/>
        <v>1</v>
      </c>
      <c r="C4480" s="26">
        <f t="shared" ca="1" si="363"/>
        <v>0.15111489094285546</v>
      </c>
      <c r="J4480">
        <f t="shared" ca="1" si="365"/>
        <v>1</v>
      </c>
      <c r="K4480">
        <f t="shared" ca="1" si="366"/>
        <v>0</v>
      </c>
      <c r="L4480">
        <f t="shared" si="367"/>
        <v>4474</v>
      </c>
      <c r="M4480" s="71">
        <f t="shared" ca="1" si="368"/>
        <v>1.0606287068883966</v>
      </c>
    </row>
    <row r="4481" spans="1:13" x14ac:dyDescent="0.25">
      <c r="A4481" s="2">
        <v>4475</v>
      </c>
      <c r="B4481" s="11">
        <f t="shared" ca="1" si="364"/>
        <v>1</v>
      </c>
      <c r="C4481" s="26">
        <f t="shared" ca="1" si="363"/>
        <v>0.65072008453846708</v>
      </c>
      <c r="J4481">
        <f t="shared" ca="1" si="365"/>
        <v>1</v>
      </c>
      <c r="K4481">
        <f t="shared" ca="1" si="366"/>
        <v>0</v>
      </c>
      <c r="L4481">
        <f t="shared" si="367"/>
        <v>4475</v>
      </c>
      <c r="M4481" s="71">
        <f t="shared" ca="1" si="368"/>
        <v>1.3072301779067161</v>
      </c>
    </row>
    <row r="4482" spans="1:13" x14ac:dyDescent="0.25">
      <c r="A4482" s="2">
        <v>4476</v>
      </c>
      <c r="B4482" s="11">
        <f t="shared" ca="1" si="364"/>
        <v>1</v>
      </c>
      <c r="C4482" s="26">
        <f t="shared" ca="1" si="363"/>
        <v>0.69660456141264326</v>
      </c>
      <c r="J4482">
        <f t="shared" ca="1" si="365"/>
        <v>1</v>
      </c>
      <c r="K4482">
        <f t="shared" ca="1" si="366"/>
        <v>0</v>
      </c>
      <c r="L4482">
        <f t="shared" si="367"/>
        <v>4476</v>
      </c>
      <c r="M4482" s="71">
        <f t="shared" ca="1" si="368"/>
        <v>2.2100052058787072</v>
      </c>
    </row>
    <row r="4483" spans="1:13" x14ac:dyDescent="0.25">
      <c r="A4483" s="2">
        <v>4477</v>
      </c>
      <c r="B4483" s="11">
        <f t="shared" ca="1" si="364"/>
        <v>1</v>
      </c>
      <c r="C4483" s="26">
        <f t="shared" ca="1" si="363"/>
        <v>0.20597355556091768</v>
      </c>
      <c r="J4483">
        <f t="shared" ca="1" si="365"/>
        <v>1</v>
      </c>
      <c r="K4483">
        <f t="shared" ca="1" si="366"/>
        <v>0</v>
      </c>
      <c r="L4483">
        <f t="shared" si="367"/>
        <v>4477</v>
      </c>
      <c r="M4483" s="71">
        <f t="shared" ca="1" si="368"/>
        <v>5.6009705429973824</v>
      </c>
    </row>
    <row r="4484" spans="1:13" x14ac:dyDescent="0.25">
      <c r="A4484" s="2">
        <v>4478</v>
      </c>
      <c r="B4484" s="11">
        <f t="shared" ca="1" si="364"/>
        <v>1</v>
      </c>
      <c r="C4484" s="26">
        <f t="shared" ca="1" si="363"/>
        <v>0.39490706237941131</v>
      </c>
      <c r="J4484">
        <f t="shared" ca="1" si="365"/>
        <v>1</v>
      </c>
      <c r="K4484">
        <f t="shared" ca="1" si="366"/>
        <v>0</v>
      </c>
      <c r="L4484">
        <f t="shared" si="367"/>
        <v>4478</v>
      </c>
      <c r="M4484" s="71">
        <f t="shared" ca="1" si="368"/>
        <v>7.6417641025837174E-2</v>
      </c>
    </row>
    <row r="4485" spans="1:13" x14ac:dyDescent="0.25">
      <c r="A4485" s="2">
        <v>4479</v>
      </c>
      <c r="B4485" s="11">
        <f t="shared" ca="1" si="364"/>
        <v>1</v>
      </c>
      <c r="C4485" s="26">
        <f t="shared" ca="1" si="363"/>
        <v>0.65869374394599944</v>
      </c>
      <c r="J4485">
        <f t="shared" ca="1" si="365"/>
        <v>1</v>
      </c>
      <c r="K4485">
        <f t="shared" ca="1" si="366"/>
        <v>0</v>
      </c>
      <c r="L4485">
        <f t="shared" si="367"/>
        <v>4479</v>
      </c>
      <c r="M4485" s="71">
        <f t="shared" ca="1" si="368"/>
        <v>1.7633084981708091</v>
      </c>
    </row>
    <row r="4486" spans="1:13" x14ac:dyDescent="0.25">
      <c r="A4486" s="2">
        <v>4480</v>
      </c>
      <c r="B4486" s="11">
        <f t="shared" ca="1" si="364"/>
        <v>1</v>
      </c>
      <c r="C4486" s="26">
        <f t="shared" ca="1" si="363"/>
        <v>4.1571713855574233E-2</v>
      </c>
      <c r="J4486">
        <f t="shared" ca="1" si="365"/>
        <v>1</v>
      </c>
      <c r="K4486">
        <f t="shared" ca="1" si="366"/>
        <v>0</v>
      </c>
      <c r="L4486">
        <f t="shared" si="367"/>
        <v>4480</v>
      </c>
      <c r="M4486" s="71">
        <f t="shared" ca="1" si="368"/>
        <v>0.66248149202113815</v>
      </c>
    </row>
    <row r="4487" spans="1:13" x14ac:dyDescent="0.25">
      <c r="A4487" s="2">
        <v>4481</v>
      </c>
      <c r="B4487" s="11">
        <f t="shared" ca="1" si="364"/>
        <v>1</v>
      </c>
      <c r="C4487" s="26">
        <f t="shared" ca="1" si="363"/>
        <v>0.29063879514723245</v>
      </c>
      <c r="J4487">
        <f t="shared" ca="1" si="365"/>
        <v>1</v>
      </c>
      <c r="K4487">
        <f t="shared" ca="1" si="366"/>
        <v>0</v>
      </c>
      <c r="L4487">
        <f t="shared" si="367"/>
        <v>4481</v>
      </c>
      <c r="M4487" s="71">
        <f t="shared" ca="1" si="368"/>
        <v>5.2338601081250316</v>
      </c>
    </row>
    <row r="4488" spans="1:13" x14ac:dyDescent="0.25">
      <c r="A4488" s="2">
        <v>4482</v>
      </c>
      <c r="B4488" s="11">
        <f t="shared" ca="1" si="364"/>
        <v>1</v>
      </c>
      <c r="C4488" s="26">
        <f t="shared" ref="C4488:C4551" ca="1" si="369">RAND()</f>
        <v>0.76481873584871918</v>
      </c>
      <c r="J4488">
        <f t="shared" ca="1" si="365"/>
        <v>1</v>
      </c>
      <c r="K4488">
        <f t="shared" ca="1" si="366"/>
        <v>0</v>
      </c>
      <c r="L4488">
        <f t="shared" si="367"/>
        <v>4482</v>
      </c>
      <c r="M4488" s="71">
        <f t="shared" ca="1" si="368"/>
        <v>3.848290021745536</v>
      </c>
    </row>
    <row r="4489" spans="1:13" x14ac:dyDescent="0.25">
      <c r="A4489" s="2">
        <v>4483</v>
      </c>
      <c r="B4489" s="11">
        <f t="shared" ref="B4489:B4552" ca="1" si="370">IF(B4488&gt;0,IF(C4489&lt;pww,1,0),IF(C4489&lt;pdw,1,0))</f>
        <v>1</v>
      </c>
      <c r="C4489" s="26">
        <f t="shared" ca="1" si="369"/>
        <v>0.33564261047926025</v>
      </c>
      <c r="J4489">
        <f t="shared" ca="1" si="365"/>
        <v>1</v>
      </c>
      <c r="K4489">
        <f t="shared" ca="1" si="366"/>
        <v>0</v>
      </c>
      <c r="L4489">
        <f t="shared" si="367"/>
        <v>4483</v>
      </c>
      <c r="M4489" s="71">
        <f t="shared" ca="1" si="368"/>
        <v>6.6039694398691173</v>
      </c>
    </row>
    <row r="4490" spans="1:13" x14ac:dyDescent="0.25">
      <c r="A4490" s="2">
        <v>4484</v>
      </c>
      <c r="B4490" s="11">
        <f t="shared" ca="1" si="370"/>
        <v>1</v>
      </c>
      <c r="C4490" s="26">
        <f t="shared" ca="1" si="369"/>
        <v>0.66952655686994322</v>
      </c>
      <c r="J4490">
        <f t="shared" ref="J4490:J4553" ca="1" si="371">IF(AND(B4490,B4491),1,0)</f>
        <v>1</v>
      </c>
      <c r="K4490">
        <f t="shared" ref="K4490:K4553" ca="1" si="372">IF(AND(NOT(B4490),NOT(B4491)),1,0)</f>
        <v>0</v>
      </c>
      <c r="L4490">
        <f t="shared" ref="L4490:L4553" si="373">L4489+1</f>
        <v>4484</v>
      </c>
      <c r="M4490" s="71">
        <f t="shared" ref="M4490:M4553" ca="1" si="374">IF(B4490&gt;0,-LN(1-(RAND()))/lambda,0)</f>
        <v>9.5458043605481606</v>
      </c>
    </row>
    <row r="4491" spans="1:13" x14ac:dyDescent="0.25">
      <c r="A4491" s="2">
        <v>4485</v>
      </c>
      <c r="B4491" s="11">
        <f t="shared" ca="1" si="370"/>
        <v>1</v>
      </c>
      <c r="C4491" s="26">
        <f t="shared" ca="1" si="369"/>
        <v>0.3304547316369798</v>
      </c>
      <c r="J4491">
        <f t="shared" ca="1" si="371"/>
        <v>1</v>
      </c>
      <c r="K4491">
        <f t="shared" ca="1" si="372"/>
        <v>0</v>
      </c>
      <c r="L4491">
        <f t="shared" si="373"/>
        <v>4485</v>
      </c>
      <c r="M4491" s="71">
        <f t="shared" ca="1" si="374"/>
        <v>0.27303004474814957</v>
      </c>
    </row>
    <row r="4492" spans="1:13" x14ac:dyDescent="0.25">
      <c r="A4492" s="2">
        <v>4486</v>
      </c>
      <c r="B4492" s="11">
        <f t="shared" ca="1" si="370"/>
        <v>1</v>
      </c>
      <c r="C4492" s="26">
        <f t="shared" ca="1" si="369"/>
        <v>0.76830310900370113</v>
      </c>
      <c r="J4492">
        <f t="shared" ca="1" si="371"/>
        <v>1</v>
      </c>
      <c r="K4492">
        <f t="shared" ca="1" si="372"/>
        <v>0</v>
      </c>
      <c r="L4492">
        <f t="shared" si="373"/>
        <v>4486</v>
      </c>
      <c r="M4492" s="71">
        <f t="shared" ca="1" si="374"/>
        <v>10.893957394401868</v>
      </c>
    </row>
    <row r="4493" spans="1:13" x14ac:dyDescent="0.25">
      <c r="A4493" s="2">
        <v>4487</v>
      </c>
      <c r="B4493" s="11">
        <f t="shared" ca="1" si="370"/>
        <v>1</v>
      </c>
      <c r="C4493" s="26">
        <f t="shared" ca="1" si="369"/>
        <v>0.57846308004213021</v>
      </c>
      <c r="J4493">
        <f t="shared" ca="1" si="371"/>
        <v>0</v>
      </c>
      <c r="K4493">
        <f t="shared" ca="1" si="372"/>
        <v>0</v>
      </c>
      <c r="L4493">
        <f t="shared" si="373"/>
        <v>4487</v>
      </c>
      <c r="M4493" s="71">
        <f t="shared" ca="1" si="374"/>
        <v>2.6165756562339437</v>
      </c>
    </row>
    <row r="4494" spans="1:13" x14ac:dyDescent="0.25">
      <c r="A4494" s="2">
        <v>4488</v>
      </c>
      <c r="B4494" s="11">
        <f t="shared" ca="1" si="370"/>
        <v>0</v>
      </c>
      <c r="C4494" s="26">
        <f t="shared" ca="1" si="369"/>
        <v>0.92571765829152475</v>
      </c>
      <c r="J4494">
        <f t="shared" ca="1" si="371"/>
        <v>0</v>
      </c>
      <c r="K4494">
        <f t="shared" ca="1" si="372"/>
        <v>0</v>
      </c>
      <c r="L4494">
        <f t="shared" si="373"/>
        <v>4488</v>
      </c>
      <c r="M4494" s="71">
        <f t="shared" ca="1" si="374"/>
        <v>0</v>
      </c>
    </row>
    <row r="4495" spans="1:13" x14ac:dyDescent="0.25">
      <c r="A4495" s="2">
        <v>4489</v>
      </c>
      <c r="B4495" s="11">
        <f t="shared" ca="1" si="370"/>
        <v>1</v>
      </c>
      <c r="C4495" s="26">
        <f t="shared" ca="1" si="369"/>
        <v>0.34732384135042171</v>
      </c>
      <c r="J4495">
        <f t="shared" ca="1" si="371"/>
        <v>1</v>
      </c>
      <c r="K4495">
        <f t="shared" ca="1" si="372"/>
        <v>0</v>
      </c>
      <c r="L4495">
        <f t="shared" si="373"/>
        <v>4489</v>
      </c>
      <c r="M4495" s="71">
        <f t="shared" ca="1" si="374"/>
        <v>1.1586357292878215</v>
      </c>
    </row>
    <row r="4496" spans="1:13" x14ac:dyDescent="0.25">
      <c r="A4496" s="2">
        <v>4490</v>
      </c>
      <c r="B4496" s="11">
        <f t="shared" ca="1" si="370"/>
        <v>1</v>
      </c>
      <c r="C4496" s="26">
        <f t="shared" ca="1" si="369"/>
        <v>0.54251876561621504</v>
      </c>
      <c r="J4496">
        <f t="shared" ca="1" si="371"/>
        <v>1</v>
      </c>
      <c r="K4496">
        <f t="shared" ca="1" si="372"/>
        <v>0</v>
      </c>
      <c r="L4496">
        <f t="shared" si="373"/>
        <v>4490</v>
      </c>
      <c r="M4496" s="71">
        <f t="shared" ca="1" si="374"/>
        <v>2.5864827341064669</v>
      </c>
    </row>
    <row r="4497" spans="1:13" x14ac:dyDescent="0.25">
      <c r="A4497" s="2">
        <v>4491</v>
      </c>
      <c r="B4497" s="11">
        <f t="shared" ca="1" si="370"/>
        <v>1</v>
      </c>
      <c r="C4497" s="26">
        <f t="shared" ca="1" si="369"/>
        <v>0.28768575353627657</v>
      </c>
      <c r="J4497">
        <f t="shared" ca="1" si="371"/>
        <v>1</v>
      </c>
      <c r="K4497">
        <f t="shared" ca="1" si="372"/>
        <v>0</v>
      </c>
      <c r="L4497">
        <f t="shared" si="373"/>
        <v>4491</v>
      </c>
      <c r="M4497" s="71">
        <f t="shared" ca="1" si="374"/>
        <v>0.26298373135049485</v>
      </c>
    </row>
    <row r="4498" spans="1:13" x14ac:dyDescent="0.25">
      <c r="A4498" s="2">
        <v>4492</v>
      </c>
      <c r="B4498" s="11">
        <f t="shared" ca="1" si="370"/>
        <v>1</v>
      </c>
      <c r="C4498" s="26">
        <f t="shared" ca="1" si="369"/>
        <v>0.42420273564830868</v>
      </c>
      <c r="J4498">
        <f t="shared" ca="1" si="371"/>
        <v>0</v>
      </c>
      <c r="K4498">
        <f t="shared" ca="1" si="372"/>
        <v>0</v>
      </c>
      <c r="L4498">
        <f t="shared" si="373"/>
        <v>4492</v>
      </c>
      <c r="M4498" s="71">
        <f t="shared" ca="1" si="374"/>
        <v>0.69153888878125347</v>
      </c>
    </row>
    <row r="4499" spans="1:13" x14ac:dyDescent="0.25">
      <c r="A4499" s="2">
        <v>4493</v>
      </c>
      <c r="B4499" s="11">
        <f t="shared" ca="1" si="370"/>
        <v>0</v>
      </c>
      <c r="C4499" s="26">
        <f t="shared" ca="1" si="369"/>
        <v>0.90157086193385427</v>
      </c>
      <c r="J4499">
        <f t="shared" ca="1" si="371"/>
        <v>0</v>
      </c>
      <c r="K4499">
        <f t="shared" ca="1" si="372"/>
        <v>0</v>
      </c>
      <c r="L4499">
        <f t="shared" si="373"/>
        <v>4493</v>
      </c>
      <c r="M4499" s="71">
        <f t="shared" ca="1" si="374"/>
        <v>0</v>
      </c>
    </row>
    <row r="4500" spans="1:13" x14ac:dyDescent="0.25">
      <c r="A4500" s="2">
        <v>4494</v>
      </c>
      <c r="B4500" s="11">
        <f t="shared" ca="1" si="370"/>
        <v>1</v>
      </c>
      <c r="C4500" s="26">
        <f t="shared" ca="1" si="369"/>
        <v>0.56141637435528491</v>
      </c>
      <c r="J4500">
        <f t="shared" ca="1" si="371"/>
        <v>1</v>
      </c>
      <c r="K4500">
        <f t="shared" ca="1" si="372"/>
        <v>0</v>
      </c>
      <c r="L4500">
        <f t="shared" si="373"/>
        <v>4494</v>
      </c>
      <c r="M4500" s="71">
        <f t="shared" ca="1" si="374"/>
        <v>4.2788377885513134</v>
      </c>
    </row>
    <row r="4501" spans="1:13" x14ac:dyDescent="0.25">
      <c r="A4501" s="2">
        <v>4495</v>
      </c>
      <c r="B4501" s="11">
        <f t="shared" ca="1" si="370"/>
        <v>1</v>
      </c>
      <c r="C4501" s="26">
        <f t="shared" ca="1" si="369"/>
        <v>0.61388812376686563</v>
      </c>
      <c r="J4501">
        <f t="shared" ca="1" si="371"/>
        <v>0</v>
      </c>
      <c r="K4501">
        <f t="shared" ca="1" si="372"/>
        <v>0</v>
      </c>
      <c r="L4501">
        <f t="shared" si="373"/>
        <v>4495</v>
      </c>
      <c r="M4501" s="71">
        <f t="shared" ca="1" si="374"/>
        <v>0.90322057889003493</v>
      </c>
    </row>
    <row r="4502" spans="1:13" x14ac:dyDescent="0.25">
      <c r="A4502" s="2">
        <v>4496</v>
      </c>
      <c r="B4502" s="11">
        <f t="shared" ca="1" si="370"/>
        <v>0</v>
      </c>
      <c r="C4502" s="26">
        <f t="shared" ca="1" si="369"/>
        <v>0.94431329079007464</v>
      </c>
      <c r="J4502">
        <f t="shared" ca="1" si="371"/>
        <v>0</v>
      </c>
      <c r="K4502">
        <f t="shared" ca="1" si="372"/>
        <v>1</v>
      </c>
      <c r="L4502">
        <f t="shared" si="373"/>
        <v>4496</v>
      </c>
      <c r="M4502" s="71">
        <f t="shared" ca="1" si="374"/>
        <v>0</v>
      </c>
    </row>
    <row r="4503" spans="1:13" x14ac:dyDescent="0.25">
      <c r="A4503" s="2">
        <v>4497</v>
      </c>
      <c r="B4503" s="11">
        <f t="shared" ca="1" si="370"/>
        <v>0</v>
      </c>
      <c r="C4503" s="26">
        <f t="shared" ca="1" si="369"/>
        <v>0.73785164778301826</v>
      </c>
      <c r="J4503">
        <f t="shared" ca="1" si="371"/>
        <v>0</v>
      </c>
      <c r="K4503">
        <f t="shared" ca="1" si="372"/>
        <v>0</v>
      </c>
      <c r="L4503">
        <f t="shared" si="373"/>
        <v>4497</v>
      </c>
      <c r="M4503" s="71">
        <f t="shared" ca="1" si="374"/>
        <v>0</v>
      </c>
    </row>
    <row r="4504" spans="1:13" x14ac:dyDescent="0.25">
      <c r="A4504" s="2">
        <v>4498</v>
      </c>
      <c r="B4504" s="11">
        <f t="shared" ca="1" si="370"/>
        <v>1</v>
      </c>
      <c r="C4504" s="26">
        <f t="shared" ca="1" si="369"/>
        <v>0.65681838993584185</v>
      </c>
      <c r="J4504">
        <f t="shared" ca="1" si="371"/>
        <v>0</v>
      </c>
      <c r="K4504">
        <f t="shared" ca="1" si="372"/>
        <v>0</v>
      </c>
      <c r="L4504">
        <f t="shared" si="373"/>
        <v>4498</v>
      </c>
      <c r="M4504" s="71">
        <f t="shared" ca="1" si="374"/>
        <v>0.11873840209181208</v>
      </c>
    </row>
    <row r="4505" spans="1:13" x14ac:dyDescent="0.25">
      <c r="A4505" s="2">
        <v>4499</v>
      </c>
      <c r="B4505" s="11">
        <f t="shared" ca="1" si="370"/>
        <v>0</v>
      </c>
      <c r="C4505" s="26">
        <f t="shared" ca="1" si="369"/>
        <v>0.85649684721342989</v>
      </c>
      <c r="J4505">
        <f t="shared" ca="1" si="371"/>
        <v>0</v>
      </c>
      <c r="K4505">
        <f t="shared" ca="1" si="372"/>
        <v>0</v>
      </c>
      <c r="L4505">
        <f t="shared" si="373"/>
        <v>4499</v>
      </c>
      <c r="M4505" s="71">
        <f t="shared" ca="1" si="374"/>
        <v>0</v>
      </c>
    </row>
    <row r="4506" spans="1:13" x14ac:dyDescent="0.25">
      <c r="A4506" s="2">
        <v>4500</v>
      </c>
      <c r="B4506" s="11">
        <f t="shared" ca="1" si="370"/>
        <v>1</v>
      </c>
      <c r="C4506" s="26">
        <f t="shared" ca="1" si="369"/>
        <v>0.29211205301565357</v>
      </c>
      <c r="J4506">
        <f t="shared" ca="1" si="371"/>
        <v>1</v>
      </c>
      <c r="K4506">
        <f t="shared" ca="1" si="372"/>
        <v>0</v>
      </c>
      <c r="L4506">
        <f t="shared" si="373"/>
        <v>4500</v>
      </c>
      <c r="M4506" s="71">
        <f t="shared" ca="1" si="374"/>
        <v>7.8023780913059362</v>
      </c>
    </row>
    <row r="4507" spans="1:13" x14ac:dyDescent="0.25">
      <c r="A4507" s="2">
        <v>4501</v>
      </c>
      <c r="B4507" s="11">
        <f t="shared" ca="1" si="370"/>
        <v>1</v>
      </c>
      <c r="C4507" s="26">
        <f t="shared" ca="1" si="369"/>
        <v>0.48979770448499871</v>
      </c>
      <c r="J4507">
        <f t="shared" ca="1" si="371"/>
        <v>1</v>
      </c>
      <c r="K4507">
        <f t="shared" ca="1" si="372"/>
        <v>0</v>
      </c>
      <c r="L4507">
        <f t="shared" si="373"/>
        <v>4501</v>
      </c>
      <c r="M4507" s="71">
        <f t="shared" ca="1" si="374"/>
        <v>1.2007247384305024</v>
      </c>
    </row>
    <row r="4508" spans="1:13" x14ac:dyDescent="0.25">
      <c r="A4508" s="2">
        <v>4502</v>
      </c>
      <c r="B4508" s="11">
        <f t="shared" ca="1" si="370"/>
        <v>1</v>
      </c>
      <c r="C4508" s="26">
        <f t="shared" ca="1" si="369"/>
        <v>0.68940244063530898</v>
      </c>
      <c r="J4508">
        <f t="shared" ca="1" si="371"/>
        <v>1</v>
      </c>
      <c r="K4508">
        <f t="shared" ca="1" si="372"/>
        <v>0</v>
      </c>
      <c r="L4508">
        <f t="shared" si="373"/>
        <v>4502</v>
      </c>
      <c r="M4508" s="71">
        <f t="shared" ca="1" si="374"/>
        <v>7.2366786420133602</v>
      </c>
    </row>
    <row r="4509" spans="1:13" x14ac:dyDescent="0.25">
      <c r="A4509" s="2">
        <v>4503</v>
      </c>
      <c r="B4509" s="11">
        <f t="shared" ca="1" si="370"/>
        <v>1</v>
      </c>
      <c r="C4509" s="26">
        <f t="shared" ca="1" si="369"/>
        <v>0.22568841143184337</v>
      </c>
      <c r="J4509">
        <f t="shared" ca="1" si="371"/>
        <v>1</v>
      </c>
      <c r="K4509">
        <f t="shared" ca="1" si="372"/>
        <v>0</v>
      </c>
      <c r="L4509">
        <f t="shared" si="373"/>
        <v>4503</v>
      </c>
      <c r="M4509" s="71">
        <f t="shared" ca="1" si="374"/>
        <v>0.12053496906113761</v>
      </c>
    </row>
    <row r="4510" spans="1:13" x14ac:dyDescent="0.25">
      <c r="A4510" s="2">
        <v>4504</v>
      </c>
      <c r="B4510" s="11">
        <f t="shared" ca="1" si="370"/>
        <v>1</v>
      </c>
      <c r="C4510" s="26">
        <f t="shared" ca="1" si="369"/>
        <v>0.19308114699308432</v>
      </c>
      <c r="J4510">
        <f t="shared" ca="1" si="371"/>
        <v>1</v>
      </c>
      <c r="K4510">
        <f t="shared" ca="1" si="372"/>
        <v>0</v>
      </c>
      <c r="L4510">
        <f t="shared" si="373"/>
        <v>4504</v>
      </c>
      <c r="M4510" s="71">
        <f t="shared" ca="1" si="374"/>
        <v>2.9578565677662243</v>
      </c>
    </row>
    <row r="4511" spans="1:13" x14ac:dyDescent="0.25">
      <c r="A4511" s="2">
        <v>4505</v>
      </c>
      <c r="B4511" s="11">
        <f t="shared" ca="1" si="370"/>
        <v>1</v>
      </c>
      <c r="C4511" s="26">
        <f t="shared" ca="1" si="369"/>
        <v>9.0239028107930053E-2</v>
      </c>
      <c r="J4511">
        <f t="shared" ca="1" si="371"/>
        <v>1</v>
      </c>
      <c r="K4511">
        <f t="shared" ca="1" si="372"/>
        <v>0</v>
      </c>
      <c r="L4511">
        <f t="shared" si="373"/>
        <v>4505</v>
      </c>
      <c r="M4511" s="71">
        <f t="shared" ca="1" si="374"/>
        <v>5.1053266871172136</v>
      </c>
    </row>
    <row r="4512" spans="1:13" x14ac:dyDescent="0.25">
      <c r="A4512" s="2">
        <v>4506</v>
      </c>
      <c r="B4512" s="11">
        <f t="shared" ca="1" si="370"/>
        <v>1</v>
      </c>
      <c r="C4512" s="26">
        <f t="shared" ca="1" si="369"/>
        <v>0.70378061305968731</v>
      </c>
      <c r="J4512">
        <f t="shared" ca="1" si="371"/>
        <v>0</v>
      </c>
      <c r="K4512">
        <f t="shared" ca="1" si="372"/>
        <v>0</v>
      </c>
      <c r="L4512">
        <f t="shared" si="373"/>
        <v>4506</v>
      </c>
      <c r="M4512" s="71">
        <f t="shared" ca="1" si="374"/>
        <v>2.6852759201721952</v>
      </c>
    </row>
    <row r="4513" spans="1:13" x14ac:dyDescent="0.25">
      <c r="A4513" s="2">
        <v>4507</v>
      </c>
      <c r="B4513" s="11">
        <f t="shared" ca="1" si="370"/>
        <v>0</v>
      </c>
      <c r="C4513" s="26">
        <f t="shared" ca="1" si="369"/>
        <v>0.89799969237949229</v>
      </c>
      <c r="J4513">
        <f t="shared" ca="1" si="371"/>
        <v>0</v>
      </c>
      <c r="K4513">
        <f t="shared" ca="1" si="372"/>
        <v>0</v>
      </c>
      <c r="L4513">
        <f t="shared" si="373"/>
        <v>4507</v>
      </c>
      <c r="M4513" s="71">
        <f t="shared" ca="1" si="374"/>
        <v>0</v>
      </c>
    </row>
    <row r="4514" spans="1:13" x14ac:dyDescent="0.25">
      <c r="A4514" s="2">
        <v>4508</v>
      </c>
      <c r="B4514" s="11">
        <f t="shared" ca="1" si="370"/>
        <v>1</v>
      </c>
      <c r="C4514" s="26">
        <f t="shared" ca="1" si="369"/>
        <v>0.57357536393344344</v>
      </c>
      <c r="J4514">
        <f t="shared" ca="1" si="371"/>
        <v>1</v>
      </c>
      <c r="K4514">
        <f t="shared" ca="1" si="372"/>
        <v>0</v>
      </c>
      <c r="L4514">
        <f t="shared" si="373"/>
        <v>4508</v>
      </c>
      <c r="M4514" s="71">
        <f t="shared" ca="1" si="374"/>
        <v>5.0413380635366662</v>
      </c>
    </row>
    <row r="4515" spans="1:13" x14ac:dyDescent="0.25">
      <c r="A4515" s="2">
        <v>4509</v>
      </c>
      <c r="B4515" s="11">
        <f t="shared" ca="1" si="370"/>
        <v>1</v>
      </c>
      <c r="C4515" s="26">
        <f t="shared" ca="1" si="369"/>
        <v>0.4724019003225941</v>
      </c>
      <c r="J4515">
        <f t="shared" ca="1" si="371"/>
        <v>1</v>
      </c>
      <c r="K4515">
        <f t="shared" ca="1" si="372"/>
        <v>0</v>
      </c>
      <c r="L4515">
        <f t="shared" si="373"/>
        <v>4509</v>
      </c>
      <c r="M4515" s="71">
        <f t="shared" ca="1" si="374"/>
        <v>2.7511096900129628</v>
      </c>
    </row>
    <row r="4516" spans="1:13" x14ac:dyDescent="0.25">
      <c r="A4516" s="2">
        <v>4510</v>
      </c>
      <c r="B4516" s="11">
        <f t="shared" ca="1" si="370"/>
        <v>1</v>
      </c>
      <c r="C4516" s="26">
        <f t="shared" ca="1" si="369"/>
        <v>0.50288690795527213</v>
      </c>
      <c r="J4516">
        <f t="shared" ca="1" si="371"/>
        <v>1</v>
      </c>
      <c r="K4516">
        <f t="shared" ca="1" si="372"/>
        <v>0</v>
      </c>
      <c r="L4516">
        <f t="shared" si="373"/>
        <v>4510</v>
      </c>
      <c r="M4516" s="71">
        <f t="shared" ca="1" si="374"/>
        <v>3.6729370251954028</v>
      </c>
    </row>
    <row r="4517" spans="1:13" x14ac:dyDescent="0.25">
      <c r="A4517" s="2">
        <v>4511</v>
      </c>
      <c r="B4517" s="11">
        <f t="shared" ca="1" si="370"/>
        <v>1</v>
      </c>
      <c r="C4517" s="26">
        <f t="shared" ca="1" si="369"/>
        <v>0.46401961262475366</v>
      </c>
      <c r="J4517">
        <f t="shared" ca="1" si="371"/>
        <v>1</v>
      </c>
      <c r="K4517">
        <f t="shared" ca="1" si="372"/>
        <v>0</v>
      </c>
      <c r="L4517">
        <f t="shared" si="373"/>
        <v>4511</v>
      </c>
      <c r="M4517" s="71">
        <f t="shared" ca="1" si="374"/>
        <v>2.4698388997832175</v>
      </c>
    </row>
    <row r="4518" spans="1:13" x14ac:dyDescent="0.25">
      <c r="A4518" s="2">
        <v>4512</v>
      </c>
      <c r="B4518" s="11">
        <f t="shared" ca="1" si="370"/>
        <v>1</v>
      </c>
      <c r="C4518" s="26">
        <f t="shared" ca="1" si="369"/>
        <v>0.24454671787863191</v>
      </c>
      <c r="J4518">
        <f t="shared" ca="1" si="371"/>
        <v>1</v>
      </c>
      <c r="K4518">
        <f t="shared" ca="1" si="372"/>
        <v>0</v>
      </c>
      <c r="L4518">
        <f t="shared" si="373"/>
        <v>4512</v>
      </c>
      <c r="M4518" s="71">
        <f t="shared" ca="1" si="374"/>
        <v>0.75470652232058932</v>
      </c>
    </row>
    <row r="4519" spans="1:13" x14ac:dyDescent="0.25">
      <c r="A4519" s="2">
        <v>4513</v>
      </c>
      <c r="B4519" s="11">
        <f t="shared" ca="1" si="370"/>
        <v>1</v>
      </c>
      <c r="C4519" s="26">
        <f t="shared" ca="1" si="369"/>
        <v>0.50735142556075508</v>
      </c>
      <c r="J4519">
        <f t="shared" ca="1" si="371"/>
        <v>1</v>
      </c>
      <c r="K4519">
        <f t="shared" ca="1" si="372"/>
        <v>0</v>
      </c>
      <c r="L4519">
        <f t="shared" si="373"/>
        <v>4513</v>
      </c>
      <c r="M4519" s="71">
        <f t="shared" ca="1" si="374"/>
        <v>3.8909298143573401</v>
      </c>
    </row>
    <row r="4520" spans="1:13" x14ac:dyDescent="0.25">
      <c r="A4520" s="2">
        <v>4514</v>
      </c>
      <c r="B4520" s="11">
        <f t="shared" ca="1" si="370"/>
        <v>1</v>
      </c>
      <c r="C4520" s="26">
        <f t="shared" ca="1" si="369"/>
        <v>0.69136060131476362</v>
      </c>
      <c r="J4520">
        <f t="shared" ca="1" si="371"/>
        <v>1</v>
      </c>
      <c r="K4520">
        <f t="shared" ca="1" si="372"/>
        <v>0</v>
      </c>
      <c r="L4520">
        <f t="shared" si="373"/>
        <v>4514</v>
      </c>
      <c r="M4520" s="71">
        <f t="shared" ca="1" si="374"/>
        <v>1.5235770907847883</v>
      </c>
    </row>
    <row r="4521" spans="1:13" x14ac:dyDescent="0.25">
      <c r="A4521" s="2">
        <v>4515</v>
      </c>
      <c r="B4521" s="11">
        <f t="shared" ca="1" si="370"/>
        <v>1</v>
      </c>
      <c r="C4521" s="26">
        <f t="shared" ca="1" si="369"/>
        <v>0.59039235390735023</v>
      </c>
      <c r="J4521">
        <f t="shared" ca="1" si="371"/>
        <v>1</v>
      </c>
      <c r="K4521">
        <f t="shared" ca="1" si="372"/>
        <v>0</v>
      </c>
      <c r="L4521">
        <f t="shared" si="373"/>
        <v>4515</v>
      </c>
      <c r="M4521" s="71">
        <f t="shared" ca="1" si="374"/>
        <v>0.64442729534763121</v>
      </c>
    </row>
    <row r="4522" spans="1:13" x14ac:dyDescent="0.25">
      <c r="A4522" s="2">
        <v>4516</v>
      </c>
      <c r="B4522" s="11">
        <f t="shared" ca="1" si="370"/>
        <v>1</v>
      </c>
      <c r="C4522" s="26">
        <f t="shared" ca="1" si="369"/>
        <v>0.46611044600602225</v>
      </c>
      <c r="J4522">
        <f t="shared" ca="1" si="371"/>
        <v>1</v>
      </c>
      <c r="K4522">
        <f t="shared" ca="1" si="372"/>
        <v>0</v>
      </c>
      <c r="L4522">
        <f t="shared" si="373"/>
        <v>4516</v>
      </c>
      <c r="M4522" s="71">
        <f t="shared" ca="1" si="374"/>
        <v>0.23862879422130989</v>
      </c>
    </row>
    <row r="4523" spans="1:13" x14ac:dyDescent="0.25">
      <c r="A4523" s="2">
        <v>4517</v>
      </c>
      <c r="B4523" s="11">
        <f t="shared" ca="1" si="370"/>
        <v>1</v>
      </c>
      <c r="C4523" s="26">
        <f t="shared" ca="1" si="369"/>
        <v>0.13796255114590072</v>
      </c>
      <c r="J4523">
        <f t="shared" ca="1" si="371"/>
        <v>1</v>
      </c>
      <c r="K4523">
        <f t="shared" ca="1" si="372"/>
        <v>0</v>
      </c>
      <c r="L4523">
        <f t="shared" si="373"/>
        <v>4517</v>
      </c>
      <c r="M4523" s="71">
        <f t="shared" ca="1" si="374"/>
        <v>2.2374230934092467</v>
      </c>
    </row>
    <row r="4524" spans="1:13" x14ac:dyDescent="0.25">
      <c r="A4524" s="2">
        <v>4518</v>
      </c>
      <c r="B4524" s="11">
        <f t="shared" ca="1" si="370"/>
        <v>1</v>
      </c>
      <c r="C4524" s="26">
        <f t="shared" ca="1" si="369"/>
        <v>0.52658291617763886</v>
      </c>
      <c r="J4524">
        <f t="shared" ca="1" si="371"/>
        <v>1</v>
      </c>
      <c r="K4524">
        <f t="shared" ca="1" si="372"/>
        <v>0</v>
      </c>
      <c r="L4524">
        <f t="shared" si="373"/>
        <v>4518</v>
      </c>
      <c r="M4524" s="71">
        <f t="shared" ca="1" si="374"/>
        <v>0.34014487307381347</v>
      </c>
    </row>
    <row r="4525" spans="1:13" x14ac:dyDescent="0.25">
      <c r="A4525" s="2">
        <v>4519</v>
      </c>
      <c r="B4525" s="11">
        <f t="shared" ca="1" si="370"/>
        <v>1</v>
      </c>
      <c r="C4525" s="26">
        <f t="shared" ca="1" si="369"/>
        <v>0.72739289675386398</v>
      </c>
      <c r="J4525">
        <f t="shared" ca="1" si="371"/>
        <v>1</v>
      </c>
      <c r="K4525">
        <f t="shared" ca="1" si="372"/>
        <v>0</v>
      </c>
      <c r="L4525">
        <f t="shared" si="373"/>
        <v>4519</v>
      </c>
      <c r="M4525" s="71">
        <f t="shared" ca="1" si="374"/>
        <v>7.6970737312513435</v>
      </c>
    </row>
    <row r="4526" spans="1:13" x14ac:dyDescent="0.25">
      <c r="A4526" s="2">
        <v>4520</v>
      </c>
      <c r="B4526" s="11">
        <f t="shared" ca="1" si="370"/>
        <v>1</v>
      </c>
      <c r="C4526" s="26">
        <f t="shared" ca="1" si="369"/>
        <v>0.26056541115981358</v>
      </c>
      <c r="J4526">
        <f t="shared" ca="1" si="371"/>
        <v>1</v>
      </c>
      <c r="K4526">
        <f t="shared" ca="1" si="372"/>
        <v>0</v>
      </c>
      <c r="L4526">
        <f t="shared" si="373"/>
        <v>4520</v>
      </c>
      <c r="M4526" s="71">
        <f t="shared" ca="1" si="374"/>
        <v>7.6220388611051915</v>
      </c>
    </row>
    <row r="4527" spans="1:13" x14ac:dyDescent="0.25">
      <c r="A4527" s="2">
        <v>4521</v>
      </c>
      <c r="B4527" s="11">
        <f t="shared" ca="1" si="370"/>
        <v>1</v>
      </c>
      <c r="C4527" s="26">
        <f t="shared" ca="1" si="369"/>
        <v>0.52873710658924933</v>
      </c>
      <c r="J4527">
        <f t="shared" ca="1" si="371"/>
        <v>0</v>
      </c>
      <c r="K4527">
        <f t="shared" ca="1" si="372"/>
        <v>0</v>
      </c>
      <c r="L4527">
        <f t="shared" si="373"/>
        <v>4521</v>
      </c>
      <c r="M4527" s="71">
        <f t="shared" ca="1" si="374"/>
        <v>0.31654733562880305</v>
      </c>
    </row>
    <row r="4528" spans="1:13" x14ac:dyDescent="0.25">
      <c r="A4528" s="2">
        <v>4522</v>
      </c>
      <c r="B4528" s="11">
        <f t="shared" ca="1" si="370"/>
        <v>0</v>
      </c>
      <c r="C4528" s="26">
        <f t="shared" ca="1" si="369"/>
        <v>0.82041410288082361</v>
      </c>
      <c r="J4528">
        <f t="shared" ca="1" si="371"/>
        <v>0</v>
      </c>
      <c r="K4528">
        <f t="shared" ca="1" si="372"/>
        <v>0</v>
      </c>
      <c r="L4528">
        <f t="shared" si="373"/>
        <v>4522</v>
      </c>
      <c r="M4528" s="71">
        <f t="shared" ca="1" si="374"/>
        <v>0</v>
      </c>
    </row>
    <row r="4529" spans="1:13" x14ac:dyDescent="0.25">
      <c r="A4529" s="2">
        <v>4523</v>
      </c>
      <c r="B4529" s="11">
        <f t="shared" ca="1" si="370"/>
        <v>1</v>
      </c>
      <c r="C4529" s="26">
        <f t="shared" ca="1" si="369"/>
        <v>0.11995893411907232</v>
      </c>
      <c r="J4529">
        <f t="shared" ca="1" si="371"/>
        <v>0</v>
      </c>
      <c r="K4529">
        <f t="shared" ca="1" si="372"/>
        <v>0</v>
      </c>
      <c r="L4529">
        <f t="shared" si="373"/>
        <v>4523</v>
      </c>
      <c r="M4529" s="71">
        <f t="shared" ca="1" si="374"/>
        <v>2.1912893287631823</v>
      </c>
    </row>
    <row r="4530" spans="1:13" x14ac:dyDescent="0.25">
      <c r="A4530" s="2">
        <v>4524</v>
      </c>
      <c r="B4530" s="11">
        <f t="shared" ca="1" si="370"/>
        <v>0</v>
      </c>
      <c r="C4530" s="26">
        <f t="shared" ca="1" si="369"/>
        <v>0.86541733715424751</v>
      </c>
      <c r="J4530">
        <f t="shared" ca="1" si="371"/>
        <v>0</v>
      </c>
      <c r="K4530">
        <f t="shared" ca="1" si="372"/>
        <v>0</v>
      </c>
      <c r="L4530">
        <f t="shared" si="373"/>
        <v>4524</v>
      </c>
      <c r="M4530" s="71">
        <f t="shared" ca="1" si="374"/>
        <v>0</v>
      </c>
    </row>
    <row r="4531" spans="1:13" x14ac:dyDescent="0.25">
      <c r="A4531" s="2">
        <v>4525</v>
      </c>
      <c r="B4531" s="11">
        <f t="shared" ca="1" si="370"/>
        <v>1</v>
      </c>
      <c r="C4531" s="26">
        <f t="shared" ca="1" si="369"/>
        <v>0.50199632169304065</v>
      </c>
      <c r="J4531">
        <f t="shared" ca="1" si="371"/>
        <v>1</v>
      </c>
      <c r="K4531">
        <f t="shared" ca="1" si="372"/>
        <v>0</v>
      </c>
      <c r="L4531">
        <f t="shared" si="373"/>
        <v>4525</v>
      </c>
      <c r="M4531" s="71">
        <f t="shared" ca="1" si="374"/>
        <v>4.7618320950915249</v>
      </c>
    </row>
    <row r="4532" spans="1:13" x14ac:dyDescent="0.25">
      <c r="A4532" s="2">
        <v>4526</v>
      </c>
      <c r="B4532" s="11">
        <f t="shared" ca="1" si="370"/>
        <v>1</v>
      </c>
      <c r="C4532" s="26">
        <f t="shared" ca="1" si="369"/>
        <v>0.45070005417233305</v>
      </c>
      <c r="J4532">
        <f t="shared" ca="1" si="371"/>
        <v>1</v>
      </c>
      <c r="K4532">
        <f t="shared" ca="1" si="372"/>
        <v>0</v>
      </c>
      <c r="L4532">
        <f t="shared" si="373"/>
        <v>4526</v>
      </c>
      <c r="M4532" s="71">
        <f t="shared" ca="1" si="374"/>
        <v>0.74283210345824768</v>
      </c>
    </row>
    <row r="4533" spans="1:13" x14ac:dyDescent="0.25">
      <c r="A4533" s="2">
        <v>4527</v>
      </c>
      <c r="B4533" s="11">
        <f t="shared" ca="1" si="370"/>
        <v>1</v>
      </c>
      <c r="C4533" s="26">
        <f t="shared" ca="1" si="369"/>
        <v>0.70224484691048583</v>
      </c>
      <c r="J4533">
        <f t="shared" ca="1" si="371"/>
        <v>1</v>
      </c>
      <c r="K4533">
        <f t="shared" ca="1" si="372"/>
        <v>0</v>
      </c>
      <c r="L4533">
        <f t="shared" si="373"/>
        <v>4527</v>
      </c>
      <c r="M4533" s="71">
        <f t="shared" ca="1" si="374"/>
        <v>0.3301602358505194</v>
      </c>
    </row>
    <row r="4534" spans="1:13" x14ac:dyDescent="0.25">
      <c r="A4534" s="2">
        <v>4528</v>
      </c>
      <c r="B4534" s="11">
        <f t="shared" ca="1" si="370"/>
        <v>1</v>
      </c>
      <c r="C4534" s="26">
        <f t="shared" ca="1" si="369"/>
        <v>0.74831790464903147</v>
      </c>
      <c r="J4534">
        <f t="shared" ca="1" si="371"/>
        <v>1</v>
      </c>
      <c r="K4534">
        <f t="shared" ca="1" si="372"/>
        <v>0</v>
      </c>
      <c r="L4534">
        <f t="shared" si="373"/>
        <v>4528</v>
      </c>
      <c r="M4534" s="71">
        <f t="shared" ca="1" si="374"/>
        <v>0.25172952519097325</v>
      </c>
    </row>
    <row r="4535" spans="1:13" x14ac:dyDescent="0.25">
      <c r="A4535" s="2">
        <v>4529</v>
      </c>
      <c r="B4535" s="11">
        <f t="shared" ca="1" si="370"/>
        <v>1</v>
      </c>
      <c r="C4535" s="26">
        <f t="shared" ca="1" si="369"/>
        <v>0.77172775813879568</v>
      </c>
      <c r="J4535">
        <f t="shared" ca="1" si="371"/>
        <v>1</v>
      </c>
      <c r="K4535">
        <f t="shared" ca="1" si="372"/>
        <v>0</v>
      </c>
      <c r="L4535">
        <f t="shared" si="373"/>
        <v>4529</v>
      </c>
      <c r="M4535" s="71">
        <f t="shared" ca="1" si="374"/>
        <v>3.0102249939586407</v>
      </c>
    </row>
    <row r="4536" spans="1:13" x14ac:dyDescent="0.25">
      <c r="A4536" s="2">
        <v>4530</v>
      </c>
      <c r="B4536" s="11">
        <f t="shared" ca="1" si="370"/>
        <v>1</v>
      </c>
      <c r="C4536" s="26">
        <f t="shared" ca="1" si="369"/>
        <v>0.16962435112273488</v>
      </c>
      <c r="J4536">
        <f t="shared" ca="1" si="371"/>
        <v>1</v>
      </c>
      <c r="K4536">
        <f t="shared" ca="1" si="372"/>
        <v>0</v>
      </c>
      <c r="L4536">
        <f t="shared" si="373"/>
        <v>4530</v>
      </c>
      <c r="M4536" s="71">
        <f t="shared" ca="1" si="374"/>
        <v>3.8971299066615481</v>
      </c>
    </row>
    <row r="4537" spans="1:13" x14ac:dyDescent="0.25">
      <c r="A4537" s="2">
        <v>4531</v>
      </c>
      <c r="B4537" s="11">
        <f t="shared" ca="1" si="370"/>
        <v>1</v>
      </c>
      <c r="C4537" s="26">
        <f t="shared" ca="1" si="369"/>
        <v>0.71790391187005864</v>
      </c>
      <c r="J4537">
        <f t="shared" ca="1" si="371"/>
        <v>0</v>
      </c>
      <c r="K4537">
        <f t="shared" ca="1" si="372"/>
        <v>0</v>
      </c>
      <c r="L4537">
        <f t="shared" si="373"/>
        <v>4531</v>
      </c>
      <c r="M4537" s="71">
        <f t="shared" ca="1" si="374"/>
        <v>3.8048579590515494</v>
      </c>
    </row>
    <row r="4538" spans="1:13" x14ac:dyDescent="0.25">
      <c r="A4538" s="2">
        <v>4532</v>
      </c>
      <c r="B4538" s="11">
        <f t="shared" ca="1" si="370"/>
        <v>0</v>
      </c>
      <c r="C4538" s="26">
        <f t="shared" ca="1" si="369"/>
        <v>0.94374654450043771</v>
      </c>
      <c r="J4538">
        <f t="shared" ca="1" si="371"/>
        <v>0</v>
      </c>
      <c r="K4538">
        <f t="shared" ca="1" si="372"/>
        <v>0</v>
      </c>
      <c r="L4538">
        <f t="shared" si="373"/>
        <v>4532</v>
      </c>
      <c r="M4538" s="71">
        <f t="shared" ca="1" si="374"/>
        <v>0</v>
      </c>
    </row>
    <row r="4539" spans="1:13" x14ac:dyDescent="0.25">
      <c r="A4539" s="2">
        <v>4533</v>
      </c>
      <c r="B4539" s="11">
        <f t="shared" ca="1" si="370"/>
        <v>1</v>
      </c>
      <c r="C4539" s="26">
        <f t="shared" ca="1" si="369"/>
        <v>0.30731651130668425</v>
      </c>
      <c r="J4539">
        <f t="shared" ca="1" si="371"/>
        <v>1</v>
      </c>
      <c r="K4539">
        <f t="shared" ca="1" si="372"/>
        <v>0</v>
      </c>
      <c r="L4539">
        <f t="shared" si="373"/>
        <v>4533</v>
      </c>
      <c r="M4539" s="71">
        <f t="shared" ca="1" si="374"/>
        <v>0.96827022432970611</v>
      </c>
    </row>
    <row r="4540" spans="1:13" x14ac:dyDescent="0.25">
      <c r="A4540" s="2">
        <v>4534</v>
      </c>
      <c r="B4540" s="11">
        <f t="shared" ca="1" si="370"/>
        <v>1</v>
      </c>
      <c r="C4540" s="26">
        <f t="shared" ca="1" si="369"/>
        <v>2.2256791365134587E-2</v>
      </c>
      <c r="J4540">
        <f t="shared" ca="1" si="371"/>
        <v>1</v>
      </c>
      <c r="K4540">
        <f t="shared" ca="1" si="372"/>
        <v>0</v>
      </c>
      <c r="L4540">
        <f t="shared" si="373"/>
        <v>4534</v>
      </c>
      <c r="M4540" s="71">
        <f t="shared" ca="1" si="374"/>
        <v>2.7123396991639468</v>
      </c>
    </row>
    <row r="4541" spans="1:13" x14ac:dyDescent="0.25">
      <c r="A4541" s="2">
        <v>4535</v>
      </c>
      <c r="B4541" s="11">
        <f t="shared" ca="1" si="370"/>
        <v>1</v>
      </c>
      <c r="C4541" s="26">
        <f t="shared" ca="1" si="369"/>
        <v>0.36772909974444545</v>
      </c>
      <c r="J4541">
        <f t="shared" ca="1" si="371"/>
        <v>1</v>
      </c>
      <c r="K4541">
        <f t="shared" ca="1" si="372"/>
        <v>0</v>
      </c>
      <c r="L4541">
        <f t="shared" si="373"/>
        <v>4535</v>
      </c>
      <c r="M4541" s="71">
        <f t="shared" ca="1" si="374"/>
        <v>0.47287355461065245</v>
      </c>
    </row>
    <row r="4542" spans="1:13" x14ac:dyDescent="0.25">
      <c r="A4542" s="2">
        <v>4536</v>
      </c>
      <c r="B4542" s="11">
        <f t="shared" ca="1" si="370"/>
        <v>1</v>
      </c>
      <c r="C4542" s="26">
        <f t="shared" ca="1" si="369"/>
        <v>0.21176447263672427</v>
      </c>
      <c r="J4542">
        <f t="shared" ca="1" si="371"/>
        <v>1</v>
      </c>
      <c r="K4542">
        <f t="shared" ca="1" si="372"/>
        <v>0</v>
      </c>
      <c r="L4542">
        <f t="shared" si="373"/>
        <v>4536</v>
      </c>
      <c r="M4542" s="71">
        <f t="shared" ca="1" si="374"/>
        <v>4.5023998487278849</v>
      </c>
    </row>
    <row r="4543" spans="1:13" x14ac:dyDescent="0.25">
      <c r="A4543" s="2">
        <v>4537</v>
      </c>
      <c r="B4543" s="11">
        <f t="shared" ca="1" si="370"/>
        <v>1</v>
      </c>
      <c r="C4543" s="26">
        <f t="shared" ca="1" si="369"/>
        <v>0.18107098709062741</v>
      </c>
      <c r="J4543">
        <f t="shared" ca="1" si="371"/>
        <v>1</v>
      </c>
      <c r="K4543">
        <f t="shared" ca="1" si="372"/>
        <v>0</v>
      </c>
      <c r="L4543">
        <f t="shared" si="373"/>
        <v>4537</v>
      </c>
      <c r="M4543" s="71">
        <f t="shared" ca="1" si="374"/>
        <v>5.4142762082288893</v>
      </c>
    </row>
    <row r="4544" spans="1:13" x14ac:dyDescent="0.25">
      <c r="A4544" s="2">
        <v>4538</v>
      </c>
      <c r="B4544" s="11">
        <f t="shared" ca="1" si="370"/>
        <v>1</v>
      </c>
      <c r="C4544" s="26">
        <f t="shared" ca="1" si="369"/>
        <v>0.67768278534651916</v>
      </c>
      <c r="J4544">
        <f t="shared" ca="1" si="371"/>
        <v>1</v>
      </c>
      <c r="K4544">
        <f t="shared" ca="1" si="372"/>
        <v>0</v>
      </c>
      <c r="L4544">
        <f t="shared" si="373"/>
        <v>4538</v>
      </c>
      <c r="M4544" s="71">
        <f t="shared" ca="1" si="374"/>
        <v>1.5739171316679481</v>
      </c>
    </row>
    <row r="4545" spans="1:13" x14ac:dyDescent="0.25">
      <c r="A4545" s="2">
        <v>4539</v>
      </c>
      <c r="B4545" s="11">
        <f t="shared" ca="1" si="370"/>
        <v>1</v>
      </c>
      <c r="C4545" s="26">
        <f t="shared" ca="1" si="369"/>
        <v>0.78930048295888222</v>
      </c>
      <c r="J4545">
        <f t="shared" ca="1" si="371"/>
        <v>1</v>
      </c>
      <c r="K4545">
        <f t="shared" ca="1" si="372"/>
        <v>0</v>
      </c>
      <c r="L4545">
        <f t="shared" si="373"/>
        <v>4539</v>
      </c>
      <c r="M4545" s="71">
        <f t="shared" ca="1" si="374"/>
        <v>2.8805458718121422</v>
      </c>
    </row>
    <row r="4546" spans="1:13" x14ac:dyDescent="0.25">
      <c r="A4546" s="2">
        <v>4540</v>
      </c>
      <c r="B4546" s="11">
        <f t="shared" ca="1" si="370"/>
        <v>1</v>
      </c>
      <c r="C4546" s="26">
        <f t="shared" ca="1" si="369"/>
        <v>7.8492762979749386E-2</v>
      </c>
      <c r="J4546">
        <f t="shared" ca="1" si="371"/>
        <v>1</v>
      </c>
      <c r="K4546">
        <f t="shared" ca="1" si="372"/>
        <v>0</v>
      </c>
      <c r="L4546">
        <f t="shared" si="373"/>
        <v>4540</v>
      </c>
      <c r="M4546" s="71">
        <f t="shared" ca="1" si="374"/>
        <v>1.9019763777322716</v>
      </c>
    </row>
    <row r="4547" spans="1:13" x14ac:dyDescent="0.25">
      <c r="A4547" s="2">
        <v>4541</v>
      </c>
      <c r="B4547" s="11">
        <f t="shared" ca="1" si="370"/>
        <v>1</v>
      </c>
      <c r="C4547" s="26">
        <f t="shared" ca="1" si="369"/>
        <v>0.52643886139919727</v>
      </c>
      <c r="J4547">
        <f t="shared" ca="1" si="371"/>
        <v>0</v>
      </c>
      <c r="K4547">
        <f t="shared" ca="1" si="372"/>
        <v>0</v>
      </c>
      <c r="L4547">
        <f t="shared" si="373"/>
        <v>4541</v>
      </c>
      <c r="M4547" s="71">
        <f t="shared" ca="1" si="374"/>
        <v>1.2044776083097537</v>
      </c>
    </row>
    <row r="4548" spans="1:13" x14ac:dyDescent="0.25">
      <c r="A4548" s="2">
        <v>4542</v>
      </c>
      <c r="B4548" s="11">
        <f t="shared" ca="1" si="370"/>
        <v>0</v>
      </c>
      <c r="C4548" s="26">
        <f t="shared" ca="1" si="369"/>
        <v>0.96523345595409138</v>
      </c>
      <c r="J4548">
        <f t="shared" ca="1" si="371"/>
        <v>0</v>
      </c>
      <c r="K4548">
        <f t="shared" ca="1" si="372"/>
        <v>0</v>
      </c>
      <c r="L4548">
        <f t="shared" si="373"/>
        <v>4542</v>
      </c>
      <c r="M4548" s="71">
        <f t="shared" ca="1" si="374"/>
        <v>0</v>
      </c>
    </row>
    <row r="4549" spans="1:13" x14ac:dyDescent="0.25">
      <c r="A4549" s="2">
        <v>4543</v>
      </c>
      <c r="B4549" s="11">
        <f t="shared" ca="1" si="370"/>
        <v>1</v>
      </c>
      <c r="C4549" s="26">
        <f t="shared" ca="1" si="369"/>
        <v>0.17891152483978812</v>
      </c>
      <c r="J4549">
        <f t="shared" ca="1" si="371"/>
        <v>1</v>
      </c>
      <c r="K4549">
        <f t="shared" ca="1" si="372"/>
        <v>0</v>
      </c>
      <c r="L4549">
        <f t="shared" si="373"/>
        <v>4543</v>
      </c>
      <c r="M4549" s="71">
        <f t="shared" ca="1" si="374"/>
        <v>4.0301125613153701</v>
      </c>
    </row>
    <row r="4550" spans="1:13" x14ac:dyDescent="0.25">
      <c r="A4550" s="2">
        <v>4544</v>
      </c>
      <c r="B4550" s="11">
        <f t="shared" ca="1" si="370"/>
        <v>1</v>
      </c>
      <c r="C4550" s="26">
        <f t="shared" ca="1" si="369"/>
        <v>0.64491706320921438</v>
      </c>
      <c r="J4550">
        <f t="shared" ca="1" si="371"/>
        <v>1</v>
      </c>
      <c r="K4550">
        <f t="shared" ca="1" si="372"/>
        <v>0</v>
      </c>
      <c r="L4550">
        <f t="shared" si="373"/>
        <v>4544</v>
      </c>
      <c r="M4550" s="71">
        <f t="shared" ca="1" si="374"/>
        <v>7.5033957018289428</v>
      </c>
    </row>
    <row r="4551" spans="1:13" x14ac:dyDescent="0.25">
      <c r="A4551" s="2">
        <v>4545</v>
      </c>
      <c r="B4551" s="11">
        <f t="shared" ca="1" si="370"/>
        <v>1</v>
      </c>
      <c r="C4551" s="26">
        <f t="shared" ca="1" si="369"/>
        <v>0.12243727588663667</v>
      </c>
      <c r="J4551">
        <f t="shared" ca="1" si="371"/>
        <v>1</v>
      </c>
      <c r="K4551">
        <f t="shared" ca="1" si="372"/>
        <v>0</v>
      </c>
      <c r="L4551">
        <f t="shared" si="373"/>
        <v>4545</v>
      </c>
      <c r="M4551" s="71">
        <f t="shared" ca="1" si="374"/>
        <v>8.5630741077581085</v>
      </c>
    </row>
    <row r="4552" spans="1:13" x14ac:dyDescent="0.25">
      <c r="A4552" s="2">
        <v>4546</v>
      </c>
      <c r="B4552" s="11">
        <f t="shared" ca="1" si="370"/>
        <v>1</v>
      </c>
      <c r="C4552" s="26">
        <f t="shared" ref="C4552:C4615" ca="1" si="375">RAND()</f>
        <v>0.70052249412499157</v>
      </c>
      <c r="J4552">
        <f t="shared" ca="1" si="371"/>
        <v>1</v>
      </c>
      <c r="K4552">
        <f t="shared" ca="1" si="372"/>
        <v>0</v>
      </c>
      <c r="L4552">
        <f t="shared" si="373"/>
        <v>4546</v>
      </c>
      <c r="M4552" s="71">
        <f t="shared" ca="1" si="374"/>
        <v>2.5810834163998377</v>
      </c>
    </row>
    <row r="4553" spans="1:13" x14ac:dyDescent="0.25">
      <c r="A4553" s="2">
        <v>4547</v>
      </c>
      <c r="B4553" s="11">
        <f t="shared" ref="B4553:B4616" ca="1" si="376">IF(B4552&gt;0,IF(C4553&lt;pww,1,0),IF(C4553&lt;pdw,1,0))</f>
        <v>1</v>
      </c>
      <c r="C4553" s="26">
        <f t="shared" ca="1" si="375"/>
        <v>0.57884431518953616</v>
      </c>
      <c r="J4553">
        <f t="shared" ca="1" si="371"/>
        <v>1</v>
      </c>
      <c r="K4553">
        <f t="shared" ca="1" si="372"/>
        <v>0</v>
      </c>
      <c r="L4553">
        <f t="shared" si="373"/>
        <v>4547</v>
      </c>
      <c r="M4553" s="71">
        <f t="shared" ca="1" si="374"/>
        <v>0.74524136946688813</v>
      </c>
    </row>
    <row r="4554" spans="1:13" x14ac:dyDescent="0.25">
      <c r="A4554" s="2">
        <v>4548</v>
      </c>
      <c r="B4554" s="11">
        <f t="shared" ca="1" si="376"/>
        <v>1</v>
      </c>
      <c r="C4554" s="26">
        <f t="shared" ca="1" si="375"/>
        <v>0.61247006052745945</v>
      </c>
      <c r="J4554">
        <f t="shared" ref="J4554:J4617" ca="1" si="377">IF(AND(B4554,B4555),1,0)</f>
        <v>0</v>
      </c>
      <c r="K4554">
        <f t="shared" ref="K4554:K4617" ca="1" si="378">IF(AND(NOT(B4554),NOT(B4555)),1,0)</f>
        <v>0</v>
      </c>
      <c r="L4554">
        <f t="shared" ref="L4554:L4617" si="379">L4553+1</f>
        <v>4548</v>
      </c>
      <c r="M4554" s="71">
        <f t="shared" ref="M4554:M4617" ca="1" si="380">IF(B4554&gt;0,-LN(1-(RAND()))/lambda,0)</f>
        <v>2.1187936579428941</v>
      </c>
    </row>
    <row r="4555" spans="1:13" x14ac:dyDescent="0.25">
      <c r="A4555" s="2">
        <v>4549</v>
      </c>
      <c r="B4555" s="11">
        <f t="shared" ca="1" si="376"/>
        <v>0</v>
      </c>
      <c r="C4555" s="26">
        <f t="shared" ca="1" si="375"/>
        <v>0.9719318033138169</v>
      </c>
      <c r="J4555">
        <f t="shared" ca="1" si="377"/>
        <v>0</v>
      </c>
      <c r="K4555">
        <f t="shared" ca="1" si="378"/>
        <v>1</v>
      </c>
      <c r="L4555">
        <f t="shared" si="379"/>
        <v>4549</v>
      </c>
      <c r="M4555" s="71">
        <f t="shared" ca="1" si="380"/>
        <v>0</v>
      </c>
    </row>
    <row r="4556" spans="1:13" x14ac:dyDescent="0.25">
      <c r="A4556" s="2">
        <v>4550</v>
      </c>
      <c r="B4556" s="11">
        <f t="shared" ca="1" si="376"/>
        <v>0</v>
      </c>
      <c r="C4556" s="26">
        <f t="shared" ca="1" si="375"/>
        <v>0.74732210523062104</v>
      </c>
      <c r="J4556">
        <f t="shared" ca="1" si="377"/>
        <v>0</v>
      </c>
      <c r="K4556">
        <f t="shared" ca="1" si="378"/>
        <v>0</v>
      </c>
      <c r="L4556">
        <f t="shared" si="379"/>
        <v>4550</v>
      </c>
      <c r="M4556" s="71">
        <f t="shared" ca="1" si="380"/>
        <v>0</v>
      </c>
    </row>
    <row r="4557" spans="1:13" x14ac:dyDescent="0.25">
      <c r="A4557" s="2">
        <v>4551</v>
      </c>
      <c r="B4557" s="11">
        <f t="shared" ca="1" si="376"/>
        <v>1</v>
      </c>
      <c r="C4557" s="26">
        <f t="shared" ca="1" si="375"/>
        <v>0.20031115323492454</v>
      </c>
      <c r="J4557">
        <f t="shared" ca="1" si="377"/>
        <v>1</v>
      </c>
      <c r="K4557">
        <f t="shared" ca="1" si="378"/>
        <v>0</v>
      </c>
      <c r="L4557">
        <f t="shared" si="379"/>
        <v>4551</v>
      </c>
      <c r="M4557" s="71">
        <f t="shared" ca="1" si="380"/>
        <v>11.889655844195545</v>
      </c>
    </row>
    <row r="4558" spans="1:13" x14ac:dyDescent="0.25">
      <c r="A4558" s="2">
        <v>4552</v>
      </c>
      <c r="B4558" s="11">
        <f t="shared" ca="1" si="376"/>
        <v>1</v>
      </c>
      <c r="C4558" s="26">
        <f t="shared" ca="1" si="375"/>
        <v>0.5668074948155325</v>
      </c>
      <c r="J4558">
        <f t="shared" ca="1" si="377"/>
        <v>1</v>
      </c>
      <c r="K4558">
        <f t="shared" ca="1" si="378"/>
        <v>0</v>
      </c>
      <c r="L4558">
        <f t="shared" si="379"/>
        <v>4552</v>
      </c>
      <c r="M4558" s="71">
        <f t="shared" ca="1" si="380"/>
        <v>4.4142606157744266</v>
      </c>
    </row>
    <row r="4559" spans="1:13" x14ac:dyDescent="0.25">
      <c r="A4559" s="2">
        <v>4553</v>
      </c>
      <c r="B4559" s="11">
        <f t="shared" ca="1" si="376"/>
        <v>1</v>
      </c>
      <c r="C4559" s="26">
        <f t="shared" ca="1" si="375"/>
        <v>0.43028131910620859</v>
      </c>
      <c r="J4559">
        <f t="shared" ca="1" si="377"/>
        <v>1</v>
      </c>
      <c r="K4559">
        <f t="shared" ca="1" si="378"/>
        <v>0</v>
      </c>
      <c r="L4559">
        <f t="shared" si="379"/>
        <v>4553</v>
      </c>
      <c r="M4559" s="71">
        <f t="shared" ca="1" si="380"/>
        <v>3.7553739639903347</v>
      </c>
    </row>
    <row r="4560" spans="1:13" x14ac:dyDescent="0.25">
      <c r="A4560" s="2">
        <v>4554</v>
      </c>
      <c r="B4560" s="11">
        <f t="shared" ca="1" si="376"/>
        <v>1</v>
      </c>
      <c r="C4560" s="26">
        <f t="shared" ca="1" si="375"/>
        <v>0.1462654446016235</v>
      </c>
      <c r="J4560">
        <f t="shared" ca="1" si="377"/>
        <v>1</v>
      </c>
      <c r="K4560">
        <f t="shared" ca="1" si="378"/>
        <v>0</v>
      </c>
      <c r="L4560">
        <f t="shared" si="379"/>
        <v>4554</v>
      </c>
      <c r="M4560" s="71">
        <f t="shared" ca="1" si="380"/>
        <v>1.5446103118486267</v>
      </c>
    </row>
    <row r="4561" spans="1:13" x14ac:dyDescent="0.25">
      <c r="A4561" s="2">
        <v>4555</v>
      </c>
      <c r="B4561" s="11">
        <f t="shared" ca="1" si="376"/>
        <v>1</v>
      </c>
      <c r="C4561" s="26">
        <f t="shared" ca="1" si="375"/>
        <v>9.5679343912630332E-2</v>
      </c>
      <c r="J4561">
        <f t="shared" ca="1" si="377"/>
        <v>1</v>
      </c>
      <c r="K4561">
        <f t="shared" ca="1" si="378"/>
        <v>0</v>
      </c>
      <c r="L4561">
        <f t="shared" si="379"/>
        <v>4555</v>
      </c>
      <c r="M4561" s="71">
        <f t="shared" ca="1" si="380"/>
        <v>2.5253353353570018</v>
      </c>
    </row>
    <row r="4562" spans="1:13" x14ac:dyDescent="0.25">
      <c r="A4562" s="2">
        <v>4556</v>
      </c>
      <c r="B4562" s="11">
        <f t="shared" ca="1" si="376"/>
        <v>1</v>
      </c>
      <c r="C4562" s="26">
        <f t="shared" ca="1" si="375"/>
        <v>9.54081520390897E-2</v>
      </c>
      <c r="J4562">
        <f t="shared" ca="1" si="377"/>
        <v>1</v>
      </c>
      <c r="K4562">
        <f t="shared" ca="1" si="378"/>
        <v>0</v>
      </c>
      <c r="L4562">
        <f t="shared" si="379"/>
        <v>4556</v>
      </c>
      <c r="M4562" s="71">
        <f t="shared" ca="1" si="380"/>
        <v>1.1821402449044442</v>
      </c>
    </row>
    <row r="4563" spans="1:13" x14ac:dyDescent="0.25">
      <c r="A4563" s="2">
        <v>4557</v>
      </c>
      <c r="B4563" s="11">
        <f t="shared" ca="1" si="376"/>
        <v>1</v>
      </c>
      <c r="C4563" s="26">
        <f t="shared" ca="1" si="375"/>
        <v>0.39842098620702282</v>
      </c>
      <c r="J4563">
        <f t="shared" ca="1" si="377"/>
        <v>1</v>
      </c>
      <c r="K4563">
        <f t="shared" ca="1" si="378"/>
        <v>0</v>
      </c>
      <c r="L4563">
        <f t="shared" si="379"/>
        <v>4557</v>
      </c>
      <c r="M4563" s="71">
        <f t="shared" ca="1" si="380"/>
        <v>6.413695829009904</v>
      </c>
    </row>
    <row r="4564" spans="1:13" x14ac:dyDescent="0.25">
      <c r="A4564" s="2">
        <v>4558</v>
      </c>
      <c r="B4564" s="11">
        <f t="shared" ca="1" si="376"/>
        <v>1</v>
      </c>
      <c r="C4564" s="26">
        <f t="shared" ca="1" si="375"/>
        <v>0.56876430169468151</v>
      </c>
      <c r="J4564">
        <f t="shared" ca="1" si="377"/>
        <v>1</v>
      </c>
      <c r="K4564">
        <f t="shared" ca="1" si="378"/>
        <v>0</v>
      </c>
      <c r="L4564">
        <f t="shared" si="379"/>
        <v>4558</v>
      </c>
      <c r="M4564" s="71">
        <f t="shared" ca="1" si="380"/>
        <v>10.166983702694786</v>
      </c>
    </row>
    <row r="4565" spans="1:13" x14ac:dyDescent="0.25">
      <c r="A4565" s="2">
        <v>4559</v>
      </c>
      <c r="B4565" s="11">
        <f t="shared" ca="1" si="376"/>
        <v>1</v>
      </c>
      <c r="C4565" s="26">
        <f t="shared" ca="1" si="375"/>
        <v>0.37064194108255943</v>
      </c>
      <c r="J4565">
        <f t="shared" ca="1" si="377"/>
        <v>1</v>
      </c>
      <c r="K4565">
        <f t="shared" ca="1" si="378"/>
        <v>0</v>
      </c>
      <c r="L4565">
        <f t="shared" si="379"/>
        <v>4559</v>
      </c>
      <c r="M4565" s="71">
        <f t="shared" ca="1" si="380"/>
        <v>14.593922008346301</v>
      </c>
    </row>
    <row r="4566" spans="1:13" x14ac:dyDescent="0.25">
      <c r="A4566" s="2">
        <v>4560</v>
      </c>
      <c r="B4566" s="11">
        <f t="shared" ca="1" si="376"/>
        <v>1</v>
      </c>
      <c r="C4566" s="26">
        <f t="shared" ca="1" si="375"/>
        <v>0.28880493122293316</v>
      </c>
      <c r="J4566">
        <f t="shared" ca="1" si="377"/>
        <v>1</v>
      </c>
      <c r="K4566">
        <f t="shared" ca="1" si="378"/>
        <v>0</v>
      </c>
      <c r="L4566">
        <f t="shared" si="379"/>
        <v>4560</v>
      </c>
      <c r="M4566" s="71">
        <f t="shared" ca="1" si="380"/>
        <v>3.7132532587475389</v>
      </c>
    </row>
    <row r="4567" spans="1:13" x14ac:dyDescent="0.25">
      <c r="A4567" s="2">
        <v>4561</v>
      </c>
      <c r="B4567" s="11">
        <f t="shared" ca="1" si="376"/>
        <v>1</v>
      </c>
      <c r="C4567" s="26">
        <f t="shared" ca="1" si="375"/>
        <v>2.5758860730485167E-2</v>
      </c>
      <c r="J4567">
        <f t="shared" ca="1" si="377"/>
        <v>1</v>
      </c>
      <c r="K4567">
        <f t="shared" ca="1" si="378"/>
        <v>0</v>
      </c>
      <c r="L4567">
        <f t="shared" si="379"/>
        <v>4561</v>
      </c>
      <c r="M4567" s="71">
        <f t="shared" ca="1" si="380"/>
        <v>2.6028045220031069</v>
      </c>
    </row>
    <row r="4568" spans="1:13" x14ac:dyDescent="0.25">
      <c r="A4568" s="2">
        <v>4562</v>
      </c>
      <c r="B4568" s="11">
        <f t="shared" ca="1" si="376"/>
        <v>1</v>
      </c>
      <c r="C4568" s="26">
        <f t="shared" ca="1" si="375"/>
        <v>0.73454201035626798</v>
      </c>
      <c r="J4568">
        <f t="shared" ca="1" si="377"/>
        <v>1</v>
      </c>
      <c r="K4568">
        <f t="shared" ca="1" si="378"/>
        <v>0</v>
      </c>
      <c r="L4568">
        <f t="shared" si="379"/>
        <v>4562</v>
      </c>
      <c r="M4568" s="71">
        <f t="shared" ca="1" si="380"/>
        <v>2.0091754230112366</v>
      </c>
    </row>
    <row r="4569" spans="1:13" x14ac:dyDescent="0.25">
      <c r="A4569" s="2">
        <v>4563</v>
      </c>
      <c r="B4569" s="11">
        <f t="shared" ca="1" si="376"/>
        <v>1</v>
      </c>
      <c r="C4569" s="26">
        <f t="shared" ca="1" si="375"/>
        <v>0.33978492674339389</v>
      </c>
      <c r="J4569">
        <f t="shared" ca="1" si="377"/>
        <v>0</v>
      </c>
      <c r="K4569">
        <f t="shared" ca="1" si="378"/>
        <v>0</v>
      </c>
      <c r="L4569">
        <f t="shared" si="379"/>
        <v>4563</v>
      </c>
      <c r="M4569" s="71">
        <f t="shared" ca="1" si="380"/>
        <v>3.1116006417961191</v>
      </c>
    </row>
    <row r="4570" spans="1:13" x14ac:dyDescent="0.25">
      <c r="A4570" s="2">
        <v>4564</v>
      </c>
      <c r="B4570" s="11">
        <f t="shared" ca="1" si="376"/>
        <v>0</v>
      </c>
      <c r="C4570" s="26">
        <f t="shared" ca="1" si="375"/>
        <v>0.96714828603513103</v>
      </c>
      <c r="J4570">
        <f t="shared" ca="1" si="377"/>
        <v>0</v>
      </c>
      <c r="K4570">
        <f t="shared" ca="1" si="378"/>
        <v>0</v>
      </c>
      <c r="L4570">
        <f t="shared" si="379"/>
        <v>4564</v>
      </c>
      <c r="M4570" s="71">
        <f t="shared" ca="1" si="380"/>
        <v>0</v>
      </c>
    </row>
    <row r="4571" spans="1:13" x14ac:dyDescent="0.25">
      <c r="A4571" s="2">
        <v>4565</v>
      </c>
      <c r="B4571" s="11">
        <f t="shared" ca="1" si="376"/>
        <v>1</v>
      </c>
      <c r="C4571" s="26">
        <f t="shared" ca="1" si="375"/>
        <v>0.15561394452436006</v>
      </c>
      <c r="J4571">
        <f t="shared" ca="1" si="377"/>
        <v>1</v>
      </c>
      <c r="K4571">
        <f t="shared" ca="1" si="378"/>
        <v>0</v>
      </c>
      <c r="L4571">
        <f t="shared" si="379"/>
        <v>4565</v>
      </c>
      <c r="M4571" s="71">
        <f t="shared" ca="1" si="380"/>
        <v>2.2315940114529909</v>
      </c>
    </row>
    <row r="4572" spans="1:13" x14ac:dyDescent="0.25">
      <c r="A4572" s="2">
        <v>4566</v>
      </c>
      <c r="B4572" s="11">
        <f t="shared" ca="1" si="376"/>
        <v>1</v>
      </c>
      <c r="C4572" s="26">
        <f t="shared" ca="1" si="375"/>
        <v>0.6109674868907381</v>
      </c>
      <c r="J4572">
        <f t="shared" ca="1" si="377"/>
        <v>1</v>
      </c>
      <c r="K4572">
        <f t="shared" ca="1" si="378"/>
        <v>0</v>
      </c>
      <c r="L4572">
        <f t="shared" si="379"/>
        <v>4566</v>
      </c>
      <c r="M4572" s="71">
        <f t="shared" ca="1" si="380"/>
        <v>2.1272991898023124</v>
      </c>
    </row>
    <row r="4573" spans="1:13" x14ac:dyDescent="0.25">
      <c r="A4573" s="2">
        <v>4567</v>
      </c>
      <c r="B4573" s="11">
        <f t="shared" ca="1" si="376"/>
        <v>1</v>
      </c>
      <c r="C4573" s="26">
        <f t="shared" ca="1" si="375"/>
        <v>0.71454403397908361</v>
      </c>
      <c r="J4573">
        <f t="shared" ca="1" si="377"/>
        <v>1</v>
      </c>
      <c r="K4573">
        <f t="shared" ca="1" si="378"/>
        <v>0</v>
      </c>
      <c r="L4573">
        <f t="shared" si="379"/>
        <v>4567</v>
      </c>
      <c r="M4573" s="71">
        <f t="shared" ca="1" si="380"/>
        <v>1.202680127369868</v>
      </c>
    </row>
    <row r="4574" spans="1:13" x14ac:dyDescent="0.25">
      <c r="A4574" s="2">
        <v>4568</v>
      </c>
      <c r="B4574" s="11">
        <f t="shared" ca="1" si="376"/>
        <v>1</v>
      </c>
      <c r="C4574" s="26">
        <f t="shared" ca="1" si="375"/>
        <v>0.42212858749636328</v>
      </c>
      <c r="J4574">
        <f t="shared" ca="1" si="377"/>
        <v>0</v>
      </c>
      <c r="K4574">
        <f t="shared" ca="1" si="378"/>
        <v>0</v>
      </c>
      <c r="L4574">
        <f t="shared" si="379"/>
        <v>4568</v>
      </c>
      <c r="M4574" s="71">
        <f t="shared" ca="1" si="380"/>
        <v>0.82728479693210155</v>
      </c>
    </row>
    <row r="4575" spans="1:13" x14ac:dyDescent="0.25">
      <c r="A4575" s="2">
        <v>4569</v>
      </c>
      <c r="B4575" s="11">
        <f t="shared" ca="1" si="376"/>
        <v>0</v>
      </c>
      <c r="C4575" s="26">
        <f t="shared" ca="1" si="375"/>
        <v>0.89419158632930063</v>
      </c>
      <c r="J4575">
        <f t="shared" ca="1" si="377"/>
        <v>0</v>
      </c>
      <c r="K4575">
        <f t="shared" ca="1" si="378"/>
        <v>1</v>
      </c>
      <c r="L4575">
        <f t="shared" si="379"/>
        <v>4569</v>
      </c>
      <c r="M4575" s="71">
        <f t="shared" ca="1" si="380"/>
        <v>0</v>
      </c>
    </row>
    <row r="4576" spans="1:13" x14ac:dyDescent="0.25">
      <c r="A4576" s="2">
        <v>4570</v>
      </c>
      <c r="B4576" s="11">
        <f t="shared" ca="1" si="376"/>
        <v>0</v>
      </c>
      <c r="C4576" s="26">
        <f t="shared" ca="1" si="375"/>
        <v>0.96079853479571986</v>
      </c>
      <c r="J4576">
        <f t="shared" ca="1" si="377"/>
        <v>0</v>
      </c>
      <c r="K4576">
        <f t="shared" ca="1" si="378"/>
        <v>0</v>
      </c>
      <c r="L4576">
        <f t="shared" si="379"/>
        <v>4570</v>
      </c>
      <c r="M4576" s="71">
        <f t="shared" ca="1" si="380"/>
        <v>0</v>
      </c>
    </row>
    <row r="4577" spans="1:13" x14ac:dyDescent="0.25">
      <c r="A4577" s="2">
        <v>4571</v>
      </c>
      <c r="B4577" s="11">
        <f t="shared" ca="1" si="376"/>
        <v>1</v>
      </c>
      <c r="C4577" s="26">
        <f t="shared" ca="1" si="375"/>
        <v>0.13985160056879176</v>
      </c>
      <c r="J4577">
        <f t="shared" ca="1" si="377"/>
        <v>1</v>
      </c>
      <c r="K4577">
        <f t="shared" ca="1" si="378"/>
        <v>0</v>
      </c>
      <c r="L4577">
        <f t="shared" si="379"/>
        <v>4571</v>
      </c>
      <c r="M4577" s="71">
        <f t="shared" ca="1" si="380"/>
        <v>0.43323795775588814</v>
      </c>
    </row>
    <row r="4578" spans="1:13" x14ac:dyDescent="0.25">
      <c r="A4578" s="2">
        <v>4572</v>
      </c>
      <c r="B4578" s="11">
        <f t="shared" ca="1" si="376"/>
        <v>1</v>
      </c>
      <c r="C4578" s="26">
        <f t="shared" ca="1" si="375"/>
        <v>0.46068973379428013</v>
      </c>
      <c r="J4578">
        <f t="shared" ca="1" si="377"/>
        <v>1</v>
      </c>
      <c r="K4578">
        <f t="shared" ca="1" si="378"/>
        <v>0</v>
      </c>
      <c r="L4578">
        <f t="shared" si="379"/>
        <v>4572</v>
      </c>
      <c r="M4578" s="71">
        <f t="shared" ca="1" si="380"/>
        <v>1.3276717402239162</v>
      </c>
    </row>
    <row r="4579" spans="1:13" x14ac:dyDescent="0.25">
      <c r="A4579" s="2">
        <v>4573</v>
      </c>
      <c r="B4579" s="11">
        <f t="shared" ca="1" si="376"/>
        <v>1</v>
      </c>
      <c r="C4579" s="26">
        <f t="shared" ca="1" si="375"/>
        <v>0.44703089899790915</v>
      </c>
      <c r="J4579">
        <f t="shared" ca="1" si="377"/>
        <v>1</v>
      </c>
      <c r="K4579">
        <f t="shared" ca="1" si="378"/>
        <v>0</v>
      </c>
      <c r="L4579">
        <f t="shared" si="379"/>
        <v>4573</v>
      </c>
      <c r="M4579" s="71">
        <f t="shared" ca="1" si="380"/>
        <v>1.987552826976505</v>
      </c>
    </row>
    <row r="4580" spans="1:13" x14ac:dyDescent="0.25">
      <c r="A4580" s="2">
        <v>4574</v>
      </c>
      <c r="B4580" s="11">
        <f t="shared" ca="1" si="376"/>
        <v>1</v>
      </c>
      <c r="C4580" s="26">
        <f t="shared" ca="1" si="375"/>
        <v>0.57331378862971327</v>
      </c>
      <c r="J4580">
        <f t="shared" ca="1" si="377"/>
        <v>1</v>
      </c>
      <c r="K4580">
        <f t="shared" ca="1" si="378"/>
        <v>0</v>
      </c>
      <c r="L4580">
        <f t="shared" si="379"/>
        <v>4574</v>
      </c>
      <c r="M4580" s="71">
        <f t="shared" ca="1" si="380"/>
        <v>1.7443245062676651</v>
      </c>
    </row>
    <row r="4581" spans="1:13" x14ac:dyDescent="0.25">
      <c r="A4581" s="2">
        <v>4575</v>
      </c>
      <c r="B4581" s="11">
        <f t="shared" ca="1" si="376"/>
        <v>1</v>
      </c>
      <c r="C4581" s="26">
        <f t="shared" ca="1" si="375"/>
        <v>0.25138425686236776</v>
      </c>
      <c r="J4581">
        <f t="shared" ca="1" si="377"/>
        <v>1</v>
      </c>
      <c r="K4581">
        <f t="shared" ca="1" si="378"/>
        <v>0</v>
      </c>
      <c r="L4581">
        <f t="shared" si="379"/>
        <v>4575</v>
      </c>
      <c r="M4581" s="71">
        <f t="shared" ca="1" si="380"/>
        <v>0.31522223011975647</v>
      </c>
    </row>
    <row r="4582" spans="1:13" x14ac:dyDescent="0.25">
      <c r="A4582" s="2">
        <v>4576</v>
      </c>
      <c r="B4582" s="11">
        <f t="shared" ca="1" si="376"/>
        <v>1</v>
      </c>
      <c r="C4582" s="26">
        <f t="shared" ca="1" si="375"/>
        <v>0.21269920400285869</v>
      </c>
      <c r="J4582">
        <f t="shared" ca="1" si="377"/>
        <v>1</v>
      </c>
      <c r="K4582">
        <f t="shared" ca="1" si="378"/>
        <v>0</v>
      </c>
      <c r="L4582">
        <f t="shared" si="379"/>
        <v>4576</v>
      </c>
      <c r="M4582" s="71">
        <f t="shared" ca="1" si="380"/>
        <v>4.3005681651811738</v>
      </c>
    </row>
    <row r="4583" spans="1:13" x14ac:dyDescent="0.25">
      <c r="A4583" s="2">
        <v>4577</v>
      </c>
      <c r="B4583" s="11">
        <f t="shared" ca="1" si="376"/>
        <v>1</v>
      </c>
      <c r="C4583" s="26">
        <f t="shared" ca="1" si="375"/>
        <v>0.52701253762815092</v>
      </c>
      <c r="J4583">
        <f t="shared" ca="1" si="377"/>
        <v>1</v>
      </c>
      <c r="K4583">
        <f t="shared" ca="1" si="378"/>
        <v>0</v>
      </c>
      <c r="L4583">
        <f t="shared" si="379"/>
        <v>4577</v>
      </c>
      <c r="M4583" s="71">
        <f t="shared" ca="1" si="380"/>
        <v>1.1313876178969908</v>
      </c>
    </row>
    <row r="4584" spans="1:13" x14ac:dyDescent="0.25">
      <c r="A4584" s="2">
        <v>4578</v>
      </c>
      <c r="B4584" s="11">
        <f t="shared" ca="1" si="376"/>
        <v>1</v>
      </c>
      <c r="C4584" s="26">
        <f t="shared" ca="1" si="375"/>
        <v>3.9317382337043405E-2</v>
      </c>
      <c r="J4584">
        <f t="shared" ca="1" si="377"/>
        <v>0</v>
      </c>
      <c r="K4584">
        <f t="shared" ca="1" si="378"/>
        <v>0</v>
      </c>
      <c r="L4584">
        <f t="shared" si="379"/>
        <v>4578</v>
      </c>
      <c r="M4584" s="71">
        <f t="shared" ca="1" si="380"/>
        <v>4.9301471677309596</v>
      </c>
    </row>
    <row r="4585" spans="1:13" x14ac:dyDescent="0.25">
      <c r="A4585" s="2">
        <v>4579</v>
      </c>
      <c r="B4585" s="11">
        <f t="shared" ca="1" si="376"/>
        <v>0</v>
      </c>
      <c r="C4585" s="26">
        <f t="shared" ca="1" si="375"/>
        <v>0.83241324298060904</v>
      </c>
      <c r="J4585">
        <f t="shared" ca="1" si="377"/>
        <v>0</v>
      </c>
      <c r="K4585">
        <f t="shared" ca="1" si="378"/>
        <v>0</v>
      </c>
      <c r="L4585">
        <f t="shared" si="379"/>
        <v>4579</v>
      </c>
      <c r="M4585" s="71">
        <f t="shared" ca="1" si="380"/>
        <v>0</v>
      </c>
    </row>
    <row r="4586" spans="1:13" x14ac:dyDescent="0.25">
      <c r="A4586" s="2">
        <v>4580</v>
      </c>
      <c r="B4586" s="11">
        <f t="shared" ca="1" si="376"/>
        <v>1</v>
      </c>
      <c r="C4586" s="26">
        <f t="shared" ca="1" si="375"/>
        <v>0.48550054296916756</v>
      </c>
      <c r="J4586">
        <f t="shared" ca="1" si="377"/>
        <v>1</v>
      </c>
      <c r="K4586">
        <f t="shared" ca="1" si="378"/>
        <v>0</v>
      </c>
      <c r="L4586">
        <f t="shared" si="379"/>
        <v>4580</v>
      </c>
      <c r="M4586" s="71">
        <f t="shared" ca="1" si="380"/>
        <v>5.3148833900700083E-2</v>
      </c>
    </row>
    <row r="4587" spans="1:13" x14ac:dyDescent="0.25">
      <c r="A4587" s="2">
        <v>4581</v>
      </c>
      <c r="B4587" s="11">
        <f t="shared" ca="1" si="376"/>
        <v>1</v>
      </c>
      <c r="C4587" s="26">
        <f t="shared" ca="1" si="375"/>
        <v>0.27221696607320567</v>
      </c>
      <c r="J4587">
        <f t="shared" ca="1" si="377"/>
        <v>1</v>
      </c>
      <c r="K4587">
        <f t="shared" ca="1" si="378"/>
        <v>0</v>
      </c>
      <c r="L4587">
        <f t="shared" si="379"/>
        <v>4581</v>
      </c>
      <c r="M4587" s="71">
        <f t="shared" ca="1" si="380"/>
        <v>7.5993816442682709</v>
      </c>
    </row>
    <row r="4588" spans="1:13" x14ac:dyDescent="0.25">
      <c r="A4588" s="2">
        <v>4582</v>
      </c>
      <c r="B4588" s="11">
        <f t="shared" ca="1" si="376"/>
        <v>1</v>
      </c>
      <c r="C4588" s="26">
        <f t="shared" ca="1" si="375"/>
        <v>0.76422547610989666</v>
      </c>
      <c r="J4588">
        <f t="shared" ca="1" si="377"/>
        <v>1</v>
      </c>
      <c r="K4588">
        <f t="shared" ca="1" si="378"/>
        <v>0</v>
      </c>
      <c r="L4588">
        <f t="shared" si="379"/>
        <v>4582</v>
      </c>
      <c r="M4588" s="71">
        <f t="shared" ca="1" si="380"/>
        <v>1.6751811134185111</v>
      </c>
    </row>
    <row r="4589" spans="1:13" x14ac:dyDescent="0.25">
      <c r="A4589" s="2">
        <v>4583</v>
      </c>
      <c r="B4589" s="11">
        <f t="shared" ca="1" si="376"/>
        <v>1</v>
      </c>
      <c r="C4589" s="26">
        <f t="shared" ca="1" si="375"/>
        <v>0.74667047177397261</v>
      </c>
      <c r="J4589">
        <f t="shared" ca="1" si="377"/>
        <v>0</v>
      </c>
      <c r="K4589">
        <f t="shared" ca="1" si="378"/>
        <v>0</v>
      </c>
      <c r="L4589">
        <f t="shared" si="379"/>
        <v>4583</v>
      </c>
      <c r="M4589" s="71">
        <f t="shared" ca="1" si="380"/>
        <v>6.0103506316735551</v>
      </c>
    </row>
    <row r="4590" spans="1:13" x14ac:dyDescent="0.25">
      <c r="A4590" s="2">
        <v>4584</v>
      </c>
      <c r="B4590" s="11">
        <f t="shared" ca="1" si="376"/>
        <v>0</v>
      </c>
      <c r="C4590" s="26">
        <f t="shared" ca="1" si="375"/>
        <v>0.91520603719018123</v>
      </c>
      <c r="J4590">
        <f t="shared" ca="1" si="377"/>
        <v>0</v>
      </c>
      <c r="K4590">
        <f t="shared" ca="1" si="378"/>
        <v>0</v>
      </c>
      <c r="L4590">
        <f t="shared" si="379"/>
        <v>4584</v>
      </c>
      <c r="M4590" s="71">
        <f t="shared" ca="1" si="380"/>
        <v>0</v>
      </c>
    </row>
    <row r="4591" spans="1:13" x14ac:dyDescent="0.25">
      <c r="A4591" s="2">
        <v>4585</v>
      </c>
      <c r="B4591" s="11">
        <f t="shared" ca="1" si="376"/>
        <v>1</v>
      </c>
      <c r="C4591" s="26">
        <f t="shared" ca="1" si="375"/>
        <v>0.66671823707887246</v>
      </c>
      <c r="J4591">
        <f t="shared" ca="1" si="377"/>
        <v>1</v>
      </c>
      <c r="K4591">
        <f t="shared" ca="1" si="378"/>
        <v>0</v>
      </c>
      <c r="L4591">
        <f t="shared" si="379"/>
        <v>4585</v>
      </c>
      <c r="M4591" s="71">
        <f t="shared" ca="1" si="380"/>
        <v>0.30114015211584166</v>
      </c>
    </row>
    <row r="4592" spans="1:13" x14ac:dyDescent="0.25">
      <c r="A4592" s="2">
        <v>4586</v>
      </c>
      <c r="B4592" s="11">
        <f t="shared" ca="1" si="376"/>
        <v>1</v>
      </c>
      <c r="C4592" s="26">
        <f t="shared" ca="1" si="375"/>
        <v>0.24855591148436262</v>
      </c>
      <c r="J4592">
        <f t="shared" ca="1" si="377"/>
        <v>1</v>
      </c>
      <c r="K4592">
        <f t="shared" ca="1" si="378"/>
        <v>0</v>
      </c>
      <c r="L4592">
        <f t="shared" si="379"/>
        <v>4586</v>
      </c>
      <c r="M4592" s="71">
        <f t="shared" ca="1" si="380"/>
        <v>4.029630509030186</v>
      </c>
    </row>
    <row r="4593" spans="1:13" x14ac:dyDescent="0.25">
      <c r="A4593" s="2">
        <v>4587</v>
      </c>
      <c r="B4593" s="11">
        <f t="shared" ca="1" si="376"/>
        <v>1</v>
      </c>
      <c r="C4593" s="26">
        <f t="shared" ca="1" si="375"/>
        <v>0.32605436347064232</v>
      </c>
      <c r="J4593">
        <f t="shared" ca="1" si="377"/>
        <v>1</v>
      </c>
      <c r="K4593">
        <f t="shared" ca="1" si="378"/>
        <v>0</v>
      </c>
      <c r="L4593">
        <f t="shared" si="379"/>
        <v>4587</v>
      </c>
      <c r="M4593" s="71">
        <f t="shared" ca="1" si="380"/>
        <v>0.48036932737083826</v>
      </c>
    </row>
    <row r="4594" spans="1:13" x14ac:dyDescent="0.25">
      <c r="A4594" s="2">
        <v>4588</v>
      </c>
      <c r="B4594" s="11">
        <f t="shared" ca="1" si="376"/>
        <v>1</v>
      </c>
      <c r="C4594" s="26">
        <f t="shared" ca="1" si="375"/>
        <v>7.7418450145989137E-2</v>
      </c>
      <c r="J4594">
        <f t="shared" ca="1" si="377"/>
        <v>1</v>
      </c>
      <c r="K4594">
        <f t="shared" ca="1" si="378"/>
        <v>0</v>
      </c>
      <c r="L4594">
        <f t="shared" si="379"/>
        <v>4588</v>
      </c>
      <c r="M4594" s="71">
        <f t="shared" ca="1" si="380"/>
        <v>10.158363648729985</v>
      </c>
    </row>
    <row r="4595" spans="1:13" x14ac:dyDescent="0.25">
      <c r="A4595" s="2">
        <v>4589</v>
      </c>
      <c r="B4595" s="11">
        <f t="shared" ca="1" si="376"/>
        <v>1</v>
      </c>
      <c r="C4595" s="26">
        <f t="shared" ca="1" si="375"/>
        <v>0.36425421667749114</v>
      </c>
      <c r="J4595">
        <f t="shared" ca="1" si="377"/>
        <v>1</v>
      </c>
      <c r="K4595">
        <f t="shared" ca="1" si="378"/>
        <v>0</v>
      </c>
      <c r="L4595">
        <f t="shared" si="379"/>
        <v>4589</v>
      </c>
      <c r="M4595" s="71">
        <f t="shared" ca="1" si="380"/>
        <v>10.736737452633848</v>
      </c>
    </row>
    <row r="4596" spans="1:13" x14ac:dyDescent="0.25">
      <c r="A4596" s="2">
        <v>4590</v>
      </c>
      <c r="B4596" s="11">
        <f t="shared" ca="1" si="376"/>
        <v>1</v>
      </c>
      <c r="C4596" s="26">
        <f t="shared" ca="1" si="375"/>
        <v>0.53926914941200088</v>
      </c>
      <c r="J4596">
        <f t="shared" ca="1" si="377"/>
        <v>1</v>
      </c>
      <c r="K4596">
        <f t="shared" ca="1" si="378"/>
        <v>0</v>
      </c>
      <c r="L4596">
        <f t="shared" si="379"/>
        <v>4590</v>
      </c>
      <c r="M4596" s="71">
        <f t="shared" ca="1" si="380"/>
        <v>6.5570470559139151</v>
      </c>
    </row>
    <row r="4597" spans="1:13" x14ac:dyDescent="0.25">
      <c r="A4597" s="2">
        <v>4591</v>
      </c>
      <c r="B4597" s="11">
        <f t="shared" ca="1" si="376"/>
        <v>1</v>
      </c>
      <c r="C4597" s="26">
        <f t="shared" ca="1" si="375"/>
        <v>0.44373524925339469</v>
      </c>
      <c r="J4597">
        <f t="shared" ca="1" si="377"/>
        <v>1</v>
      </c>
      <c r="K4597">
        <f t="shared" ca="1" si="378"/>
        <v>0</v>
      </c>
      <c r="L4597">
        <f t="shared" si="379"/>
        <v>4591</v>
      </c>
      <c r="M4597" s="71">
        <f t="shared" ca="1" si="380"/>
        <v>2.2280392599885492</v>
      </c>
    </row>
    <row r="4598" spans="1:13" x14ac:dyDescent="0.25">
      <c r="A4598" s="2">
        <v>4592</v>
      </c>
      <c r="B4598" s="11">
        <f t="shared" ca="1" si="376"/>
        <v>1</v>
      </c>
      <c r="C4598" s="26">
        <f t="shared" ca="1" si="375"/>
        <v>0.10365607277111077</v>
      </c>
      <c r="J4598">
        <f t="shared" ca="1" si="377"/>
        <v>1</v>
      </c>
      <c r="K4598">
        <f t="shared" ca="1" si="378"/>
        <v>0</v>
      </c>
      <c r="L4598">
        <f t="shared" si="379"/>
        <v>4592</v>
      </c>
      <c r="M4598" s="71">
        <f t="shared" ca="1" si="380"/>
        <v>16.889078861841625</v>
      </c>
    </row>
    <row r="4599" spans="1:13" x14ac:dyDescent="0.25">
      <c r="A4599" s="2">
        <v>4593</v>
      </c>
      <c r="B4599" s="11">
        <f t="shared" ca="1" si="376"/>
        <v>1</v>
      </c>
      <c r="C4599" s="26">
        <f t="shared" ca="1" si="375"/>
        <v>0.52565154072259013</v>
      </c>
      <c r="J4599">
        <f t="shared" ca="1" si="377"/>
        <v>0</v>
      </c>
      <c r="K4599">
        <f t="shared" ca="1" si="378"/>
        <v>0</v>
      </c>
      <c r="L4599">
        <f t="shared" si="379"/>
        <v>4593</v>
      </c>
      <c r="M4599" s="71">
        <f t="shared" ca="1" si="380"/>
        <v>7.0372510335961529</v>
      </c>
    </row>
    <row r="4600" spans="1:13" x14ac:dyDescent="0.25">
      <c r="A4600" s="2">
        <v>4594</v>
      </c>
      <c r="B4600" s="11">
        <f t="shared" ca="1" si="376"/>
        <v>0</v>
      </c>
      <c r="C4600" s="26">
        <f t="shared" ca="1" si="375"/>
        <v>0.96530410384614085</v>
      </c>
      <c r="J4600">
        <f t="shared" ca="1" si="377"/>
        <v>0</v>
      </c>
      <c r="K4600">
        <f t="shared" ca="1" si="378"/>
        <v>0</v>
      </c>
      <c r="L4600">
        <f t="shared" si="379"/>
        <v>4594</v>
      </c>
      <c r="M4600" s="71">
        <f t="shared" ca="1" si="380"/>
        <v>0</v>
      </c>
    </row>
    <row r="4601" spans="1:13" x14ac:dyDescent="0.25">
      <c r="A4601" s="2">
        <v>4595</v>
      </c>
      <c r="B4601" s="11">
        <f t="shared" ca="1" si="376"/>
        <v>1</v>
      </c>
      <c r="C4601" s="26">
        <f t="shared" ca="1" si="375"/>
        <v>0.18147068585138926</v>
      </c>
      <c r="J4601">
        <f t="shared" ca="1" si="377"/>
        <v>1</v>
      </c>
      <c r="K4601">
        <f t="shared" ca="1" si="378"/>
        <v>0</v>
      </c>
      <c r="L4601">
        <f t="shared" si="379"/>
        <v>4595</v>
      </c>
      <c r="M4601" s="71">
        <f t="shared" ca="1" si="380"/>
        <v>1.5077094840737606</v>
      </c>
    </row>
    <row r="4602" spans="1:13" x14ac:dyDescent="0.25">
      <c r="A4602" s="2">
        <v>4596</v>
      </c>
      <c r="B4602" s="11">
        <f t="shared" ca="1" si="376"/>
        <v>1</v>
      </c>
      <c r="C4602" s="26">
        <f t="shared" ca="1" si="375"/>
        <v>0.6946181861473486</v>
      </c>
      <c r="J4602">
        <f t="shared" ca="1" si="377"/>
        <v>0</v>
      </c>
      <c r="K4602">
        <f t="shared" ca="1" si="378"/>
        <v>0</v>
      </c>
      <c r="L4602">
        <f t="shared" si="379"/>
        <v>4596</v>
      </c>
      <c r="M4602" s="71">
        <f t="shared" ca="1" si="380"/>
        <v>0.78309692769563755</v>
      </c>
    </row>
    <row r="4603" spans="1:13" x14ac:dyDescent="0.25">
      <c r="A4603" s="2">
        <v>4597</v>
      </c>
      <c r="B4603" s="11">
        <f t="shared" ca="1" si="376"/>
        <v>0</v>
      </c>
      <c r="C4603" s="26">
        <f t="shared" ca="1" si="375"/>
        <v>0.85337370074062191</v>
      </c>
      <c r="J4603">
        <f t="shared" ca="1" si="377"/>
        <v>0</v>
      </c>
      <c r="K4603">
        <f t="shared" ca="1" si="378"/>
        <v>0</v>
      </c>
      <c r="L4603">
        <f t="shared" si="379"/>
        <v>4597</v>
      </c>
      <c r="M4603" s="71">
        <f t="shared" ca="1" si="380"/>
        <v>0</v>
      </c>
    </row>
    <row r="4604" spans="1:13" x14ac:dyDescent="0.25">
      <c r="A4604" s="2">
        <v>4598</v>
      </c>
      <c r="B4604" s="11">
        <f t="shared" ca="1" si="376"/>
        <v>1</v>
      </c>
      <c r="C4604" s="26">
        <f t="shared" ca="1" si="375"/>
        <v>0.42162082482441043</v>
      </c>
      <c r="J4604">
        <f t="shared" ca="1" si="377"/>
        <v>1</v>
      </c>
      <c r="K4604">
        <f t="shared" ca="1" si="378"/>
        <v>0</v>
      </c>
      <c r="L4604">
        <f t="shared" si="379"/>
        <v>4598</v>
      </c>
      <c r="M4604" s="71">
        <f t="shared" ca="1" si="380"/>
        <v>4.4839824871545906</v>
      </c>
    </row>
    <row r="4605" spans="1:13" x14ac:dyDescent="0.25">
      <c r="A4605" s="2">
        <v>4599</v>
      </c>
      <c r="B4605" s="11">
        <f t="shared" ca="1" si="376"/>
        <v>1</v>
      </c>
      <c r="C4605" s="26">
        <f t="shared" ca="1" si="375"/>
        <v>0.46307398491575857</v>
      </c>
      <c r="J4605">
        <f t="shared" ca="1" si="377"/>
        <v>0</v>
      </c>
      <c r="K4605">
        <f t="shared" ca="1" si="378"/>
        <v>0</v>
      </c>
      <c r="L4605">
        <f t="shared" si="379"/>
        <v>4599</v>
      </c>
      <c r="M4605" s="71">
        <f t="shared" ca="1" si="380"/>
        <v>1.2919950636488664</v>
      </c>
    </row>
    <row r="4606" spans="1:13" x14ac:dyDescent="0.25">
      <c r="A4606" s="2">
        <v>4600</v>
      </c>
      <c r="B4606" s="11">
        <f t="shared" ca="1" si="376"/>
        <v>0</v>
      </c>
      <c r="C4606" s="26">
        <f t="shared" ca="1" si="375"/>
        <v>0.87226058430834041</v>
      </c>
      <c r="J4606">
        <f t="shared" ca="1" si="377"/>
        <v>0</v>
      </c>
      <c r="K4606">
        <f t="shared" ca="1" si="378"/>
        <v>0</v>
      </c>
      <c r="L4606">
        <f t="shared" si="379"/>
        <v>4600</v>
      </c>
      <c r="M4606" s="71">
        <f t="shared" ca="1" si="380"/>
        <v>0</v>
      </c>
    </row>
    <row r="4607" spans="1:13" x14ac:dyDescent="0.25">
      <c r="A4607" s="2">
        <v>4601</v>
      </c>
      <c r="B4607" s="11">
        <f t="shared" ca="1" si="376"/>
        <v>1</v>
      </c>
      <c r="C4607" s="26">
        <f t="shared" ca="1" si="375"/>
        <v>0.12064776300517555</v>
      </c>
      <c r="J4607">
        <f t="shared" ca="1" si="377"/>
        <v>1</v>
      </c>
      <c r="K4607">
        <f t="shared" ca="1" si="378"/>
        <v>0</v>
      </c>
      <c r="L4607">
        <f t="shared" si="379"/>
        <v>4601</v>
      </c>
      <c r="M4607" s="71">
        <f t="shared" ca="1" si="380"/>
        <v>2.0483892724927792</v>
      </c>
    </row>
    <row r="4608" spans="1:13" x14ac:dyDescent="0.25">
      <c r="A4608" s="2">
        <v>4602</v>
      </c>
      <c r="B4608" s="11">
        <f t="shared" ca="1" si="376"/>
        <v>1</v>
      </c>
      <c r="C4608" s="26">
        <f t="shared" ca="1" si="375"/>
        <v>0.77282544447480817</v>
      </c>
      <c r="J4608">
        <f t="shared" ca="1" si="377"/>
        <v>1</v>
      </c>
      <c r="K4608">
        <f t="shared" ca="1" si="378"/>
        <v>0</v>
      </c>
      <c r="L4608">
        <f t="shared" si="379"/>
        <v>4602</v>
      </c>
      <c r="M4608" s="71">
        <f t="shared" ca="1" si="380"/>
        <v>0.94067618760741667</v>
      </c>
    </row>
    <row r="4609" spans="1:13" x14ac:dyDescent="0.25">
      <c r="A4609" s="2">
        <v>4603</v>
      </c>
      <c r="B4609" s="11">
        <f t="shared" ca="1" si="376"/>
        <v>1</v>
      </c>
      <c r="C4609" s="26">
        <f t="shared" ca="1" si="375"/>
        <v>0.44004275924684688</v>
      </c>
      <c r="J4609">
        <f t="shared" ca="1" si="377"/>
        <v>1</v>
      </c>
      <c r="K4609">
        <f t="shared" ca="1" si="378"/>
        <v>0</v>
      </c>
      <c r="L4609">
        <f t="shared" si="379"/>
        <v>4603</v>
      </c>
      <c r="M4609" s="71">
        <f t="shared" ca="1" si="380"/>
        <v>1.0371158053368192</v>
      </c>
    </row>
    <row r="4610" spans="1:13" x14ac:dyDescent="0.25">
      <c r="A4610" s="2">
        <v>4604</v>
      </c>
      <c r="B4610" s="11">
        <f t="shared" ca="1" si="376"/>
        <v>1</v>
      </c>
      <c r="C4610" s="26">
        <f t="shared" ca="1" si="375"/>
        <v>0.21692851532304791</v>
      </c>
      <c r="J4610">
        <f t="shared" ca="1" si="377"/>
        <v>1</v>
      </c>
      <c r="K4610">
        <f t="shared" ca="1" si="378"/>
        <v>0</v>
      </c>
      <c r="L4610">
        <f t="shared" si="379"/>
        <v>4604</v>
      </c>
      <c r="M4610" s="71">
        <f t="shared" ca="1" si="380"/>
        <v>0.28010980416967379</v>
      </c>
    </row>
    <row r="4611" spans="1:13" x14ac:dyDescent="0.25">
      <c r="A4611" s="2">
        <v>4605</v>
      </c>
      <c r="B4611" s="11">
        <f t="shared" ca="1" si="376"/>
        <v>1</v>
      </c>
      <c r="C4611" s="26">
        <f t="shared" ca="1" si="375"/>
        <v>0.60552755077498421</v>
      </c>
      <c r="J4611">
        <f t="shared" ca="1" si="377"/>
        <v>1</v>
      </c>
      <c r="K4611">
        <f t="shared" ca="1" si="378"/>
        <v>0</v>
      </c>
      <c r="L4611">
        <f t="shared" si="379"/>
        <v>4605</v>
      </c>
      <c r="M4611" s="71">
        <f t="shared" ca="1" si="380"/>
        <v>1.1050908913458932</v>
      </c>
    </row>
    <row r="4612" spans="1:13" x14ac:dyDescent="0.25">
      <c r="A4612" s="2">
        <v>4606</v>
      </c>
      <c r="B4612" s="11">
        <f t="shared" ca="1" si="376"/>
        <v>1</v>
      </c>
      <c r="C4612" s="26">
        <f t="shared" ca="1" si="375"/>
        <v>0.25492635682799969</v>
      </c>
      <c r="J4612">
        <f t="shared" ca="1" si="377"/>
        <v>1</v>
      </c>
      <c r="K4612">
        <f t="shared" ca="1" si="378"/>
        <v>0</v>
      </c>
      <c r="L4612">
        <f t="shared" si="379"/>
        <v>4606</v>
      </c>
      <c r="M4612" s="71">
        <f t="shared" ca="1" si="380"/>
        <v>1.5478327261455924</v>
      </c>
    </row>
    <row r="4613" spans="1:13" x14ac:dyDescent="0.25">
      <c r="A4613" s="2">
        <v>4607</v>
      </c>
      <c r="B4613" s="11">
        <f t="shared" ca="1" si="376"/>
        <v>1</v>
      </c>
      <c r="C4613" s="26">
        <f t="shared" ca="1" si="375"/>
        <v>0.7664432205433882</v>
      </c>
      <c r="J4613">
        <f t="shared" ca="1" si="377"/>
        <v>1</v>
      </c>
      <c r="K4613">
        <f t="shared" ca="1" si="378"/>
        <v>0</v>
      </c>
      <c r="L4613">
        <f t="shared" si="379"/>
        <v>4607</v>
      </c>
      <c r="M4613" s="71">
        <f t="shared" ca="1" si="380"/>
        <v>1.3637919032577099</v>
      </c>
    </row>
    <row r="4614" spans="1:13" x14ac:dyDescent="0.25">
      <c r="A4614" s="2">
        <v>4608</v>
      </c>
      <c r="B4614" s="11">
        <f t="shared" ca="1" si="376"/>
        <v>1</v>
      </c>
      <c r="C4614" s="26">
        <f t="shared" ca="1" si="375"/>
        <v>0.11231390997412105</v>
      </c>
      <c r="J4614">
        <f t="shared" ca="1" si="377"/>
        <v>1</v>
      </c>
      <c r="K4614">
        <f t="shared" ca="1" si="378"/>
        <v>0</v>
      </c>
      <c r="L4614">
        <f t="shared" si="379"/>
        <v>4608</v>
      </c>
      <c r="M4614" s="71">
        <f t="shared" ca="1" si="380"/>
        <v>13.919618860003768</v>
      </c>
    </row>
    <row r="4615" spans="1:13" x14ac:dyDescent="0.25">
      <c r="A4615" s="2">
        <v>4609</v>
      </c>
      <c r="B4615" s="11">
        <f t="shared" ca="1" si="376"/>
        <v>1</v>
      </c>
      <c r="C4615" s="26">
        <f t="shared" ca="1" si="375"/>
        <v>0.3946957078089941</v>
      </c>
      <c r="J4615">
        <f t="shared" ca="1" si="377"/>
        <v>1</v>
      </c>
      <c r="K4615">
        <f t="shared" ca="1" si="378"/>
        <v>0</v>
      </c>
      <c r="L4615">
        <f t="shared" si="379"/>
        <v>4609</v>
      </c>
      <c r="M4615" s="71">
        <f t="shared" ca="1" si="380"/>
        <v>17.90520932055723</v>
      </c>
    </row>
    <row r="4616" spans="1:13" x14ac:dyDescent="0.25">
      <c r="A4616" s="2">
        <v>4610</v>
      </c>
      <c r="B4616" s="11">
        <f t="shared" ca="1" si="376"/>
        <v>1</v>
      </c>
      <c r="C4616" s="26">
        <f t="shared" ref="C4616:C4679" ca="1" si="381">RAND()</f>
        <v>0.48518637192470682</v>
      </c>
      <c r="J4616">
        <f t="shared" ca="1" si="377"/>
        <v>0</v>
      </c>
      <c r="K4616">
        <f t="shared" ca="1" si="378"/>
        <v>0</v>
      </c>
      <c r="L4616">
        <f t="shared" si="379"/>
        <v>4610</v>
      </c>
      <c r="M4616" s="71">
        <f t="shared" ca="1" si="380"/>
        <v>2.9611168668920808E-2</v>
      </c>
    </row>
    <row r="4617" spans="1:13" x14ac:dyDescent="0.25">
      <c r="A4617" s="2">
        <v>4611</v>
      </c>
      <c r="B4617" s="11">
        <f t="shared" ref="B4617:B4680" ca="1" si="382">IF(B4616&gt;0,IF(C4617&lt;pww,1,0),IF(C4617&lt;pdw,1,0))</f>
        <v>0</v>
      </c>
      <c r="C4617" s="26">
        <f t="shared" ca="1" si="381"/>
        <v>0.96233033744610552</v>
      </c>
      <c r="J4617">
        <f t="shared" ca="1" si="377"/>
        <v>0</v>
      </c>
      <c r="K4617">
        <f t="shared" ca="1" si="378"/>
        <v>0</v>
      </c>
      <c r="L4617">
        <f t="shared" si="379"/>
        <v>4611</v>
      </c>
      <c r="M4617" s="71">
        <f t="shared" ca="1" si="380"/>
        <v>0</v>
      </c>
    </row>
    <row r="4618" spans="1:13" x14ac:dyDescent="0.25">
      <c r="A4618" s="2">
        <v>4612</v>
      </c>
      <c r="B4618" s="11">
        <f t="shared" ca="1" si="382"/>
        <v>1</v>
      </c>
      <c r="C4618" s="26">
        <f t="shared" ca="1" si="381"/>
        <v>0.21769690952921483</v>
      </c>
      <c r="J4618">
        <f t="shared" ref="J4618:J4681" ca="1" si="383">IF(AND(B4618,B4619),1,0)</f>
        <v>0</v>
      </c>
      <c r="K4618">
        <f t="shared" ref="K4618:K4681" ca="1" si="384">IF(AND(NOT(B4618),NOT(B4619)),1,0)</f>
        <v>0</v>
      </c>
      <c r="L4618">
        <f t="shared" ref="L4618:L4681" si="385">L4617+1</f>
        <v>4612</v>
      </c>
      <c r="M4618" s="71">
        <f t="shared" ref="M4618:M4681" ca="1" si="386">IF(B4618&gt;0,-LN(1-(RAND()))/lambda,0)</f>
        <v>0.85329410595623911</v>
      </c>
    </row>
    <row r="4619" spans="1:13" x14ac:dyDescent="0.25">
      <c r="A4619" s="2">
        <v>4613</v>
      </c>
      <c r="B4619" s="11">
        <f t="shared" ca="1" si="382"/>
        <v>0</v>
      </c>
      <c r="C4619" s="26">
        <f t="shared" ca="1" si="381"/>
        <v>0.82653548880281225</v>
      </c>
      <c r="J4619">
        <f t="shared" ca="1" si="383"/>
        <v>0</v>
      </c>
      <c r="K4619">
        <f t="shared" ca="1" si="384"/>
        <v>0</v>
      </c>
      <c r="L4619">
        <f t="shared" si="385"/>
        <v>4613</v>
      </c>
      <c r="M4619" s="71">
        <f t="shared" ca="1" si="386"/>
        <v>0</v>
      </c>
    </row>
    <row r="4620" spans="1:13" x14ac:dyDescent="0.25">
      <c r="A4620" s="2">
        <v>4614</v>
      </c>
      <c r="B4620" s="11">
        <f t="shared" ca="1" si="382"/>
        <v>1</v>
      </c>
      <c r="C4620" s="26">
        <f t="shared" ca="1" si="381"/>
        <v>0.66156373935447255</v>
      </c>
      <c r="J4620">
        <f t="shared" ca="1" si="383"/>
        <v>1</v>
      </c>
      <c r="K4620">
        <f t="shared" ca="1" si="384"/>
        <v>0</v>
      </c>
      <c r="L4620">
        <f t="shared" si="385"/>
        <v>4614</v>
      </c>
      <c r="M4620" s="71">
        <f t="shared" ca="1" si="386"/>
        <v>13.264438951852146</v>
      </c>
    </row>
    <row r="4621" spans="1:13" x14ac:dyDescent="0.25">
      <c r="A4621" s="2">
        <v>4615</v>
      </c>
      <c r="B4621" s="11">
        <f t="shared" ca="1" si="382"/>
        <v>1</v>
      </c>
      <c r="C4621" s="26">
        <f t="shared" ca="1" si="381"/>
        <v>0.46145587313610892</v>
      </c>
      <c r="J4621">
        <f t="shared" ca="1" si="383"/>
        <v>1</v>
      </c>
      <c r="K4621">
        <f t="shared" ca="1" si="384"/>
        <v>0</v>
      </c>
      <c r="L4621">
        <f t="shared" si="385"/>
        <v>4615</v>
      </c>
      <c r="M4621" s="71">
        <f t="shared" ca="1" si="386"/>
        <v>1.7394113630568446</v>
      </c>
    </row>
    <row r="4622" spans="1:13" x14ac:dyDescent="0.25">
      <c r="A4622" s="2">
        <v>4616</v>
      </c>
      <c r="B4622" s="11">
        <f t="shared" ca="1" si="382"/>
        <v>1</v>
      </c>
      <c r="C4622" s="26">
        <f t="shared" ca="1" si="381"/>
        <v>5.5979193224358292E-2</v>
      </c>
      <c r="J4622">
        <f t="shared" ca="1" si="383"/>
        <v>1</v>
      </c>
      <c r="K4622">
        <f t="shared" ca="1" si="384"/>
        <v>0</v>
      </c>
      <c r="L4622">
        <f t="shared" si="385"/>
        <v>4616</v>
      </c>
      <c r="M4622" s="71">
        <f t="shared" ca="1" si="386"/>
        <v>3.7345316337783969</v>
      </c>
    </row>
    <row r="4623" spans="1:13" x14ac:dyDescent="0.25">
      <c r="A4623" s="2">
        <v>4617</v>
      </c>
      <c r="B4623" s="11">
        <f t="shared" ca="1" si="382"/>
        <v>1</v>
      </c>
      <c r="C4623" s="26">
        <f t="shared" ca="1" si="381"/>
        <v>0.69809788940161355</v>
      </c>
      <c r="J4623">
        <f t="shared" ca="1" si="383"/>
        <v>0</v>
      </c>
      <c r="K4623">
        <f t="shared" ca="1" si="384"/>
        <v>0</v>
      </c>
      <c r="L4623">
        <f t="shared" si="385"/>
        <v>4617</v>
      </c>
      <c r="M4623" s="71">
        <f t="shared" ca="1" si="386"/>
        <v>11.225485106783179</v>
      </c>
    </row>
    <row r="4624" spans="1:13" x14ac:dyDescent="0.25">
      <c r="A4624" s="2">
        <v>4618</v>
      </c>
      <c r="B4624" s="11">
        <f t="shared" ca="1" si="382"/>
        <v>0</v>
      </c>
      <c r="C4624" s="26">
        <f t="shared" ca="1" si="381"/>
        <v>0.92262059342174574</v>
      </c>
      <c r="J4624">
        <f t="shared" ca="1" si="383"/>
        <v>0</v>
      </c>
      <c r="K4624">
        <f t="shared" ca="1" si="384"/>
        <v>0</v>
      </c>
      <c r="L4624">
        <f t="shared" si="385"/>
        <v>4618</v>
      </c>
      <c r="M4624" s="71">
        <f t="shared" ca="1" si="386"/>
        <v>0</v>
      </c>
    </row>
    <row r="4625" spans="1:13" x14ac:dyDescent="0.25">
      <c r="A4625" s="2">
        <v>4619</v>
      </c>
      <c r="B4625" s="11">
        <f t="shared" ca="1" si="382"/>
        <v>1</v>
      </c>
      <c r="C4625" s="26">
        <f t="shared" ca="1" si="381"/>
        <v>0.25334068534016263</v>
      </c>
      <c r="J4625">
        <f t="shared" ca="1" si="383"/>
        <v>1</v>
      </c>
      <c r="K4625">
        <f t="shared" ca="1" si="384"/>
        <v>0</v>
      </c>
      <c r="L4625">
        <f t="shared" si="385"/>
        <v>4619</v>
      </c>
      <c r="M4625" s="71">
        <f t="shared" ca="1" si="386"/>
        <v>7.4893006010136931</v>
      </c>
    </row>
    <row r="4626" spans="1:13" x14ac:dyDescent="0.25">
      <c r="A4626" s="2">
        <v>4620</v>
      </c>
      <c r="B4626" s="11">
        <f t="shared" ca="1" si="382"/>
        <v>1</v>
      </c>
      <c r="C4626" s="26">
        <f t="shared" ca="1" si="381"/>
        <v>0.25810024261094566</v>
      </c>
      <c r="J4626">
        <f t="shared" ca="1" si="383"/>
        <v>1</v>
      </c>
      <c r="K4626">
        <f t="shared" ca="1" si="384"/>
        <v>0</v>
      </c>
      <c r="L4626">
        <f t="shared" si="385"/>
        <v>4620</v>
      </c>
      <c r="M4626" s="71">
        <f t="shared" ca="1" si="386"/>
        <v>3.6910539741763411</v>
      </c>
    </row>
    <row r="4627" spans="1:13" x14ac:dyDescent="0.25">
      <c r="A4627" s="2">
        <v>4621</v>
      </c>
      <c r="B4627" s="11">
        <f t="shared" ca="1" si="382"/>
        <v>1</v>
      </c>
      <c r="C4627" s="26">
        <f t="shared" ca="1" si="381"/>
        <v>0.38789467260334232</v>
      </c>
      <c r="J4627">
        <f t="shared" ca="1" si="383"/>
        <v>1</v>
      </c>
      <c r="K4627">
        <f t="shared" ca="1" si="384"/>
        <v>0</v>
      </c>
      <c r="L4627">
        <f t="shared" si="385"/>
        <v>4621</v>
      </c>
      <c r="M4627" s="71">
        <f t="shared" ca="1" si="386"/>
        <v>1.6729357524430131</v>
      </c>
    </row>
    <row r="4628" spans="1:13" x14ac:dyDescent="0.25">
      <c r="A4628" s="2">
        <v>4622</v>
      </c>
      <c r="B4628" s="11">
        <f t="shared" ca="1" si="382"/>
        <v>1</v>
      </c>
      <c r="C4628" s="26">
        <f t="shared" ca="1" si="381"/>
        <v>3.5870387113684066E-2</v>
      </c>
      <c r="J4628">
        <f t="shared" ca="1" si="383"/>
        <v>1</v>
      </c>
      <c r="K4628">
        <f t="shared" ca="1" si="384"/>
        <v>0</v>
      </c>
      <c r="L4628">
        <f t="shared" si="385"/>
        <v>4622</v>
      </c>
      <c r="M4628" s="71">
        <f t="shared" ca="1" si="386"/>
        <v>2.5179482119225458</v>
      </c>
    </row>
    <row r="4629" spans="1:13" x14ac:dyDescent="0.25">
      <c r="A4629" s="2">
        <v>4623</v>
      </c>
      <c r="B4629" s="11">
        <f t="shared" ca="1" si="382"/>
        <v>1</v>
      </c>
      <c r="C4629" s="26">
        <f t="shared" ca="1" si="381"/>
        <v>0.32009121677706054</v>
      </c>
      <c r="J4629">
        <f t="shared" ca="1" si="383"/>
        <v>1</v>
      </c>
      <c r="K4629">
        <f t="shared" ca="1" si="384"/>
        <v>0</v>
      </c>
      <c r="L4629">
        <f t="shared" si="385"/>
        <v>4623</v>
      </c>
      <c r="M4629" s="71">
        <f t="shared" ca="1" si="386"/>
        <v>15.517497953072974</v>
      </c>
    </row>
    <row r="4630" spans="1:13" x14ac:dyDescent="0.25">
      <c r="A4630" s="2">
        <v>4624</v>
      </c>
      <c r="B4630" s="11">
        <f t="shared" ca="1" si="382"/>
        <v>1</v>
      </c>
      <c r="C4630" s="26">
        <f t="shared" ca="1" si="381"/>
        <v>0.62995896665613271</v>
      </c>
      <c r="J4630">
        <f t="shared" ca="1" si="383"/>
        <v>0</v>
      </c>
      <c r="K4630">
        <f t="shared" ca="1" si="384"/>
        <v>0</v>
      </c>
      <c r="L4630">
        <f t="shared" si="385"/>
        <v>4624</v>
      </c>
      <c r="M4630" s="71">
        <f t="shared" ca="1" si="386"/>
        <v>10.656350350159936</v>
      </c>
    </row>
    <row r="4631" spans="1:13" x14ac:dyDescent="0.25">
      <c r="A4631" s="2">
        <v>4625</v>
      </c>
      <c r="B4631" s="11">
        <f t="shared" ca="1" si="382"/>
        <v>0</v>
      </c>
      <c r="C4631" s="26">
        <f t="shared" ca="1" si="381"/>
        <v>0.84924788483500424</v>
      </c>
      <c r="J4631">
        <f t="shared" ca="1" si="383"/>
        <v>0</v>
      </c>
      <c r="K4631">
        <f t="shared" ca="1" si="384"/>
        <v>0</v>
      </c>
      <c r="L4631">
        <f t="shared" si="385"/>
        <v>4625</v>
      </c>
      <c r="M4631" s="71">
        <f t="shared" ca="1" si="386"/>
        <v>0</v>
      </c>
    </row>
    <row r="4632" spans="1:13" x14ac:dyDescent="0.25">
      <c r="A4632" s="2">
        <v>4626</v>
      </c>
      <c r="B4632" s="11">
        <f t="shared" ca="1" si="382"/>
        <v>1</v>
      </c>
      <c r="C4632" s="26">
        <f t="shared" ca="1" si="381"/>
        <v>0.64475201240460267</v>
      </c>
      <c r="J4632">
        <f t="shared" ca="1" si="383"/>
        <v>1</v>
      </c>
      <c r="K4632">
        <f t="shared" ca="1" si="384"/>
        <v>0</v>
      </c>
      <c r="L4632">
        <f t="shared" si="385"/>
        <v>4626</v>
      </c>
      <c r="M4632" s="71">
        <f t="shared" ca="1" si="386"/>
        <v>7.1648283302592004</v>
      </c>
    </row>
    <row r="4633" spans="1:13" x14ac:dyDescent="0.25">
      <c r="A4633" s="2">
        <v>4627</v>
      </c>
      <c r="B4633" s="11">
        <f t="shared" ca="1" si="382"/>
        <v>1</v>
      </c>
      <c r="C4633" s="26">
        <f t="shared" ca="1" si="381"/>
        <v>0.31575995176637994</v>
      </c>
      <c r="J4633">
        <f t="shared" ca="1" si="383"/>
        <v>1</v>
      </c>
      <c r="K4633">
        <f t="shared" ca="1" si="384"/>
        <v>0</v>
      </c>
      <c r="L4633">
        <f t="shared" si="385"/>
        <v>4627</v>
      </c>
      <c r="M4633" s="71">
        <f t="shared" ca="1" si="386"/>
        <v>14.006571318088682</v>
      </c>
    </row>
    <row r="4634" spans="1:13" x14ac:dyDescent="0.25">
      <c r="A4634" s="2">
        <v>4628</v>
      </c>
      <c r="B4634" s="11">
        <f t="shared" ca="1" si="382"/>
        <v>1</v>
      </c>
      <c r="C4634" s="26">
        <f t="shared" ca="1" si="381"/>
        <v>0.73595113333456474</v>
      </c>
      <c r="J4634">
        <f t="shared" ca="1" si="383"/>
        <v>1</v>
      </c>
      <c r="K4634">
        <f t="shared" ca="1" si="384"/>
        <v>0</v>
      </c>
      <c r="L4634">
        <f t="shared" si="385"/>
        <v>4628</v>
      </c>
      <c r="M4634" s="71">
        <f t="shared" ca="1" si="386"/>
        <v>7.5428665646300868</v>
      </c>
    </row>
    <row r="4635" spans="1:13" x14ac:dyDescent="0.25">
      <c r="A4635" s="2">
        <v>4629</v>
      </c>
      <c r="B4635" s="11">
        <f t="shared" ca="1" si="382"/>
        <v>1</v>
      </c>
      <c r="C4635" s="26">
        <f t="shared" ca="1" si="381"/>
        <v>0.49403056580651283</v>
      </c>
      <c r="J4635">
        <f t="shared" ca="1" si="383"/>
        <v>1</v>
      </c>
      <c r="K4635">
        <f t="shared" ca="1" si="384"/>
        <v>0</v>
      </c>
      <c r="L4635">
        <f t="shared" si="385"/>
        <v>4629</v>
      </c>
      <c r="M4635" s="71">
        <f t="shared" ca="1" si="386"/>
        <v>7.8283619074947186</v>
      </c>
    </row>
    <row r="4636" spans="1:13" x14ac:dyDescent="0.25">
      <c r="A4636" s="2">
        <v>4630</v>
      </c>
      <c r="B4636" s="11">
        <f t="shared" ca="1" si="382"/>
        <v>1</v>
      </c>
      <c r="C4636" s="26">
        <f t="shared" ca="1" si="381"/>
        <v>0.78640332273930469</v>
      </c>
      <c r="J4636">
        <f t="shared" ca="1" si="383"/>
        <v>1</v>
      </c>
      <c r="K4636">
        <f t="shared" ca="1" si="384"/>
        <v>0</v>
      </c>
      <c r="L4636">
        <f t="shared" si="385"/>
        <v>4630</v>
      </c>
      <c r="M4636" s="71">
        <f t="shared" ca="1" si="386"/>
        <v>2.5849081778641141</v>
      </c>
    </row>
    <row r="4637" spans="1:13" x14ac:dyDescent="0.25">
      <c r="A4637" s="2">
        <v>4631</v>
      </c>
      <c r="B4637" s="11">
        <f t="shared" ca="1" si="382"/>
        <v>1</v>
      </c>
      <c r="C4637" s="26">
        <f t="shared" ca="1" si="381"/>
        <v>0.70682760826840374</v>
      </c>
      <c r="J4637">
        <f t="shared" ca="1" si="383"/>
        <v>1</v>
      </c>
      <c r="K4637">
        <f t="shared" ca="1" si="384"/>
        <v>0</v>
      </c>
      <c r="L4637">
        <f t="shared" si="385"/>
        <v>4631</v>
      </c>
      <c r="M4637" s="71">
        <f t="shared" ca="1" si="386"/>
        <v>1.0080146067397611</v>
      </c>
    </row>
    <row r="4638" spans="1:13" x14ac:dyDescent="0.25">
      <c r="A4638" s="2">
        <v>4632</v>
      </c>
      <c r="B4638" s="11">
        <f t="shared" ca="1" si="382"/>
        <v>1</v>
      </c>
      <c r="C4638" s="26">
        <f t="shared" ca="1" si="381"/>
        <v>7.6762006006302452E-2</v>
      </c>
      <c r="J4638">
        <f t="shared" ca="1" si="383"/>
        <v>1</v>
      </c>
      <c r="K4638">
        <f t="shared" ca="1" si="384"/>
        <v>0</v>
      </c>
      <c r="L4638">
        <f t="shared" si="385"/>
        <v>4632</v>
      </c>
      <c r="M4638" s="71">
        <f t="shared" ca="1" si="386"/>
        <v>9.6098089192069072</v>
      </c>
    </row>
    <row r="4639" spans="1:13" x14ac:dyDescent="0.25">
      <c r="A4639" s="2">
        <v>4633</v>
      </c>
      <c r="B4639" s="11">
        <f t="shared" ca="1" si="382"/>
        <v>1</v>
      </c>
      <c r="C4639" s="26">
        <f t="shared" ca="1" si="381"/>
        <v>0.53003407228004706</v>
      </c>
      <c r="J4639">
        <f t="shared" ca="1" si="383"/>
        <v>1</v>
      </c>
      <c r="K4639">
        <f t="shared" ca="1" si="384"/>
        <v>0</v>
      </c>
      <c r="L4639">
        <f t="shared" si="385"/>
        <v>4633</v>
      </c>
      <c r="M4639" s="71">
        <f t="shared" ca="1" si="386"/>
        <v>14.539636321296351</v>
      </c>
    </row>
    <row r="4640" spans="1:13" x14ac:dyDescent="0.25">
      <c r="A4640" s="2">
        <v>4634</v>
      </c>
      <c r="B4640" s="11">
        <f t="shared" ca="1" si="382"/>
        <v>1</v>
      </c>
      <c r="C4640" s="26">
        <f t="shared" ca="1" si="381"/>
        <v>3.7727555104397625E-3</v>
      </c>
      <c r="J4640">
        <f t="shared" ca="1" si="383"/>
        <v>0</v>
      </c>
      <c r="K4640">
        <f t="shared" ca="1" si="384"/>
        <v>0</v>
      </c>
      <c r="L4640">
        <f t="shared" si="385"/>
        <v>4634</v>
      </c>
      <c r="M4640" s="71">
        <f t="shared" ca="1" si="386"/>
        <v>18.668069416179488</v>
      </c>
    </row>
    <row r="4641" spans="1:13" x14ac:dyDescent="0.25">
      <c r="A4641" s="2">
        <v>4635</v>
      </c>
      <c r="B4641" s="11">
        <f t="shared" ca="1" si="382"/>
        <v>0</v>
      </c>
      <c r="C4641" s="26">
        <f t="shared" ca="1" si="381"/>
        <v>0.88147380225534822</v>
      </c>
      <c r="J4641">
        <f t="shared" ca="1" si="383"/>
        <v>0</v>
      </c>
      <c r="K4641">
        <f t="shared" ca="1" si="384"/>
        <v>0</v>
      </c>
      <c r="L4641">
        <f t="shared" si="385"/>
        <v>4635</v>
      </c>
      <c r="M4641" s="71">
        <f t="shared" ca="1" si="386"/>
        <v>0</v>
      </c>
    </row>
    <row r="4642" spans="1:13" x14ac:dyDescent="0.25">
      <c r="A4642" s="2">
        <v>4636</v>
      </c>
      <c r="B4642" s="11">
        <f t="shared" ca="1" si="382"/>
        <v>1</v>
      </c>
      <c r="C4642" s="26">
        <f t="shared" ca="1" si="381"/>
        <v>0.63447039927040738</v>
      </c>
      <c r="J4642">
        <f t="shared" ca="1" si="383"/>
        <v>1</v>
      </c>
      <c r="K4642">
        <f t="shared" ca="1" si="384"/>
        <v>0</v>
      </c>
      <c r="L4642">
        <f t="shared" si="385"/>
        <v>4636</v>
      </c>
      <c r="M4642" s="71">
        <f t="shared" ca="1" si="386"/>
        <v>2.068615955759376</v>
      </c>
    </row>
    <row r="4643" spans="1:13" x14ac:dyDescent="0.25">
      <c r="A4643" s="2">
        <v>4637</v>
      </c>
      <c r="B4643" s="11">
        <f t="shared" ca="1" si="382"/>
        <v>1</v>
      </c>
      <c r="C4643" s="26">
        <f t="shared" ca="1" si="381"/>
        <v>0.10131323444940776</v>
      </c>
      <c r="J4643">
        <f t="shared" ca="1" si="383"/>
        <v>1</v>
      </c>
      <c r="K4643">
        <f t="shared" ca="1" si="384"/>
        <v>0</v>
      </c>
      <c r="L4643">
        <f t="shared" si="385"/>
        <v>4637</v>
      </c>
      <c r="M4643" s="71">
        <f t="shared" ca="1" si="386"/>
        <v>0.69947667181289952</v>
      </c>
    </row>
    <row r="4644" spans="1:13" x14ac:dyDescent="0.25">
      <c r="A4644" s="2">
        <v>4638</v>
      </c>
      <c r="B4644" s="11">
        <f t="shared" ca="1" si="382"/>
        <v>1</v>
      </c>
      <c r="C4644" s="26">
        <f t="shared" ca="1" si="381"/>
        <v>0.6400053854151857</v>
      </c>
      <c r="J4644">
        <f t="shared" ca="1" si="383"/>
        <v>1</v>
      </c>
      <c r="K4644">
        <f t="shared" ca="1" si="384"/>
        <v>0</v>
      </c>
      <c r="L4644">
        <f t="shared" si="385"/>
        <v>4638</v>
      </c>
      <c r="M4644" s="71">
        <f t="shared" ca="1" si="386"/>
        <v>0.97468460566128701</v>
      </c>
    </row>
    <row r="4645" spans="1:13" x14ac:dyDescent="0.25">
      <c r="A4645" s="2">
        <v>4639</v>
      </c>
      <c r="B4645" s="11">
        <f t="shared" ca="1" si="382"/>
        <v>1</v>
      </c>
      <c r="C4645" s="26">
        <f t="shared" ca="1" si="381"/>
        <v>0.51071030640971771</v>
      </c>
      <c r="J4645">
        <f t="shared" ca="1" si="383"/>
        <v>1</v>
      </c>
      <c r="K4645">
        <f t="shared" ca="1" si="384"/>
        <v>0</v>
      </c>
      <c r="L4645">
        <f t="shared" si="385"/>
        <v>4639</v>
      </c>
      <c r="M4645" s="71">
        <f t="shared" ca="1" si="386"/>
        <v>9.476740512088762</v>
      </c>
    </row>
    <row r="4646" spans="1:13" x14ac:dyDescent="0.25">
      <c r="A4646" s="2">
        <v>4640</v>
      </c>
      <c r="B4646" s="11">
        <f t="shared" ca="1" si="382"/>
        <v>1</v>
      </c>
      <c r="C4646" s="26">
        <f t="shared" ca="1" si="381"/>
        <v>0.34405991005131153</v>
      </c>
      <c r="J4646">
        <f t="shared" ca="1" si="383"/>
        <v>0</v>
      </c>
      <c r="K4646">
        <f t="shared" ca="1" si="384"/>
        <v>0</v>
      </c>
      <c r="L4646">
        <f t="shared" si="385"/>
        <v>4640</v>
      </c>
      <c r="M4646" s="71">
        <f t="shared" ca="1" si="386"/>
        <v>0.68139319620628191</v>
      </c>
    </row>
    <row r="4647" spans="1:13" x14ac:dyDescent="0.25">
      <c r="A4647" s="2">
        <v>4641</v>
      </c>
      <c r="B4647" s="11">
        <f t="shared" ca="1" si="382"/>
        <v>0</v>
      </c>
      <c r="C4647" s="26">
        <f t="shared" ca="1" si="381"/>
        <v>0.99353673243726404</v>
      </c>
      <c r="J4647">
        <f t="shared" ca="1" si="383"/>
        <v>0</v>
      </c>
      <c r="K4647">
        <f t="shared" ca="1" si="384"/>
        <v>0</v>
      </c>
      <c r="L4647">
        <f t="shared" si="385"/>
        <v>4641</v>
      </c>
      <c r="M4647" s="71">
        <f t="shared" ca="1" si="386"/>
        <v>0</v>
      </c>
    </row>
    <row r="4648" spans="1:13" x14ac:dyDescent="0.25">
      <c r="A4648" s="2">
        <v>4642</v>
      </c>
      <c r="B4648" s="11">
        <f t="shared" ca="1" si="382"/>
        <v>1</v>
      </c>
      <c r="C4648" s="26">
        <f t="shared" ca="1" si="381"/>
        <v>0.13870707305281915</v>
      </c>
      <c r="J4648">
        <f t="shared" ca="1" si="383"/>
        <v>1</v>
      </c>
      <c r="K4648">
        <f t="shared" ca="1" si="384"/>
        <v>0</v>
      </c>
      <c r="L4648">
        <f t="shared" si="385"/>
        <v>4642</v>
      </c>
      <c r="M4648" s="71">
        <f t="shared" ca="1" si="386"/>
        <v>2.3463047654763738</v>
      </c>
    </row>
    <row r="4649" spans="1:13" x14ac:dyDescent="0.25">
      <c r="A4649" s="2">
        <v>4643</v>
      </c>
      <c r="B4649" s="11">
        <f t="shared" ca="1" si="382"/>
        <v>1</v>
      </c>
      <c r="C4649" s="26">
        <f t="shared" ca="1" si="381"/>
        <v>0.26458716197879117</v>
      </c>
      <c r="J4649">
        <f t="shared" ca="1" si="383"/>
        <v>0</v>
      </c>
      <c r="K4649">
        <f t="shared" ca="1" si="384"/>
        <v>0</v>
      </c>
      <c r="L4649">
        <f t="shared" si="385"/>
        <v>4643</v>
      </c>
      <c r="M4649" s="71">
        <f t="shared" ca="1" si="386"/>
        <v>0.35558240055624307</v>
      </c>
    </row>
    <row r="4650" spans="1:13" x14ac:dyDescent="0.25">
      <c r="A4650" s="2">
        <v>4644</v>
      </c>
      <c r="B4650" s="11">
        <f t="shared" ca="1" si="382"/>
        <v>0</v>
      </c>
      <c r="C4650" s="26">
        <f t="shared" ca="1" si="381"/>
        <v>0.92887018083041095</v>
      </c>
      <c r="J4650">
        <f t="shared" ca="1" si="383"/>
        <v>0</v>
      </c>
      <c r="K4650">
        <f t="shared" ca="1" si="384"/>
        <v>0</v>
      </c>
      <c r="L4650">
        <f t="shared" si="385"/>
        <v>4644</v>
      </c>
      <c r="M4650" s="71">
        <f t="shared" ca="1" si="386"/>
        <v>0</v>
      </c>
    </row>
    <row r="4651" spans="1:13" x14ac:dyDescent="0.25">
      <c r="A4651" s="2">
        <v>4645</v>
      </c>
      <c r="B4651" s="11">
        <f t="shared" ca="1" si="382"/>
        <v>1</v>
      </c>
      <c r="C4651" s="26">
        <f t="shared" ca="1" si="381"/>
        <v>0.60946409891667197</v>
      </c>
      <c r="J4651">
        <f t="shared" ca="1" si="383"/>
        <v>0</v>
      </c>
      <c r="K4651">
        <f t="shared" ca="1" si="384"/>
        <v>0</v>
      </c>
      <c r="L4651">
        <f t="shared" si="385"/>
        <v>4645</v>
      </c>
      <c r="M4651" s="71">
        <f t="shared" ca="1" si="386"/>
        <v>1.5842974903051183</v>
      </c>
    </row>
    <row r="4652" spans="1:13" x14ac:dyDescent="0.25">
      <c r="A4652" s="2">
        <v>4646</v>
      </c>
      <c r="B4652" s="11">
        <f t="shared" ca="1" si="382"/>
        <v>0</v>
      </c>
      <c r="C4652" s="26">
        <f t="shared" ca="1" si="381"/>
        <v>0.80411273097025993</v>
      </c>
      <c r="J4652">
        <f t="shared" ca="1" si="383"/>
        <v>0</v>
      </c>
      <c r="K4652">
        <f t="shared" ca="1" si="384"/>
        <v>0</v>
      </c>
      <c r="L4652">
        <f t="shared" si="385"/>
        <v>4646</v>
      </c>
      <c r="M4652" s="71">
        <f t="shared" ca="1" si="386"/>
        <v>0</v>
      </c>
    </row>
    <row r="4653" spans="1:13" x14ac:dyDescent="0.25">
      <c r="A4653" s="2">
        <v>4647</v>
      </c>
      <c r="B4653" s="11">
        <f t="shared" ca="1" si="382"/>
        <v>1</v>
      </c>
      <c r="C4653" s="26">
        <f t="shared" ca="1" si="381"/>
        <v>0.36761804718781832</v>
      </c>
      <c r="J4653">
        <f t="shared" ca="1" si="383"/>
        <v>1</v>
      </c>
      <c r="K4653">
        <f t="shared" ca="1" si="384"/>
        <v>0</v>
      </c>
      <c r="L4653">
        <f t="shared" si="385"/>
        <v>4647</v>
      </c>
      <c r="M4653" s="71">
        <f t="shared" ca="1" si="386"/>
        <v>0.66934466336941867</v>
      </c>
    </row>
    <row r="4654" spans="1:13" x14ac:dyDescent="0.25">
      <c r="A4654" s="2">
        <v>4648</v>
      </c>
      <c r="B4654" s="11">
        <f t="shared" ca="1" si="382"/>
        <v>1</v>
      </c>
      <c r="C4654" s="26">
        <f t="shared" ca="1" si="381"/>
        <v>0.13135852393210834</v>
      </c>
      <c r="J4654">
        <f t="shared" ca="1" si="383"/>
        <v>1</v>
      </c>
      <c r="K4654">
        <f t="shared" ca="1" si="384"/>
        <v>0</v>
      </c>
      <c r="L4654">
        <f t="shared" si="385"/>
        <v>4648</v>
      </c>
      <c r="M4654" s="71">
        <f t="shared" ca="1" si="386"/>
        <v>0.44828213481742984</v>
      </c>
    </row>
    <row r="4655" spans="1:13" x14ac:dyDescent="0.25">
      <c r="A4655" s="2">
        <v>4649</v>
      </c>
      <c r="B4655" s="11">
        <f t="shared" ca="1" si="382"/>
        <v>1</v>
      </c>
      <c r="C4655" s="26">
        <f t="shared" ca="1" si="381"/>
        <v>5.3745697726397368E-2</v>
      </c>
      <c r="J4655">
        <f t="shared" ca="1" si="383"/>
        <v>0</v>
      </c>
      <c r="K4655">
        <f t="shared" ca="1" si="384"/>
        <v>0</v>
      </c>
      <c r="L4655">
        <f t="shared" si="385"/>
        <v>4649</v>
      </c>
      <c r="M4655" s="71">
        <f t="shared" ca="1" si="386"/>
        <v>1.9012072565737665</v>
      </c>
    </row>
    <row r="4656" spans="1:13" x14ac:dyDescent="0.25">
      <c r="A4656" s="2">
        <v>4650</v>
      </c>
      <c r="B4656" s="11">
        <f t="shared" ca="1" si="382"/>
        <v>0</v>
      </c>
      <c r="C4656" s="26">
        <f t="shared" ca="1" si="381"/>
        <v>0.94610518745979633</v>
      </c>
      <c r="J4656">
        <f t="shared" ca="1" si="383"/>
        <v>0</v>
      </c>
      <c r="K4656">
        <f t="shared" ca="1" si="384"/>
        <v>1</v>
      </c>
      <c r="L4656">
        <f t="shared" si="385"/>
        <v>4650</v>
      </c>
      <c r="M4656" s="71">
        <f t="shared" ca="1" si="386"/>
        <v>0</v>
      </c>
    </row>
    <row r="4657" spans="1:13" x14ac:dyDescent="0.25">
      <c r="A4657" s="2">
        <v>4651</v>
      </c>
      <c r="B4657" s="11">
        <f t="shared" ca="1" si="382"/>
        <v>0</v>
      </c>
      <c r="C4657" s="26">
        <f t="shared" ca="1" si="381"/>
        <v>0.96351322432279463</v>
      </c>
      <c r="J4657">
        <f t="shared" ca="1" si="383"/>
        <v>0</v>
      </c>
      <c r="K4657">
        <f t="shared" ca="1" si="384"/>
        <v>0</v>
      </c>
      <c r="L4657">
        <f t="shared" si="385"/>
        <v>4651</v>
      </c>
      <c r="M4657" s="71">
        <f t="shared" ca="1" si="386"/>
        <v>0</v>
      </c>
    </row>
    <row r="4658" spans="1:13" x14ac:dyDescent="0.25">
      <c r="A4658" s="2">
        <v>4652</v>
      </c>
      <c r="B4658" s="11">
        <f t="shared" ca="1" si="382"/>
        <v>1</v>
      </c>
      <c r="C4658" s="26">
        <f t="shared" ca="1" si="381"/>
        <v>8.068899972349719E-3</v>
      </c>
      <c r="J4658">
        <f t="shared" ca="1" si="383"/>
        <v>1</v>
      </c>
      <c r="K4658">
        <f t="shared" ca="1" si="384"/>
        <v>0</v>
      </c>
      <c r="L4658">
        <f t="shared" si="385"/>
        <v>4652</v>
      </c>
      <c r="M4658" s="71">
        <f t="shared" ca="1" si="386"/>
        <v>4.2201663648461487</v>
      </c>
    </row>
    <row r="4659" spans="1:13" x14ac:dyDescent="0.25">
      <c r="A4659" s="2">
        <v>4653</v>
      </c>
      <c r="B4659" s="11">
        <f t="shared" ca="1" si="382"/>
        <v>1</v>
      </c>
      <c r="C4659" s="26">
        <f t="shared" ca="1" si="381"/>
        <v>0.40487746896950372</v>
      </c>
      <c r="J4659">
        <f t="shared" ca="1" si="383"/>
        <v>1</v>
      </c>
      <c r="K4659">
        <f t="shared" ca="1" si="384"/>
        <v>0</v>
      </c>
      <c r="L4659">
        <f t="shared" si="385"/>
        <v>4653</v>
      </c>
      <c r="M4659" s="71">
        <f t="shared" ca="1" si="386"/>
        <v>3.2337407201094086</v>
      </c>
    </row>
    <row r="4660" spans="1:13" x14ac:dyDescent="0.25">
      <c r="A4660" s="2">
        <v>4654</v>
      </c>
      <c r="B4660" s="11">
        <f t="shared" ca="1" si="382"/>
        <v>1</v>
      </c>
      <c r="C4660" s="26">
        <f t="shared" ca="1" si="381"/>
        <v>0.5992369393217013</v>
      </c>
      <c r="J4660">
        <f t="shared" ca="1" si="383"/>
        <v>1</v>
      </c>
      <c r="K4660">
        <f t="shared" ca="1" si="384"/>
        <v>0</v>
      </c>
      <c r="L4660">
        <f t="shared" si="385"/>
        <v>4654</v>
      </c>
      <c r="M4660" s="71">
        <f t="shared" ca="1" si="386"/>
        <v>0.27952451607684342</v>
      </c>
    </row>
    <row r="4661" spans="1:13" x14ac:dyDescent="0.25">
      <c r="A4661" s="2">
        <v>4655</v>
      </c>
      <c r="B4661" s="11">
        <f t="shared" ca="1" si="382"/>
        <v>1</v>
      </c>
      <c r="C4661" s="26">
        <f t="shared" ca="1" si="381"/>
        <v>0.65550862911378871</v>
      </c>
      <c r="J4661">
        <f t="shared" ca="1" si="383"/>
        <v>1</v>
      </c>
      <c r="K4661">
        <f t="shared" ca="1" si="384"/>
        <v>0</v>
      </c>
      <c r="L4661">
        <f t="shared" si="385"/>
        <v>4655</v>
      </c>
      <c r="M4661" s="71">
        <f t="shared" ca="1" si="386"/>
        <v>0.64041040145960793</v>
      </c>
    </row>
    <row r="4662" spans="1:13" x14ac:dyDescent="0.25">
      <c r="A4662" s="2">
        <v>4656</v>
      </c>
      <c r="B4662" s="11">
        <f t="shared" ca="1" si="382"/>
        <v>1</v>
      </c>
      <c r="C4662" s="26">
        <f t="shared" ca="1" si="381"/>
        <v>1.6394532676123896E-3</v>
      </c>
      <c r="J4662">
        <f t="shared" ca="1" si="383"/>
        <v>1</v>
      </c>
      <c r="K4662">
        <f t="shared" ca="1" si="384"/>
        <v>0</v>
      </c>
      <c r="L4662">
        <f t="shared" si="385"/>
        <v>4656</v>
      </c>
      <c r="M4662" s="71">
        <f t="shared" ca="1" si="386"/>
        <v>5.6203954536424794</v>
      </c>
    </row>
    <row r="4663" spans="1:13" x14ac:dyDescent="0.25">
      <c r="A4663" s="2">
        <v>4657</v>
      </c>
      <c r="B4663" s="11">
        <f t="shared" ca="1" si="382"/>
        <v>1</v>
      </c>
      <c r="C4663" s="26">
        <f t="shared" ca="1" si="381"/>
        <v>0.47600672284471679</v>
      </c>
      <c r="J4663">
        <f t="shared" ca="1" si="383"/>
        <v>1</v>
      </c>
      <c r="K4663">
        <f t="shared" ca="1" si="384"/>
        <v>0</v>
      </c>
      <c r="L4663">
        <f t="shared" si="385"/>
        <v>4657</v>
      </c>
      <c r="M4663" s="71">
        <f t="shared" ca="1" si="386"/>
        <v>0.55659557214332867</v>
      </c>
    </row>
    <row r="4664" spans="1:13" x14ac:dyDescent="0.25">
      <c r="A4664" s="2">
        <v>4658</v>
      </c>
      <c r="B4664" s="11">
        <f t="shared" ca="1" si="382"/>
        <v>1</v>
      </c>
      <c r="C4664" s="26">
        <f t="shared" ca="1" si="381"/>
        <v>0.6889144730095057</v>
      </c>
      <c r="J4664">
        <f t="shared" ca="1" si="383"/>
        <v>1</v>
      </c>
      <c r="K4664">
        <f t="shared" ca="1" si="384"/>
        <v>0</v>
      </c>
      <c r="L4664">
        <f t="shared" si="385"/>
        <v>4658</v>
      </c>
      <c r="M4664" s="71">
        <f t="shared" ca="1" si="386"/>
        <v>2.1530822762278325</v>
      </c>
    </row>
    <row r="4665" spans="1:13" x14ac:dyDescent="0.25">
      <c r="A4665" s="2">
        <v>4659</v>
      </c>
      <c r="B4665" s="11">
        <f t="shared" ca="1" si="382"/>
        <v>1</v>
      </c>
      <c r="C4665" s="26">
        <f t="shared" ca="1" si="381"/>
        <v>0.16786868469195193</v>
      </c>
      <c r="J4665">
        <f t="shared" ca="1" si="383"/>
        <v>1</v>
      </c>
      <c r="K4665">
        <f t="shared" ca="1" si="384"/>
        <v>0</v>
      </c>
      <c r="L4665">
        <f t="shared" si="385"/>
        <v>4659</v>
      </c>
      <c r="M4665" s="71">
        <f t="shared" ca="1" si="386"/>
        <v>3.5383274773475306</v>
      </c>
    </row>
    <row r="4666" spans="1:13" x14ac:dyDescent="0.25">
      <c r="A4666" s="2">
        <v>4660</v>
      </c>
      <c r="B4666" s="11">
        <f t="shared" ca="1" si="382"/>
        <v>1</v>
      </c>
      <c r="C4666" s="26">
        <f t="shared" ca="1" si="381"/>
        <v>0.36755604078253334</v>
      </c>
      <c r="J4666">
        <f t="shared" ca="1" si="383"/>
        <v>1</v>
      </c>
      <c r="K4666">
        <f t="shared" ca="1" si="384"/>
        <v>0</v>
      </c>
      <c r="L4666">
        <f t="shared" si="385"/>
        <v>4660</v>
      </c>
      <c r="M4666" s="71">
        <f t="shared" ca="1" si="386"/>
        <v>7.6966772980698659</v>
      </c>
    </row>
    <row r="4667" spans="1:13" x14ac:dyDescent="0.25">
      <c r="A4667" s="2">
        <v>4661</v>
      </c>
      <c r="B4667" s="11">
        <f t="shared" ca="1" si="382"/>
        <v>1</v>
      </c>
      <c r="C4667" s="26">
        <f t="shared" ca="1" si="381"/>
        <v>0.14724447084468373</v>
      </c>
      <c r="J4667">
        <f t="shared" ca="1" si="383"/>
        <v>1</v>
      </c>
      <c r="K4667">
        <f t="shared" ca="1" si="384"/>
        <v>0</v>
      </c>
      <c r="L4667">
        <f t="shared" si="385"/>
        <v>4661</v>
      </c>
      <c r="M4667" s="71">
        <f t="shared" ca="1" si="386"/>
        <v>3.5771270746933101</v>
      </c>
    </row>
    <row r="4668" spans="1:13" x14ac:dyDescent="0.25">
      <c r="A4668" s="2">
        <v>4662</v>
      </c>
      <c r="B4668" s="11">
        <f t="shared" ca="1" si="382"/>
        <v>1</v>
      </c>
      <c r="C4668" s="26">
        <f t="shared" ca="1" si="381"/>
        <v>0.64820146818383517</v>
      </c>
      <c r="J4668">
        <f t="shared" ca="1" si="383"/>
        <v>1</v>
      </c>
      <c r="K4668">
        <f t="shared" ca="1" si="384"/>
        <v>0</v>
      </c>
      <c r="L4668">
        <f t="shared" si="385"/>
        <v>4662</v>
      </c>
      <c r="M4668" s="71">
        <f t="shared" ca="1" si="386"/>
        <v>2.8297017224355336</v>
      </c>
    </row>
    <row r="4669" spans="1:13" x14ac:dyDescent="0.25">
      <c r="A4669" s="2">
        <v>4663</v>
      </c>
      <c r="B4669" s="11">
        <f t="shared" ca="1" si="382"/>
        <v>1</v>
      </c>
      <c r="C4669" s="26">
        <f t="shared" ca="1" si="381"/>
        <v>0.24338945879427232</v>
      </c>
      <c r="J4669">
        <f t="shared" ca="1" si="383"/>
        <v>1</v>
      </c>
      <c r="K4669">
        <f t="shared" ca="1" si="384"/>
        <v>0</v>
      </c>
      <c r="L4669">
        <f t="shared" si="385"/>
        <v>4663</v>
      </c>
      <c r="M4669" s="71">
        <f t="shared" ca="1" si="386"/>
        <v>0.90090559637084078</v>
      </c>
    </row>
    <row r="4670" spans="1:13" x14ac:dyDescent="0.25">
      <c r="A4670" s="2">
        <v>4664</v>
      </c>
      <c r="B4670" s="11">
        <f t="shared" ca="1" si="382"/>
        <v>1</v>
      </c>
      <c r="C4670" s="26">
        <f t="shared" ca="1" si="381"/>
        <v>0.15866761934504081</v>
      </c>
      <c r="J4670">
        <f t="shared" ca="1" si="383"/>
        <v>1</v>
      </c>
      <c r="K4670">
        <f t="shared" ca="1" si="384"/>
        <v>0</v>
      </c>
      <c r="L4670">
        <f t="shared" si="385"/>
        <v>4664</v>
      </c>
      <c r="M4670" s="71">
        <f t="shared" ca="1" si="386"/>
        <v>3.751938071558329</v>
      </c>
    </row>
    <row r="4671" spans="1:13" x14ac:dyDescent="0.25">
      <c r="A4671" s="2">
        <v>4665</v>
      </c>
      <c r="B4671" s="11">
        <f t="shared" ca="1" si="382"/>
        <v>1</v>
      </c>
      <c r="C4671" s="26">
        <f t="shared" ca="1" si="381"/>
        <v>0.41447767831275673</v>
      </c>
      <c r="J4671">
        <f t="shared" ca="1" si="383"/>
        <v>1</v>
      </c>
      <c r="K4671">
        <f t="shared" ca="1" si="384"/>
        <v>0</v>
      </c>
      <c r="L4671">
        <f t="shared" si="385"/>
        <v>4665</v>
      </c>
      <c r="M4671" s="71">
        <f t="shared" ca="1" si="386"/>
        <v>4.5360021610577528</v>
      </c>
    </row>
    <row r="4672" spans="1:13" x14ac:dyDescent="0.25">
      <c r="A4672" s="2">
        <v>4666</v>
      </c>
      <c r="B4672" s="11">
        <f t="shared" ca="1" si="382"/>
        <v>1</v>
      </c>
      <c r="C4672" s="26">
        <f t="shared" ca="1" si="381"/>
        <v>0.25179648327589599</v>
      </c>
      <c r="J4672">
        <f t="shared" ca="1" si="383"/>
        <v>1</v>
      </c>
      <c r="K4672">
        <f t="shared" ca="1" si="384"/>
        <v>0</v>
      </c>
      <c r="L4672">
        <f t="shared" si="385"/>
        <v>4666</v>
      </c>
      <c r="M4672" s="71">
        <f t="shared" ca="1" si="386"/>
        <v>0.59691637272130083</v>
      </c>
    </row>
    <row r="4673" spans="1:13" x14ac:dyDescent="0.25">
      <c r="A4673" s="2">
        <v>4667</v>
      </c>
      <c r="B4673" s="11">
        <f t="shared" ca="1" si="382"/>
        <v>1</v>
      </c>
      <c r="C4673" s="26">
        <f t="shared" ca="1" si="381"/>
        <v>0.33631909795346249</v>
      </c>
      <c r="J4673">
        <f t="shared" ca="1" si="383"/>
        <v>1</v>
      </c>
      <c r="K4673">
        <f t="shared" ca="1" si="384"/>
        <v>0</v>
      </c>
      <c r="L4673">
        <f t="shared" si="385"/>
        <v>4667</v>
      </c>
      <c r="M4673" s="71">
        <f t="shared" ca="1" si="386"/>
        <v>1.9670336168124609</v>
      </c>
    </row>
    <row r="4674" spans="1:13" x14ac:dyDescent="0.25">
      <c r="A4674" s="2">
        <v>4668</v>
      </c>
      <c r="B4674" s="11">
        <f t="shared" ca="1" si="382"/>
        <v>1</v>
      </c>
      <c r="C4674" s="26">
        <f t="shared" ca="1" si="381"/>
        <v>0.31022598978719518</v>
      </c>
      <c r="J4674">
        <f t="shared" ca="1" si="383"/>
        <v>1</v>
      </c>
      <c r="K4674">
        <f t="shared" ca="1" si="384"/>
        <v>0</v>
      </c>
      <c r="L4674">
        <f t="shared" si="385"/>
        <v>4668</v>
      </c>
      <c r="M4674" s="71">
        <f t="shared" ca="1" si="386"/>
        <v>0.47249742962339164</v>
      </c>
    </row>
    <row r="4675" spans="1:13" x14ac:dyDescent="0.25">
      <c r="A4675" s="2">
        <v>4669</v>
      </c>
      <c r="B4675" s="11">
        <f t="shared" ca="1" si="382"/>
        <v>1</v>
      </c>
      <c r="C4675" s="26">
        <f t="shared" ca="1" si="381"/>
        <v>0.22493535170478318</v>
      </c>
      <c r="J4675">
        <f t="shared" ca="1" si="383"/>
        <v>1</v>
      </c>
      <c r="K4675">
        <f t="shared" ca="1" si="384"/>
        <v>0</v>
      </c>
      <c r="L4675">
        <f t="shared" si="385"/>
        <v>4669</v>
      </c>
      <c r="M4675" s="71">
        <f t="shared" ca="1" si="386"/>
        <v>4.0537906217230937</v>
      </c>
    </row>
    <row r="4676" spans="1:13" x14ac:dyDescent="0.25">
      <c r="A4676" s="2">
        <v>4670</v>
      </c>
      <c r="B4676" s="11">
        <f t="shared" ca="1" si="382"/>
        <v>1</v>
      </c>
      <c r="C4676" s="26">
        <f t="shared" ca="1" si="381"/>
        <v>0.20972560816880326</v>
      </c>
      <c r="J4676">
        <f t="shared" ca="1" si="383"/>
        <v>0</v>
      </c>
      <c r="K4676">
        <f t="shared" ca="1" si="384"/>
        <v>0</v>
      </c>
      <c r="L4676">
        <f t="shared" si="385"/>
        <v>4670</v>
      </c>
      <c r="M4676" s="71">
        <f t="shared" ca="1" si="386"/>
        <v>1.6824703176944111</v>
      </c>
    </row>
    <row r="4677" spans="1:13" x14ac:dyDescent="0.25">
      <c r="A4677" s="2">
        <v>4671</v>
      </c>
      <c r="B4677" s="11">
        <f t="shared" ca="1" si="382"/>
        <v>0</v>
      </c>
      <c r="C4677" s="26">
        <f t="shared" ca="1" si="381"/>
        <v>0.87457229080807897</v>
      </c>
      <c r="J4677">
        <f t="shared" ca="1" si="383"/>
        <v>0</v>
      </c>
      <c r="K4677">
        <f t="shared" ca="1" si="384"/>
        <v>0</v>
      </c>
      <c r="L4677">
        <f t="shared" si="385"/>
        <v>4671</v>
      </c>
      <c r="M4677" s="71">
        <f t="shared" ca="1" si="386"/>
        <v>0</v>
      </c>
    </row>
    <row r="4678" spans="1:13" x14ac:dyDescent="0.25">
      <c r="A4678" s="2">
        <v>4672</v>
      </c>
      <c r="B4678" s="11">
        <f t="shared" ca="1" si="382"/>
        <v>1</v>
      </c>
      <c r="C4678" s="26">
        <f t="shared" ca="1" si="381"/>
        <v>0.17842297144561248</v>
      </c>
      <c r="J4678">
        <f t="shared" ca="1" si="383"/>
        <v>1</v>
      </c>
      <c r="K4678">
        <f t="shared" ca="1" si="384"/>
        <v>0</v>
      </c>
      <c r="L4678">
        <f t="shared" si="385"/>
        <v>4672</v>
      </c>
      <c r="M4678" s="71">
        <f t="shared" ca="1" si="386"/>
        <v>3.4939286520055894</v>
      </c>
    </row>
    <row r="4679" spans="1:13" x14ac:dyDescent="0.25">
      <c r="A4679" s="2">
        <v>4673</v>
      </c>
      <c r="B4679" s="11">
        <f t="shared" ca="1" si="382"/>
        <v>1</v>
      </c>
      <c r="C4679" s="26">
        <f t="shared" ca="1" si="381"/>
        <v>0.36317207854446854</v>
      </c>
      <c r="J4679">
        <f t="shared" ca="1" si="383"/>
        <v>0</v>
      </c>
      <c r="K4679">
        <f t="shared" ca="1" si="384"/>
        <v>0</v>
      </c>
      <c r="L4679">
        <f t="shared" si="385"/>
        <v>4673</v>
      </c>
      <c r="M4679" s="71">
        <f t="shared" ca="1" si="386"/>
        <v>2.1571971816379674</v>
      </c>
    </row>
    <row r="4680" spans="1:13" x14ac:dyDescent="0.25">
      <c r="A4680" s="2">
        <v>4674</v>
      </c>
      <c r="B4680" s="11">
        <f t="shared" ca="1" si="382"/>
        <v>0</v>
      </c>
      <c r="C4680" s="26">
        <f t="shared" ref="C4680:C4743" ca="1" si="387">RAND()</f>
        <v>0.96528387483958311</v>
      </c>
      <c r="J4680">
        <f t="shared" ca="1" si="383"/>
        <v>0</v>
      </c>
      <c r="K4680">
        <f t="shared" ca="1" si="384"/>
        <v>0</v>
      </c>
      <c r="L4680">
        <f t="shared" si="385"/>
        <v>4674</v>
      </c>
      <c r="M4680" s="71">
        <f t="shared" ca="1" si="386"/>
        <v>0</v>
      </c>
    </row>
    <row r="4681" spans="1:13" x14ac:dyDescent="0.25">
      <c r="A4681" s="2">
        <v>4675</v>
      </c>
      <c r="B4681" s="11">
        <f t="shared" ref="B4681:B4744" ca="1" si="388">IF(B4680&gt;0,IF(C4681&lt;pww,1,0),IF(C4681&lt;pdw,1,0))</f>
        <v>1</v>
      </c>
      <c r="C4681" s="26">
        <f t="shared" ca="1" si="387"/>
        <v>0.4241257258870077</v>
      </c>
      <c r="J4681">
        <f t="shared" ca="1" si="383"/>
        <v>1</v>
      </c>
      <c r="K4681">
        <f t="shared" ca="1" si="384"/>
        <v>0</v>
      </c>
      <c r="L4681">
        <f t="shared" si="385"/>
        <v>4675</v>
      </c>
      <c r="M4681" s="71">
        <f t="shared" ca="1" si="386"/>
        <v>4.7321783901478991</v>
      </c>
    </row>
    <row r="4682" spans="1:13" x14ac:dyDescent="0.25">
      <c r="A4682" s="2">
        <v>4676</v>
      </c>
      <c r="B4682" s="11">
        <f t="shared" ca="1" si="388"/>
        <v>1</v>
      </c>
      <c r="C4682" s="26">
        <f t="shared" ca="1" si="387"/>
        <v>0.45233839214087879</v>
      </c>
      <c r="J4682">
        <f t="shared" ref="J4682:J4745" ca="1" si="389">IF(AND(B4682,B4683),1,0)</f>
        <v>1</v>
      </c>
      <c r="K4682">
        <f t="shared" ref="K4682:K4745" ca="1" si="390">IF(AND(NOT(B4682),NOT(B4683)),1,0)</f>
        <v>0</v>
      </c>
      <c r="L4682">
        <f t="shared" ref="L4682:L4745" si="391">L4681+1</f>
        <v>4676</v>
      </c>
      <c r="M4682" s="71">
        <f t="shared" ref="M4682:M4745" ca="1" si="392">IF(B4682&gt;0,-LN(1-(RAND()))/lambda,0)</f>
        <v>6.0856636362094703</v>
      </c>
    </row>
    <row r="4683" spans="1:13" x14ac:dyDescent="0.25">
      <c r="A4683" s="2">
        <v>4677</v>
      </c>
      <c r="B4683" s="11">
        <f t="shared" ca="1" si="388"/>
        <v>1</v>
      </c>
      <c r="C4683" s="26">
        <f t="shared" ca="1" si="387"/>
        <v>0.73500756365333841</v>
      </c>
      <c r="J4683">
        <f t="shared" ca="1" si="389"/>
        <v>1</v>
      </c>
      <c r="K4683">
        <f t="shared" ca="1" si="390"/>
        <v>0</v>
      </c>
      <c r="L4683">
        <f t="shared" si="391"/>
        <v>4677</v>
      </c>
      <c r="M4683" s="71">
        <f t="shared" ca="1" si="392"/>
        <v>6.838230788765193</v>
      </c>
    </row>
    <row r="4684" spans="1:13" x14ac:dyDescent="0.25">
      <c r="A4684" s="2">
        <v>4678</v>
      </c>
      <c r="B4684" s="11">
        <f t="shared" ca="1" si="388"/>
        <v>1</v>
      </c>
      <c r="C4684" s="26">
        <f t="shared" ca="1" si="387"/>
        <v>0.56878982033405445</v>
      </c>
      <c r="J4684">
        <f t="shared" ca="1" si="389"/>
        <v>1</v>
      </c>
      <c r="K4684">
        <f t="shared" ca="1" si="390"/>
        <v>0</v>
      </c>
      <c r="L4684">
        <f t="shared" si="391"/>
        <v>4678</v>
      </c>
      <c r="M4684" s="71">
        <f t="shared" ca="1" si="392"/>
        <v>0.22659875055642015</v>
      </c>
    </row>
    <row r="4685" spans="1:13" x14ac:dyDescent="0.25">
      <c r="A4685" s="2">
        <v>4679</v>
      </c>
      <c r="B4685" s="11">
        <f t="shared" ca="1" si="388"/>
        <v>1</v>
      </c>
      <c r="C4685" s="26">
        <f t="shared" ca="1" si="387"/>
        <v>3.1006625803400523E-2</v>
      </c>
      <c r="J4685">
        <f t="shared" ca="1" si="389"/>
        <v>1</v>
      </c>
      <c r="K4685">
        <f t="shared" ca="1" si="390"/>
        <v>0</v>
      </c>
      <c r="L4685">
        <f t="shared" si="391"/>
        <v>4679</v>
      </c>
      <c r="M4685" s="71">
        <f t="shared" ca="1" si="392"/>
        <v>4.06198901329787</v>
      </c>
    </row>
    <row r="4686" spans="1:13" x14ac:dyDescent="0.25">
      <c r="A4686" s="2">
        <v>4680</v>
      </c>
      <c r="B4686" s="11">
        <f t="shared" ca="1" si="388"/>
        <v>1</v>
      </c>
      <c r="C4686" s="26">
        <f t="shared" ca="1" si="387"/>
        <v>0.14223363089049457</v>
      </c>
      <c r="J4686">
        <f t="shared" ca="1" si="389"/>
        <v>1</v>
      </c>
      <c r="K4686">
        <f t="shared" ca="1" si="390"/>
        <v>0</v>
      </c>
      <c r="L4686">
        <f t="shared" si="391"/>
        <v>4680</v>
      </c>
      <c r="M4686" s="71">
        <f t="shared" ca="1" si="392"/>
        <v>2.1504067604095285</v>
      </c>
    </row>
    <row r="4687" spans="1:13" x14ac:dyDescent="0.25">
      <c r="A4687" s="2">
        <v>4681</v>
      </c>
      <c r="B4687" s="11">
        <f t="shared" ca="1" si="388"/>
        <v>1</v>
      </c>
      <c r="C4687" s="26">
        <f t="shared" ca="1" si="387"/>
        <v>0.77057248284187885</v>
      </c>
      <c r="J4687">
        <f t="shared" ca="1" si="389"/>
        <v>0</v>
      </c>
      <c r="K4687">
        <f t="shared" ca="1" si="390"/>
        <v>0</v>
      </c>
      <c r="L4687">
        <f t="shared" si="391"/>
        <v>4681</v>
      </c>
      <c r="M4687" s="71">
        <f t="shared" ca="1" si="392"/>
        <v>2.1933021679507378</v>
      </c>
    </row>
    <row r="4688" spans="1:13" x14ac:dyDescent="0.25">
      <c r="A4688" s="2">
        <v>4682</v>
      </c>
      <c r="B4688" s="11">
        <f t="shared" ca="1" si="388"/>
        <v>0</v>
      </c>
      <c r="C4688" s="26">
        <f t="shared" ca="1" si="387"/>
        <v>0.98882469013013541</v>
      </c>
      <c r="J4688">
        <f t="shared" ca="1" si="389"/>
        <v>0</v>
      </c>
      <c r="K4688">
        <f t="shared" ca="1" si="390"/>
        <v>1</v>
      </c>
      <c r="L4688">
        <f t="shared" si="391"/>
        <v>4682</v>
      </c>
      <c r="M4688" s="71">
        <f t="shared" ca="1" si="392"/>
        <v>0</v>
      </c>
    </row>
    <row r="4689" spans="1:13" x14ac:dyDescent="0.25">
      <c r="A4689" s="2">
        <v>4683</v>
      </c>
      <c r="B4689" s="11">
        <f t="shared" ca="1" si="388"/>
        <v>0</v>
      </c>
      <c r="C4689" s="26">
        <f t="shared" ca="1" si="387"/>
        <v>0.9916604400942054</v>
      </c>
      <c r="J4689">
        <f t="shared" ca="1" si="389"/>
        <v>0</v>
      </c>
      <c r="K4689">
        <f t="shared" ca="1" si="390"/>
        <v>0</v>
      </c>
      <c r="L4689">
        <f t="shared" si="391"/>
        <v>4683</v>
      </c>
      <c r="M4689" s="71">
        <f t="shared" ca="1" si="392"/>
        <v>0</v>
      </c>
    </row>
    <row r="4690" spans="1:13" x14ac:dyDescent="0.25">
      <c r="A4690" s="2">
        <v>4684</v>
      </c>
      <c r="B4690" s="11">
        <f t="shared" ca="1" si="388"/>
        <v>1</v>
      </c>
      <c r="C4690" s="26">
        <f t="shared" ca="1" si="387"/>
        <v>0.46660886007549041</v>
      </c>
      <c r="J4690">
        <f t="shared" ca="1" si="389"/>
        <v>0</v>
      </c>
      <c r="K4690">
        <f t="shared" ca="1" si="390"/>
        <v>0</v>
      </c>
      <c r="L4690">
        <f t="shared" si="391"/>
        <v>4684</v>
      </c>
      <c r="M4690" s="71">
        <f t="shared" ca="1" si="392"/>
        <v>3.5399621925981037</v>
      </c>
    </row>
    <row r="4691" spans="1:13" x14ac:dyDescent="0.25">
      <c r="A4691" s="2">
        <v>4685</v>
      </c>
      <c r="B4691" s="11">
        <f t="shared" ca="1" si="388"/>
        <v>0</v>
      </c>
      <c r="C4691" s="26">
        <f t="shared" ca="1" si="387"/>
        <v>0.88554508052880421</v>
      </c>
      <c r="J4691">
        <f t="shared" ca="1" si="389"/>
        <v>0</v>
      </c>
      <c r="K4691">
        <f t="shared" ca="1" si="390"/>
        <v>0</v>
      </c>
      <c r="L4691">
        <f t="shared" si="391"/>
        <v>4685</v>
      </c>
      <c r="M4691" s="71">
        <f t="shared" ca="1" si="392"/>
        <v>0</v>
      </c>
    </row>
    <row r="4692" spans="1:13" x14ac:dyDescent="0.25">
      <c r="A4692" s="2">
        <v>4686</v>
      </c>
      <c r="B4692" s="11">
        <f t="shared" ca="1" si="388"/>
        <v>1</v>
      </c>
      <c r="C4692" s="26">
        <f t="shared" ca="1" si="387"/>
        <v>0.4363951922669288</v>
      </c>
      <c r="J4692">
        <f t="shared" ca="1" si="389"/>
        <v>1</v>
      </c>
      <c r="K4692">
        <f t="shared" ca="1" si="390"/>
        <v>0</v>
      </c>
      <c r="L4692">
        <f t="shared" si="391"/>
        <v>4686</v>
      </c>
      <c r="M4692" s="71">
        <f t="shared" ca="1" si="392"/>
        <v>2.044020415659058</v>
      </c>
    </row>
    <row r="4693" spans="1:13" x14ac:dyDescent="0.25">
      <c r="A4693" s="2">
        <v>4687</v>
      </c>
      <c r="B4693" s="11">
        <f t="shared" ca="1" si="388"/>
        <v>1</v>
      </c>
      <c r="C4693" s="26">
        <f t="shared" ca="1" si="387"/>
        <v>0.53461151683899677</v>
      </c>
      <c r="J4693">
        <f t="shared" ca="1" si="389"/>
        <v>1</v>
      </c>
      <c r="K4693">
        <f t="shared" ca="1" si="390"/>
        <v>0</v>
      </c>
      <c r="L4693">
        <f t="shared" si="391"/>
        <v>4687</v>
      </c>
      <c r="M4693" s="71">
        <f t="shared" ca="1" si="392"/>
        <v>3.2183953856247052</v>
      </c>
    </row>
    <row r="4694" spans="1:13" x14ac:dyDescent="0.25">
      <c r="A4694" s="2">
        <v>4688</v>
      </c>
      <c r="B4694" s="11">
        <f t="shared" ca="1" si="388"/>
        <v>1</v>
      </c>
      <c r="C4694" s="26">
        <f t="shared" ca="1" si="387"/>
        <v>0.75665779790876342</v>
      </c>
      <c r="J4694">
        <f t="shared" ca="1" si="389"/>
        <v>1</v>
      </c>
      <c r="K4694">
        <f t="shared" ca="1" si="390"/>
        <v>0</v>
      </c>
      <c r="L4694">
        <f t="shared" si="391"/>
        <v>4688</v>
      </c>
      <c r="M4694" s="71">
        <f t="shared" ca="1" si="392"/>
        <v>15.585083609130173</v>
      </c>
    </row>
    <row r="4695" spans="1:13" x14ac:dyDescent="0.25">
      <c r="A4695" s="2">
        <v>4689</v>
      </c>
      <c r="B4695" s="11">
        <f t="shared" ca="1" si="388"/>
        <v>1</v>
      </c>
      <c r="C4695" s="26">
        <f t="shared" ca="1" si="387"/>
        <v>0.69008672341225297</v>
      </c>
      <c r="J4695">
        <f t="shared" ca="1" si="389"/>
        <v>1</v>
      </c>
      <c r="K4695">
        <f t="shared" ca="1" si="390"/>
        <v>0</v>
      </c>
      <c r="L4695">
        <f t="shared" si="391"/>
        <v>4689</v>
      </c>
      <c r="M4695" s="71">
        <f t="shared" ca="1" si="392"/>
        <v>0.81257798050353525</v>
      </c>
    </row>
    <row r="4696" spans="1:13" x14ac:dyDescent="0.25">
      <c r="A4696" s="2">
        <v>4690</v>
      </c>
      <c r="B4696" s="11">
        <f t="shared" ca="1" si="388"/>
        <v>1</v>
      </c>
      <c r="C4696" s="26">
        <f t="shared" ca="1" si="387"/>
        <v>0.4204031017083526</v>
      </c>
      <c r="J4696">
        <f t="shared" ca="1" si="389"/>
        <v>1</v>
      </c>
      <c r="K4696">
        <f t="shared" ca="1" si="390"/>
        <v>0</v>
      </c>
      <c r="L4696">
        <f t="shared" si="391"/>
        <v>4690</v>
      </c>
      <c r="M4696" s="71">
        <f t="shared" ca="1" si="392"/>
        <v>4.5509212090280267</v>
      </c>
    </row>
    <row r="4697" spans="1:13" x14ac:dyDescent="0.25">
      <c r="A4697" s="2">
        <v>4691</v>
      </c>
      <c r="B4697" s="11">
        <f t="shared" ca="1" si="388"/>
        <v>1</v>
      </c>
      <c r="C4697" s="26">
        <f t="shared" ca="1" si="387"/>
        <v>0.20931871951511127</v>
      </c>
      <c r="J4697">
        <f t="shared" ca="1" si="389"/>
        <v>1</v>
      </c>
      <c r="K4697">
        <f t="shared" ca="1" si="390"/>
        <v>0</v>
      </c>
      <c r="L4697">
        <f t="shared" si="391"/>
        <v>4691</v>
      </c>
      <c r="M4697" s="71">
        <f t="shared" ca="1" si="392"/>
        <v>3.1708717295622968</v>
      </c>
    </row>
    <row r="4698" spans="1:13" x14ac:dyDescent="0.25">
      <c r="A4698" s="2">
        <v>4692</v>
      </c>
      <c r="B4698" s="11">
        <f t="shared" ca="1" si="388"/>
        <v>1</v>
      </c>
      <c r="C4698" s="26">
        <f t="shared" ca="1" si="387"/>
        <v>0.63099932359458999</v>
      </c>
      <c r="J4698">
        <f t="shared" ca="1" si="389"/>
        <v>1</v>
      </c>
      <c r="K4698">
        <f t="shared" ca="1" si="390"/>
        <v>0</v>
      </c>
      <c r="L4698">
        <f t="shared" si="391"/>
        <v>4692</v>
      </c>
      <c r="M4698" s="71">
        <f t="shared" ca="1" si="392"/>
        <v>5.6101207420676777</v>
      </c>
    </row>
    <row r="4699" spans="1:13" x14ac:dyDescent="0.25">
      <c r="A4699" s="2">
        <v>4693</v>
      </c>
      <c r="B4699" s="11">
        <f t="shared" ca="1" si="388"/>
        <v>1</v>
      </c>
      <c r="C4699" s="26">
        <f t="shared" ca="1" si="387"/>
        <v>0.25625364345387658</v>
      </c>
      <c r="J4699">
        <f t="shared" ca="1" si="389"/>
        <v>1</v>
      </c>
      <c r="K4699">
        <f t="shared" ca="1" si="390"/>
        <v>0</v>
      </c>
      <c r="L4699">
        <f t="shared" si="391"/>
        <v>4693</v>
      </c>
      <c r="M4699" s="71">
        <f t="shared" ca="1" si="392"/>
        <v>3.1705761899433225</v>
      </c>
    </row>
    <row r="4700" spans="1:13" x14ac:dyDescent="0.25">
      <c r="A4700" s="2">
        <v>4694</v>
      </c>
      <c r="B4700" s="11">
        <f t="shared" ca="1" si="388"/>
        <v>1</v>
      </c>
      <c r="C4700" s="26">
        <f t="shared" ca="1" si="387"/>
        <v>0.46539404196574874</v>
      </c>
      <c r="J4700">
        <f t="shared" ca="1" si="389"/>
        <v>1</v>
      </c>
      <c r="K4700">
        <f t="shared" ca="1" si="390"/>
        <v>0</v>
      </c>
      <c r="L4700">
        <f t="shared" si="391"/>
        <v>4694</v>
      </c>
      <c r="M4700" s="71">
        <f t="shared" ca="1" si="392"/>
        <v>14.592763248413776</v>
      </c>
    </row>
    <row r="4701" spans="1:13" x14ac:dyDescent="0.25">
      <c r="A4701" s="2">
        <v>4695</v>
      </c>
      <c r="B4701" s="11">
        <f t="shared" ca="1" si="388"/>
        <v>1</v>
      </c>
      <c r="C4701" s="26">
        <f t="shared" ca="1" si="387"/>
        <v>0.51163295665449315</v>
      </c>
      <c r="J4701">
        <f t="shared" ca="1" si="389"/>
        <v>1</v>
      </c>
      <c r="K4701">
        <f t="shared" ca="1" si="390"/>
        <v>0</v>
      </c>
      <c r="L4701">
        <f t="shared" si="391"/>
        <v>4695</v>
      </c>
      <c r="M4701" s="71">
        <f t="shared" ca="1" si="392"/>
        <v>2.0953360484835692</v>
      </c>
    </row>
    <row r="4702" spans="1:13" x14ac:dyDescent="0.25">
      <c r="A4702" s="2">
        <v>4696</v>
      </c>
      <c r="B4702" s="11">
        <f t="shared" ca="1" si="388"/>
        <v>1</v>
      </c>
      <c r="C4702" s="26">
        <f t="shared" ca="1" si="387"/>
        <v>0.7801085569295233</v>
      </c>
      <c r="J4702">
        <f t="shared" ca="1" si="389"/>
        <v>1</v>
      </c>
      <c r="K4702">
        <f t="shared" ca="1" si="390"/>
        <v>0</v>
      </c>
      <c r="L4702">
        <f t="shared" si="391"/>
        <v>4696</v>
      </c>
      <c r="M4702" s="71">
        <f t="shared" ca="1" si="392"/>
        <v>2.3923669167100474</v>
      </c>
    </row>
    <row r="4703" spans="1:13" x14ac:dyDescent="0.25">
      <c r="A4703" s="2">
        <v>4697</v>
      </c>
      <c r="B4703" s="11">
        <f t="shared" ca="1" si="388"/>
        <v>1</v>
      </c>
      <c r="C4703" s="26">
        <f t="shared" ca="1" si="387"/>
        <v>0.64550195593014226</v>
      </c>
      <c r="J4703">
        <f t="shared" ca="1" si="389"/>
        <v>1</v>
      </c>
      <c r="K4703">
        <f t="shared" ca="1" si="390"/>
        <v>0</v>
      </c>
      <c r="L4703">
        <f t="shared" si="391"/>
        <v>4697</v>
      </c>
      <c r="M4703" s="71">
        <f t="shared" ca="1" si="392"/>
        <v>0.6085847892418873</v>
      </c>
    </row>
    <row r="4704" spans="1:13" x14ac:dyDescent="0.25">
      <c r="A4704" s="2">
        <v>4698</v>
      </c>
      <c r="B4704" s="11">
        <f t="shared" ca="1" si="388"/>
        <v>1</v>
      </c>
      <c r="C4704" s="26">
        <f t="shared" ca="1" si="387"/>
        <v>0.24522577126968048</v>
      </c>
      <c r="J4704">
        <f t="shared" ca="1" si="389"/>
        <v>1</v>
      </c>
      <c r="K4704">
        <f t="shared" ca="1" si="390"/>
        <v>0</v>
      </c>
      <c r="L4704">
        <f t="shared" si="391"/>
        <v>4698</v>
      </c>
      <c r="M4704" s="71">
        <f t="shared" ca="1" si="392"/>
        <v>5.8309524355478359</v>
      </c>
    </row>
    <row r="4705" spans="1:13" x14ac:dyDescent="0.25">
      <c r="A4705" s="2">
        <v>4699</v>
      </c>
      <c r="B4705" s="11">
        <f t="shared" ca="1" si="388"/>
        <v>1</v>
      </c>
      <c r="C4705" s="26">
        <f t="shared" ca="1" si="387"/>
        <v>1.6306153824750425E-2</v>
      </c>
      <c r="J4705">
        <f t="shared" ca="1" si="389"/>
        <v>1</v>
      </c>
      <c r="K4705">
        <f t="shared" ca="1" si="390"/>
        <v>0</v>
      </c>
      <c r="L4705">
        <f t="shared" si="391"/>
        <v>4699</v>
      </c>
      <c r="M4705" s="71">
        <f t="shared" ca="1" si="392"/>
        <v>8.354024156694889</v>
      </c>
    </row>
    <row r="4706" spans="1:13" x14ac:dyDescent="0.25">
      <c r="A4706" s="2">
        <v>4700</v>
      </c>
      <c r="B4706" s="11">
        <f t="shared" ca="1" si="388"/>
        <v>1</v>
      </c>
      <c r="C4706" s="26">
        <f t="shared" ca="1" si="387"/>
        <v>0.51393734830419446</v>
      </c>
      <c r="J4706">
        <f t="shared" ca="1" si="389"/>
        <v>1</v>
      </c>
      <c r="K4706">
        <f t="shared" ca="1" si="390"/>
        <v>0</v>
      </c>
      <c r="L4706">
        <f t="shared" si="391"/>
        <v>4700</v>
      </c>
      <c r="M4706" s="71">
        <f t="shared" ca="1" si="392"/>
        <v>0.14273780960493621</v>
      </c>
    </row>
    <row r="4707" spans="1:13" x14ac:dyDescent="0.25">
      <c r="A4707" s="2">
        <v>4701</v>
      </c>
      <c r="B4707" s="11">
        <f t="shared" ca="1" si="388"/>
        <v>1</v>
      </c>
      <c r="C4707" s="26">
        <f t="shared" ca="1" si="387"/>
        <v>7.151549428696824E-2</v>
      </c>
      <c r="J4707">
        <f t="shared" ca="1" si="389"/>
        <v>1</v>
      </c>
      <c r="K4707">
        <f t="shared" ca="1" si="390"/>
        <v>0</v>
      </c>
      <c r="L4707">
        <f t="shared" si="391"/>
        <v>4701</v>
      </c>
      <c r="M4707" s="71">
        <f t="shared" ca="1" si="392"/>
        <v>0.86571324712482212</v>
      </c>
    </row>
    <row r="4708" spans="1:13" x14ac:dyDescent="0.25">
      <c r="A4708" s="2">
        <v>4702</v>
      </c>
      <c r="B4708" s="11">
        <f t="shared" ca="1" si="388"/>
        <v>1</v>
      </c>
      <c r="C4708" s="26">
        <f t="shared" ca="1" si="387"/>
        <v>0.17910999914905623</v>
      </c>
      <c r="J4708">
        <f t="shared" ca="1" si="389"/>
        <v>1</v>
      </c>
      <c r="K4708">
        <f t="shared" ca="1" si="390"/>
        <v>0</v>
      </c>
      <c r="L4708">
        <f t="shared" si="391"/>
        <v>4702</v>
      </c>
      <c r="M4708" s="71">
        <f t="shared" ca="1" si="392"/>
        <v>0.65577462598681924</v>
      </c>
    </row>
    <row r="4709" spans="1:13" x14ac:dyDescent="0.25">
      <c r="A4709" s="2">
        <v>4703</v>
      </c>
      <c r="B4709" s="11">
        <f t="shared" ca="1" si="388"/>
        <v>1</v>
      </c>
      <c r="C4709" s="26">
        <f t="shared" ca="1" si="387"/>
        <v>0.14054000367252428</v>
      </c>
      <c r="J4709">
        <f t="shared" ca="1" si="389"/>
        <v>1</v>
      </c>
      <c r="K4709">
        <f t="shared" ca="1" si="390"/>
        <v>0</v>
      </c>
      <c r="L4709">
        <f t="shared" si="391"/>
        <v>4703</v>
      </c>
      <c r="M4709" s="71">
        <f t="shared" ca="1" si="392"/>
        <v>3.5378281009002257</v>
      </c>
    </row>
    <row r="4710" spans="1:13" x14ac:dyDescent="0.25">
      <c r="A4710" s="2">
        <v>4704</v>
      </c>
      <c r="B4710" s="11">
        <f t="shared" ca="1" si="388"/>
        <v>1</v>
      </c>
      <c r="C4710" s="26">
        <f t="shared" ca="1" si="387"/>
        <v>0.75403136567336115</v>
      </c>
      <c r="J4710">
        <f t="shared" ca="1" si="389"/>
        <v>1</v>
      </c>
      <c r="K4710">
        <f t="shared" ca="1" si="390"/>
        <v>0</v>
      </c>
      <c r="L4710">
        <f t="shared" si="391"/>
        <v>4704</v>
      </c>
      <c r="M4710" s="71">
        <f t="shared" ca="1" si="392"/>
        <v>17.941846502776048</v>
      </c>
    </row>
    <row r="4711" spans="1:13" x14ac:dyDescent="0.25">
      <c r="A4711" s="2">
        <v>4705</v>
      </c>
      <c r="B4711" s="11">
        <f t="shared" ca="1" si="388"/>
        <v>1</v>
      </c>
      <c r="C4711" s="26">
        <f t="shared" ca="1" si="387"/>
        <v>0.3810967892925754</v>
      </c>
      <c r="J4711">
        <f t="shared" ca="1" si="389"/>
        <v>1</v>
      </c>
      <c r="K4711">
        <f t="shared" ca="1" si="390"/>
        <v>0</v>
      </c>
      <c r="L4711">
        <f t="shared" si="391"/>
        <v>4705</v>
      </c>
      <c r="M4711" s="71">
        <f t="shared" ca="1" si="392"/>
        <v>10.97145252633609</v>
      </c>
    </row>
    <row r="4712" spans="1:13" x14ac:dyDescent="0.25">
      <c r="A4712" s="2">
        <v>4706</v>
      </c>
      <c r="B4712" s="11">
        <f t="shared" ca="1" si="388"/>
        <v>1</v>
      </c>
      <c r="C4712" s="26">
        <f t="shared" ca="1" si="387"/>
        <v>0.58214498608739251</v>
      </c>
      <c r="J4712">
        <f t="shared" ca="1" si="389"/>
        <v>1</v>
      </c>
      <c r="K4712">
        <f t="shared" ca="1" si="390"/>
        <v>0</v>
      </c>
      <c r="L4712">
        <f t="shared" si="391"/>
        <v>4706</v>
      </c>
      <c r="M4712" s="71">
        <f t="shared" ca="1" si="392"/>
        <v>4.7082744973780413</v>
      </c>
    </row>
    <row r="4713" spans="1:13" x14ac:dyDescent="0.25">
      <c r="A4713" s="2">
        <v>4707</v>
      </c>
      <c r="B4713" s="11">
        <f t="shared" ca="1" si="388"/>
        <v>1</v>
      </c>
      <c r="C4713" s="26">
        <f t="shared" ca="1" si="387"/>
        <v>0.68729656519926774</v>
      </c>
      <c r="J4713">
        <f t="shared" ca="1" si="389"/>
        <v>0</v>
      </c>
      <c r="K4713">
        <f t="shared" ca="1" si="390"/>
        <v>0</v>
      </c>
      <c r="L4713">
        <f t="shared" si="391"/>
        <v>4707</v>
      </c>
      <c r="M4713" s="71">
        <f t="shared" ca="1" si="392"/>
        <v>6.3242072092868895</v>
      </c>
    </row>
    <row r="4714" spans="1:13" x14ac:dyDescent="0.25">
      <c r="A4714" s="2">
        <v>4708</v>
      </c>
      <c r="B4714" s="11">
        <f t="shared" ca="1" si="388"/>
        <v>0</v>
      </c>
      <c r="C4714" s="26">
        <f t="shared" ca="1" si="387"/>
        <v>0.94060363568917293</v>
      </c>
      <c r="J4714">
        <f t="shared" ca="1" si="389"/>
        <v>0</v>
      </c>
      <c r="K4714">
        <f t="shared" ca="1" si="390"/>
        <v>1</v>
      </c>
      <c r="L4714">
        <f t="shared" si="391"/>
        <v>4708</v>
      </c>
      <c r="M4714" s="71">
        <f t="shared" ca="1" si="392"/>
        <v>0</v>
      </c>
    </row>
    <row r="4715" spans="1:13" x14ac:dyDescent="0.25">
      <c r="A4715" s="2">
        <v>4709</v>
      </c>
      <c r="B4715" s="11">
        <f t="shared" ca="1" si="388"/>
        <v>0</v>
      </c>
      <c r="C4715" s="26">
        <f t="shared" ca="1" si="387"/>
        <v>0.74586117753277292</v>
      </c>
      <c r="J4715">
        <f t="shared" ca="1" si="389"/>
        <v>0</v>
      </c>
      <c r="K4715">
        <f t="shared" ca="1" si="390"/>
        <v>0</v>
      </c>
      <c r="L4715">
        <f t="shared" si="391"/>
        <v>4709</v>
      </c>
      <c r="M4715" s="71">
        <f t="shared" ca="1" si="392"/>
        <v>0</v>
      </c>
    </row>
    <row r="4716" spans="1:13" x14ac:dyDescent="0.25">
      <c r="A4716" s="2">
        <v>4710</v>
      </c>
      <c r="B4716" s="11">
        <f t="shared" ca="1" si="388"/>
        <v>1</v>
      </c>
      <c r="C4716" s="26">
        <f t="shared" ca="1" si="387"/>
        <v>0.62510139025473177</v>
      </c>
      <c r="J4716">
        <f t="shared" ca="1" si="389"/>
        <v>1</v>
      </c>
      <c r="K4716">
        <f t="shared" ca="1" si="390"/>
        <v>0</v>
      </c>
      <c r="L4716">
        <f t="shared" si="391"/>
        <v>4710</v>
      </c>
      <c r="M4716" s="71">
        <f t="shared" ca="1" si="392"/>
        <v>3.3951053757320095</v>
      </c>
    </row>
    <row r="4717" spans="1:13" x14ac:dyDescent="0.25">
      <c r="A4717" s="2">
        <v>4711</v>
      </c>
      <c r="B4717" s="11">
        <f t="shared" ca="1" si="388"/>
        <v>1</v>
      </c>
      <c r="C4717" s="26">
        <f t="shared" ca="1" si="387"/>
        <v>0.79888644024578848</v>
      </c>
      <c r="J4717">
        <f t="shared" ca="1" si="389"/>
        <v>1</v>
      </c>
      <c r="K4717">
        <f t="shared" ca="1" si="390"/>
        <v>0</v>
      </c>
      <c r="L4717">
        <f t="shared" si="391"/>
        <v>4711</v>
      </c>
      <c r="M4717" s="71">
        <f t="shared" ca="1" si="392"/>
        <v>7.0565397788605253</v>
      </c>
    </row>
    <row r="4718" spans="1:13" x14ac:dyDescent="0.25">
      <c r="A4718" s="2">
        <v>4712</v>
      </c>
      <c r="B4718" s="11">
        <f t="shared" ca="1" si="388"/>
        <v>1</v>
      </c>
      <c r="C4718" s="26">
        <f t="shared" ca="1" si="387"/>
        <v>0.54584141202709535</v>
      </c>
      <c r="J4718">
        <f t="shared" ca="1" si="389"/>
        <v>1</v>
      </c>
      <c r="K4718">
        <f t="shared" ca="1" si="390"/>
        <v>0</v>
      </c>
      <c r="L4718">
        <f t="shared" si="391"/>
        <v>4712</v>
      </c>
      <c r="M4718" s="71">
        <f t="shared" ca="1" si="392"/>
        <v>4.700229564655297</v>
      </c>
    </row>
    <row r="4719" spans="1:13" x14ac:dyDescent="0.25">
      <c r="A4719" s="2">
        <v>4713</v>
      </c>
      <c r="B4719" s="11">
        <f t="shared" ca="1" si="388"/>
        <v>1</v>
      </c>
      <c r="C4719" s="26">
        <f t="shared" ca="1" si="387"/>
        <v>0.27650161539462159</v>
      </c>
      <c r="J4719">
        <f t="shared" ca="1" si="389"/>
        <v>1</v>
      </c>
      <c r="K4719">
        <f t="shared" ca="1" si="390"/>
        <v>0</v>
      </c>
      <c r="L4719">
        <f t="shared" si="391"/>
        <v>4713</v>
      </c>
      <c r="M4719" s="71">
        <f t="shared" ca="1" si="392"/>
        <v>1.2586733064121851</v>
      </c>
    </row>
    <row r="4720" spans="1:13" x14ac:dyDescent="0.25">
      <c r="A4720" s="2">
        <v>4714</v>
      </c>
      <c r="B4720" s="11">
        <f t="shared" ca="1" si="388"/>
        <v>1</v>
      </c>
      <c r="C4720" s="26">
        <f t="shared" ca="1" si="387"/>
        <v>0.1439918227402035</v>
      </c>
      <c r="J4720">
        <f t="shared" ca="1" si="389"/>
        <v>0</v>
      </c>
      <c r="K4720">
        <f t="shared" ca="1" si="390"/>
        <v>0</v>
      </c>
      <c r="L4720">
        <f t="shared" si="391"/>
        <v>4714</v>
      </c>
      <c r="M4720" s="71">
        <f t="shared" ca="1" si="392"/>
        <v>1.0417913723185874</v>
      </c>
    </row>
    <row r="4721" spans="1:13" x14ac:dyDescent="0.25">
      <c r="A4721" s="2">
        <v>4715</v>
      </c>
      <c r="B4721" s="11">
        <f t="shared" ca="1" si="388"/>
        <v>0</v>
      </c>
      <c r="C4721" s="26">
        <f t="shared" ca="1" si="387"/>
        <v>0.93850820444901129</v>
      </c>
      <c r="J4721">
        <f t="shared" ca="1" si="389"/>
        <v>0</v>
      </c>
      <c r="K4721">
        <f t="shared" ca="1" si="390"/>
        <v>0</v>
      </c>
      <c r="L4721">
        <f t="shared" si="391"/>
        <v>4715</v>
      </c>
      <c r="M4721" s="71">
        <f t="shared" ca="1" si="392"/>
        <v>0</v>
      </c>
    </row>
    <row r="4722" spans="1:13" x14ac:dyDescent="0.25">
      <c r="A4722" s="2">
        <v>4716</v>
      </c>
      <c r="B4722" s="11">
        <f t="shared" ca="1" si="388"/>
        <v>1</v>
      </c>
      <c r="C4722" s="26">
        <f t="shared" ca="1" si="387"/>
        <v>0.4096482644898114</v>
      </c>
      <c r="J4722">
        <f t="shared" ca="1" si="389"/>
        <v>0</v>
      </c>
      <c r="K4722">
        <f t="shared" ca="1" si="390"/>
        <v>0</v>
      </c>
      <c r="L4722">
        <f t="shared" si="391"/>
        <v>4716</v>
      </c>
      <c r="M4722" s="71">
        <f t="shared" ca="1" si="392"/>
        <v>1.7841149975813118</v>
      </c>
    </row>
    <row r="4723" spans="1:13" x14ac:dyDescent="0.25">
      <c r="A4723" s="2">
        <v>4717</v>
      </c>
      <c r="B4723" s="11">
        <f t="shared" ca="1" si="388"/>
        <v>0</v>
      </c>
      <c r="C4723" s="26">
        <f t="shared" ca="1" si="387"/>
        <v>0.87920051215959116</v>
      </c>
      <c r="J4723">
        <f t="shared" ca="1" si="389"/>
        <v>0</v>
      </c>
      <c r="K4723">
        <f t="shared" ca="1" si="390"/>
        <v>1</v>
      </c>
      <c r="L4723">
        <f t="shared" si="391"/>
        <v>4717</v>
      </c>
      <c r="M4723" s="71">
        <f t="shared" ca="1" si="392"/>
        <v>0</v>
      </c>
    </row>
    <row r="4724" spans="1:13" x14ac:dyDescent="0.25">
      <c r="A4724" s="2">
        <v>4718</v>
      </c>
      <c r="B4724" s="11">
        <f t="shared" ca="1" si="388"/>
        <v>0</v>
      </c>
      <c r="C4724" s="26">
        <f t="shared" ca="1" si="387"/>
        <v>0.90636597291661447</v>
      </c>
      <c r="J4724">
        <f t="shared" ca="1" si="389"/>
        <v>0</v>
      </c>
      <c r="K4724">
        <f t="shared" ca="1" si="390"/>
        <v>0</v>
      </c>
      <c r="L4724">
        <f t="shared" si="391"/>
        <v>4718</v>
      </c>
      <c r="M4724" s="71">
        <f t="shared" ca="1" si="392"/>
        <v>0</v>
      </c>
    </row>
    <row r="4725" spans="1:13" x14ac:dyDescent="0.25">
      <c r="A4725" s="2">
        <v>4719</v>
      </c>
      <c r="B4725" s="11">
        <f t="shared" ca="1" si="388"/>
        <v>1</v>
      </c>
      <c r="C4725" s="26">
        <f t="shared" ca="1" si="387"/>
        <v>0.61947557340251924</v>
      </c>
      <c r="J4725">
        <f t="shared" ca="1" si="389"/>
        <v>0</v>
      </c>
      <c r="K4725">
        <f t="shared" ca="1" si="390"/>
        <v>0</v>
      </c>
      <c r="L4725">
        <f t="shared" si="391"/>
        <v>4719</v>
      </c>
      <c r="M4725" s="71">
        <f t="shared" ca="1" si="392"/>
        <v>5.518314985884154</v>
      </c>
    </row>
    <row r="4726" spans="1:13" x14ac:dyDescent="0.25">
      <c r="A4726" s="2">
        <v>4720</v>
      </c>
      <c r="B4726" s="11">
        <f t="shared" ca="1" si="388"/>
        <v>0</v>
      </c>
      <c r="C4726" s="26">
        <f t="shared" ca="1" si="387"/>
        <v>0.83034096412669745</v>
      </c>
      <c r="J4726">
        <f t="shared" ca="1" si="389"/>
        <v>0</v>
      </c>
      <c r="K4726">
        <f t="shared" ca="1" si="390"/>
        <v>0</v>
      </c>
      <c r="L4726">
        <f t="shared" si="391"/>
        <v>4720</v>
      </c>
      <c r="M4726" s="71">
        <f t="shared" ca="1" si="392"/>
        <v>0</v>
      </c>
    </row>
    <row r="4727" spans="1:13" x14ac:dyDescent="0.25">
      <c r="A4727" s="2">
        <v>4721</v>
      </c>
      <c r="B4727" s="11">
        <f t="shared" ca="1" si="388"/>
        <v>1</v>
      </c>
      <c r="C4727" s="26">
        <f t="shared" ca="1" si="387"/>
        <v>0.57110936773754195</v>
      </c>
      <c r="J4727">
        <f t="shared" ca="1" si="389"/>
        <v>1</v>
      </c>
      <c r="K4727">
        <f t="shared" ca="1" si="390"/>
        <v>0</v>
      </c>
      <c r="L4727">
        <f t="shared" si="391"/>
        <v>4721</v>
      </c>
      <c r="M4727" s="71">
        <f t="shared" ca="1" si="392"/>
        <v>1.0143676817719041</v>
      </c>
    </row>
    <row r="4728" spans="1:13" x14ac:dyDescent="0.25">
      <c r="A4728" s="2">
        <v>4722</v>
      </c>
      <c r="B4728" s="11">
        <f t="shared" ca="1" si="388"/>
        <v>1</v>
      </c>
      <c r="C4728" s="26">
        <f t="shared" ca="1" si="387"/>
        <v>0.47366675048787277</v>
      </c>
      <c r="J4728">
        <f t="shared" ca="1" si="389"/>
        <v>1</v>
      </c>
      <c r="K4728">
        <f t="shared" ca="1" si="390"/>
        <v>0</v>
      </c>
      <c r="L4728">
        <f t="shared" si="391"/>
        <v>4722</v>
      </c>
      <c r="M4728" s="71">
        <f t="shared" ca="1" si="392"/>
        <v>3.9950337619439238</v>
      </c>
    </row>
    <row r="4729" spans="1:13" x14ac:dyDescent="0.25">
      <c r="A4729" s="2">
        <v>4723</v>
      </c>
      <c r="B4729" s="11">
        <f t="shared" ca="1" si="388"/>
        <v>1</v>
      </c>
      <c r="C4729" s="26">
        <f t="shared" ca="1" si="387"/>
        <v>0.29895983015212313</v>
      </c>
      <c r="J4729">
        <f t="shared" ca="1" si="389"/>
        <v>1</v>
      </c>
      <c r="K4729">
        <f t="shared" ca="1" si="390"/>
        <v>0</v>
      </c>
      <c r="L4729">
        <f t="shared" si="391"/>
        <v>4723</v>
      </c>
      <c r="M4729" s="71">
        <f t="shared" ca="1" si="392"/>
        <v>10.96615044206818</v>
      </c>
    </row>
    <row r="4730" spans="1:13" x14ac:dyDescent="0.25">
      <c r="A4730" s="2">
        <v>4724</v>
      </c>
      <c r="B4730" s="11">
        <f t="shared" ca="1" si="388"/>
        <v>1</v>
      </c>
      <c r="C4730" s="26">
        <f t="shared" ca="1" si="387"/>
        <v>0.27973390533793607</v>
      </c>
      <c r="J4730">
        <f t="shared" ca="1" si="389"/>
        <v>1</v>
      </c>
      <c r="K4730">
        <f t="shared" ca="1" si="390"/>
        <v>0</v>
      </c>
      <c r="L4730">
        <f t="shared" si="391"/>
        <v>4724</v>
      </c>
      <c r="M4730" s="71">
        <f t="shared" ca="1" si="392"/>
        <v>2.5629379613084207</v>
      </c>
    </row>
    <row r="4731" spans="1:13" x14ac:dyDescent="0.25">
      <c r="A4731" s="2">
        <v>4725</v>
      </c>
      <c r="B4731" s="11">
        <f t="shared" ca="1" si="388"/>
        <v>1</v>
      </c>
      <c r="C4731" s="26">
        <f t="shared" ca="1" si="387"/>
        <v>0.17212603412853655</v>
      </c>
      <c r="J4731">
        <f t="shared" ca="1" si="389"/>
        <v>1</v>
      </c>
      <c r="K4731">
        <f t="shared" ca="1" si="390"/>
        <v>0</v>
      </c>
      <c r="L4731">
        <f t="shared" si="391"/>
        <v>4725</v>
      </c>
      <c r="M4731" s="71">
        <f t="shared" ca="1" si="392"/>
        <v>3.8144018269800046</v>
      </c>
    </row>
    <row r="4732" spans="1:13" x14ac:dyDescent="0.25">
      <c r="A4732" s="2">
        <v>4726</v>
      </c>
      <c r="B4732" s="11">
        <f t="shared" ca="1" si="388"/>
        <v>1</v>
      </c>
      <c r="C4732" s="26">
        <f t="shared" ca="1" si="387"/>
        <v>0.71904438033113738</v>
      </c>
      <c r="J4732">
        <f t="shared" ca="1" si="389"/>
        <v>1</v>
      </c>
      <c r="K4732">
        <f t="shared" ca="1" si="390"/>
        <v>0</v>
      </c>
      <c r="L4732">
        <f t="shared" si="391"/>
        <v>4726</v>
      </c>
      <c r="M4732" s="71">
        <f t="shared" ca="1" si="392"/>
        <v>3.4388625069426593</v>
      </c>
    </row>
    <row r="4733" spans="1:13" x14ac:dyDescent="0.25">
      <c r="A4733" s="2">
        <v>4727</v>
      </c>
      <c r="B4733" s="11">
        <f t="shared" ca="1" si="388"/>
        <v>1</v>
      </c>
      <c r="C4733" s="26">
        <f t="shared" ca="1" si="387"/>
        <v>0.40469974270613029</v>
      </c>
      <c r="J4733">
        <f t="shared" ca="1" si="389"/>
        <v>1</v>
      </c>
      <c r="K4733">
        <f t="shared" ca="1" si="390"/>
        <v>0</v>
      </c>
      <c r="L4733">
        <f t="shared" si="391"/>
        <v>4727</v>
      </c>
      <c r="M4733" s="71">
        <f t="shared" ca="1" si="392"/>
        <v>0.17994091952877375</v>
      </c>
    </row>
    <row r="4734" spans="1:13" x14ac:dyDescent="0.25">
      <c r="A4734" s="2">
        <v>4728</v>
      </c>
      <c r="B4734" s="11">
        <f t="shared" ca="1" si="388"/>
        <v>1</v>
      </c>
      <c r="C4734" s="26">
        <f t="shared" ca="1" si="387"/>
        <v>0.49040674265573858</v>
      </c>
      <c r="J4734">
        <f t="shared" ca="1" si="389"/>
        <v>1</v>
      </c>
      <c r="K4734">
        <f t="shared" ca="1" si="390"/>
        <v>0</v>
      </c>
      <c r="L4734">
        <f t="shared" si="391"/>
        <v>4728</v>
      </c>
      <c r="M4734" s="71">
        <f t="shared" ca="1" si="392"/>
        <v>1.723949486075552</v>
      </c>
    </row>
    <row r="4735" spans="1:13" x14ac:dyDescent="0.25">
      <c r="A4735" s="2">
        <v>4729</v>
      </c>
      <c r="B4735" s="11">
        <f t="shared" ca="1" si="388"/>
        <v>1</v>
      </c>
      <c r="C4735" s="26">
        <f t="shared" ca="1" si="387"/>
        <v>7.1014525977655341E-2</v>
      </c>
      <c r="J4735">
        <f t="shared" ca="1" si="389"/>
        <v>1</v>
      </c>
      <c r="K4735">
        <f t="shared" ca="1" si="390"/>
        <v>0</v>
      </c>
      <c r="L4735">
        <f t="shared" si="391"/>
        <v>4729</v>
      </c>
      <c r="M4735" s="71">
        <f t="shared" ca="1" si="392"/>
        <v>5.1463721692885143</v>
      </c>
    </row>
    <row r="4736" spans="1:13" x14ac:dyDescent="0.25">
      <c r="A4736" s="2">
        <v>4730</v>
      </c>
      <c r="B4736" s="11">
        <f t="shared" ca="1" si="388"/>
        <v>1</v>
      </c>
      <c r="C4736" s="26">
        <f t="shared" ca="1" si="387"/>
        <v>0.16912232683731587</v>
      </c>
      <c r="J4736">
        <f t="shared" ca="1" si="389"/>
        <v>1</v>
      </c>
      <c r="K4736">
        <f t="shared" ca="1" si="390"/>
        <v>0</v>
      </c>
      <c r="L4736">
        <f t="shared" si="391"/>
        <v>4730</v>
      </c>
      <c r="M4736" s="71">
        <f t="shared" ca="1" si="392"/>
        <v>1.2660717822497951</v>
      </c>
    </row>
    <row r="4737" spans="1:13" x14ac:dyDescent="0.25">
      <c r="A4737" s="2">
        <v>4731</v>
      </c>
      <c r="B4737" s="11">
        <f t="shared" ca="1" si="388"/>
        <v>1</v>
      </c>
      <c r="C4737" s="26">
        <f t="shared" ca="1" si="387"/>
        <v>0.36015281583777581</v>
      </c>
      <c r="J4737">
        <f t="shared" ca="1" si="389"/>
        <v>1</v>
      </c>
      <c r="K4737">
        <f t="shared" ca="1" si="390"/>
        <v>0</v>
      </c>
      <c r="L4737">
        <f t="shared" si="391"/>
        <v>4731</v>
      </c>
      <c r="M4737" s="71">
        <f t="shared" ca="1" si="392"/>
        <v>0.78332061733443537</v>
      </c>
    </row>
    <row r="4738" spans="1:13" x14ac:dyDescent="0.25">
      <c r="A4738" s="2">
        <v>4732</v>
      </c>
      <c r="B4738" s="11">
        <f t="shared" ca="1" si="388"/>
        <v>1</v>
      </c>
      <c r="C4738" s="26">
        <f t="shared" ca="1" si="387"/>
        <v>0.76976014505918156</v>
      </c>
      <c r="J4738">
        <f t="shared" ca="1" si="389"/>
        <v>1</v>
      </c>
      <c r="K4738">
        <f t="shared" ca="1" si="390"/>
        <v>0</v>
      </c>
      <c r="L4738">
        <f t="shared" si="391"/>
        <v>4732</v>
      </c>
      <c r="M4738" s="71">
        <f t="shared" ca="1" si="392"/>
        <v>0.43335436447057651</v>
      </c>
    </row>
    <row r="4739" spans="1:13" x14ac:dyDescent="0.25">
      <c r="A4739" s="2">
        <v>4733</v>
      </c>
      <c r="B4739" s="11">
        <f t="shared" ca="1" si="388"/>
        <v>1</v>
      </c>
      <c r="C4739" s="26">
        <f t="shared" ca="1" si="387"/>
        <v>0.62934905018164489</v>
      </c>
      <c r="J4739">
        <f t="shared" ca="1" si="389"/>
        <v>1</v>
      </c>
      <c r="K4739">
        <f t="shared" ca="1" si="390"/>
        <v>0</v>
      </c>
      <c r="L4739">
        <f t="shared" si="391"/>
        <v>4733</v>
      </c>
      <c r="M4739" s="71">
        <f t="shared" ca="1" si="392"/>
        <v>0.56567478963796725</v>
      </c>
    </row>
    <row r="4740" spans="1:13" x14ac:dyDescent="0.25">
      <c r="A4740" s="2">
        <v>4734</v>
      </c>
      <c r="B4740" s="11">
        <f t="shared" ca="1" si="388"/>
        <v>1</v>
      </c>
      <c r="C4740" s="26">
        <f t="shared" ca="1" si="387"/>
        <v>0.76267302088398725</v>
      </c>
      <c r="J4740">
        <f t="shared" ca="1" si="389"/>
        <v>1</v>
      </c>
      <c r="K4740">
        <f t="shared" ca="1" si="390"/>
        <v>0</v>
      </c>
      <c r="L4740">
        <f t="shared" si="391"/>
        <v>4734</v>
      </c>
      <c r="M4740" s="71">
        <f t="shared" ca="1" si="392"/>
        <v>1.7942723686632474</v>
      </c>
    </row>
    <row r="4741" spans="1:13" x14ac:dyDescent="0.25">
      <c r="A4741" s="2">
        <v>4735</v>
      </c>
      <c r="B4741" s="11">
        <f t="shared" ca="1" si="388"/>
        <v>1</v>
      </c>
      <c r="C4741" s="26">
        <f t="shared" ca="1" si="387"/>
        <v>0.38390325890024646</v>
      </c>
      <c r="J4741">
        <f t="shared" ca="1" si="389"/>
        <v>0</v>
      </c>
      <c r="K4741">
        <f t="shared" ca="1" si="390"/>
        <v>0</v>
      </c>
      <c r="L4741">
        <f t="shared" si="391"/>
        <v>4735</v>
      </c>
      <c r="M4741" s="71">
        <f t="shared" ca="1" si="392"/>
        <v>0.168056729826106</v>
      </c>
    </row>
    <row r="4742" spans="1:13" x14ac:dyDescent="0.25">
      <c r="A4742" s="2">
        <v>4736</v>
      </c>
      <c r="B4742" s="11">
        <f t="shared" ca="1" si="388"/>
        <v>0</v>
      </c>
      <c r="C4742" s="26">
        <f t="shared" ca="1" si="387"/>
        <v>0.80381447953261231</v>
      </c>
      <c r="J4742">
        <f t="shared" ca="1" si="389"/>
        <v>0</v>
      </c>
      <c r="K4742">
        <f t="shared" ca="1" si="390"/>
        <v>0</v>
      </c>
      <c r="L4742">
        <f t="shared" si="391"/>
        <v>4736</v>
      </c>
      <c r="M4742" s="71">
        <f t="shared" ca="1" si="392"/>
        <v>0</v>
      </c>
    </row>
    <row r="4743" spans="1:13" x14ac:dyDescent="0.25">
      <c r="A4743" s="2">
        <v>4737</v>
      </c>
      <c r="B4743" s="11">
        <f t="shared" ca="1" si="388"/>
        <v>1</v>
      </c>
      <c r="C4743" s="26">
        <f t="shared" ca="1" si="387"/>
        <v>0.64847279521689671</v>
      </c>
      <c r="J4743">
        <f t="shared" ca="1" si="389"/>
        <v>1</v>
      </c>
      <c r="K4743">
        <f t="shared" ca="1" si="390"/>
        <v>0</v>
      </c>
      <c r="L4743">
        <f t="shared" si="391"/>
        <v>4737</v>
      </c>
      <c r="M4743" s="71">
        <f t="shared" ca="1" si="392"/>
        <v>1.2112552170078417</v>
      </c>
    </row>
    <row r="4744" spans="1:13" x14ac:dyDescent="0.25">
      <c r="A4744" s="2">
        <v>4738</v>
      </c>
      <c r="B4744" s="11">
        <f t="shared" ca="1" si="388"/>
        <v>1</v>
      </c>
      <c r="C4744" s="26">
        <f t="shared" ref="C4744:C4807" ca="1" si="393">RAND()</f>
        <v>7.3264352539532784E-2</v>
      </c>
      <c r="J4744">
        <f t="shared" ca="1" si="389"/>
        <v>1</v>
      </c>
      <c r="K4744">
        <f t="shared" ca="1" si="390"/>
        <v>0</v>
      </c>
      <c r="L4744">
        <f t="shared" si="391"/>
        <v>4738</v>
      </c>
      <c r="M4744" s="71">
        <f t="shared" ca="1" si="392"/>
        <v>0.55328811752517815</v>
      </c>
    </row>
    <row r="4745" spans="1:13" x14ac:dyDescent="0.25">
      <c r="A4745" s="2">
        <v>4739</v>
      </c>
      <c r="B4745" s="11">
        <f t="shared" ref="B4745:B4808" ca="1" si="394">IF(B4744&gt;0,IF(C4745&lt;pww,1,0),IF(C4745&lt;pdw,1,0))</f>
        <v>1</v>
      </c>
      <c r="C4745" s="26">
        <f t="shared" ca="1" si="393"/>
        <v>0.10315881169324859</v>
      </c>
      <c r="J4745">
        <f t="shared" ca="1" si="389"/>
        <v>1</v>
      </c>
      <c r="K4745">
        <f t="shared" ca="1" si="390"/>
        <v>0</v>
      </c>
      <c r="L4745">
        <f t="shared" si="391"/>
        <v>4739</v>
      </c>
      <c r="M4745" s="71">
        <f t="shared" ca="1" si="392"/>
        <v>2.2108575447977272</v>
      </c>
    </row>
    <row r="4746" spans="1:13" x14ac:dyDescent="0.25">
      <c r="A4746" s="2">
        <v>4740</v>
      </c>
      <c r="B4746" s="11">
        <f t="shared" ca="1" si="394"/>
        <v>1</v>
      </c>
      <c r="C4746" s="26">
        <f t="shared" ca="1" si="393"/>
        <v>0.12031546777761193</v>
      </c>
      <c r="J4746">
        <f t="shared" ref="J4746:J4809" ca="1" si="395">IF(AND(B4746,B4747),1,0)</f>
        <v>1</v>
      </c>
      <c r="K4746">
        <f t="shared" ref="K4746:K4809" ca="1" si="396">IF(AND(NOT(B4746),NOT(B4747)),1,0)</f>
        <v>0</v>
      </c>
      <c r="L4746">
        <f t="shared" ref="L4746:L4809" si="397">L4745+1</f>
        <v>4740</v>
      </c>
      <c r="M4746" s="71">
        <f t="shared" ref="M4746:M4809" ca="1" si="398">IF(B4746&gt;0,-LN(1-(RAND()))/lambda,0)</f>
        <v>6.2415947057028838</v>
      </c>
    </row>
    <row r="4747" spans="1:13" x14ac:dyDescent="0.25">
      <c r="A4747" s="2">
        <v>4741</v>
      </c>
      <c r="B4747" s="11">
        <f t="shared" ca="1" si="394"/>
        <v>1</v>
      </c>
      <c r="C4747" s="26">
        <f t="shared" ca="1" si="393"/>
        <v>0.37105776353810849</v>
      </c>
      <c r="J4747">
        <f t="shared" ca="1" si="395"/>
        <v>1</v>
      </c>
      <c r="K4747">
        <f t="shared" ca="1" si="396"/>
        <v>0</v>
      </c>
      <c r="L4747">
        <f t="shared" si="397"/>
        <v>4741</v>
      </c>
      <c r="M4747" s="71">
        <f t="shared" ca="1" si="398"/>
        <v>1.9620139607714808</v>
      </c>
    </row>
    <row r="4748" spans="1:13" x14ac:dyDescent="0.25">
      <c r="A4748" s="2">
        <v>4742</v>
      </c>
      <c r="B4748" s="11">
        <f t="shared" ca="1" si="394"/>
        <v>1</v>
      </c>
      <c r="C4748" s="26">
        <f t="shared" ca="1" si="393"/>
        <v>0.32629453856143864</v>
      </c>
      <c r="J4748">
        <f t="shared" ca="1" si="395"/>
        <v>1</v>
      </c>
      <c r="K4748">
        <f t="shared" ca="1" si="396"/>
        <v>0</v>
      </c>
      <c r="L4748">
        <f t="shared" si="397"/>
        <v>4742</v>
      </c>
      <c r="M4748" s="71">
        <f t="shared" ca="1" si="398"/>
        <v>1.5933006200774686</v>
      </c>
    </row>
    <row r="4749" spans="1:13" x14ac:dyDescent="0.25">
      <c r="A4749" s="2">
        <v>4743</v>
      </c>
      <c r="B4749" s="11">
        <f t="shared" ca="1" si="394"/>
        <v>1</v>
      </c>
      <c r="C4749" s="26">
        <f t="shared" ca="1" si="393"/>
        <v>0.26657059023259966</v>
      </c>
      <c r="J4749">
        <f t="shared" ca="1" si="395"/>
        <v>1</v>
      </c>
      <c r="K4749">
        <f t="shared" ca="1" si="396"/>
        <v>0</v>
      </c>
      <c r="L4749">
        <f t="shared" si="397"/>
        <v>4743</v>
      </c>
      <c r="M4749" s="71">
        <f t="shared" ca="1" si="398"/>
        <v>2.7909854653137738</v>
      </c>
    </row>
    <row r="4750" spans="1:13" x14ac:dyDescent="0.25">
      <c r="A4750" s="2">
        <v>4744</v>
      </c>
      <c r="B4750" s="11">
        <f t="shared" ca="1" si="394"/>
        <v>1</v>
      </c>
      <c r="C4750" s="26">
        <f t="shared" ca="1" si="393"/>
        <v>6.9157221237367894E-2</v>
      </c>
      <c r="J4750">
        <f t="shared" ca="1" si="395"/>
        <v>1</v>
      </c>
      <c r="K4750">
        <f t="shared" ca="1" si="396"/>
        <v>0</v>
      </c>
      <c r="L4750">
        <f t="shared" si="397"/>
        <v>4744</v>
      </c>
      <c r="M4750" s="71">
        <f t="shared" ca="1" si="398"/>
        <v>1.0835959698269177</v>
      </c>
    </row>
    <row r="4751" spans="1:13" x14ac:dyDescent="0.25">
      <c r="A4751" s="2">
        <v>4745</v>
      </c>
      <c r="B4751" s="11">
        <f t="shared" ca="1" si="394"/>
        <v>1</v>
      </c>
      <c r="C4751" s="26">
        <f t="shared" ca="1" si="393"/>
        <v>0.34564341144781507</v>
      </c>
      <c r="J4751">
        <f t="shared" ca="1" si="395"/>
        <v>1</v>
      </c>
      <c r="K4751">
        <f t="shared" ca="1" si="396"/>
        <v>0</v>
      </c>
      <c r="L4751">
        <f t="shared" si="397"/>
        <v>4745</v>
      </c>
      <c r="M4751" s="71">
        <f t="shared" ca="1" si="398"/>
        <v>3.5361307180892685</v>
      </c>
    </row>
    <row r="4752" spans="1:13" x14ac:dyDescent="0.25">
      <c r="A4752" s="2">
        <v>4746</v>
      </c>
      <c r="B4752" s="11">
        <f t="shared" ca="1" si="394"/>
        <v>1</v>
      </c>
      <c r="C4752" s="26">
        <f t="shared" ca="1" si="393"/>
        <v>0.34016987172299218</v>
      </c>
      <c r="J4752">
        <f t="shared" ca="1" si="395"/>
        <v>1</v>
      </c>
      <c r="K4752">
        <f t="shared" ca="1" si="396"/>
        <v>0</v>
      </c>
      <c r="L4752">
        <f t="shared" si="397"/>
        <v>4746</v>
      </c>
      <c r="M4752" s="71">
        <f t="shared" ca="1" si="398"/>
        <v>5.100041646134966</v>
      </c>
    </row>
    <row r="4753" spans="1:13" x14ac:dyDescent="0.25">
      <c r="A4753" s="2">
        <v>4747</v>
      </c>
      <c r="B4753" s="11">
        <f t="shared" ca="1" si="394"/>
        <v>1</v>
      </c>
      <c r="C4753" s="26">
        <f t="shared" ca="1" si="393"/>
        <v>0.34532106665685791</v>
      </c>
      <c r="J4753">
        <f t="shared" ca="1" si="395"/>
        <v>0</v>
      </c>
      <c r="K4753">
        <f t="shared" ca="1" si="396"/>
        <v>0</v>
      </c>
      <c r="L4753">
        <f t="shared" si="397"/>
        <v>4747</v>
      </c>
      <c r="M4753" s="71">
        <f t="shared" ca="1" si="398"/>
        <v>9.084577832143097</v>
      </c>
    </row>
    <row r="4754" spans="1:13" x14ac:dyDescent="0.25">
      <c r="A4754" s="2">
        <v>4748</v>
      </c>
      <c r="B4754" s="11">
        <f t="shared" ca="1" si="394"/>
        <v>0</v>
      </c>
      <c r="C4754" s="26">
        <f t="shared" ca="1" si="393"/>
        <v>0.8079652688848854</v>
      </c>
      <c r="J4754">
        <f t="shared" ca="1" si="395"/>
        <v>0</v>
      </c>
      <c r="K4754">
        <f t="shared" ca="1" si="396"/>
        <v>1</v>
      </c>
      <c r="L4754">
        <f t="shared" si="397"/>
        <v>4748</v>
      </c>
      <c r="M4754" s="71">
        <f t="shared" ca="1" si="398"/>
        <v>0</v>
      </c>
    </row>
    <row r="4755" spans="1:13" x14ac:dyDescent="0.25">
      <c r="A4755" s="2">
        <v>4749</v>
      </c>
      <c r="B4755" s="11">
        <f t="shared" ca="1" si="394"/>
        <v>0</v>
      </c>
      <c r="C4755" s="26">
        <f t="shared" ca="1" si="393"/>
        <v>0.94904470208032099</v>
      </c>
      <c r="J4755">
        <f t="shared" ca="1" si="395"/>
        <v>0</v>
      </c>
      <c r="K4755">
        <f t="shared" ca="1" si="396"/>
        <v>0</v>
      </c>
      <c r="L4755">
        <f t="shared" si="397"/>
        <v>4749</v>
      </c>
      <c r="M4755" s="71">
        <f t="shared" ca="1" si="398"/>
        <v>0</v>
      </c>
    </row>
    <row r="4756" spans="1:13" x14ac:dyDescent="0.25">
      <c r="A4756" s="2">
        <v>4750</v>
      </c>
      <c r="B4756" s="11">
        <f t="shared" ca="1" si="394"/>
        <v>1</v>
      </c>
      <c r="C4756" s="26">
        <f t="shared" ca="1" si="393"/>
        <v>8.5369650895419369E-3</v>
      </c>
      <c r="J4756">
        <f t="shared" ca="1" si="395"/>
        <v>1</v>
      </c>
      <c r="K4756">
        <f t="shared" ca="1" si="396"/>
        <v>0</v>
      </c>
      <c r="L4756">
        <f t="shared" si="397"/>
        <v>4750</v>
      </c>
      <c r="M4756" s="71">
        <f t="shared" ca="1" si="398"/>
        <v>6.949762580918927</v>
      </c>
    </row>
    <row r="4757" spans="1:13" x14ac:dyDescent="0.25">
      <c r="A4757" s="2">
        <v>4751</v>
      </c>
      <c r="B4757" s="11">
        <f t="shared" ca="1" si="394"/>
        <v>1</v>
      </c>
      <c r="C4757" s="26">
        <f t="shared" ca="1" si="393"/>
        <v>0.2585730175430494</v>
      </c>
      <c r="J4757">
        <f t="shared" ca="1" si="395"/>
        <v>1</v>
      </c>
      <c r="K4757">
        <f t="shared" ca="1" si="396"/>
        <v>0</v>
      </c>
      <c r="L4757">
        <f t="shared" si="397"/>
        <v>4751</v>
      </c>
      <c r="M4757" s="71">
        <f t="shared" ca="1" si="398"/>
        <v>7.3228767437818592</v>
      </c>
    </row>
    <row r="4758" spans="1:13" x14ac:dyDescent="0.25">
      <c r="A4758" s="2">
        <v>4752</v>
      </c>
      <c r="B4758" s="11">
        <f t="shared" ca="1" si="394"/>
        <v>1</v>
      </c>
      <c r="C4758" s="26">
        <f t="shared" ca="1" si="393"/>
        <v>0.55244705830702334</v>
      </c>
      <c r="J4758">
        <f t="shared" ca="1" si="395"/>
        <v>1</v>
      </c>
      <c r="K4758">
        <f t="shared" ca="1" si="396"/>
        <v>0</v>
      </c>
      <c r="L4758">
        <f t="shared" si="397"/>
        <v>4752</v>
      </c>
      <c r="M4758" s="71">
        <f t="shared" ca="1" si="398"/>
        <v>1.0373620954518479</v>
      </c>
    </row>
    <row r="4759" spans="1:13" x14ac:dyDescent="0.25">
      <c r="A4759" s="2">
        <v>4753</v>
      </c>
      <c r="B4759" s="11">
        <f t="shared" ca="1" si="394"/>
        <v>1</v>
      </c>
      <c r="C4759" s="26">
        <f t="shared" ca="1" si="393"/>
        <v>5.8667755511491726E-2</v>
      </c>
      <c r="J4759">
        <f t="shared" ca="1" si="395"/>
        <v>1</v>
      </c>
      <c r="K4759">
        <f t="shared" ca="1" si="396"/>
        <v>0</v>
      </c>
      <c r="L4759">
        <f t="shared" si="397"/>
        <v>4753</v>
      </c>
      <c r="M4759" s="71">
        <f t="shared" ca="1" si="398"/>
        <v>0.22469308794094064</v>
      </c>
    </row>
    <row r="4760" spans="1:13" x14ac:dyDescent="0.25">
      <c r="A4760" s="2">
        <v>4754</v>
      </c>
      <c r="B4760" s="11">
        <f t="shared" ca="1" si="394"/>
        <v>1</v>
      </c>
      <c r="C4760" s="26">
        <f t="shared" ca="1" si="393"/>
        <v>0.35195198567531727</v>
      </c>
      <c r="J4760">
        <f t="shared" ca="1" si="395"/>
        <v>1</v>
      </c>
      <c r="K4760">
        <f t="shared" ca="1" si="396"/>
        <v>0</v>
      </c>
      <c r="L4760">
        <f t="shared" si="397"/>
        <v>4754</v>
      </c>
      <c r="M4760" s="71">
        <f t="shared" ca="1" si="398"/>
        <v>1.7969622862693879</v>
      </c>
    </row>
    <row r="4761" spans="1:13" x14ac:dyDescent="0.25">
      <c r="A4761" s="2">
        <v>4755</v>
      </c>
      <c r="B4761" s="11">
        <f t="shared" ca="1" si="394"/>
        <v>1</v>
      </c>
      <c r="C4761" s="26">
        <f t="shared" ca="1" si="393"/>
        <v>6.6195653971381274E-2</v>
      </c>
      <c r="J4761">
        <f t="shared" ca="1" si="395"/>
        <v>0</v>
      </c>
      <c r="K4761">
        <f t="shared" ca="1" si="396"/>
        <v>0</v>
      </c>
      <c r="L4761">
        <f t="shared" si="397"/>
        <v>4755</v>
      </c>
      <c r="M4761" s="71">
        <f t="shared" ca="1" si="398"/>
        <v>3.4464315375200854</v>
      </c>
    </row>
    <row r="4762" spans="1:13" x14ac:dyDescent="0.25">
      <c r="A4762" s="2">
        <v>4756</v>
      </c>
      <c r="B4762" s="11">
        <f t="shared" ca="1" si="394"/>
        <v>0</v>
      </c>
      <c r="C4762" s="26">
        <f t="shared" ca="1" si="393"/>
        <v>0.90270883570945615</v>
      </c>
      <c r="J4762">
        <f t="shared" ca="1" si="395"/>
        <v>0</v>
      </c>
      <c r="K4762">
        <f t="shared" ca="1" si="396"/>
        <v>0</v>
      </c>
      <c r="L4762">
        <f t="shared" si="397"/>
        <v>4756</v>
      </c>
      <c r="M4762" s="71">
        <f t="shared" ca="1" si="398"/>
        <v>0</v>
      </c>
    </row>
    <row r="4763" spans="1:13" x14ac:dyDescent="0.25">
      <c r="A4763" s="2">
        <v>4757</v>
      </c>
      <c r="B4763" s="11">
        <f t="shared" ca="1" si="394"/>
        <v>1</v>
      </c>
      <c r="C4763" s="26">
        <f t="shared" ca="1" si="393"/>
        <v>8.5797303108855472E-2</v>
      </c>
      <c r="J4763">
        <f t="shared" ca="1" si="395"/>
        <v>0</v>
      </c>
      <c r="K4763">
        <f t="shared" ca="1" si="396"/>
        <v>0</v>
      </c>
      <c r="L4763">
        <f t="shared" si="397"/>
        <v>4757</v>
      </c>
      <c r="M4763" s="71">
        <f t="shared" ca="1" si="398"/>
        <v>0.72253661470462116</v>
      </c>
    </row>
    <row r="4764" spans="1:13" x14ac:dyDescent="0.25">
      <c r="A4764" s="2">
        <v>4758</v>
      </c>
      <c r="B4764" s="11">
        <f t="shared" ca="1" si="394"/>
        <v>0</v>
      </c>
      <c r="C4764" s="26">
        <f t="shared" ca="1" si="393"/>
        <v>0.81699677421362904</v>
      </c>
      <c r="J4764">
        <f t="shared" ca="1" si="395"/>
        <v>0</v>
      </c>
      <c r="K4764">
        <f t="shared" ca="1" si="396"/>
        <v>0</v>
      </c>
      <c r="L4764">
        <f t="shared" si="397"/>
        <v>4758</v>
      </c>
      <c r="M4764" s="71">
        <f t="shared" ca="1" si="398"/>
        <v>0</v>
      </c>
    </row>
    <row r="4765" spans="1:13" x14ac:dyDescent="0.25">
      <c r="A4765" s="2">
        <v>4759</v>
      </c>
      <c r="B4765" s="11">
        <f t="shared" ca="1" si="394"/>
        <v>1</v>
      </c>
      <c r="C4765" s="26">
        <f t="shared" ca="1" si="393"/>
        <v>5.7862385108763181E-2</v>
      </c>
      <c r="J4765">
        <f t="shared" ca="1" si="395"/>
        <v>1</v>
      </c>
      <c r="K4765">
        <f t="shared" ca="1" si="396"/>
        <v>0</v>
      </c>
      <c r="L4765">
        <f t="shared" si="397"/>
        <v>4759</v>
      </c>
      <c r="M4765" s="71">
        <f t="shared" ca="1" si="398"/>
        <v>4.1206746772212925</v>
      </c>
    </row>
    <row r="4766" spans="1:13" x14ac:dyDescent="0.25">
      <c r="A4766" s="2">
        <v>4760</v>
      </c>
      <c r="B4766" s="11">
        <f t="shared" ca="1" si="394"/>
        <v>1</v>
      </c>
      <c r="C4766" s="26">
        <f t="shared" ca="1" si="393"/>
        <v>0.34513641280877649</v>
      </c>
      <c r="J4766">
        <f t="shared" ca="1" si="395"/>
        <v>1</v>
      </c>
      <c r="K4766">
        <f t="shared" ca="1" si="396"/>
        <v>0</v>
      </c>
      <c r="L4766">
        <f t="shared" si="397"/>
        <v>4760</v>
      </c>
      <c r="M4766" s="71">
        <f t="shared" ca="1" si="398"/>
        <v>10.028058232682607</v>
      </c>
    </row>
    <row r="4767" spans="1:13" x14ac:dyDescent="0.25">
      <c r="A4767" s="2">
        <v>4761</v>
      </c>
      <c r="B4767" s="11">
        <f t="shared" ca="1" si="394"/>
        <v>1</v>
      </c>
      <c r="C4767" s="26">
        <f t="shared" ca="1" si="393"/>
        <v>0.14983254770494614</v>
      </c>
      <c r="J4767">
        <f t="shared" ca="1" si="395"/>
        <v>0</v>
      </c>
      <c r="K4767">
        <f t="shared" ca="1" si="396"/>
        <v>0</v>
      </c>
      <c r="L4767">
        <f t="shared" si="397"/>
        <v>4761</v>
      </c>
      <c r="M4767" s="71">
        <f t="shared" ca="1" si="398"/>
        <v>4.6314908764377742</v>
      </c>
    </row>
    <row r="4768" spans="1:13" x14ac:dyDescent="0.25">
      <c r="A4768" s="2">
        <v>4762</v>
      </c>
      <c r="B4768" s="11">
        <f t="shared" ca="1" si="394"/>
        <v>0</v>
      </c>
      <c r="C4768" s="26">
        <f t="shared" ca="1" si="393"/>
        <v>0.83853480431589833</v>
      </c>
      <c r="J4768">
        <f t="shared" ca="1" si="395"/>
        <v>0</v>
      </c>
      <c r="K4768">
        <f t="shared" ca="1" si="396"/>
        <v>1</v>
      </c>
      <c r="L4768">
        <f t="shared" si="397"/>
        <v>4762</v>
      </c>
      <c r="M4768" s="71">
        <f t="shared" ca="1" si="398"/>
        <v>0</v>
      </c>
    </row>
    <row r="4769" spans="1:13" x14ac:dyDescent="0.25">
      <c r="A4769" s="2">
        <v>4763</v>
      </c>
      <c r="B4769" s="11">
        <f t="shared" ca="1" si="394"/>
        <v>0</v>
      </c>
      <c r="C4769" s="26">
        <f t="shared" ca="1" si="393"/>
        <v>0.8882806834245569</v>
      </c>
      <c r="J4769">
        <f t="shared" ca="1" si="395"/>
        <v>0</v>
      </c>
      <c r="K4769">
        <f t="shared" ca="1" si="396"/>
        <v>1</v>
      </c>
      <c r="L4769">
        <f t="shared" si="397"/>
        <v>4763</v>
      </c>
      <c r="M4769" s="71">
        <f t="shared" ca="1" si="398"/>
        <v>0</v>
      </c>
    </row>
    <row r="4770" spans="1:13" x14ac:dyDescent="0.25">
      <c r="A4770" s="2">
        <v>4764</v>
      </c>
      <c r="B4770" s="11">
        <f t="shared" ca="1" si="394"/>
        <v>0</v>
      </c>
      <c r="C4770" s="26">
        <f t="shared" ca="1" si="393"/>
        <v>0.84869273324510075</v>
      </c>
      <c r="J4770">
        <f t="shared" ca="1" si="395"/>
        <v>0</v>
      </c>
      <c r="K4770">
        <f t="shared" ca="1" si="396"/>
        <v>0</v>
      </c>
      <c r="L4770">
        <f t="shared" si="397"/>
        <v>4764</v>
      </c>
      <c r="M4770" s="71">
        <f t="shared" ca="1" si="398"/>
        <v>0</v>
      </c>
    </row>
    <row r="4771" spans="1:13" x14ac:dyDescent="0.25">
      <c r="A4771" s="2">
        <v>4765</v>
      </c>
      <c r="B4771" s="11">
        <f t="shared" ca="1" si="394"/>
        <v>1</v>
      </c>
      <c r="C4771" s="26">
        <f t="shared" ca="1" si="393"/>
        <v>0.44907181490550807</v>
      </c>
      <c r="J4771">
        <f t="shared" ca="1" si="395"/>
        <v>1</v>
      </c>
      <c r="K4771">
        <f t="shared" ca="1" si="396"/>
        <v>0</v>
      </c>
      <c r="L4771">
        <f t="shared" si="397"/>
        <v>4765</v>
      </c>
      <c r="M4771" s="71">
        <f t="shared" ca="1" si="398"/>
        <v>2.2777516512243858</v>
      </c>
    </row>
    <row r="4772" spans="1:13" x14ac:dyDescent="0.25">
      <c r="A4772" s="2">
        <v>4766</v>
      </c>
      <c r="B4772" s="11">
        <f t="shared" ca="1" si="394"/>
        <v>1</v>
      </c>
      <c r="C4772" s="26">
        <f t="shared" ca="1" si="393"/>
        <v>1.1468315190503509E-2</v>
      </c>
      <c r="J4772">
        <f t="shared" ca="1" si="395"/>
        <v>1</v>
      </c>
      <c r="K4772">
        <f t="shared" ca="1" si="396"/>
        <v>0</v>
      </c>
      <c r="L4772">
        <f t="shared" si="397"/>
        <v>4766</v>
      </c>
      <c r="M4772" s="71">
        <f t="shared" ca="1" si="398"/>
        <v>3.9950400618372295</v>
      </c>
    </row>
    <row r="4773" spans="1:13" x14ac:dyDescent="0.25">
      <c r="A4773" s="2">
        <v>4767</v>
      </c>
      <c r="B4773" s="11">
        <f t="shared" ca="1" si="394"/>
        <v>1</v>
      </c>
      <c r="C4773" s="26">
        <f t="shared" ca="1" si="393"/>
        <v>0.1604056841865954</v>
      </c>
      <c r="J4773">
        <f t="shared" ca="1" si="395"/>
        <v>1</v>
      </c>
      <c r="K4773">
        <f t="shared" ca="1" si="396"/>
        <v>0</v>
      </c>
      <c r="L4773">
        <f t="shared" si="397"/>
        <v>4767</v>
      </c>
      <c r="M4773" s="71">
        <f t="shared" ca="1" si="398"/>
        <v>1.1193920242426825</v>
      </c>
    </row>
    <row r="4774" spans="1:13" x14ac:dyDescent="0.25">
      <c r="A4774" s="2">
        <v>4768</v>
      </c>
      <c r="B4774" s="11">
        <f t="shared" ca="1" si="394"/>
        <v>1</v>
      </c>
      <c r="C4774" s="26">
        <f t="shared" ca="1" si="393"/>
        <v>0.38336354072034406</v>
      </c>
      <c r="J4774">
        <f t="shared" ca="1" si="395"/>
        <v>1</v>
      </c>
      <c r="K4774">
        <f t="shared" ca="1" si="396"/>
        <v>0</v>
      </c>
      <c r="L4774">
        <f t="shared" si="397"/>
        <v>4768</v>
      </c>
      <c r="M4774" s="71">
        <f t="shared" ca="1" si="398"/>
        <v>1.3576987629120996</v>
      </c>
    </row>
    <row r="4775" spans="1:13" x14ac:dyDescent="0.25">
      <c r="A4775" s="2">
        <v>4769</v>
      </c>
      <c r="B4775" s="11">
        <f t="shared" ca="1" si="394"/>
        <v>1</v>
      </c>
      <c r="C4775" s="26">
        <f t="shared" ca="1" si="393"/>
        <v>0.28371630100928724</v>
      </c>
      <c r="J4775">
        <f t="shared" ca="1" si="395"/>
        <v>1</v>
      </c>
      <c r="K4775">
        <f t="shared" ca="1" si="396"/>
        <v>0</v>
      </c>
      <c r="L4775">
        <f t="shared" si="397"/>
        <v>4769</v>
      </c>
      <c r="M4775" s="71">
        <f t="shared" ca="1" si="398"/>
        <v>9.4806144334571645</v>
      </c>
    </row>
    <row r="4776" spans="1:13" x14ac:dyDescent="0.25">
      <c r="A4776" s="2">
        <v>4770</v>
      </c>
      <c r="B4776" s="11">
        <f t="shared" ca="1" si="394"/>
        <v>1</v>
      </c>
      <c r="C4776" s="26">
        <f t="shared" ca="1" si="393"/>
        <v>0.68679213989851917</v>
      </c>
      <c r="J4776">
        <f t="shared" ca="1" si="395"/>
        <v>1</v>
      </c>
      <c r="K4776">
        <f t="shared" ca="1" si="396"/>
        <v>0</v>
      </c>
      <c r="L4776">
        <f t="shared" si="397"/>
        <v>4770</v>
      </c>
      <c r="M4776" s="71">
        <f t="shared" ca="1" si="398"/>
        <v>6.9095875890204352</v>
      </c>
    </row>
    <row r="4777" spans="1:13" x14ac:dyDescent="0.25">
      <c r="A4777" s="2">
        <v>4771</v>
      </c>
      <c r="B4777" s="11">
        <f t="shared" ca="1" si="394"/>
        <v>1</v>
      </c>
      <c r="C4777" s="26">
        <f t="shared" ca="1" si="393"/>
        <v>0.3618402586074706</v>
      </c>
      <c r="J4777">
        <f t="shared" ca="1" si="395"/>
        <v>0</v>
      </c>
      <c r="K4777">
        <f t="shared" ca="1" si="396"/>
        <v>0</v>
      </c>
      <c r="L4777">
        <f t="shared" si="397"/>
        <v>4771</v>
      </c>
      <c r="M4777" s="71">
        <f t="shared" ca="1" si="398"/>
        <v>1.3743618203105938</v>
      </c>
    </row>
    <row r="4778" spans="1:13" x14ac:dyDescent="0.25">
      <c r="A4778" s="2">
        <v>4772</v>
      </c>
      <c r="B4778" s="11">
        <f t="shared" ca="1" si="394"/>
        <v>0</v>
      </c>
      <c r="C4778" s="26">
        <f t="shared" ca="1" si="393"/>
        <v>0.88329328963810971</v>
      </c>
      <c r="J4778">
        <f t="shared" ca="1" si="395"/>
        <v>0</v>
      </c>
      <c r="K4778">
        <f t="shared" ca="1" si="396"/>
        <v>0</v>
      </c>
      <c r="L4778">
        <f t="shared" si="397"/>
        <v>4772</v>
      </c>
      <c r="M4778" s="71">
        <f t="shared" ca="1" si="398"/>
        <v>0</v>
      </c>
    </row>
    <row r="4779" spans="1:13" x14ac:dyDescent="0.25">
      <c r="A4779" s="2">
        <v>4773</v>
      </c>
      <c r="B4779" s="11">
        <f t="shared" ca="1" si="394"/>
        <v>1</v>
      </c>
      <c r="C4779" s="26">
        <f t="shared" ca="1" si="393"/>
        <v>0.71810635878330975</v>
      </c>
      <c r="J4779">
        <f t="shared" ca="1" si="395"/>
        <v>0</v>
      </c>
      <c r="K4779">
        <f t="shared" ca="1" si="396"/>
        <v>0</v>
      </c>
      <c r="L4779">
        <f t="shared" si="397"/>
        <v>4773</v>
      </c>
      <c r="M4779" s="71">
        <f t="shared" ca="1" si="398"/>
        <v>0.83274281106258086</v>
      </c>
    </row>
    <row r="4780" spans="1:13" x14ac:dyDescent="0.25">
      <c r="A4780" s="2">
        <v>4774</v>
      </c>
      <c r="B4780" s="11">
        <f t="shared" ca="1" si="394"/>
        <v>0</v>
      </c>
      <c r="C4780" s="26">
        <f t="shared" ca="1" si="393"/>
        <v>0.89551243648137346</v>
      </c>
      <c r="J4780">
        <f t="shared" ca="1" si="395"/>
        <v>0</v>
      </c>
      <c r="K4780">
        <f t="shared" ca="1" si="396"/>
        <v>0</v>
      </c>
      <c r="L4780">
        <f t="shared" si="397"/>
        <v>4774</v>
      </c>
      <c r="M4780" s="71">
        <f t="shared" ca="1" si="398"/>
        <v>0</v>
      </c>
    </row>
    <row r="4781" spans="1:13" x14ac:dyDescent="0.25">
      <c r="A4781" s="2">
        <v>4775</v>
      </c>
      <c r="B4781" s="11">
        <f t="shared" ca="1" si="394"/>
        <v>1</v>
      </c>
      <c r="C4781" s="26">
        <f t="shared" ca="1" si="393"/>
        <v>0.28922306480809346</v>
      </c>
      <c r="J4781">
        <f t="shared" ca="1" si="395"/>
        <v>1</v>
      </c>
      <c r="K4781">
        <f t="shared" ca="1" si="396"/>
        <v>0</v>
      </c>
      <c r="L4781">
        <f t="shared" si="397"/>
        <v>4775</v>
      </c>
      <c r="M4781" s="71">
        <f t="shared" ca="1" si="398"/>
        <v>4.0692187607146666</v>
      </c>
    </row>
    <row r="4782" spans="1:13" x14ac:dyDescent="0.25">
      <c r="A4782" s="2">
        <v>4776</v>
      </c>
      <c r="B4782" s="11">
        <f t="shared" ca="1" si="394"/>
        <v>1</v>
      </c>
      <c r="C4782" s="26">
        <f t="shared" ca="1" si="393"/>
        <v>0.14648553964530575</v>
      </c>
      <c r="J4782">
        <f t="shared" ca="1" si="395"/>
        <v>1</v>
      </c>
      <c r="K4782">
        <f t="shared" ca="1" si="396"/>
        <v>0</v>
      </c>
      <c r="L4782">
        <f t="shared" si="397"/>
        <v>4776</v>
      </c>
      <c r="M4782" s="71">
        <f t="shared" ca="1" si="398"/>
        <v>8.1316141165541875</v>
      </c>
    </row>
    <row r="4783" spans="1:13" x14ac:dyDescent="0.25">
      <c r="A4783" s="2">
        <v>4777</v>
      </c>
      <c r="B4783" s="11">
        <f t="shared" ca="1" si="394"/>
        <v>1</v>
      </c>
      <c r="C4783" s="26">
        <f t="shared" ca="1" si="393"/>
        <v>0.25085644443384625</v>
      </c>
      <c r="J4783">
        <f t="shared" ca="1" si="395"/>
        <v>1</v>
      </c>
      <c r="K4783">
        <f t="shared" ca="1" si="396"/>
        <v>0</v>
      </c>
      <c r="L4783">
        <f t="shared" si="397"/>
        <v>4777</v>
      </c>
      <c r="M4783" s="71">
        <f t="shared" ca="1" si="398"/>
        <v>4.2057156107339262</v>
      </c>
    </row>
    <row r="4784" spans="1:13" x14ac:dyDescent="0.25">
      <c r="A4784" s="2">
        <v>4778</v>
      </c>
      <c r="B4784" s="11">
        <f t="shared" ca="1" si="394"/>
        <v>1</v>
      </c>
      <c r="C4784" s="26">
        <f t="shared" ca="1" si="393"/>
        <v>0.35175376637054134</v>
      </c>
      <c r="J4784">
        <f t="shared" ca="1" si="395"/>
        <v>0</v>
      </c>
      <c r="K4784">
        <f t="shared" ca="1" si="396"/>
        <v>0</v>
      </c>
      <c r="L4784">
        <f t="shared" si="397"/>
        <v>4778</v>
      </c>
      <c r="M4784" s="71">
        <f t="shared" ca="1" si="398"/>
        <v>1.0014408937901857</v>
      </c>
    </row>
    <row r="4785" spans="1:13" x14ac:dyDescent="0.25">
      <c r="A4785" s="2">
        <v>4779</v>
      </c>
      <c r="B4785" s="11">
        <f t="shared" ca="1" si="394"/>
        <v>0</v>
      </c>
      <c r="C4785" s="26">
        <f t="shared" ca="1" si="393"/>
        <v>0.81132068100823584</v>
      </c>
      <c r="J4785">
        <f t="shared" ca="1" si="395"/>
        <v>0</v>
      </c>
      <c r="K4785">
        <f t="shared" ca="1" si="396"/>
        <v>0</v>
      </c>
      <c r="L4785">
        <f t="shared" si="397"/>
        <v>4779</v>
      </c>
      <c r="M4785" s="71">
        <f t="shared" ca="1" si="398"/>
        <v>0</v>
      </c>
    </row>
    <row r="4786" spans="1:13" x14ac:dyDescent="0.25">
      <c r="A4786" s="2">
        <v>4780</v>
      </c>
      <c r="B4786" s="11">
        <f t="shared" ca="1" si="394"/>
        <v>1</v>
      </c>
      <c r="C4786" s="26">
        <f t="shared" ca="1" si="393"/>
        <v>3.0148354047432324E-2</v>
      </c>
      <c r="J4786">
        <f t="shared" ca="1" si="395"/>
        <v>0</v>
      </c>
      <c r="K4786">
        <f t="shared" ca="1" si="396"/>
        <v>0</v>
      </c>
      <c r="L4786">
        <f t="shared" si="397"/>
        <v>4780</v>
      </c>
      <c r="M4786" s="71">
        <f t="shared" ca="1" si="398"/>
        <v>1.8749884812551454</v>
      </c>
    </row>
    <row r="4787" spans="1:13" x14ac:dyDescent="0.25">
      <c r="A4787" s="2">
        <v>4781</v>
      </c>
      <c r="B4787" s="11">
        <f t="shared" ca="1" si="394"/>
        <v>0</v>
      </c>
      <c r="C4787" s="26">
        <f t="shared" ca="1" si="393"/>
        <v>0.87931365220366364</v>
      </c>
      <c r="J4787">
        <f t="shared" ca="1" si="395"/>
        <v>0</v>
      </c>
      <c r="K4787">
        <f t="shared" ca="1" si="396"/>
        <v>1</v>
      </c>
      <c r="L4787">
        <f t="shared" si="397"/>
        <v>4781</v>
      </c>
      <c r="M4787" s="71">
        <f t="shared" ca="1" si="398"/>
        <v>0</v>
      </c>
    </row>
    <row r="4788" spans="1:13" x14ac:dyDescent="0.25">
      <c r="A4788" s="2">
        <v>4782</v>
      </c>
      <c r="B4788" s="11">
        <f t="shared" ca="1" si="394"/>
        <v>0</v>
      </c>
      <c r="C4788" s="26">
        <f t="shared" ca="1" si="393"/>
        <v>0.77438085246353172</v>
      </c>
      <c r="J4788">
        <f t="shared" ca="1" si="395"/>
        <v>0</v>
      </c>
      <c r="K4788">
        <f t="shared" ca="1" si="396"/>
        <v>0</v>
      </c>
      <c r="L4788">
        <f t="shared" si="397"/>
        <v>4782</v>
      </c>
      <c r="M4788" s="71">
        <f t="shared" ca="1" si="398"/>
        <v>0</v>
      </c>
    </row>
    <row r="4789" spans="1:13" x14ac:dyDescent="0.25">
      <c r="A4789" s="2">
        <v>4783</v>
      </c>
      <c r="B4789" s="11">
        <f t="shared" ca="1" si="394"/>
        <v>1</v>
      </c>
      <c r="C4789" s="26">
        <f t="shared" ca="1" si="393"/>
        <v>0.43245667220428263</v>
      </c>
      <c r="J4789">
        <f t="shared" ca="1" si="395"/>
        <v>0</v>
      </c>
      <c r="K4789">
        <f t="shared" ca="1" si="396"/>
        <v>0</v>
      </c>
      <c r="L4789">
        <f t="shared" si="397"/>
        <v>4783</v>
      </c>
      <c r="M4789" s="71">
        <f t="shared" ca="1" si="398"/>
        <v>0.90551052051740821</v>
      </c>
    </row>
    <row r="4790" spans="1:13" x14ac:dyDescent="0.25">
      <c r="A4790" s="2">
        <v>4784</v>
      </c>
      <c r="B4790" s="11">
        <f t="shared" ca="1" si="394"/>
        <v>0</v>
      </c>
      <c r="C4790" s="26">
        <f t="shared" ca="1" si="393"/>
        <v>0.82091137809110415</v>
      </c>
      <c r="J4790">
        <f t="shared" ca="1" si="395"/>
        <v>0</v>
      </c>
      <c r="K4790">
        <f t="shared" ca="1" si="396"/>
        <v>1</v>
      </c>
      <c r="L4790">
        <f t="shared" si="397"/>
        <v>4784</v>
      </c>
      <c r="M4790" s="71">
        <f t="shared" ca="1" si="398"/>
        <v>0</v>
      </c>
    </row>
    <row r="4791" spans="1:13" x14ac:dyDescent="0.25">
      <c r="A4791" s="2">
        <v>4785</v>
      </c>
      <c r="B4791" s="11">
        <f t="shared" ca="1" si="394"/>
        <v>0</v>
      </c>
      <c r="C4791" s="26">
        <f t="shared" ca="1" si="393"/>
        <v>0.77012701266028094</v>
      </c>
      <c r="J4791">
        <f t="shared" ca="1" si="395"/>
        <v>0</v>
      </c>
      <c r="K4791">
        <f t="shared" ca="1" si="396"/>
        <v>0</v>
      </c>
      <c r="L4791">
        <f t="shared" si="397"/>
        <v>4785</v>
      </c>
      <c r="M4791" s="71">
        <f t="shared" ca="1" si="398"/>
        <v>0</v>
      </c>
    </row>
    <row r="4792" spans="1:13" x14ac:dyDescent="0.25">
      <c r="A4792" s="2">
        <v>4786</v>
      </c>
      <c r="B4792" s="11">
        <f t="shared" ca="1" si="394"/>
        <v>1</v>
      </c>
      <c r="C4792" s="26">
        <f t="shared" ca="1" si="393"/>
        <v>2.9642804155102342E-2</v>
      </c>
      <c r="J4792">
        <f t="shared" ca="1" si="395"/>
        <v>1</v>
      </c>
      <c r="K4792">
        <f t="shared" ca="1" si="396"/>
        <v>0</v>
      </c>
      <c r="L4792">
        <f t="shared" si="397"/>
        <v>4786</v>
      </c>
      <c r="M4792" s="71">
        <f t="shared" ca="1" si="398"/>
        <v>9.4139299697028633</v>
      </c>
    </row>
    <row r="4793" spans="1:13" x14ac:dyDescent="0.25">
      <c r="A4793" s="2">
        <v>4787</v>
      </c>
      <c r="B4793" s="11">
        <f t="shared" ca="1" si="394"/>
        <v>1</v>
      </c>
      <c r="C4793" s="26">
        <f t="shared" ca="1" si="393"/>
        <v>5.7008818422805363E-2</v>
      </c>
      <c r="J4793">
        <f t="shared" ca="1" si="395"/>
        <v>1</v>
      </c>
      <c r="K4793">
        <f t="shared" ca="1" si="396"/>
        <v>0</v>
      </c>
      <c r="L4793">
        <f t="shared" si="397"/>
        <v>4787</v>
      </c>
      <c r="M4793" s="71">
        <f t="shared" ca="1" si="398"/>
        <v>1.688153324208125</v>
      </c>
    </row>
    <row r="4794" spans="1:13" x14ac:dyDescent="0.25">
      <c r="A4794" s="2">
        <v>4788</v>
      </c>
      <c r="B4794" s="11">
        <f t="shared" ca="1" si="394"/>
        <v>1</v>
      </c>
      <c r="C4794" s="26">
        <f t="shared" ca="1" si="393"/>
        <v>0.53419805106305163</v>
      </c>
      <c r="J4794">
        <f t="shared" ca="1" si="395"/>
        <v>0</v>
      </c>
      <c r="K4794">
        <f t="shared" ca="1" si="396"/>
        <v>0</v>
      </c>
      <c r="L4794">
        <f t="shared" si="397"/>
        <v>4788</v>
      </c>
      <c r="M4794" s="71">
        <f t="shared" ca="1" si="398"/>
        <v>1.1222520922419321</v>
      </c>
    </row>
    <row r="4795" spans="1:13" x14ac:dyDescent="0.25">
      <c r="A4795" s="2">
        <v>4789</v>
      </c>
      <c r="B4795" s="11">
        <f t="shared" ca="1" si="394"/>
        <v>0</v>
      </c>
      <c r="C4795" s="26">
        <f t="shared" ca="1" si="393"/>
        <v>0.90760581293138309</v>
      </c>
      <c r="J4795">
        <f t="shared" ca="1" si="395"/>
        <v>0</v>
      </c>
      <c r="K4795">
        <f t="shared" ca="1" si="396"/>
        <v>0</v>
      </c>
      <c r="L4795">
        <f t="shared" si="397"/>
        <v>4789</v>
      </c>
      <c r="M4795" s="71">
        <f t="shared" ca="1" si="398"/>
        <v>0</v>
      </c>
    </row>
    <row r="4796" spans="1:13" x14ac:dyDescent="0.25">
      <c r="A4796" s="2">
        <v>4790</v>
      </c>
      <c r="B4796" s="11">
        <f t="shared" ca="1" si="394"/>
        <v>1</v>
      </c>
      <c r="C4796" s="26">
        <f t="shared" ca="1" si="393"/>
        <v>0.24148014120681183</v>
      </c>
      <c r="J4796">
        <f t="shared" ca="1" si="395"/>
        <v>1</v>
      </c>
      <c r="K4796">
        <f t="shared" ca="1" si="396"/>
        <v>0</v>
      </c>
      <c r="L4796">
        <f t="shared" si="397"/>
        <v>4790</v>
      </c>
      <c r="M4796" s="71">
        <f t="shared" ca="1" si="398"/>
        <v>2.6212589370754942</v>
      </c>
    </row>
    <row r="4797" spans="1:13" x14ac:dyDescent="0.25">
      <c r="A4797" s="2">
        <v>4791</v>
      </c>
      <c r="B4797" s="11">
        <f t="shared" ca="1" si="394"/>
        <v>1</v>
      </c>
      <c r="C4797" s="26">
        <f t="shared" ca="1" si="393"/>
        <v>0.47630474778807086</v>
      </c>
      <c r="J4797">
        <f t="shared" ca="1" si="395"/>
        <v>1</v>
      </c>
      <c r="K4797">
        <f t="shared" ca="1" si="396"/>
        <v>0</v>
      </c>
      <c r="L4797">
        <f t="shared" si="397"/>
        <v>4791</v>
      </c>
      <c r="M4797" s="71">
        <f t="shared" ca="1" si="398"/>
        <v>0.99097812840262034</v>
      </c>
    </row>
    <row r="4798" spans="1:13" x14ac:dyDescent="0.25">
      <c r="A4798" s="2">
        <v>4792</v>
      </c>
      <c r="B4798" s="11">
        <f t="shared" ca="1" si="394"/>
        <v>1</v>
      </c>
      <c r="C4798" s="26">
        <f t="shared" ca="1" si="393"/>
        <v>0.16210867023767372</v>
      </c>
      <c r="J4798">
        <f t="shared" ca="1" si="395"/>
        <v>1</v>
      </c>
      <c r="K4798">
        <f t="shared" ca="1" si="396"/>
        <v>0</v>
      </c>
      <c r="L4798">
        <f t="shared" si="397"/>
        <v>4792</v>
      </c>
      <c r="M4798" s="71">
        <f t="shared" ca="1" si="398"/>
        <v>13.308818200290011</v>
      </c>
    </row>
    <row r="4799" spans="1:13" x14ac:dyDescent="0.25">
      <c r="A4799" s="2">
        <v>4793</v>
      </c>
      <c r="B4799" s="11">
        <f t="shared" ca="1" si="394"/>
        <v>1</v>
      </c>
      <c r="C4799" s="26">
        <f t="shared" ca="1" si="393"/>
        <v>0.76891713786605742</v>
      </c>
      <c r="J4799">
        <f t="shared" ca="1" si="395"/>
        <v>1</v>
      </c>
      <c r="K4799">
        <f t="shared" ca="1" si="396"/>
        <v>0</v>
      </c>
      <c r="L4799">
        <f t="shared" si="397"/>
        <v>4793</v>
      </c>
      <c r="M4799" s="71">
        <f t="shared" ca="1" si="398"/>
        <v>10.274918294008884</v>
      </c>
    </row>
    <row r="4800" spans="1:13" x14ac:dyDescent="0.25">
      <c r="A4800" s="2">
        <v>4794</v>
      </c>
      <c r="B4800" s="11">
        <f t="shared" ca="1" si="394"/>
        <v>1</v>
      </c>
      <c r="C4800" s="26">
        <f t="shared" ca="1" si="393"/>
        <v>0.23251530904892515</v>
      </c>
      <c r="J4800">
        <f t="shared" ca="1" si="395"/>
        <v>1</v>
      </c>
      <c r="K4800">
        <f t="shared" ca="1" si="396"/>
        <v>0</v>
      </c>
      <c r="L4800">
        <f t="shared" si="397"/>
        <v>4794</v>
      </c>
      <c r="M4800" s="71">
        <f t="shared" ca="1" si="398"/>
        <v>9.2379915412198184</v>
      </c>
    </row>
    <row r="4801" spans="1:13" x14ac:dyDescent="0.25">
      <c r="A4801" s="2">
        <v>4795</v>
      </c>
      <c r="B4801" s="11">
        <f t="shared" ca="1" si="394"/>
        <v>1</v>
      </c>
      <c r="C4801" s="26">
        <f t="shared" ca="1" si="393"/>
        <v>0.18265272718805736</v>
      </c>
      <c r="J4801">
        <f t="shared" ca="1" si="395"/>
        <v>1</v>
      </c>
      <c r="K4801">
        <f t="shared" ca="1" si="396"/>
        <v>0</v>
      </c>
      <c r="L4801">
        <f t="shared" si="397"/>
        <v>4795</v>
      </c>
      <c r="M4801" s="71">
        <f t="shared" ca="1" si="398"/>
        <v>1.4601022723999868</v>
      </c>
    </row>
    <row r="4802" spans="1:13" x14ac:dyDescent="0.25">
      <c r="A4802" s="2">
        <v>4796</v>
      </c>
      <c r="B4802" s="11">
        <f t="shared" ca="1" si="394"/>
        <v>1</v>
      </c>
      <c r="C4802" s="26">
        <f t="shared" ca="1" si="393"/>
        <v>0.76363374896444525</v>
      </c>
      <c r="J4802">
        <f t="shared" ca="1" si="395"/>
        <v>0</v>
      </c>
      <c r="K4802">
        <f t="shared" ca="1" si="396"/>
        <v>0</v>
      </c>
      <c r="L4802">
        <f t="shared" si="397"/>
        <v>4796</v>
      </c>
      <c r="M4802" s="71">
        <f t="shared" ca="1" si="398"/>
        <v>2.503095378884439</v>
      </c>
    </row>
    <row r="4803" spans="1:13" x14ac:dyDescent="0.25">
      <c r="A4803" s="2">
        <v>4797</v>
      </c>
      <c r="B4803" s="11">
        <f t="shared" ca="1" si="394"/>
        <v>0</v>
      </c>
      <c r="C4803" s="26">
        <f t="shared" ca="1" si="393"/>
        <v>0.8253274514607567</v>
      </c>
      <c r="J4803">
        <f t="shared" ca="1" si="395"/>
        <v>0</v>
      </c>
      <c r="K4803">
        <f t="shared" ca="1" si="396"/>
        <v>0</v>
      </c>
      <c r="L4803">
        <f t="shared" si="397"/>
        <v>4797</v>
      </c>
      <c r="M4803" s="71">
        <f t="shared" ca="1" si="398"/>
        <v>0</v>
      </c>
    </row>
    <row r="4804" spans="1:13" x14ac:dyDescent="0.25">
      <c r="A4804" s="2">
        <v>4798</v>
      </c>
      <c r="B4804" s="11">
        <f t="shared" ca="1" si="394"/>
        <v>1</v>
      </c>
      <c r="C4804" s="26">
        <f t="shared" ca="1" si="393"/>
        <v>6.4396917767935991E-3</v>
      </c>
      <c r="J4804">
        <f t="shared" ca="1" si="395"/>
        <v>1</v>
      </c>
      <c r="K4804">
        <f t="shared" ca="1" si="396"/>
        <v>0</v>
      </c>
      <c r="L4804">
        <f t="shared" si="397"/>
        <v>4798</v>
      </c>
      <c r="M4804" s="71">
        <f t="shared" ca="1" si="398"/>
        <v>1.7334607075183661</v>
      </c>
    </row>
    <row r="4805" spans="1:13" x14ac:dyDescent="0.25">
      <c r="A4805" s="2">
        <v>4799</v>
      </c>
      <c r="B4805" s="11">
        <f t="shared" ca="1" si="394"/>
        <v>1</v>
      </c>
      <c r="C4805" s="26">
        <f t="shared" ca="1" si="393"/>
        <v>0.50551965201851801</v>
      </c>
      <c r="J4805">
        <f t="shared" ca="1" si="395"/>
        <v>1</v>
      </c>
      <c r="K4805">
        <f t="shared" ca="1" si="396"/>
        <v>0</v>
      </c>
      <c r="L4805">
        <f t="shared" si="397"/>
        <v>4799</v>
      </c>
      <c r="M4805" s="71">
        <f t="shared" ca="1" si="398"/>
        <v>3.3036861305885696</v>
      </c>
    </row>
    <row r="4806" spans="1:13" x14ac:dyDescent="0.25">
      <c r="A4806" s="2">
        <v>4800</v>
      </c>
      <c r="B4806" s="11">
        <f t="shared" ca="1" si="394"/>
        <v>1</v>
      </c>
      <c r="C4806" s="26">
        <f t="shared" ca="1" si="393"/>
        <v>7.855563760548645E-2</v>
      </c>
      <c r="J4806">
        <f t="shared" ca="1" si="395"/>
        <v>1</v>
      </c>
      <c r="K4806">
        <f t="shared" ca="1" si="396"/>
        <v>0</v>
      </c>
      <c r="L4806">
        <f t="shared" si="397"/>
        <v>4800</v>
      </c>
      <c r="M4806" s="71">
        <f t="shared" ca="1" si="398"/>
        <v>0.57478816818374512</v>
      </c>
    </row>
    <row r="4807" spans="1:13" x14ac:dyDescent="0.25">
      <c r="A4807" s="2">
        <v>4801</v>
      </c>
      <c r="B4807" s="11">
        <f t="shared" ca="1" si="394"/>
        <v>1</v>
      </c>
      <c r="C4807" s="26">
        <f t="shared" ca="1" si="393"/>
        <v>0.61841874661370433</v>
      </c>
      <c r="J4807">
        <f t="shared" ca="1" si="395"/>
        <v>0</v>
      </c>
      <c r="K4807">
        <f t="shared" ca="1" si="396"/>
        <v>0</v>
      </c>
      <c r="L4807">
        <f t="shared" si="397"/>
        <v>4801</v>
      </c>
      <c r="M4807" s="71">
        <f t="shared" ca="1" si="398"/>
        <v>0.96463850583173416</v>
      </c>
    </row>
    <row r="4808" spans="1:13" x14ac:dyDescent="0.25">
      <c r="A4808" s="2">
        <v>4802</v>
      </c>
      <c r="B4808" s="11">
        <f t="shared" ca="1" si="394"/>
        <v>0</v>
      </c>
      <c r="C4808" s="26">
        <f t="shared" ref="C4808:C4871" ca="1" si="399">RAND()</f>
        <v>0.88836075827207284</v>
      </c>
      <c r="J4808">
        <f t="shared" ca="1" si="395"/>
        <v>0</v>
      </c>
      <c r="K4808">
        <f t="shared" ca="1" si="396"/>
        <v>0</v>
      </c>
      <c r="L4808">
        <f t="shared" si="397"/>
        <v>4802</v>
      </c>
      <c r="M4808" s="71">
        <f t="shared" ca="1" si="398"/>
        <v>0</v>
      </c>
    </row>
    <row r="4809" spans="1:13" x14ac:dyDescent="0.25">
      <c r="A4809" s="2">
        <v>4803</v>
      </c>
      <c r="B4809" s="11">
        <f t="shared" ref="B4809:B4872" ca="1" si="400">IF(B4808&gt;0,IF(C4809&lt;pww,1,0),IF(C4809&lt;pdw,1,0))</f>
        <v>1</v>
      </c>
      <c r="C4809" s="26">
        <f t="shared" ca="1" si="399"/>
        <v>0.11901637152079148</v>
      </c>
      <c r="J4809">
        <f t="shared" ca="1" si="395"/>
        <v>1</v>
      </c>
      <c r="K4809">
        <f t="shared" ca="1" si="396"/>
        <v>0</v>
      </c>
      <c r="L4809">
        <f t="shared" si="397"/>
        <v>4803</v>
      </c>
      <c r="M4809" s="71">
        <f t="shared" ca="1" si="398"/>
        <v>0.48680068674149773</v>
      </c>
    </row>
    <row r="4810" spans="1:13" x14ac:dyDescent="0.25">
      <c r="A4810" s="2">
        <v>4804</v>
      </c>
      <c r="B4810" s="11">
        <f t="shared" ca="1" si="400"/>
        <v>1</v>
      </c>
      <c r="C4810" s="26">
        <f t="shared" ca="1" si="399"/>
        <v>0.49105858609153785</v>
      </c>
      <c r="J4810">
        <f t="shared" ref="J4810:J4873" ca="1" si="401">IF(AND(B4810,B4811),1,0)</f>
        <v>1</v>
      </c>
      <c r="K4810">
        <f t="shared" ref="K4810:K4873" ca="1" si="402">IF(AND(NOT(B4810),NOT(B4811)),1,0)</f>
        <v>0</v>
      </c>
      <c r="L4810">
        <f t="shared" ref="L4810:L4873" si="403">L4809+1</f>
        <v>4804</v>
      </c>
      <c r="M4810" s="71">
        <f t="shared" ref="M4810:M4873" ca="1" si="404">IF(B4810&gt;0,-LN(1-(RAND()))/lambda,0)</f>
        <v>4.5179151806448647</v>
      </c>
    </row>
    <row r="4811" spans="1:13" x14ac:dyDescent="0.25">
      <c r="A4811" s="2">
        <v>4805</v>
      </c>
      <c r="B4811" s="11">
        <f t="shared" ca="1" si="400"/>
        <v>1</v>
      </c>
      <c r="C4811" s="26">
        <f t="shared" ca="1" si="399"/>
        <v>0.39385039544143752</v>
      </c>
      <c r="J4811">
        <f t="shared" ca="1" si="401"/>
        <v>1</v>
      </c>
      <c r="K4811">
        <f t="shared" ca="1" si="402"/>
        <v>0</v>
      </c>
      <c r="L4811">
        <f t="shared" si="403"/>
        <v>4805</v>
      </c>
      <c r="M4811" s="71">
        <f t="shared" ca="1" si="404"/>
        <v>1.8174873287570559</v>
      </c>
    </row>
    <row r="4812" spans="1:13" x14ac:dyDescent="0.25">
      <c r="A4812" s="2">
        <v>4806</v>
      </c>
      <c r="B4812" s="11">
        <f t="shared" ca="1" si="400"/>
        <v>1</v>
      </c>
      <c r="C4812" s="26">
        <f t="shared" ca="1" si="399"/>
        <v>0.73547122825781075</v>
      </c>
      <c r="J4812">
        <f t="shared" ca="1" si="401"/>
        <v>1</v>
      </c>
      <c r="K4812">
        <f t="shared" ca="1" si="402"/>
        <v>0</v>
      </c>
      <c r="L4812">
        <f t="shared" si="403"/>
        <v>4806</v>
      </c>
      <c r="M4812" s="71">
        <f t="shared" ca="1" si="404"/>
        <v>5.2359742480928428</v>
      </c>
    </row>
    <row r="4813" spans="1:13" x14ac:dyDescent="0.25">
      <c r="A4813" s="2">
        <v>4807</v>
      </c>
      <c r="B4813" s="11">
        <f t="shared" ca="1" si="400"/>
        <v>1</v>
      </c>
      <c r="C4813" s="26">
        <f t="shared" ca="1" si="399"/>
        <v>0.66032176241077178</v>
      </c>
      <c r="J4813">
        <f t="shared" ca="1" si="401"/>
        <v>1</v>
      </c>
      <c r="K4813">
        <f t="shared" ca="1" si="402"/>
        <v>0</v>
      </c>
      <c r="L4813">
        <f t="shared" si="403"/>
        <v>4807</v>
      </c>
      <c r="M4813" s="71">
        <f t="shared" ca="1" si="404"/>
        <v>2.6045169400299413</v>
      </c>
    </row>
    <row r="4814" spans="1:13" x14ac:dyDescent="0.25">
      <c r="A4814" s="2">
        <v>4808</v>
      </c>
      <c r="B4814" s="11">
        <f t="shared" ca="1" si="400"/>
        <v>1</v>
      </c>
      <c r="C4814" s="26">
        <f t="shared" ca="1" si="399"/>
        <v>0.62190321068867682</v>
      </c>
      <c r="J4814">
        <f t="shared" ca="1" si="401"/>
        <v>0</v>
      </c>
      <c r="K4814">
        <f t="shared" ca="1" si="402"/>
        <v>0</v>
      </c>
      <c r="L4814">
        <f t="shared" si="403"/>
        <v>4808</v>
      </c>
      <c r="M4814" s="71">
        <f t="shared" ca="1" si="404"/>
        <v>0.35507323067682028</v>
      </c>
    </row>
    <row r="4815" spans="1:13" x14ac:dyDescent="0.25">
      <c r="A4815" s="2">
        <v>4809</v>
      </c>
      <c r="B4815" s="11">
        <f t="shared" ca="1" si="400"/>
        <v>0</v>
      </c>
      <c r="C4815" s="26">
        <f t="shared" ca="1" si="399"/>
        <v>0.92816952012783671</v>
      </c>
      <c r="J4815">
        <f t="shared" ca="1" si="401"/>
        <v>0</v>
      </c>
      <c r="K4815">
        <f t="shared" ca="1" si="402"/>
        <v>0</v>
      </c>
      <c r="L4815">
        <f t="shared" si="403"/>
        <v>4809</v>
      </c>
      <c r="M4815" s="71">
        <f t="shared" ca="1" si="404"/>
        <v>0</v>
      </c>
    </row>
    <row r="4816" spans="1:13" x14ac:dyDescent="0.25">
      <c r="A4816" s="2">
        <v>4810</v>
      </c>
      <c r="B4816" s="11">
        <f t="shared" ca="1" si="400"/>
        <v>1</v>
      </c>
      <c r="C4816" s="26">
        <f t="shared" ca="1" si="399"/>
        <v>0.48314612221980735</v>
      </c>
      <c r="J4816">
        <f t="shared" ca="1" si="401"/>
        <v>1</v>
      </c>
      <c r="K4816">
        <f t="shared" ca="1" si="402"/>
        <v>0</v>
      </c>
      <c r="L4816">
        <f t="shared" si="403"/>
        <v>4810</v>
      </c>
      <c r="M4816" s="71">
        <f t="shared" ca="1" si="404"/>
        <v>5.5290503814600331</v>
      </c>
    </row>
    <row r="4817" spans="1:13" x14ac:dyDescent="0.25">
      <c r="A4817" s="2">
        <v>4811</v>
      </c>
      <c r="B4817" s="11">
        <f t="shared" ca="1" si="400"/>
        <v>1</v>
      </c>
      <c r="C4817" s="26">
        <f t="shared" ca="1" si="399"/>
        <v>0.34930114451050831</v>
      </c>
      <c r="J4817">
        <f t="shared" ca="1" si="401"/>
        <v>1</v>
      </c>
      <c r="K4817">
        <f t="shared" ca="1" si="402"/>
        <v>0</v>
      </c>
      <c r="L4817">
        <f t="shared" si="403"/>
        <v>4811</v>
      </c>
      <c r="M4817" s="71">
        <f t="shared" ca="1" si="404"/>
        <v>8.8897069088385017</v>
      </c>
    </row>
    <row r="4818" spans="1:13" x14ac:dyDescent="0.25">
      <c r="A4818" s="2">
        <v>4812</v>
      </c>
      <c r="B4818" s="11">
        <f t="shared" ca="1" si="400"/>
        <v>1</v>
      </c>
      <c r="C4818" s="26">
        <f t="shared" ca="1" si="399"/>
        <v>0.32140669025069257</v>
      </c>
      <c r="J4818">
        <f t="shared" ca="1" si="401"/>
        <v>1</v>
      </c>
      <c r="K4818">
        <f t="shared" ca="1" si="402"/>
        <v>0</v>
      </c>
      <c r="L4818">
        <f t="shared" si="403"/>
        <v>4812</v>
      </c>
      <c r="M4818" s="71">
        <f t="shared" ca="1" si="404"/>
        <v>3.6738994908338833</v>
      </c>
    </row>
    <row r="4819" spans="1:13" x14ac:dyDescent="0.25">
      <c r="A4819" s="2">
        <v>4813</v>
      </c>
      <c r="B4819" s="11">
        <f t="shared" ca="1" si="400"/>
        <v>1</v>
      </c>
      <c r="C4819" s="26">
        <f t="shared" ca="1" si="399"/>
        <v>0.30644475086580958</v>
      </c>
      <c r="J4819">
        <f t="shared" ca="1" si="401"/>
        <v>1</v>
      </c>
      <c r="K4819">
        <f t="shared" ca="1" si="402"/>
        <v>0</v>
      </c>
      <c r="L4819">
        <f t="shared" si="403"/>
        <v>4813</v>
      </c>
      <c r="M4819" s="71">
        <f t="shared" ca="1" si="404"/>
        <v>0.13682614281971425</v>
      </c>
    </row>
    <row r="4820" spans="1:13" x14ac:dyDescent="0.25">
      <c r="A4820" s="2">
        <v>4814</v>
      </c>
      <c r="B4820" s="11">
        <f t="shared" ca="1" si="400"/>
        <v>1</v>
      </c>
      <c r="C4820" s="26">
        <f t="shared" ca="1" si="399"/>
        <v>0.22390017062223955</v>
      </c>
      <c r="J4820">
        <f t="shared" ca="1" si="401"/>
        <v>1</v>
      </c>
      <c r="K4820">
        <f t="shared" ca="1" si="402"/>
        <v>0</v>
      </c>
      <c r="L4820">
        <f t="shared" si="403"/>
        <v>4814</v>
      </c>
      <c r="M4820" s="71">
        <f t="shared" ca="1" si="404"/>
        <v>1.9615315690525756</v>
      </c>
    </row>
    <row r="4821" spans="1:13" x14ac:dyDescent="0.25">
      <c r="A4821" s="2">
        <v>4815</v>
      </c>
      <c r="B4821" s="11">
        <f t="shared" ca="1" si="400"/>
        <v>1</v>
      </c>
      <c r="C4821" s="26">
        <f t="shared" ca="1" si="399"/>
        <v>0.1735309528180472</v>
      </c>
      <c r="J4821">
        <f t="shared" ca="1" si="401"/>
        <v>1</v>
      </c>
      <c r="K4821">
        <f t="shared" ca="1" si="402"/>
        <v>0</v>
      </c>
      <c r="L4821">
        <f t="shared" si="403"/>
        <v>4815</v>
      </c>
      <c r="M4821" s="71">
        <f t="shared" ca="1" si="404"/>
        <v>0.50055145726026984</v>
      </c>
    </row>
    <row r="4822" spans="1:13" x14ac:dyDescent="0.25">
      <c r="A4822" s="2">
        <v>4816</v>
      </c>
      <c r="B4822" s="11">
        <f t="shared" ca="1" si="400"/>
        <v>1</v>
      </c>
      <c r="C4822" s="26">
        <f t="shared" ca="1" si="399"/>
        <v>0.61788730007934922</v>
      </c>
      <c r="J4822">
        <f t="shared" ca="1" si="401"/>
        <v>1</v>
      </c>
      <c r="K4822">
        <f t="shared" ca="1" si="402"/>
        <v>0</v>
      </c>
      <c r="L4822">
        <f t="shared" si="403"/>
        <v>4816</v>
      </c>
      <c r="M4822" s="71">
        <f t="shared" ca="1" si="404"/>
        <v>1.353121681120276</v>
      </c>
    </row>
    <row r="4823" spans="1:13" x14ac:dyDescent="0.25">
      <c r="A4823" s="2">
        <v>4817</v>
      </c>
      <c r="B4823" s="11">
        <f t="shared" ca="1" si="400"/>
        <v>1</v>
      </c>
      <c r="C4823" s="26">
        <f t="shared" ca="1" si="399"/>
        <v>0.7908564224757576</v>
      </c>
      <c r="J4823">
        <f t="shared" ca="1" si="401"/>
        <v>0</v>
      </c>
      <c r="K4823">
        <f t="shared" ca="1" si="402"/>
        <v>0</v>
      </c>
      <c r="L4823">
        <f t="shared" si="403"/>
        <v>4817</v>
      </c>
      <c r="M4823" s="71">
        <f t="shared" ca="1" si="404"/>
        <v>9.9516044882204738E-2</v>
      </c>
    </row>
    <row r="4824" spans="1:13" x14ac:dyDescent="0.25">
      <c r="A4824" s="2">
        <v>4818</v>
      </c>
      <c r="B4824" s="11">
        <f t="shared" ca="1" si="400"/>
        <v>0</v>
      </c>
      <c r="C4824" s="26">
        <f t="shared" ca="1" si="399"/>
        <v>0.9332042043990354</v>
      </c>
      <c r="J4824">
        <f t="shared" ca="1" si="401"/>
        <v>0</v>
      </c>
      <c r="K4824">
        <f t="shared" ca="1" si="402"/>
        <v>1</v>
      </c>
      <c r="L4824">
        <f t="shared" si="403"/>
        <v>4818</v>
      </c>
      <c r="M4824" s="71">
        <f t="shared" ca="1" si="404"/>
        <v>0</v>
      </c>
    </row>
    <row r="4825" spans="1:13" x14ac:dyDescent="0.25">
      <c r="A4825" s="2">
        <v>4819</v>
      </c>
      <c r="B4825" s="11">
        <f t="shared" ca="1" si="400"/>
        <v>0</v>
      </c>
      <c r="C4825" s="26">
        <f t="shared" ca="1" si="399"/>
        <v>0.94985717404792447</v>
      </c>
      <c r="J4825">
        <f t="shared" ca="1" si="401"/>
        <v>0</v>
      </c>
      <c r="K4825">
        <f t="shared" ca="1" si="402"/>
        <v>0</v>
      </c>
      <c r="L4825">
        <f t="shared" si="403"/>
        <v>4819</v>
      </c>
      <c r="M4825" s="71">
        <f t="shared" ca="1" si="404"/>
        <v>0</v>
      </c>
    </row>
    <row r="4826" spans="1:13" x14ac:dyDescent="0.25">
      <c r="A4826" s="2">
        <v>4820</v>
      </c>
      <c r="B4826" s="11">
        <f t="shared" ca="1" si="400"/>
        <v>1</v>
      </c>
      <c r="C4826" s="26">
        <f t="shared" ca="1" si="399"/>
        <v>0.30240718361558849</v>
      </c>
      <c r="J4826">
        <f t="shared" ca="1" si="401"/>
        <v>1</v>
      </c>
      <c r="K4826">
        <f t="shared" ca="1" si="402"/>
        <v>0</v>
      </c>
      <c r="L4826">
        <f t="shared" si="403"/>
        <v>4820</v>
      </c>
      <c r="M4826" s="71">
        <f t="shared" ca="1" si="404"/>
        <v>0.7152339937283908</v>
      </c>
    </row>
    <row r="4827" spans="1:13" x14ac:dyDescent="0.25">
      <c r="A4827" s="2">
        <v>4821</v>
      </c>
      <c r="B4827" s="11">
        <f t="shared" ca="1" si="400"/>
        <v>1</v>
      </c>
      <c r="C4827" s="26">
        <f t="shared" ca="1" si="399"/>
        <v>0.59499316599477503</v>
      </c>
      <c r="J4827">
        <f t="shared" ca="1" si="401"/>
        <v>1</v>
      </c>
      <c r="K4827">
        <f t="shared" ca="1" si="402"/>
        <v>0</v>
      </c>
      <c r="L4827">
        <f t="shared" si="403"/>
        <v>4821</v>
      </c>
      <c r="M4827" s="71">
        <f t="shared" ca="1" si="404"/>
        <v>14.260976472616768</v>
      </c>
    </row>
    <row r="4828" spans="1:13" x14ac:dyDescent="0.25">
      <c r="A4828" s="2">
        <v>4822</v>
      </c>
      <c r="B4828" s="11">
        <f t="shared" ca="1" si="400"/>
        <v>1</v>
      </c>
      <c r="C4828" s="26">
        <f t="shared" ca="1" si="399"/>
        <v>0.22758150576756486</v>
      </c>
      <c r="J4828">
        <f t="shared" ca="1" si="401"/>
        <v>0</v>
      </c>
      <c r="K4828">
        <f t="shared" ca="1" si="402"/>
        <v>0</v>
      </c>
      <c r="L4828">
        <f t="shared" si="403"/>
        <v>4822</v>
      </c>
      <c r="M4828" s="71">
        <f t="shared" ca="1" si="404"/>
        <v>13.600276786450916</v>
      </c>
    </row>
    <row r="4829" spans="1:13" x14ac:dyDescent="0.25">
      <c r="A4829" s="2">
        <v>4823</v>
      </c>
      <c r="B4829" s="11">
        <f t="shared" ca="1" si="400"/>
        <v>0</v>
      </c>
      <c r="C4829" s="26">
        <f t="shared" ca="1" si="399"/>
        <v>0.99785850494782113</v>
      </c>
      <c r="J4829">
        <f t="shared" ca="1" si="401"/>
        <v>0</v>
      </c>
      <c r="K4829">
        <f t="shared" ca="1" si="402"/>
        <v>0</v>
      </c>
      <c r="L4829">
        <f t="shared" si="403"/>
        <v>4823</v>
      </c>
      <c r="M4829" s="71">
        <f t="shared" ca="1" si="404"/>
        <v>0</v>
      </c>
    </row>
    <row r="4830" spans="1:13" x14ac:dyDescent="0.25">
      <c r="A4830" s="2">
        <v>4824</v>
      </c>
      <c r="B4830" s="11">
        <f t="shared" ca="1" si="400"/>
        <v>1</v>
      </c>
      <c r="C4830" s="26">
        <f t="shared" ca="1" si="399"/>
        <v>0.5512362410076197</v>
      </c>
      <c r="J4830">
        <f t="shared" ca="1" si="401"/>
        <v>1</v>
      </c>
      <c r="K4830">
        <f t="shared" ca="1" si="402"/>
        <v>0</v>
      </c>
      <c r="L4830">
        <f t="shared" si="403"/>
        <v>4824</v>
      </c>
      <c r="M4830" s="71">
        <f t="shared" ca="1" si="404"/>
        <v>0.90012286484869608</v>
      </c>
    </row>
    <row r="4831" spans="1:13" x14ac:dyDescent="0.25">
      <c r="A4831" s="2">
        <v>4825</v>
      </c>
      <c r="B4831" s="11">
        <f t="shared" ca="1" si="400"/>
        <v>1</v>
      </c>
      <c r="C4831" s="26">
        <f t="shared" ca="1" si="399"/>
        <v>0.50140985080463707</v>
      </c>
      <c r="J4831">
        <f t="shared" ca="1" si="401"/>
        <v>0</v>
      </c>
      <c r="K4831">
        <f t="shared" ca="1" si="402"/>
        <v>0</v>
      </c>
      <c r="L4831">
        <f t="shared" si="403"/>
        <v>4825</v>
      </c>
      <c r="M4831" s="71">
        <f t="shared" ca="1" si="404"/>
        <v>4.9080093875772892</v>
      </c>
    </row>
    <row r="4832" spans="1:13" x14ac:dyDescent="0.25">
      <c r="A4832" s="2">
        <v>4826</v>
      </c>
      <c r="B4832" s="11">
        <f t="shared" ca="1" si="400"/>
        <v>0</v>
      </c>
      <c r="C4832" s="26">
        <f t="shared" ca="1" si="399"/>
        <v>0.89026875757574486</v>
      </c>
      <c r="J4832">
        <f t="shared" ca="1" si="401"/>
        <v>0</v>
      </c>
      <c r="K4832">
        <f t="shared" ca="1" si="402"/>
        <v>1</v>
      </c>
      <c r="L4832">
        <f t="shared" si="403"/>
        <v>4826</v>
      </c>
      <c r="M4832" s="71">
        <f t="shared" ca="1" si="404"/>
        <v>0</v>
      </c>
    </row>
    <row r="4833" spans="1:13" x14ac:dyDescent="0.25">
      <c r="A4833" s="2">
        <v>4827</v>
      </c>
      <c r="B4833" s="11">
        <f t="shared" ca="1" si="400"/>
        <v>0</v>
      </c>
      <c r="C4833" s="26">
        <f t="shared" ca="1" si="399"/>
        <v>0.8726372515099261</v>
      </c>
      <c r="J4833">
        <f t="shared" ca="1" si="401"/>
        <v>0</v>
      </c>
      <c r="K4833">
        <f t="shared" ca="1" si="402"/>
        <v>0</v>
      </c>
      <c r="L4833">
        <f t="shared" si="403"/>
        <v>4827</v>
      </c>
      <c r="M4833" s="71">
        <f t="shared" ca="1" si="404"/>
        <v>0</v>
      </c>
    </row>
    <row r="4834" spans="1:13" x14ac:dyDescent="0.25">
      <c r="A4834" s="2">
        <v>4828</v>
      </c>
      <c r="B4834" s="11">
        <f t="shared" ca="1" si="400"/>
        <v>1</v>
      </c>
      <c r="C4834" s="26">
        <f t="shared" ca="1" si="399"/>
        <v>0.21024440614627393</v>
      </c>
      <c r="J4834">
        <f t="shared" ca="1" si="401"/>
        <v>1</v>
      </c>
      <c r="K4834">
        <f t="shared" ca="1" si="402"/>
        <v>0</v>
      </c>
      <c r="L4834">
        <f t="shared" si="403"/>
        <v>4828</v>
      </c>
      <c r="M4834" s="71">
        <f t="shared" ca="1" si="404"/>
        <v>1.5461587665911574</v>
      </c>
    </row>
    <row r="4835" spans="1:13" x14ac:dyDescent="0.25">
      <c r="A4835" s="2">
        <v>4829</v>
      </c>
      <c r="B4835" s="11">
        <f t="shared" ca="1" si="400"/>
        <v>1</v>
      </c>
      <c r="C4835" s="26">
        <f t="shared" ca="1" si="399"/>
        <v>0.48765430581813851</v>
      </c>
      <c r="J4835">
        <f t="shared" ca="1" si="401"/>
        <v>1</v>
      </c>
      <c r="K4835">
        <f t="shared" ca="1" si="402"/>
        <v>0</v>
      </c>
      <c r="L4835">
        <f t="shared" si="403"/>
        <v>4829</v>
      </c>
      <c r="M4835" s="71">
        <f t="shared" ca="1" si="404"/>
        <v>1.2303116465212656</v>
      </c>
    </row>
    <row r="4836" spans="1:13" x14ac:dyDescent="0.25">
      <c r="A4836" s="2">
        <v>4830</v>
      </c>
      <c r="B4836" s="11">
        <f t="shared" ca="1" si="400"/>
        <v>1</v>
      </c>
      <c r="C4836" s="26">
        <f t="shared" ca="1" si="399"/>
        <v>0.5488246950125788</v>
      </c>
      <c r="J4836">
        <f t="shared" ca="1" si="401"/>
        <v>1</v>
      </c>
      <c r="K4836">
        <f t="shared" ca="1" si="402"/>
        <v>0</v>
      </c>
      <c r="L4836">
        <f t="shared" si="403"/>
        <v>4830</v>
      </c>
      <c r="M4836" s="71">
        <f t="shared" ca="1" si="404"/>
        <v>3.9592417917325937</v>
      </c>
    </row>
    <row r="4837" spans="1:13" x14ac:dyDescent="0.25">
      <c r="A4837" s="2">
        <v>4831</v>
      </c>
      <c r="B4837" s="11">
        <f t="shared" ca="1" si="400"/>
        <v>1</v>
      </c>
      <c r="C4837" s="26">
        <f t="shared" ca="1" si="399"/>
        <v>0.17188630479923617</v>
      </c>
      <c r="J4837">
        <f t="shared" ca="1" si="401"/>
        <v>1</v>
      </c>
      <c r="K4837">
        <f t="shared" ca="1" si="402"/>
        <v>0</v>
      </c>
      <c r="L4837">
        <f t="shared" si="403"/>
        <v>4831</v>
      </c>
      <c r="M4837" s="71">
        <f t="shared" ca="1" si="404"/>
        <v>11.095904832089154</v>
      </c>
    </row>
    <row r="4838" spans="1:13" x14ac:dyDescent="0.25">
      <c r="A4838" s="2">
        <v>4832</v>
      </c>
      <c r="B4838" s="11">
        <f t="shared" ca="1" si="400"/>
        <v>1</v>
      </c>
      <c r="C4838" s="26">
        <f t="shared" ca="1" si="399"/>
        <v>0.28054980948430752</v>
      </c>
      <c r="J4838">
        <f t="shared" ca="1" si="401"/>
        <v>1</v>
      </c>
      <c r="K4838">
        <f t="shared" ca="1" si="402"/>
        <v>0</v>
      </c>
      <c r="L4838">
        <f t="shared" si="403"/>
        <v>4832</v>
      </c>
      <c r="M4838" s="71">
        <f t="shared" ca="1" si="404"/>
        <v>12.576925549378068</v>
      </c>
    </row>
    <row r="4839" spans="1:13" x14ac:dyDescent="0.25">
      <c r="A4839" s="2">
        <v>4833</v>
      </c>
      <c r="B4839" s="11">
        <f t="shared" ca="1" si="400"/>
        <v>1</v>
      </c>
      <c r="C4839" s="26">
        <f t="shared" ca="1" si="399"/>
        <v>0.16611453332174764</v>
      </c>
      <c r="J4839">
        <f t="shared" ca="1" si="401"/>
        <v>1</v>
      </c>
      <c r="K4839">
        <f t="shared" ca="1" si="402"/>
        <v>0</v>
      </c>
      <c r="L4839">
        <f t="shared" si="403"/>
        <v>4833</v>
      </c>
      <c r="M4839" s="71">
        <f t="shared" ca="1" si="404"/>
        <v>0.87731944375433801</v>
      </c>
    </row>
    <row r="4840" spans="1:13" x14ac:dyDescent="0.25">
      <c r="A4840" s="2">
        <v>4834</v>
      </c>
      <c r="B4840" s="11">
        <f t="shared" ca="1" si="400"/>
        <v>1</v>
      </c>
      <c r="C4840" s="26">
        <f t="shared" ca="1" si="399"/>
        <v>0.61123747326931999</v>
      </c>
      <c r="J4840">
        <f t="shared" ca="1" si="401"/>
        <v>1</v>
      </c>
      <c r="K4840">
        <f t="shared" ca="1" si="402"/>
        <v>0</v>
      </c>
      <c r="L4840">
        <f t="shared" si="403"/>
        <v>4834</v>
      </c>
      <c r="M4840" s="71">
        <f t="shared" ca="1" si="404"/>
        <v>0.52663388881525308</v>
      </c>
    </row>
    <row r="4841" spans="1:13" x14ac:dyDescent="0.25">
      <c r="A4841" s="2">
        <v>4835</v>
      </c>
      <c r="B4841" s="11">
        <f t="shared" ca="1" si="400"/>
        <v>1</v>
      </c>
      <c r="C4841" s="26">
        <f t="shared" ca="1" si="399"/>
        <v>0.68095972246929193</v>
      </c>
      <c r="J4841">
        <f t="shared" ca="1" si="401"/>
        <v>1</v>
      </c>
      <c r="K4841">
        <f t="shared" ca="1" si="402"/>
        <v>0</v>
      </c>
      <c r="L4841">
        <f t="shared" si="403"/>
        <v>4835</v>
      </c>
      <c r="M4841" s="71">
        <f t="shared" ca="1" si="404"/>
        <v>2.5842698337009651</v>
      </c>
    </row>
    <row r="4842" spans="1:13" x14ac:dyDescent="0.25">
      <c r="A4842" s="2">
        <v>4836</v>
      </c>
      <c r="B4842" s="11">
        <f t="shared" ca="1" si="400"/>
        <v>1</v>
      </c>
      <c r="C4842" s="26">
        <f t="shared" ca="1" si="399"/>
        <v>0.66467609217711021</v>
      </c>
      <c r="J4842">
        <f t="shared" ca="1" si="401"/>
        <v>1</v>
      </c>
      <c r="K4842">
        <f t="shared" ca="1" si="402"/>
        <v>0</v>
      </c>
      <c r="L4842">
        <f t="shared" si="403"/>
        <v>4836</v>
      </c>
      <c r="M4842" s="71">
        <f t="shared" ca="1" si="404"/>
        <v>0.1591704379305113</v>
      </c>
    </row>
    <row r="4843" spans="1:13" x14ac:dyDescent="0.25">
      <c r="A4843" s="2">
        <v>4837</v>
      </c>
      <c r="B4843" s="11">
        <f t="shared" ca="1" si="400"/>
        <v>1</v>
      </c>
      <c r="C4843" s="26">
        <f t="shared" ca="1" si="399"/>
        <v>0.75581911768323173</v>
      </c>
      <c r="J4843">
        <f t="shared" ca="1" si="401"/>
        <v>0</v>
      </c>
      <c r="K4843">
        <f t="shared" ca="1" si="402"/>
        <v>0</v>
      </c>
      <c r="L4843">
        <f t="shared" si="403"/>
        <v>4837</v>
      </c>
      <c r="M4843" s="71">
        <f t="shared" ca="1" si="404"/>
        <v>6.0755373757952356</v>
      </c>
    </row>
    <row r="4844" spans="1:13" x14ac:dyDescent="0.25">
      <c r="A4844" s="2">
        <v>4838</v>
      </c>
      <c r="B4844" s="11">
        <f t="shared" ca="1" si="400"/>
        <v>0</v>
      </c>
      <c r="C4844" s="26">
        <f t="shared" ca="1" si="399"/>
        <v>0.94303077757619691</v>
      </c>
      <c r="J4844">
        <f t="shared" ca="1" si="401"/>
        <v>0</v>
      </c>
      <c r="K4844">
        <f t="shared" ca="1" si="402"/>
        <v>1</v>
      </c>
      <c r="L4844">
        <f t="shared" si="403"/>
        <v>4838</v>
      </c>
      <c r="M4844" s="71">
        <f t="shared" ca="1" si="404"/>
        <v>0</v>
      </c>
    </row>
    <row r="4845" spans="1:13" x14ac:dyDescent="0.25">
      <c r="A4845" s="2">
        <v>4839</v>
      </c>
      <c r="B4845" s="11">
        <f t="shared" ca="1" si="400"/>
        <v>0</v>
      </c>
      <c r="C4845" s="26">
        <f t="shared" ca="1" si="399"/>
        <v>0.95748555517918998</v>
      </c>
      <c r="J4845">
        <f t="shared" ca="1" si="401"/>
        <v>0</v>
      </c>
      <c r="K4845">
        <f t="shared" ca="1" si="402"/>
        <v>0</v>
      </c>
      <c r="L4845">
        <f t="shared" si="403"/>
        <v>4839</v>
      </c>
      <c r="M4845" s="71">
        <f t="shared" ca="1" si="404"/>
        <v>0</v>
      </c>
    </row>
    <row r="4846" spans="1:13" x14ac:dyDescent="0.25">
      <c r="A4846" s="2">
        <v>4840</v>
      </c>
      <c r="B4846" s="11">
        <f t="shared" ca="1" si="400"/>
        <v>1</v>
      </c>
      <c r="C4846" s="26">
        <f t="shared" ca="1" si="399"/>
        <v>0.27632470122586428</v>
      </c>
      <c r="J4846">
        <f t="shared" ca="1" si="401"/>
        <v>1</v>
      </c>
      <c r="K4846">
        <f t="shared" ca="1" si="402"/>
        <v>0</v>
      </c>
      <c r="L4846">
        <f t="shared" si="403"/>
        <v>4840</v>
      </c>
      <c r="M4846" s="71">
        <f t="shared" ca="1" si="404"/>
        <v>5.8825963785135915</v>
      </c>
    </row>
    <row r="4847" spans="1:13" x14ac:dyDescent="0.25">
      <c r="A4847" s="2">
        <v>4841</v>
      </c>
      <c r="B4847" s="11">
        <f t="shared" ca="1" si="400"/>
        <v>1</v>
      </c>
      <c r="C4847" s="26">
        <f t="shared" ca="1" si="399"/>
        <v>0.40009976926270141</v>
      </c>
      <c r="J4847">
        <f t="shared" ca="1" si="401"/>
        <v>1</v>
      </c>
      <c r="K4847">
        <f t="shared" ca="1" si="402"/>
        <v>0</v>
      </c>
      <c r="L4847">
        <f t="shared" si="403"/>
        <v>4841</v>
      </c>
      <c r="M4847" s="71">
        <f t="shared" ca="1" si="404"/>
        <v>3.9409688041678508</v>
      </c>
    </row>
    <row r="4848" spans="1:13" x14ac:dyDescent="0.25">
      <c r="A4848" s="2">
        <v>4842</v>
      </c>
      <c r="B4848" s="11">
        <f t="shared" ca="1" si="400"/>
        <v>1</v>
      </c>
      <c r="C4848" s="26">
        <f t="shared" ca="1" si="399"/>
        <v>0.64585304600902438</v>
      </c>
      <c r="J4848">
        <f t="shared" ca="1" si="401"/>
        <v>1</v>
      </c>
      <c r="K4848">
        <f t="shared" ca="1" si="402"/>
        <v>0</v>
      </c>
      <c r="L4848">
        <f t="shared" si="403"/>
        <v>4842</v>
      </c>
      <c r="M4848" s="71">
        <f t="shared" ca="1" si="404"/>
        <v>3.028006035464303</v>
      </c>
    </row>
    <row r="4849" spans="1:13" x14ac:dyDescent="0.25">
      <c r="A4849" s="2">
        <v>4843</v>
      </c>
      <c r="B4849" s="11">
        <f t="shared" ca="1" si="400"/>
        <v>1</v>
      </c>
      <c r="C4849" s="26">
        <f t="shared" ca="1" si="399"/>
        <v>0.33586131934840824</v>
      </c>
      <c r="J4849">
        <f t="shared" ca="1" si="401"/>
        <v>1</v>
      </c>
      <c r="K4849">
        <f t="shared" ca="1" si="402"/>
        <v>0</v>
      </c>
      <c r="L4849">
        <f t="shared" si="403"/>
        <v>4843</v>
      </c>
      <c r="M4849" s="71">
        <f t="shared" ca="1" si="404"/>
        <v>0.41453425405865413</v>
      </c>
    </row>
    <row r="4850" spans="1:13" x14ac:dyDescent="0.25">
      <c r="A4850" s="2">
        <v>4844</v>
      </c>
      <c r="B4850" s="11">
        <f t="shared" ca="1" si="400"/>
        <v>1</v>
      </c>
      <c r="C4850" s="26">
        <f t="shared" ca="1" si="399"/>
        <v>0.29552673308447042</v>
      </c>
      <c r="J4850">
        <f t="shared" ca="1" si="401"/>
        <v>1</v>
      </c>
      <c r="K4850">
        <f t="shared" ca="1" si="402"/>
        <v>0</v>
      </c>
      <c r="L4850">
        <f t="shared" si="403"/>
        <v>4844</v>
      </c>
      <c r="M4850" s="71">
        <f t="shared" ca="1" si="404"/>
        <v>8.0674222209940236</v>
      </c>
    </row>
    <row r="4851" spans="1:13" x14ac:dyDescent="0.25">
      <c r="A4851" s="2">
        <v>4845</v>
      </c>
      <c r="B4851" s="11">
        <f t="shared" ca="1" si="400"/>
        <v>1</v>
      </c>
      <c r="C4851" s="26">
        <f t="shared" ca="1" si="399"/>
        <v>0.16045397676863271</v>
      </c>
      <c r="J4851">
        <f t="shared" ca="1" si="401"/>
        <v>1</v>
      </c>
      <c r="K4851">
        <f t="shared" ca="1" si="402"/>
        <v>0</v>
      </c>
      <c r="L4851">
        <f t="shared" si="403"/>
        <v>4845</v>
      </c>
      <c r="M4851" s="71">
        <f t="shared" ca="1" si="404"/>
        <v>2.4696944141061734</v>
      </c>
    </row>
    <row r="4852" spans="1:13" x14ac:dyDescent="0.25">
      <c r="A4852" s="2">
        <v>4846</v>
      </c>
      <c r="B4852" s="11">
        <f t="shared" ca="1" si="400"/>
        <v>1</v>
      </c>
      <c r="C4852" s="26">
        <f t="shared" ca="1" si="399"/>
        <v>4.8349278016818875E-2</v>
      </c>
      <c r="J4852">
        <f t="shared" ca="1" si="401"/>
        <v>1</v>
      </c>
      <c r="K4852">
        <f t="shared" ca="1" si="402"/>
        <v>0</v>
      </c>
      <c r="L4852">
        <f t="shared" si="403"/>
        <v>4846</v>
      </c>
      <c r="M4852" s="71">
        <f t="shared" ca="1" si="404"/>
        <v>0.35332976156488571</v>
      </c>
    </row>
    <row r="4853" spans="1:13" x14ac:dyDescent="0.25">
      <c r="A4853" s="2">
        <v>4847</v>
      </c>
      <c r="B4853" s="11">
        <f t="shared" ca="1" si="400"/>
        <v>1</v>
      </c>
      <c r="C4853" s="26">
        <f t="shared" ca="1" si="399"/>
        <v>0.46231173377943935</v>
      </c>
      <c r="J4853">
        <f t="shared" ca="1" si="401"/>
        <v>1</v>
      </c>
      <c r="K4853">
        <f t="shared" ca="1" si="402"/>
        <v>0</v>
      </c>
      <c r="L4853">
        <f t="shared" si="403"/>
        <v>4847</v>
      </c>
      <c r="M4853" s="71">
        <f t="shared" ca="1" si="404"/>
        <v>3.7983801540707516</v>
      </c>
    </row>
    <row r="4854" spans="1:13" x14ac:dyDescent="0.25">
      <c r="A4854" s="2">
        <v>4848</v>
      </c>
      <c r="B4854" s="11">
        <f t="shared" ca="1" si="400"/>
        <v>1</v>
      </c>
      <c r="C4854" s="26">
        <f t="shared" ca="1" si="399"/>
        <v>0.53265587156725358</v>
      </c>
      <c r="J4854">
        <f t="shared" ca="1" si="401"/>
        <v>1</v>
      </c>
      <c r="K4854">
        <f t="shared" ca="1" si="402"/>
        <v>0</v>
      </c>
      <c r="L4854">
        <f t="shared" si="403"/>
        <v>4848</v>
      </c>
      <c r="M4854" s="71">
        <f t="shared" ca="1" si="404"/>
        <v>1.4549507151472673E-2</v>
      </c>
    </row>
    <row r="4855" spans="1:13" x14ac:dyDescent="0.25">
      <c r="A4855" s="2">
        <v>4849</v>
      </c>
      <c r="B4855" s="11">
        <f t="shared" ca="1" si="400"/>
        <v>1</v>
      </c>
      <c r="C4855" s="26">
        <f t="shared" ca="1" si="399"/>
        <v>0.68771742896361521</v>
      </c>
      <c r="J4855">
        <f t="shared" ca="1" si="401"/>
        <v>1</v>
      </c>
      <c r="K4855">
        <f t="shared" ca="1" si="402"/>
        <v>0</v>
      </c>
      <c r="L4855">
        <f t="shared" si="403"/>
        <v>4849</v>
      </c>
      <c r="M4855" s="71">
        <f t="shared" ca="1" si="404"/>
        <v>5.54005648488838</v>
      </c>
    </row>
    <row r="4856" spans="1:13" x14ac:dyDescent="0.25">
      <c r="A4856" s="2">
        <v>4850</v>
      </c>
      <c r="B4856" s="11">
        <f t="shared" ca="1" si="400"/>
        <v>1</v>
      </c>
      <c r="C4856" s="26">
        <f t="shared" ca="1" si="399"/>
        <v>0.17062537025257674</v>
      </c>
      <c r="J4856">
        <f t="shared" ca="1" si="401"/>
        <v>1</v>
      </c>
      <c r="K4856">
        <f t="shared" ca="1" si="402"/>
        <v>0</v>
      </c>
      <c r="L4856">
        <f t="shared" si="403"/>
        <v>4850</v>
      </c>
      <c r="M4856" s="71">
        <f t="shared" ca="1" si="404"/>
        <v>1.6189694950620688</v>
      </c>
    </row>
    <row r="4857" spans="1:13" x14ac:dyDescent="0.25">
      <c r="A4857" s="2">
        <v>4851</v>
      </c>
      <c r="B4857" s="11">
        <f t="shared" ca="1" si="400"/>
        <v>1</v>
      </c>
      <c r="C4857" s="26">
        <f t="shared" ca="1" si="399"/>
        <v>5.7526360525467668E-2</v>
      </c>
      <c r="J4857">
        <f t="shared" ca="1" si="401"/>
        <v>0</v>
      </c>
      <c r="K4857">
        <f t="shared" ca="1" si="402"/>
        <v>0</v>
      </c>
      <c r="L4857">
        <f t="shared" si="403"/>
        <v>4851</v>
      </c>
      <c r="M4857" s="71">
        <f t="shared" ca="1" si="404"/>
        <v>1.8443819993826542</v>
      </c>
    </row>
    <row r="4858" spans="1:13" x14ac:dyDescent="0.25">
      <c r="A4858" s="2">
        <v>4852</v>
      </c>
      <c r="B4858" s="11">
        <f t="shared" ca="1" si="400"/>
        <v>0</v>
      </c>
      <c r="C4858" s="26">
        <f t="shared" ca="1" si="399"/>
        <v>0.88718227595970989</v>
      </c>
      <c r="J4858">
        <f t="shared" ca="1" si="401"/>
        <v>0</v>
      </c>
      <c r="K4858">
        <f t="shared" ca="1" si="402"/>
        <v>0</v>
      </c>
      <c r="L4858">
        <f t="shared" si="403"/>
        <v>4852</v>
      </c>
      <c r="M4858" s="71">
        <f t="shared" ca="1" si="404"/>
        <v>0</v>
      </c>
    </row>
    <row r="4859" spans="1:13" x14ac:dyDescent="0.25">
      <c r="A4859" s="2">
        <v>4853</v>
      </c>
      <c r="B4859" s="11">
        <f t="shared" ca="1" si="400"/>
        <v>1</v>
      </c>
      <c r="C4859" s="26">
        <f t="shared" ca="1" si="399"/>
        <v>0.62766766688430486</v>
      </c>
      <c r="J4859">
        <f t="shared" ca="1" si="401"/>
        <v>0</v>
      </c>
      <c r="K4859">
        <f t="shared" ca="1" si="402"/>
        <v>0</v>
      </c>
      <c r="L4859">
        <f t="shared" si="403"/>
        <v>4853</v>
      </c>
      <c r="M4859" s="71">
        <f t="shared" ca="1" si="404"/>
        <v>1.344763497636994</v>
      </c>
    </row>
    <row r="4860" spans="1:13" x14ac:dyDescent="0.25">
      <c r="A4860" s="2">
        <v>4854</v>
      </c>
      <c r="B4860" s="11">
        <f t="shared" ca="1" si="400"/>
        <v>0</v>
      </c>
      <c r="C4860" s="26">
        <f t="shared" ca="1" si="399"/>
        <v>0.80824963432304187</v>
      </c>
      <c r="J4860">
        <f t="shared" ca="1" si="401"/>
        <v>0</v>
      </c>
      <c r="K4860">
        <f t="shared" ca="1" si="402"/>
        <v>0</v>
      </c>
      <c r="L4860">
        <f t="shared" si="403"/>
        <v>4854</v>
      </c>
      <c r="M4860" s="71">
        <f t="shared" ca="1" si="404"/>
        <v>0</v>
      </c>
    </row>
    <row r="4861" spans="1:13" x14ac:dyDescent="0.25">
      <c r="A4861" s="2">
        <v>4855</v>
      </c>
      <c r="B4861" s="11">
        <f t="shared" ca="1" si="400"/>
        <v>1</v>
      </c>
      <c r="C4861" s="26">
        <f t="shared" ca="1" si="399"/>
        <v>0.24182967592522964</v>
      </c>
      <c r="J4861">
        <f t="shared" ca="1" si="401"/>
        <v>1</v>
      </c>
      <c r="K4861">
        <f t="shared" ca="1" si="402"/>
        <v>0</v>
      </c>
      <c r="L4861">
        <f t="shared" si="403"/>
        <v>4855</v>
      </c>
      <c r="M4861" s="71">
        <f t="shared" ca="1" si="404"/>
        <v>8.2480690575736126</v>
      </c>
    </row>
    <row r="4862" spans="1:13" x14ac:dyDescent="0.25">
      <c r="A4862" s="2">
        <v>4856</v>
      </c>
      <c r="B4862" s="11">
        <f t="shared" ca="1" si="400"/>
        <v>1</v>
      </c>
      <c r="C4862" s="26">
        <f t="shared" ca="1" si="399"/>
        <v>0.47844387027409174</v>
      </c>
      <c r="J4862">
        <f t="shared" ca="1" si="401"/>
        <v>1</v>
      </c>
      <c r="K4862">
        <f t="shared" ca="1" si="402"/>
        <v>0</v>
      </c>
      <c r="L4862">
        <f t="shared" si="403"/>
        <v>4856</v>
      </c>
      <c r="M4862" s="71">
        <f t="shared" ca="1" si="404"/>
        <v>11.664867605794132</v>
      </c>
    </row>
    <row r="4863" spans="1:13" x14ac:dyDescent="0.25">
      <c r="A4863" s="2">
        <v>4857</v>
      </c>
      <c r="B4863" s="11">
        <f t="shared" ca="1" si="400"/>
        <v>1</v>
      </c>
      <c r="C4863" s="26">
        <f t="shared" ca="1" si="399"/>
        <v>0.29439482457622135</v>
      </c>
      <c r="J4863">
        <f t="shared" ca="1" si="401"/>
        <v>0</v>
      </c>
      <c r="K4863">
        <f t="shared" ca="1" si="402"/>
        <v>0</v>
      </c>
      <c r="L4863">
        <f t="shared" si="403"/>
        <v>4857</v>
      </c>
      <c r="M4863" s="71">
        <f t="shared" ca="1" si="404"/>
        <v>1.3833613200628538</v>
      </c>
    </row>
    <row r="4864" spans="1:13" x14ac:dyDescent="0.25">
      <c r="A4864" s="2">
        <v>4858</v>
      </c>
      <c r="B4864" s="11">
        <f t="shared" ca="1" si="400"/>
        <v>0</v>
      </c>
      <c r="C4864" s="26">
        <f t="shared" ca="1" si="399"/>
        <v>0.9359392072666024</v>
      </c>
      <c r="J4864">
        <f t="shared" ca="1" si="401"/>
        <v>0</v>
      </c>
      <c r="K4864">
        <f t="shared" ca="1" si="402"/>
        <v>0</v>
      </c>
      <c r="L4864">
        <f t="shared" si="403"/>
        <v>4858</v>
      </c>
      <c r="M4864" s="71">
        <f t="shared" ca="1" si="404"/>
        <v>0</v>
      </c>
    </row>
    <row r="4865" spans="1:13" x14ac:dyDescent="0.25">
      <c r="A4865" s="2">
        <v>4859</v>
      </c>
      <c r="B4865" s="11">
        <f t="shared" ca="1" si="400"/>
        <v>1</v>
      </c>
      <c r="C4865" s="26">
        <f t="shared" ca="1" si="399"/>
        <v>8.3167603050513517E-3</v>
      </c>
      <c r="J4865">
        <f t="shared" ca="1" si="401"/>
        <v>1</v>
      </c>
      <c r="K4865">
        <f t="shared" ca="1" si="402"/>
        <v>0</v>
      </c>
      <c r="L4865">
        <f t="shared" si="403"/>
        <v>4859</v>
      </c>
      <c r="M4865" s="71">
        <f t="shared" ca="1" si="404"/>
        <v>7.2292144251152779</v>
      </c>
    </row>
    <row r="4866" spans="1:13" x14ac:dyDescent="0.25">
      <c r="A4866" s="2">
        <v>4860</v>
      </c>
      <c r="B4866" s="11">
        <f t="shared" ca="1" si="400"/>
        <v>1</v>
      </c>
      <c r="C4866" s="26">
        <f t="shared" ca="1" si="399"/>
        <v>0.10061866176114898</v>
      </c>
      <c r="J4866">
        <f t="shared" ca="1" si="401"/>
        <v>0</v>
      </c>
      <c r="K4866">
        <f t="shared" ca="1" si="402"/>
        <v>0</v>
      </c>
      <c r="L4866">
        <f t="shared" si="403"/>
        <v>4860</v>
      </c>
      <c r="M4866" s="71">
        <f t="shared" ca="1" si="404"/>
        <v>6.3579657406537908</v>
      </c>
    </row>
    <row r="4867" spans="1:13" x14ac:dyDescent="0.25">
      <c r="A4867" s="2">
        <v>4861</v>
      </c>
      <c r="B4867" s="11">
        <f t="shared" ca="1" si="400"/>
        <v>0</v>
      </c>
      <c r="C4867" s="26">
        <f t="shared" ca="1" si="399"/>
        <v>0.89693791720795257</v>
      </c>
      <c r="J4867">
        <f t="shared" ca="1" si="401"/>
        <v>0</v>
      </c>
      <c r="K4867">
        <f t="shared" ca="1" si="402"/>
        <v>1</v>
      </c>
      <c r="L4867">
        <f t="shared" si="403"/>
        <v>4861</v>
      </c>
      <c r="M4867" s="71">
        <f t="shared" ca="1" si="404"/>
        <v>0</v>
      </c>
    </row>
    <row r="4868" spans="1:13" x14ac:dyDescent="0.25">
      <c r="A4868" s="2">
        <v>4862</v>
      </c>
      <c r="B4868" s="11">
        <f t="shared" ca="1" si="400"/>
        <v>0</v>
      </c>
      <c r="C4868" s="26">
        <f t="shared" ca="1" si="399"/>
        <v>0.8854312897314417</v>
      </c>
      <c r="J4868">
        <f t="shared" ca="1" si="401"/>
        <v>0</v>
      </c>
      <c r="K4868">
        <f t="shared" ca="1" si="402"/>
        <v>1</v>
      </c>
      <c r="L4868">
        <f t="shared" si="403"/>
        <v>4862</v>
      </c>
      <c r="M4868" s="71">
        <f t="shared" ca="1" si="404"/>
        <v>0</v>
      </c>
    </row>
    <row r="4869" spans="1:13" x14ac:dyDescent="0.25">
      <c r="A4869" s="2">
        <v>4863</v>
      </c>
      <c r="B4869" s="11">
        <f t="shared" ca="1" si="400"/>
        <v>0</v>
      </c>
      <c r="C4869" s="26">
        <f t="shared" ca="1" si="399"/>
        <v>0.82243638644137218</v>
      </c>
      <c r="J4869">
        <f t="shared" ca="1" si="401"/>
        <v>0</v>
      </c>
      <c r="K4869">
        <f t="shared" ca="1" si="402"/>
        <v>1</v>
      </c>
      <c r="L4869">
        <f t="shared" si="403"/>
        <v>4863</v>
      </c>
      <c r="M4869" s="71">
        <f t="shared" ca="1" si="404"/>
        <v>0</v>
      </c>
    </row>
    <row r="4870" spans="1:13" x14ac:dyDescent="0.25">
      <c r="A4870" s="2">
        <v>4864</v>
      </c>
      <c r="B4870" s="11">
        <f t="shared" ca="1" si="400"/>
        <v>0</v>
      </c>
      <c r="C4870" s="26">
        <f t="shared" ca="1" si="399"/>
        <v>0.98452689072230282</v>
      </c>
      <c r="J4870">
        <f t="shared" ca="1" si="401"/>
        <v>0</v>
      </c>
      <c r="K4870">
        <f t="shared" ca="1" si="402"/>
        <v>0</v>
      </c>
      <c r="L4870">
        <f t="shared" si="403"/>
        <v>4864</v>
      </c>
      <c r="M4870" s="71">
        <f t="shared" ca="1" si="404"/>
        <v>0</v>
      </c>
    </row>
    <row r="4871" spans="1:13" x14ac:dyDescent="0.25">
      <c r="A4871" s="2">
        <v>4865</v>
      </c>
      <c r="B4871" s="11">
        <f t="shared" ca="1" si="400"/>
        <v>1</v>
      </c>
      <c r="C4871" s="26">
        <f t="shared" ca="1" si="399"/>
        <v>0.49310232003625498</v>
      </c>
      <c r="J4871">
        <f t="shared" ca="1" si="401"/>
        <v>1</v>
      </c>
      <c r="K4871">
        <f t="shared" ca="1" si="402"/>
        <v>0</v>
      </c>
      <c r="L4871">
        <f t="shared" si="403"/>
        <v>4865</v>
      </c>
      <c r="M4871" s="71">
        <f t="shared" ca="1" si="404"/>
        <v>4.966427500080102E-2</v>
      </c>
    </row>
    <row r="4872" spans="1:13" x14ac:dyDescent="0.25">
      <c r="A4872" s="2">
        <v>4866</v>
      </c>
      <c r="B4872" s="11">
        <f t="shared" ca="1" si="400"/>
        <v>1</v>
      </c>
      <c r="C4872" s="26">
        <f t="shared" ref="C4872:C4935" ca="1" si="405">RAND()</f>
        <v>0.24550663252627036</v>
      </c>
      <c r="J4872">
        <f t="shared" ca="1" si="401"/>
        <v>1</v>
      </c>
      <c r="K4872">
        <f t="shared" ca="1" si="402"/>
        <v>0</v>
      </c>
      <c r="L4872">
        <f t="shared" si="403"/>
        <v>4866</v>
      </c>
      <c r="M4872" s="71">
        <f t="shared" ca="1" si="404"/>
        <v>4.124963101381903</v>
      </c>
    </row>
    <row r="4873" spans="1:13" x14ac:dyDescent="0.25">
      <c r="A4873" s="2">
        <v>4867</v>
      </c>
      <c r="B4873" s="11">
        <f t="shared" ref="B4873:B4936" ca="1" si="406">IF(B4872&gt;0,IF(C4873&lt;pww,1,0),IF(C4873&lt;pdw,1,0))</f>
        <v>1</v>
      </c>
      <c r="C4873" s="26">
        <f t="shared" ca="1" si="405"/>
        <v>9.7919651043850808E-2</v>
      </c>
      <c r="J4873">
        <f t="shared" ca="1" si="401"/>
        <v>1</v>
      </c>
      <c r="K4873">
        <f t="shared" ca="1" si="402"/>
        <v>0</v>
      </c>
      <c r="L4873">
        <f t="shared" si="403"/>
        <v>4867</v>
      </c>
      <c r="M4873" s="71">
        <f t="shared" ca="1" si="404"/>
        <v>7.0610911166917631</v>
      </c>
    </row>
    <row r="4874" spans="1:13" x14ac:dyDescent="0.25">
      <c r="A4874" s="2">
        <v>4868</v>
      </c>
      <c r="B4874" s="11">
        <f t="shared" ca="1" si="406"/>
        <v>1</v>
      </c>
      <c r="C4874" s="26">
        <f t="shared" ca="1" si="405"/>
        <v>0.38220828523964001</v>
      </c>
      <c r="J4874">
        <f t="shared" ref="J4874:J4937" ca="1" si="407">IF(AND(B4874,B4875),1,0)</f>
        <v>1</v>
      </c>
      <c r="K4874">
        <f t="shared" ref="K4874:K4937" ca="1" si="408">IF(AND(NOT(B4874),NOT(B4875)),1,0)</f>
        <v>0</v>
      </c>
      <c r="L4874">
        <f t="shared" ref="L4874:L4937" si="409">L4873+1</f>
        <v>4868</v>
      </c>
      <c r="M4874" s="71">
        <f t="shared" ref="M4874:M4937" ca="1" si="410">IF(B4874&gt;0,-LN(1-(RAND()))/lambda,0)</f>
        <v>2.2442002702670569</v>
      </c>
    </row>
    <row r="4875" spans="1:13" x14ac:dyDescent="0.25">
      <c r="A4875" s="2">
        <v>4869</v>
      </c>
      <c r="B4875" s="11">
        <f t="shared" ca="1" si="406"/>
        <v>1</v>
      </c>
      <c r="C4875" s="26">
        <f t="shared" ca="1" si="405"/>
        <v>0.38267743066968729</v>
      </c>
      <c r="J4875">
        <f t="shared" ca="1" si="407"/>
        <v>0</v>
      </c>
      <c r="K4875">
        <f t="shared" ca="1" si="408"/>
        <v>0</v>
      </c>
      <c r="L4875">
        <f t="shared" si="409"/>
        <v>4869</v>
      </c>
      <c r="M4875" s="71">
        <f t="shared" ca="1" si="410"/>
        <v>11.884754496684735</v>
      </c>
    </row>
    <row r="4876" spans="1:13" x14ac:dyDescent="0.25">
      <c r="A4876" s="2">
        <v>4870</v>
      </c>
      <c r="B4876" s="11">
        <f t="shared" ca="1" si="406"/>
        <v>0</v>
      </c>
      <c r="C4876" s="26">
        <f t="shared" ca="1" si="405"/>
        <v>0.92606284715236331</v>
      </c>
      <c r="J4876">
        <f t="shared" ca="1" si="407"/>
        <v>0</v>
      </c>
      <c r="K4876">
        <f t="shared" ca="1" si="408"/>
        <v>1</v>
      </c>
      <c r="L4876">
        <f t="shared" si="409"/>
        <v>4870</v>
      </c>
      <c r="M4876" s="71">
        <f t="shared" ca="1" si="410"/>
        <v>0</v>
      </c>
    </row>
    <row r="4877" spans="1:13" x14ac:dyDescent="0.25">
      <c r="A4877" s="2">
        <v>4871</v>
      </c>
      <c r="B4877" s="11">
        <f t="shared" ca="1" si="406"/>
        <v>0</v>
      </c>
      <c r="C4877" s="26">
        <f t="shared" ca="1" si="405"/>
        <v>0.89230136829080064</v>
      </c>
      <c r="J4877">
        <f t="shared" ca="1" si="407"/>
        <v>0</v>
      </c>
      <c r="K4877">
        <f t="shared" ca="1" si="408"/>
        <v>0</v>
      </c>
      <c r="L4877">
        <f t="shared" si="409"/>
        <v>4871</v>
      </c>
      <c r="M4877" s="71">
        <f t="shared" ca="1" si="410"/>
        <v>0</v>
      </c>
    </row>
    <row r="4878" spans="1:13" x14ac:dyDescent="0.25">
      <c r="A4878" s="2">
        <v>4872</v>
      </c>
      <c r="B4878" s="11">
        <f t="shared" ca="1" si="406"/>
        <v>1</v>
      </c>
      <c r="C4878" s="26">
        <f t="shared" ca="1" si="405"/>
        <v>0.67351040991920974</v>
      </c>
      <c r="J4878">
        <f t="shared" ca="1" si="407"/>
        <v>1</v>
      </c>
      <c r="K4878">
        <f t="shared" ca="1" si="408"/>
        <v>0</v>
      </c>
      <c r="L4878">
        <f t="shared" si="409"/>
        <v>4872</v>
      </c>
      <c r="M4878" s="71">
        <f t="shared" ca="1" si="410"/>
        <v>1.4307716225826534</v>
      </c>
    </row>
    <row r="4879" spans="1:13" x14ac:dyDescent="0.25">
      <c r="A4879" s="2">
        <v>4873</v>
      </c>
      <c r="B4879" s="11">
        <f t="shared" ca="1" si="406"/>
        <v>1</v>
      </c>
      <c r="C4879" s="26">
        <f t="shared" ca="1" si="405"/>
        <v>1.8969190084252796E-2</v>
      </c>
      <c r="J4879">
        <f t="shared" ca="1" si="407"/>
        <v>1</v>
      </c>
      <c r="K4879">
        <f t="shared" ca="1" si="408"/>
        <v>0</v>
      </c>
      <c r="L4879">
        <f t="shared" si="409"/>
        <v>4873</v>
      </c>
      <c r="M4879" s="71">
        <f t="shared" ca="1" si="410"/>
        <v>0.67577646785634182</v>
      </c>
    </row>
    <row r="4880" spans="1:13" x14ac:dyDescent="0.25">
      <c r="A4880" s="2">
        <v>4874</v>
      </c>
      <c r="B4880" s="11">
        <f t="shared" ca="1" si="406"/>
        <v>1</v>
      </c>
      <c r="C4880" s="26">
        <f t="shared" ca="1" si="405"/>
        <v>0.34999733586234405</v>
      </c>
      <c r="J4880">
        <f t="shared" ca="1" si="407"/>
        <v>1</v>
      </c>
      <c r="K4880">
        <f t="shared" ca="1" si="408"/>
        <v>0</v>
      </c>
      <c r="L4880">
        <f t="shared" si="409"/>
        <v>4874</v>
      </c>
      <c r="M4880" s="71">
        <f t="shared" ca="1" si="410"/>
        <v>0.40547353713012529</v>
      </c>
    </row>
    <row r="4881" spans="1:13" x14ac:dyDescent="0.25">
      <c r="A4881" s="2">
        <v>4875</v>
      </c>
      <c r="B4881" s="11">
        <f t="shared" ca="1" si="406"/>
        <v>1</v>
      </c>
      <c r="C4881" s="26">
        <f t="shared" ca="1" si="405"/>
        <v>0.38645007086356131</v>
      </c>
      <c r="J4881">
        <f t="shared" ca="1" si="407"/>
        <v>1</v>
      </c>
      <c r="K4881">
        <f t="shared" ca="1" si="408"/>
        <v>0</v>
      </c>
      <c r="L4881">
        <f t="shared" si="409"/>
        <v>4875</v>
      </c>
      <c r="M4881" s="71">
        <f t="shared" ca="1" si="410"/>
        <v>4.9043944732034085E-2</v>
      </c>
    </row>
    <row r="4882" spans="1:13" x14ac:dyDescent="0.25">
      <c r="A4882" s="2">
        <v>4876</v>
      </c>
      <c r="B4882" s="11">
        <f t="shared" ca="1" si="406"/>
        <v>1</v>
      </c>
      <c r="C4882" s="26">
        <f t="shared" ca="1" si="405"/>
        <v>0.68966263696418317</v>
      </c>
      <c r="J4882">
        <f t="shared" ca="1" si="407"/>
        <v>1</v>
      </c>
      <c r="K4882">
        <f t="shared" ca="1" si="408"/>
        <v>0</v>
      </c>
      <c r="L4882">
        <f t="shared" si="409"/>
        <v>4876</v>
      </c>
      <c r="M4882" s="71">
        <f t="shared" ca="1" si="410"/>
        <v>3.6123401848862366</v>
      </c>
    </row>
    <row r="4883" spans="1:13" x14ac:dyDescent="0.25">
      <c r="A4883" s="2">
        <v>4877</v>
      </c>
      <c r="B4883" s="11">
        <f t="shared" ca="1" si="406"/>
        <v>1</v>
      </c>
      <c r="C4883" s="26">
        <f t="shared" ca="1" si="405"/>
        <v>6.1455159828364136E-3</v>
      </c>
      <c r="J4883">
        <f t="shared" ca="1" si="407"/>
        <v>1</v>
      </c>
      <c r="K4883">
        <f t="shared" ca="1" si="408"/>
        <v>0</v>
      </c>
      <c r="L4883">
        <f t="shared" si="409"/>
        <v>4877</v>
      </c>
      <c r="M4883" s="71">
        <f t="shared" ca="1" si="410"/>
        <v>0.53637402166786186</v>
      </c>
    </row>
    <row r="4884" spans="1:13" x14ac:dyDescent="0.25">
      <c r="A4884" s="2">
        <v>4878</v>
      </c>
      <c r="B4884" s="11">
        <f t="shared" ca="1" si="406"/>
        <v>1</v>
      </c>
      <c r="C4884" s="26">
        <f t="shared" ca="1" si="405"/>
        <v>0.22642753398506454</v>
      </c>
      <c r="J4884">
        <f t="shared" ca="1" si="407"/>
        <v>1</v>
      </c>
      <c r="K4884">
        <f t="shared" ca="1" si="408"/>
        <v>0</v>
      </c>
      <c r="L4884">
        <f t="shared" si="409"/>
        <v>4878</v>
      </c>
      <c r="M4884" s="71">
        <f t="shared" ca="1" si="410"/>
        <v>3.2718025141053388</v>
      </c>
    </row>
    <row r="4885" spans="1:13" x14ac:dyDescent="0.25">
      <c r="A4885" s="2">
        <v>4879</v>
      </c>
      <c r="B4885" s="11">
        <f t="shared" ca="1" si="406"/>
        <v>1</v>
      </c>
      <c r="C4885" s="26">
        <f t="shared" ca="1" si="405"/>
        <v>0.41625151030659291</v>
      </c>
      <c r="J4885">
        <f t="shared" ca="1" si="407"/>
        <v>1</v>
      </c>
      <c r="K4885">
        <f t="shared" ca="1" si="408"/>
        <v>0</v>
      </c>
      <c r="L4885">
        <f t="shared" si="409"/>
        <v>4879</v>
      </c>
      <c r="M4885" s="71">
        <f t="shared" ca="1" si="410"/>
        <v>5.7628434469383665</v>
      </c>
    </row>
    <row r="4886" spans="1:13" x14ac:dyDescent="0.25">
      <c r="A4886" s="2">
        <v>4880</v>
      </c>
      <c r="B4886" s="11">
        <f t="shared" ca="1" si="406"/>
        <v>1</v>
      </c>
      <c r="C4886" s="26">
        <f t="shared" ca="1" si="405"/>
        <v>0.44649707732144961</v>
      </c>
      <c r="J4886">
        <f t="shared" ca="1" si="407"/>
        <v>0</v>
      </c>
      <c r="K4886">
        <f t="shared" ca="1" si="408"/>
        <v>0</v>
      </c>
      <c r="L4886">
        <f t="shared" si="409"/>
        <v>4880</v>
      </c>
      <c r="M4886" s="71">
        <f t="shared" ca="1" si="410"/>
        <v>14.270747350087712</v>
      </c>
    </row>
    <row r="4887" spans="1:13" x14ac:dyDescent="0.25">
      <c r="A4887" s="2">
        <v>4881</v>
      </c>
      <c r="B4887" s="11">
        <f t="shared" ca="1" si="406"/>
        <v>0</v>
      </c>
      <c r="C4887" s="26">
        <f t="shared" ca="1" si="405"/>
        <v>0.86266451061558269</v>
      </c>
      <c r="J4887">
        <f t="shared" ca="1" si="407"/>
        <v>0</v>
      </c>
      <c r="K4887">
        <f t="shared" ca="1" si="408"/>
        <v>0</v>
      </c>
      <c r="L4887">
        <f t="shared" si="409"/>
        <v>4881</v>
      </c>
      <c r="M4887" s="71">
        <f t="shared" ca="1" si="410"/>
        <v>0</v>
      </c>
    </row>
    <row r="4888" spans="1:13" x14ac:dyDescent="0.25">
      <c r="A4888" s="2">
        <v>4882</v>
      </c>
      <c r="B4888" s="11">
        <f t="shared" ca="1" si="406"/>
        <v>1</v>
      </c>
      <c r="C4888" s="26">
        <f t="shared" ca="1" si="405"/>
        <v>0.56547526006498305</v>
      </c>
      <c r="J4888">
        <f t="shared" ca="1" si="407"/>
        <v>1</v>
      </c>
      <c r="K4888">
        <f t="shared" ca="1" si="408"/>
        <v>0</v>
      </c>
      <c r="L4888">
        <f t="shared" si="409"/>
        <v>4882</v>
      </c>
      <c r="M4888" s="71">
        <f t="shared" ca="1" si="410"/>
        <v>1.1782163703817086</v>
      </c>
    </row>
    <row r="4889" spans="1:13" x14ac:dyDescent="0.25">
      <c r="A4889" s="2">
        <v>4883</v>
      </c>
      <c r="B4889" s="11">
        <f t="shared" ca="1" si="406"/>
        <v>1</v>
      </c>
      <c r="C4889" s="26">
        <f t="shared" ca="1" si="405"/>
        <v>0.14834091517461401</v>
      </c>
      <c r="J4889">
        <f t="shared" ca="1" si="407"/>
        <v>1</v>
      </c>
      <c r="K4889">
        <f t="shared" ca="1" si="408"/>
        <v>0</v>
      </c>
      <c r="L4889">
        <f t="shared" si="409"/>
        <v>4883</v>
      </c>
      <c r="M4889" s="71">
        <f t="shared" ca="1" si="410"/>
        <v>1.2082529217325007</v>
      </c>
    </row>
    <row r="4890" spans="1:13" x14ac:dyDescent="0.25">
      <c r="A4890" s="2">
        <v>4884</v>
      </c>
      <c r="B4890" s="11">
        <f t="shared" ca="1" si="406"/>
        <v>1</v>
      </c>
      <c r="C4890" s="26">
        <f t="shared" ca="1" si="405"/>
        <v>0.42828202579569685</v>
      </c>
      <c r="J4890">
        <f t="shared" ca="1" si="407"/>
        <v>1</v>
      </c>
      <c r="K4890">
        <f t="shared" ca="1" si="408"/>
        <v>0</v>
      </c>
      <c r="L4890">
        <f t="shared" si="409"/>
        <v>4884</v>
      </c>
      <c r="M4890" s="71">
        <f t="shared" ca="1" si="410"/>
        <v>4.4105856069770759</v>
      </c>
    </row>
    <row r="4891" spans="1:13" x14ac:dyDescent="0.25">
      <c r="A4891" s="2">
        <v>4885</v>
      </c>
      <c r="B4891" s="11">
        <f t="shared" ca="1" si="406"/>
        <v>1</v>
      </c>
      <c r="C4891" s="26">
        <f t="shared" ca="1" si="405"/>
        <v>0.13643058490573878</v>
      </c>
      <c r="J4891">
        <f t="shared" ca="1" si="407"/>
        <v>0</v>
      </c>
      <c r="K4891">
        <f t="shared" ca="1" si="408"/>
        <v>0</v>
      </c>
      <c r="L4891">
        <f t="shared" si="409"/>
        <v>4885</v>
      </c>
      <c r="M4891" s="71">
        <f t="shared" ca="1" si="410"/>
        <v>2.4201615203084317</v>
      </c>
    </row>
    <row r="4892" spans="1:13" x14ac:dyDescent="0.25">
      <c r="A4892" s="2">
        <v>4886</v>
      </c>
      <c r="B4892" s="11">
        <f t="shared" ca="1" si="406"/>
        <v>0</v>
      </c>
      <c r="C4892" s="26">
        <f t="shared" ca="1" si="405"/>
        <v>0.90155851922477892</v>
      </c>
      <c r="J4892">
        <f t="shared" ca="1" si="407"/>
        <v>0</v>
      </c>
      <c r="K4892">
        <f t="shared" ca="1" si="408"/>
        <v>1</v>
      </c>
      <c r="L4892">
        <f t="shared" si="409"/>
        <v>4886</v>
      </c>
      <c r="M4892" s="71">
        <f t="shared" ca="1" si="410"/>
        <v>0</v>
      </c>
    </row>
    <row r="4893" spans="1:13" x14ac:dyDescent="0.25">
      <c r="A4893" s="2">
        <v>4887</v>
      </c>
      <c r="B4893" s="11">
        <f t="shared" ca="1" si="406"/>
        <v>0</v>
      </c>
      <c r="C4893" s="26">
        <f t="shared" ca="1" si="405"/>
        <v>0.74411967944675295</v>
      </c>
      <c r="J4893">
        <f t="shared" ca="1" si="407"/>
        <v>0</v>
      </c>
      <c r="K4893">
        <f t="shared" ca="1" si="408"/>
        <v>0</v>
      </c>
      <c r="L4893">
        <f t="shared" si="409"/>
        <v>4887</v>
      </c>
      <c r="M4893" s="71">
        <f t="shared" ca="1" si="410"/>
        <v>0</v>
      </c>
    </row>
    <row r="4894" spans="1:13" x14ac:dyDescent="0.25">
      <c r="A4894" s="2">
        <v>4888</v>
      </c>
      <c r="B4894" s="11">
        <f t="shared" ca="1" si="406"/>
        <v>1</v>
      </c>
      <c r="C4894" s="26">
        <f t="shared" ca="1" si="405"/>
        <v>7.3070923907258223E-2</v>
      </c>
      <c r="J4894">
        <f t="shared" ca="1" si="407"/>
        <v>1</v>
      </c>
      <c r="K4894">
        <f t="shared" ca="1" si="408"/>
        <v>0</v>
      </c>
      <c r="L4894">
        <f t="shared" si="409"/>
        <v>4888</v>
      </c>
      <c r="M4894" s="71">
        <f t="shared" ca="1" si="410"/>
        <v>3.1121163346889555</v>
      </c>
    </row>
    <row r="4895" spans="1:13" x14ac:dyDescent="0.25">
      <c r="A4895" s="2">
        <v>4889</v>
      </c>
      <c r="B4895" s="11">
        <f t="shared" ca="1" si="406"/>
        <v>1</v>
      </c>
      <c r="C4895" s="26">
        <f t="shared" ca="1" si="405"/>
        <v>0.11897730705014797</v>
      </c>
      <c r="J4895">
        <f t="shared" ca="1" si="407"/>
        <v>1</v>
      </c>
      <c r="K4895">
        <f t="shared" ca="1" si="408"/>
        <v>0</v>
      </c>
      <c r="L4895">
        <f t="shared" si="409"/>
        <v>4889</v>
      </c>
      <c r="M4895" s="71">
        <f t="shared" ca="1" si="410"/>
        <v>2.0080470445030856</v>
      </c>
    </row>
    <row r="4896" spans="1:13" x14ac:dyDescent="0.25">
      <c r="A4896" s="2">
        <v>4890</v>
      </c>
      <c r="B4896" s="11">
        <f t="shared" ca="1" si="406"/>
        <v>1</v>
      </c>
      <c r="C4896" s="26">
        <f t="shared" ca="1" si="405"/>
        <v>0.29758759724477912</v>
      </c>
      <c r="J4896">
        <f t="shared" ca="1" si="407"/>
        <v>1</v>
      </c>
      <c r="K4896">
        <f t="shared" ca="1" si="408"/>
        <v>0</v>
      </c>
      <c r="L4896">
        <f t="shared" si="409"/>
        <v>4890</v>
      </c>
      <c r="M4896" s="71">
        <f t="shared" ca="1" si="410"/>
        <v>4.6914667929489919</v>
      </c>
    </row>
    <row r="4897" spans="1:13" x14ac:dyDescent="0.25">
      <c r="A4897" s="2">
        <v>4891</v>
      </c>
      <c r="B4897" s="11">
        <f t="shared" ca="1" si="406"/>
        <v>1</v>
      </c>
      <c r="C4897" s="26">
        <f t="shared" ca="1" si="405"/>
        <v>0.70430869904007476</v>
      </c>
      <c r="J4897">
        <f t="shared" ca="1" si="407"/>
        <v>1</v>
      </c>
      <c r="K4897">
        <f t="shared" ca="1" si="408"/>
        <v>0</v>
      </c>
      <c r="L4897">
        <f t="shared" si="409"/>
        <v>4891</v>
      </c>
      <c r="M4897" s="71">
        <f t="shared" ca="1" si="410"/>
        <v>2.349011585127764</v>
      </c>
    </row>
    <row r="4898" spans="1:13" x14ac:dyDescent="0.25">
      <c r="A4898" s="2">
        <v>4892</v>
      </c>
      <c r="B4898" s="11">
        <f t="shared" ca="1" si="406"/>
        <v>1</v>
      </c>
      <c r="C4898" s="26">
        <f t="shared" ca="1" si="405"/>
        <v>0.15206630616289285</v>
      </c>
      <c r="J4898">
        <f t="shared" ca="1" si="407"/>
        <v>1</v>
      </c>
      <c r="K4898">
        <f t="shared" ca="1" si="408"/>
        <v>0</v>
      </c>
      <c r="L4898">
        <f t="shared" si="409"/>
        <v>4892</v>
      </c>
      <c r="M4898" s="71">
        <f t="shared" ca="1" si="410"/>
        <v>6.6245244772622085</v>
      </c>
    </row>
    <row r="4899" spans="1:13" x14ac:dyDescent="0.25">
      <c r="A4899" s="2">
        <v>4893</v>
      </c>
      <c r="B4899" s="11">
        <f t="shared" ca="1" si="406"/>
        <v>1</v>
      </c>
      <c r="C4899" s="26">
        <f t="shared" ca="1" si="405"/>
        <v>0.73821584487382919</v>
      </c>
      <c r="J4899">
        <f t="shared" ca="1" si="407"/>
        <v>1</v>
      </c>
      <c r="K4899">
        <f t="shared" ca="1" si="408"/>
        <v>0</v>
      </c>
      <c r="L4899">
        <f t="shared" si="409"/>
        <v>4893</v>
      </c>
      <c r="M4899" s="71">
        <f t="shared" ca="1" si="410"/>
        <v>1.635207993146393</v>
      </c>
    </row>
    <row r="4900" spans="1:13" x14ac:dyDescent="0.25">
      <c r="A4900" s="2">
        <v>4894</v>
      </c>
      <c r="B4900" s="11">
        <f t="shared" ca="1" si="406"/>
        <v>1</v>
      </c>
      <c r="C4900" s="26">
        <f t="shared" ca="1" si="405"/>
        <v>0.26380814695419208</v>
      </c>
      <c r="J4900">
        <f t="shared" ca="1" si="407"/>
        <v>1</v>
      </c>
      <c r="K4900">
        <f t="shared" ca="1" si="408"/>
        <v>0</v>
      </c>
      <c r="L4900">
        <f t="shared" si="409"/>
        <v>4894</v>
      </c>
      <c r="M4900" s="71">
        <f t="shared" ca="1" si="410"/>
        <v>6.7515556094514739</v>
      </c>
    </row>
    <row r="4901" spans="1:13" x14ac:dyDescent="0.25">
      <c r="A4901" s="2">
        <v>4895</v>
      </c>
      <c r="B4901" s="11">
        <f t="shared" ca="1" si="406"/>
        <v>1</v>
      </c>
      <c r="C4901" s="26">
        <f t="shared" ca="1" si="405"/>
        <v>0.70114112718685506</v>
      </c>
      <c r="J4901">
        <f t="shared" ca="1" si="407"/>
        <v>1</v>
      </c>
      <c r="K4901">
        <f t="shared" ca="1" si="408"/>
        <v>0</v>
      </c>
      <c r="L4901">
        <f t="shared" si="409"/>
        <v>4895</v>
      </c>
      <c r="M4901" s="71">
        <f t="shared" ca="1" si="410"/>
        <v>7.2663636663328219</v>
      </c>
    </row>
    <row r="4902" spans="1:13" x14ac:dyDescent="0.25">
      <c r="A4902" s="2">
        <v>4896</v>
      </c>
      <c r="B4902" s="11">
        <f t="shared" ca="1" si="406"/>
        <v>1</v>
      </c>
      <c r="C4902" s="26">
        <f t="shared" ca="1" si="405"/>
        <v>0.12612299294138141</v>
      </c>
      <c r="J4902">
        <f t="shared" ca="1" si="407"/>
        <v>1</v>
      </c>
      <c r="K4902">
        <f t="shared" ca="1" si="408"/>
        <v>0</v>
      </c>
      <c r="L4902">
        <f t="shared" si="409"/>
        <v>4896</v>
      </c>
      <c r="M4902" s="71">
        <f t="shared" ca="1" si="410"/>
        <v>1.922841377665031</v>
      </c>
    </row>
    <row r="4903" spans="1:13" x14ac:dyDescent="0.25">
      <c r="A4903" s="2">
        <v>4897</v>
      </c>
      <c r="B4903" s="11">
        <f t="shared" ca="1" si="406"/>
        <v>1</v>
      </c>
      <c r="C4903" s="26">
        <f t="shared" ca="1" si="405"/>
        <v>0.78742407248070345</v>
      </c>
      <c r="J4903">
        <f t="shared" ca="1" si="407"/>
        <v>1</v>
      </c>
      <c r="K4903">
        <f t="shared" ca="1" si="408"/>
        <v>0</v>
      </c>
      <c r="L4903">
        <f t="shared" si="409"/>
        <v>4897</v>
      </c>
      <c r="M4903" s="71">
        <f t="shared" ca="1" si="410"/>
        <v>0.21261079593608628</v>
      </c>
    </row>
    <row r="4904" spans="1:13" x14ac:dyDescent="0.25">
      <c r="A4904" s="2">
        <v>4898</v>
      </c>
      <c r="B4904" s="11">
        <f t="shared" ca="1" si="406"/>
        <v>1</v>
      </c>
      <c r="C4904" s="26">
        <f t="shared" ca="1" si="405"/>
        <v>0.68015990384240166</v>
      </c>
      <c r="J4904">
        <f t="shared" ca="1" si="407"/>
        <v>1</v>
      </c>
      <c r="K4904">
        <f t="shared" ca="1" si="408"/>
        <v>0</v>
      </c>
      <c r="L4904">
        <f t="shared" si="409"/>
        <v>4898</v>
      </c>
      <c r="M4904" s="71">
        <f t="shared" ca="1" si="410"/>
        <v>0.86069250339793824</v>
      </c>
    </row>
    <row r="4905" spans="1:13" x14ac:dyDescent="0.25">
      <c r="A4905" s="2">
        <v>4899</v>
      </c>
      <c r="B4905" s="11">
        <f t="shared" ca="1" si="406"/>
        <v>1</v>
      </c>
      <c r="C4905" s="26">
        <f t="shared" ca="1" si="405"/>
        <v>0.21071559316684763</v>
      </c>
      <c r="J4905">
        <f t="shared" ca="1" si="407"/>
        <v>1</v>
      </c>
      <c r="K4905">
        <f t="shared" ca="1" si="408"/>
        <v>0</v>
      </c>
      <c r="L4905">
        <f t="shared" si="409"/>
        <v>4899</v>
      </c>
      <c r="M4905" s="71">
        <f t="shared" ca="1" si="410"/>
        <v>4.113563749159125</v>
      </c>
    </row>
    <row r="4906" spans="1:13" x14ac:dyDescent="0.25">
      <c r="A4906" s="2">
        <v>4900</v>
      </c>
      <c r="B4906" s="11">
        <f t="shared" ca="1" si="406"/>
        <v>1</v>
      </c>
      <c r="C4906" s="26">
        <f t="shared" ca="1" si="405"/>
        <v>0.2403430601867762</v>
      </c>
      <c r="J4906">
        <f t="shared" ca="1" si="407"/>
        <v>1</v>
      </c>
      <c r="K4906">
        <f t="shared" ca="1" si="408"/>
        <v>0</v>
      </c>
      <c r="L4906">
        <f t="shared" si="409"/>
        <v>4900</v>
      </c>
      <c r="M4906" s="71">
        <f t="shared" ca="1" si="410"/>
        <v>0.48295896072403788</v>
      </c>
    </row>
    <row r="4907" spans="1:13" x14ac:dyDescent="0.25">
      <c r="A4907" s="2">
        <v>4901</v>
      </c>
      <c r="B4907" s="11">
        <f t="shared" ca="1" si="406"/>
        <v>1</v>
      </c>
      <c r="C4907" s="26">
        <f t="shared" ca="1" si="405"/>
        <v>0.78960018770044427</v>
      </c>
      <c r="J4907">
        <f t="shared" ca="1" si="407"/>
        <v>0</v>
      </c>
      <c r="K4907">
        <f t="shared" ca="1" si="408"/>
        <v>0</v>
      </c>
      <c r="L4907">
        <f t="shared" si="409"/>
        <v>4901</v>
      </c>
      <c r="M4907" s="71">
        <f t="shared" ca="1" si="410"/>
        <v>2.76583005227705</v>
      </c>
    </row>
    <row r="4908" spans="1:13" x14ac:dyDescent="0.25">
      <c r="A4908" s="2">
        <v>4902</v>
      </c>
      <c r="B4908" s="11">
        <f t="shared" ca="1" si="406"/>
        <v>0</v>
      </c>
      <c r="C4908" s="26">
        <f t="shared" ca="1" si="405"/>
        <v>0.9092159574216595</v>
      </c>
      <c r="J4908">
        <f t="shared" ca="1" si="407"/>
        <v>0</v>
      </c>
      <c r="K4908">
        <f t="shared" ca="1" si="408"/>
        <v>0</v>
      </c>
      <c r="L4908">
        <f t="shared" si="409"/>
        <v>4902</v>
      </c>
      <c r="M4908" s="71">
        <f t="shared" ca="1" si="410"/>
        <v>0</v>
      </c>
    </row>
    <row r="4909" spans="1:13" x14ac:dyDescent="0.25">
      <c r="A4909" s="2">
        <v>4903</v>
      </c>
      <c r="B4909" s="11">
        <f t="shared" ca="1" si="406"/>
        <v>1</v>
      </c>
      <c r="C4909" s="26">
        <f t="shared" ca="1" si="405"/>
        <v>0.46777557372721601</v>
      </c>
      <c r="J4909">
        <f t="shared" ca="1" si="407"/>
        <v>0</v>
      </c>
      <c r="K4909">
        <f t="shared" ca="1" si="408"/>
        <v>0</v>
      </c>
      <c r="L4909">
        <f t="shared" si="409"/>
        <v>4903</v>
      </c>
      <c r="M4909" s="71">
        <f t="shared" ca="1" si="410"/>
        <v>3.3835110445077565</v>
      </c>
    </row>
    <row r="4910" spans="1:13" x14ac:dyDescent="0.25">
      <c r="A4910" s="2">
        <v>4904</v>
      </c>
      <c r="B4910" s="11">
        <f t="shared" ca="1" si="406"/>
        <v>0</v>
      </c>
      <c r="C4910" s="26">
        <f t="shared" ca="1" si="405"/>
        <v>0.84260118322352673</v>
      </c>
      <c r="J4910">
        <f t="shared" ca="1" si="407"/>
        <v>0</v>
      </c>
      <c r="K4910">
        <f t="shared" ca="1" si="408"/>
        <v>0</v>
      </c>
      <c r="L4910">
        <f t="shared" si="409"/>
        <v>4904</v>
      </c>
      <c r="M4910" s="71">
        <f t="shared" ca="1" si="410"/>
        <v>0</v>
      </c>
    </row>
    <row r="4911" spans="1:13" x14ac:dyDescent="0.25">
      <c r="A4911" s="2">
        <v>4905</v>
      </c>
      <c r="B4911" s="11">
        <f t="shared" ca="1" si="406"/>
        <v>1</v>
      </c>
      <c r="C4911" s="26">
        <f t="shared" ca="1" si="405"/>
        <v>0.47745220363986707</v>
      </c>
      <c r="J4911">
        <f t="shared" ca="1" si="407"/>
        <v>1</v>
      </c>
      <c r="K4911">
        <f t="shared" ca="1" si="408"/>
        <v>0</v>
      </c>
      <c r="L4911">
        <f t="shared" si="409"/>
        <v>4905</v>
      </c>
      <c r="M4911" s="71">
        <f t="shared" ca="1" si="410"/>
        <v>4.3748893633809471</v>
      </c>
    </row>
    <row r="4912" spans="1:13" x14ac:dyDescent="0.25">
      <c r="A4912" s="2">
        <v>4906</v>
      </c>
      <c r="B4912" s="11">
        <f t="shared" ca="1" si="406"/>
        <v>1</v>
      </c>
      <c r="C4912" s="26">
        <f t="shared" ca="1" si="405"/>
        <v>0.54989611004075278</v>
      </c>
      <c r="J4912">
        <f t="shared" ca="1" si="407"/>
        <v>1</v>
      </c>
      <c r="K4912">
        <f t="shared" ca="1" si="408"/>
        <v>0</v>
      </c>
      <c r="L4912">
        <f t="shared" si="409"/>
        <v>4906</v>
      </c>
      <c r="M4912" s="71">
        <f t="shared" ca="1" si="410"/>
        <v>8.4396324772900986</v>
      </c>
    </row>
    <row r="4913" spans="1:13" x14ac:dyDescent="0.25">
      <c r="A4913" s="2">
        <v>4907</v>
      </c>
      <c r="B4913" s="11">
        <f t="shared" ca="1" si="406"/>
        <v>1</v>
      </c>
      <c r="C4913" s="26">
        <f t="shared" ca="1" si="405"/>
        <v>0.38736211438149737</v>
      </c>
      <c r="J4913">
        <f t="shared" ca="1" si="407"/>
        <v>1</v>
      </c>
      <c r="K4913">
        <f t="shared" ca="1" si="408"/>
        <v>0</v>
      </c>
      <c r="L4913">
        <f t="shared" si="409"/>
        <v>4907</v>
      </c>
      <c r="M4913" s="71">
        <f t="shared" ca="1" si="410"/>
        <v>2.9775085296052497</v>
      </c>
    </row>
    <row r="4914" spans="1:13" x14ac:dyDescent="0.25">
      <c r="A4914" s="2">
        <v>4908</v>
      </c>
      <c r="B4914" s="11">
        <f t="shared" ca="1" si="406"/>
        <v>1</v>
      </c>
      <c r="C4914" s="26">
        <f t="shared" ca="1" si="405"/>
        <v>0.56579974890872686</v>
      </c>
      <c r="J4914">
        <f t="shared" ca="1" si="407"/>
        <v>0</v>
      </c>
      <c r="K4914">
        <f t="shared" ca="1" si="408"/>
        <v>0</v>
      </c>
      <c r="L4914">
        <f t="shared" si="409"/>
        <v>4908</v>
      </c>
      <c r="M4914" s="71">
        <f t="shared" ca="1" si="410"/>
        <v>5.9502728482437695</v>
      </c>
    </row>
    <row r="4915" spans="1:13" x14ac:dyDescent="0.25">
      <c r="A4915" s="2">
        <v>4909</v>
      </c>
      <c r="B4915" s="11">
        <f t="shared" ca="1" si="406"/>
        <v>0</v>
      </c>
      <c r="C4915" s="26">
        <f t="shared" ca="1" si="405"/>
        <v>0.80592159942830555</v>
      </c>
      <c r="J4915">
        <f t="shared" ca="1" si="407"/>
        <v>0</v>
      </c>
      <c r="K4915">
        <f t="shared" ca="1" si="408"/>
        <v>0</v>
      </c>
      <c r="L4915">
        <f t="shared" si="409"/>
        <v>4909</v>
      </c>
      <c r="M4915" s="71">
        <f t="shared" ca="1" si="410"/>
        <v>0</v>
      </c>
    </row>
    <row r="4916" spans="1:13" x14ac:dyDescent="0.25">
      <c r="A4916" s="2">
        <v>4910</v>
      </c>
      <c r="B4916" s="11">
        <f t="shared" ca="1" si="406"/>
        <v>1</v>
      </c>
      <c r="C4916" s="26">
        <f t="shared" ca="1" si="405"/>
        <v>0.20963155031209291</v>
      </c>
      <c r="J4916">
        <f t="shared" ca="1" si="407"/>
        <v>0</v>
      </c>
      <c r="K4916">
        <f t="shared" ca="1" si="408"/>
        <v>0</v>
      </c>
      <c r="L4916">
        <f t="shared" si="409"/>
        <v>4910</v>
      </c>
      <c r="M4916" s="71">
        <f t="shared" ca="1" si="410"/>
        <v>1.6510045539707019</v>
      </c>
    </row>
    <row r="4917" spans="1:13" x14ac:dyDescent="0.25">
      <c r="A4917" s="2">
        <v>4911</v>
      </c>
      <c r="B4917" s="11">
        <f t="shared" ca="1" si="406"/>
        <v>0</v>
      </c>
      <c r="C4917" s="26">
        <f t="shared" ca="1" si="405"/>
        <v>0.86703409095002215</v>
      </c>
      <c r="J4917">
        <f t="shared" ca="1" si="407"/>
        <v>0</v>
      </c>
      <c r="K4917">
        <f t="shared" ca="1" si="408"/>
        <v>0</v>
      </c>
      <c r="L4917">
        <f t="shared" si="409"/>
        <v>4911</v>
      </c>
      <c r="M4917" s="71">
        <f t="shared" ca="1" si="410"/>
        <v>0</v>
      </c>
    </row>
    <row r="4918" spans="1:13" x14ac:dyDescent="0.25">
      <c r="A4918" s="2">
        <v>4912</v>
      </c>
      <c r="B4918" s="11">
        <f t="shared" ca="1" si="406"/>
        <v>1</v>
      </c>
      <c r="C4918" s="26">
        <f t="shared" ca="1" si="405"/>
        <v>8.4645695607902804E-2</v>
      </c>
      <c r="J4918">
        <f t="shared" ca="1" si="407"/>
        <v>1</v>
      </c>
      <c r="K4918">
        <f t="shared" ca="1" si="408"/>
        <v>0</v>
      </c>
      <c r="L4918">
        <f t="shared" si="409"/>
        <v>4912</v>
      </c>
      <c r="M4918" s="71">
        <f t="shared" ca="1" si="410"/>
        <v>9.5217247187817389</v>
      </c>
    </row>
    <row r="4919" spans="1:13" x14ac:dyDescent="0.25">
      <c r="A4919" s="2">
        <v>4913</v>
      </c>
      <c r="B4919" s="11">
        <f t="shared" ca="1" si="406"/>
        <v>1</v>
      </c>
      <c r="C4919" s="26">
        <f t="shared" ca="1" si="405"/>
        <v>0.51857679155166025</v>
      </c>
      <c r="J4919">
        <f t="shared" ca="1" si="407"/>
        <v>1</v>
      </c>
      <c r="K4919">
        <f t="shared" ca="1" si="408"/>
        <v>0</v>
      </c>
      <c r="L4919">
        <f t="shared" si="409"/>
        <v>4913</v>
      </c>
      <c r="M4919" s="71">
        <f t="shared" ca="1" si="410"/>
        <v>3.2214146282897054</v>
      </c>
    </row>
    <row r="4920" spans="1:13" x14ac:dyDescent="0.25">
      <c r="A4920" s="2">
        <v>4914</v>
      </c>
      <c r="B4920" s="11">
        <f t="shared" ca="1" si="406"/>
        <v>1</v>
      </c>
      <c r="C4920" s="26">
        <f t="shared" ca="1" si="405"/>
        <v>0.60850091228555636</v>
      </c>
      <c r="J4920">
        <f t="shared" ca="1" si="407"/>
        <v>0</v>
      </c>
      <c r="K4920">
        <f t="shared" ca="1" si="408"/>
        <v>0</v>
      </c>
      <c r="L4920">
        <f t="shared" si="409"/>
        <v>4914</v>
      </c>
      <c r="M4920" s="71">
        <f t="shared" ca="1" si="410"/>
        <v>0.62313420860341084</v>
      </c>
    </row>
    <row r="4921" spans="1:13" x14ac:dyDescent="0.25">
      <c r="A4921" s="2">
        <v>4915</v>
      </c>
      <c r="B4921" s="11">
        <f t="shared" ca="1" si="406"/>
        <v>0</v>
      </c>
      <c r="C4921" s="26">
        <f t="shared" ca="1" si="405"/>
        <v>0.94270218970605768</v>
      </c>
      <c r="J4921">
        <f t="shared" ca="1" si="407"/>
        <v>0</v>
      </c>
      <c r="K4921">
        <f t="shared" ca="1" si="408"/>
        <v>0</v>
      </c>
      <c r="L4921">
        <f t="shared" si="409"/>
        <v>4915</v>
      </c>
      <c r="M4921" s="71">
        <f t="shared" ca="1" si="410"/>
        <v>0</v>
      </c>
    </row>
    <row r="4922" spans="1:13" x14ac:dyDescent="0.25">
      <c r="A4922" s="2">
        <v>4916</v>
      </c>
      <c r="B4922" s="11">
        <f t="shared" ca="1" si="406"/>
        <v>1</v>
      </c>
      <c r="C4922" s="26">
        <f t="shared" ca="1" si="405"/>
        <v>0.18338744947248165</v>
      </c>
      <c r="J4922">
        <f t="shared" ca="1" si="407"/>
        <v>1</v>
      </c>
      <c r="K4922">
        <f t="shared" ca="1" si="408"/>
        <v>0</v>
      </c>
      <c r="L4922">
        <f t="shared" si="409"/>
        <v>4916</v>
      </c>
      <c r="M4922" s="71">
        <f t="shared" ca="1" si="410"/>
        <v>2.1842498875163776</v>
      </c>
    </row>
    <row r="4923" spans="1:13" x14ac:dyDescent="0.25">
      <c r="A4923" s="2">
        <v>4917</v>
      </c>
      <c r="B4923" s="11">
        <f t="shared" ca="1" si="406"/>
        <v>1</v>
      </c>
      <c r="C4923" s="26">
        <f t="shared" ca="1" si="405"/>
        <v>0.55095735073505059</v>
      </c>
      <c r="J4923">
        <f t="shared" ca="1" si="407"/>
        <v>1</v>
      </c>
      <c r="K4923">
        <f t="shared" ca="1" si="408"/>
        <v>0</v>
      </c>
      <c r="L4923">
        <f t="shared" si="409"/>
        <v>4917</v>
      </c>
      <c r="M4923" s="71">
        <f t="shared" ca="1" si="410"/>
        <v>8.9254218520737023</v>
      </c>
    </row>
    <row r="4924" spans="1:13" x14ac:dyDescent="0.25">
      <c r="A4924" s="2">
        <v>4918</v>
      </c>
      <c r="B4924" s="11">
        <f t="shared" ca="1" si="406"/>
        <v>1</v>
      </c>
      <c r="C4924" s="26">
        <f t="shared" ca="1" si="405"/>
        <v>0.57440923282511924</v>
      </c>
      <c r="J4924">
        <f t="shared" ca="1" si="407"/>
        <v>1</v>
      </c>
      <c r="K4924">
        <f t="shared" ca="1" si="408"/>
        <v>0</v>
      </c>
      <c r="L4924">
        <f t="shared" si="409"/>
        <v>4918</v>
      </c>
      <c r="M4924" s="71">
        <f t="shared" ca="1" si="410"/>
        <v>7.5280917475438418</v>
      </c>
    </row>
    <row r="4925" spans="1:13" x14ac:dyDescent="0.25">
      <c r="A4925" s="2">
        <v>4919</v>
      </c>
      <c r="B4925" s="11">
        <f t="shared" ca="1" si="406"/>
        <v>1</v>
      </c>
      <c r="C4925" s="26">
        <f t="shared" ca="1" si="405"/>
        <v>9.5728440554327165E-2</v>
      </c>
      <c r="J4925">
        <f t="shared" ca="1" si="407"/>
        <v>1</v>
      </c>
      <c r="K4925">
        <f t="shared" ca="1" si="408"/>
        <v>0</v>
      </c>
      <c r="L4925">
        <f t="shared" si="409"/>
        <v>4919</v>
      </c>
      <c r="M4925" s="71">
        <f t="shared" ca="1" si="410"/>
        <v>2.1414093571583921</v>
      </c>
    </row>
    <row r="4926" spans="1:13" x14ac:dyDescent="0.25">
      <c r="A4926" s="2">
        <v>4920</v>
      </c>
      <c r="B4926" s="11">
        <f t="shared" ca="1" si="406"/>
        <v>1</v>
      </c>
      <c r="C4926" s="26">
        <f t="shared" ca="1" si="405"/>
        <v>0.43660100326123852</v>
      </c>
      <c r="J4926">
        <f t="shared" ca="1" si="407"/>
        <v>1</v>
      </c>
      <c r="K4926">
        <f t="shared" ca="1" si="408"/>
        <v>0</v>
      </c>
      <c r="L4926">
        <f t="shared" si="409"/>
        <v>4920</v>
      </c>
      <c r="M4926" s="71">
        <f t="shared" ca="1" si="410"/>
        <v>2.3666055664398153</v>
      </c>
    </row>
    <row r="4927" spans="1:13" x14ac:dyDescent="0.25">
      <c r="A4927" s="2">
        <v>4921</v>
      </c>
      <c r="B4927" s="11">
        <f t="shared" ca="1" si="406"/>
        <v>1</v>
      </c>
      <c r="C4927" s="26">
        <f t="shared" ca="1" si="405"/>
        <v>0.49918600730967577</v>
      </c>
      <c r="J4927">
        <f t="shared" ca="1" si="407"/>
        <v>1</v>
      </c>
      <c r="K4927">
        <f t="shared" ca="1" si="408"/>
        <v>0</v>
      </c>
      <c r="L4927">
        <f t="shared" si="409"/>
        <v>4921</v>
      </c>
      <c r="M4927" s="71">
        <f t="shared" ca="1" si="410"/>
        <v>3.1771097003835975</v>
      </c>
    </row>
    <row r="4928" spans="1:13" x14ac:dyDescent="0.25">
      <c r="A4928" s="2">
        <v>4922</v>
      </c>
      <c r="B4928" s="11">
        <f t="shared" ca="1" si="406"/>
        <v>1</v>
      </c>
      <c r="C4928" s="26">
        <f t="shared" ca="1" si="405"/>
        <v>8.5433301558229813E-3</v>
      </c>
      <c r="J4928">
        <f t="shared" ca="1" si="407"/>
        <v>0</v>
      </c>
      <c r="K4928">
        <f t="shared" ca="1" si="408"/>
        <v>0</v>
      </c>
      <c r="L4928">
        <f t="shared" si="409"/>
        <v>4922</v>
      </c>
      <c r="M4928" s="71">
        <f t="shared" ca="1" si="410"/>
        <v>5.0283488089931554</v>
      </c>
    </row>
    <row r="4929" spans="1:13" x14ac:dyDescent="0.25">
      <c r="A4929" s="2">
        <v>4923</v>
      </c>
      <c r="B4929" s="11">
        <f t="shared" ca="1" si="406"/>
        <v>0</v>
      </c>
      <c r="C4929" s="26">
        <f t="shared" ca="1" si="405"/>
        <v>0.83818720608288633</v>
      </c>
      <c r="J4929">
        <f t="shared" ca="1" si="407"/>
        <v>0</v>
      </c>
      <c r="K4929">
        <f t="shared" ca="1" si="408"/>
        <v>0</v>
      </c>
      <c r="L4929">
        <f t="shared" si="409"/>
        <v>4923</v>
      </c>
      <c r="M4929" s="71">
        <f t="shared" ca="1" si="410"/>
        <v>0</v>
      </c>
    </row>
    <row r="4930" spans="1:13" x14ac:dyDescent="0.25">
      <c r="A4930" s="2">
        <v>4924</v>
      </c>
      <c r="B4930" s="11">
        <f t="shared" ca="1" si="406"/>
        <v>1</v>
      </c>
      <c r="C4930" s="26">
        <f t="shared" ca="1" si="405"/>
        <v>1.8089611360023294E-2</v>
      </c>
      <c r="J4930">
        <f t="shared" ca="1" si="407"/>
        <v>1</v>
      </c>
      <c r="K4930">
        <f t="shared" ca="1" si="408"/>
        <v>0</v>
      </c>
      <c r="L4930">
        <f t="shared" si="409"/>
        <v>4924</v>
      </c>
      <c r="M4930" s="71">
        <f t="shared" ca="1" si="410"/>
        <v>3.6299186624045583</v>
      </c>
    </row>
    <row r="4931" spans="1:13" x14ac:dyDescent="0.25">
      <c r="A4931" s="2">
        <v>4925</v>
      </c>
      <c r="B4931" s="11">
        <f t="shared" ca="1" si="406"/>
        <v>1</v>
      </c>
      <c r="C4931" s="26">
        <f t="shared" ca="1" si="405"/>
        <v>0.21798821502021504</v>
      </c>
      <c r="J4931">
        <f t="shared" ca="1" si="407"/>
        <v>1</v>
      </c>
      <c r="K4931">
        <f t="shared" ca="1" si="408"/>
        <v>0</v>
      </c>
      <c r="L4931">
        <f t="shared" si="409"/>
        <v>4925</v>
      </c>
      <c r="M4931" s="71">
        <f t="shared" ca="1" si="410"/>
        <v>2.9029855298460574</v>
      </c>
    </row>
    <row r="4932" spans="1:13" x14ac:dyDescent="0.25">
      <c r="A4932" s="2">
        <v>4926</v>
      </c>
      <c r="B4932" s="11">
        <f t="shared" ca="1" si="406"/>
        <v>1</v>
      </c>
      <c r="C4932" s="26">
        <f t="shared" ca="1" si="405"/>
        <v>0.38048954607485241</v>
      </c>
      <c r="J4932">
        <f t="shared" ca="1" si="407"/>
        <v>0</v>
      </c>
      <c r="K4932">
        <f t="shared" ca="1" si="408"/>
        <v>0</v>
      </c>
      <c r="L4932">
        <f t="shared" si="409"/>
        <v>4926</v>
      </c>
      <c r="M4932" s="71">
        <f t="shared" ca="1" si="410"/>
        <v>1.2679346211624067</v>
      </c>
    </row>
    <row r="4933" spans="1:13" x14ac:dyDescent="0.25">
      <c r="A4933" s="2">
        <v>4927</v>
      </c>
      <c r="B4933" s="11">
        <f t="shared" ca="1" si="406"/>
        <v>0</v>
      </c>
      <c r="C4933" s="26">
        <f t="shared" ca="1" si="405"/>
        <v>0.82315263607907707</v>
      </c>
      <c r="J4933">
        <f t="shared" ca="1" si="407"/>
        <v>0</v>
      </c>
      <c r="K4933">
        <f t="shared" ca="1" si="408"/>
        <v>1</v>
      </c>
      <c r="L4933">
        <f t="shared" si="409"/>
        <v>4927</v>
      </c>
      <c r="M4933" s="71">
        <f t="shared" ca="1" si="410"/>
        <v>0</v>
      </c>
    </row>
    <row r="4934" spans="1:13" x14ac:dyDescent="0.25">
      <c r="A4934" s="2">
        <v>4928</v>
      </c>
      <c r="B4934" s="11">
        <f t="shared" ca="1" si="406"/>
        <v>0</v>
      </c>
      <c r="C4934" s="26">
        <f t="shared" ca="1" si="405"/>
        <v>0.9405560696302776</v>
      </c>
      <c r="J4934">
        <f t="shared" ca="1" si="407"/>
        <v>0</v>
      </c>
      <c r="K4934">
        <f t="shared" ca="1" si="408"/>
        <v>1</v>
      </c>
      <c r="L4934">
        <f t="shared" si="409"/>
        <v>4928</v>
      </c>
      <c r="M4934" s="71">
        <f t="shared" ca="1" si="410"/>
        <v>0</v>
      </c>
    </row>
    <row r="4935" spans="1:13" x14ac:dyDescent="0.25">
      <c r="A4935" s="2">
        <v>4929</v>
      </c>
      <c r="B4935" s="11">
        <f t="shared" ca="1" si="406"/>
        <v>0</v>
      </c>
      <c r="C4935" s="26">
        <f t="shared" ca="1" si="405"/>
        <v>0.9253135617372571</v>
      </c>
      <c r="J4935">
        <f t="shared" ca="1" si="407"/>
        <v>0</v>
      </c>
      <c r="K4935">
        <f t="shared" ca="1" si="408"/>
        <v>1</v>
      </c>
      <c r="L4935">
        <f t="shared" si="409"/>
        <v>4929</v>
      </c>
      <c r="M4935" s="71">
        <f t="shared" ca="1" si="410"/>
        <v>0</v>
      </c>
    </row>
    <row r="4936" spans="1:13" x14ac:dyDescent="0.25">
      <c r="A4936" s="2">
        <v>4930</v>
      </c>
      <c r="B4936" s="11">
        <f t="shared" ca="1" si="406"/>
        <v>0</v>
      </c>
      <c r="C4936" s="26">
        <f t="shared" ref="C4936:C4999" ca="1" si="411">RAND()</f>
        <v>0.78512591223827422</v>
      </c>
      <c r="J4936">
        <f t="shared" ca="1" si="407"/>
        <v>0</v>
      </c>
      <c r="K4936">
        <f t="shared" ca="1" si="408"/>
        <v>0</v>
      </c>
      <c r="L4936">
        <f t="shared" si="409"/>
        <v>4930</v>
      </c>
      <c r="M4936" s="71">
        <f t="shared" ca="1" si="410"/>
        <v>0</v>
      </c>
    </row>
    <row r="4937" spans="1:13" x14ac:dyDescent="0.25">
      <c r="A4937" s="2">
        <v>4931</v>
      </c>
      <c r="B4937" s="11">
        <f t="shared" ref="B4937:B5000" ca="1" si="412">IF(B4936&gt;0,IF(C4937&lt;pww,1,0),IF(C4937&lt;pdw,1,0))</f>
        <v>1</v>
      </c>
      <c r="C4937" s="26">
        <f t="shared" ca="1" si="411"/>
        <v>0.70358649526530181</v>
      </c>
      <c r="J4937">
        <f t="shared" ca="1" si="407"/>
        <v>1</v>
      </c>
      <c r="K4937">
        <f t="shared" ca="1" si="408"/>
        <v>0</v>
      </c>
      <c r="L4937">
        <f t="shared" si="409"/>
        <v>4931</v>
      </c>
      <c r="M4937" s="71">
        <f t="shared" ca="1" si="410"/>
        <v>5.7292726731679675</v>
      </c>
    </row>
    <row r="4938" spans="1:13" x14ac:dyDescent="0.25">
      <c r="A4938" s="2">
        <v>4932</v>
      </c>
      <c r="B4938" s="11">
        <f t="shared" ca="1" si="412"/>
        <v>1</v>
      </c>
      <c r="C4938" s="26">
        <f t="shared" ca="1" si="411"/>
        <v>0.16154154930981723</v>
      </c>
      <c r="J4938">
        <f t="shared" ref="J4938:J5001" ca="1" si="413">IF(AND(B4938,B4939),1,0)</f>
        <v>1</v>
      </c>
      <c r="K4938">
        <f t="shared" ref="K4938:K5001" ca="1" si="414">IF(AND(NOT(B4938),NOT(B4939)),1,0)</f>
        <v>0</v>
      </c>
      <c r="L4938">
        <f t="shared" ref="L4938:L5001" si="415">L4937+1</f>
        <v>4932</v>
      </c>
      <c r="M4938" s="71">
        <f t="shared" ref="M4938:M5001" ca="1" si="416">IF(B4938&gt;0,-LN(1-(RAND()))/lambda,0)</f>
        <v>10.685884545527056</v>
      </c>
    </row>
    <row r="4939" spans="1:13" x14ac:dyDescent="0.25">
      <c r="A4939" s="2">
        <v>4933</v>
      </c>
      <c r="B4939" s="11">
        <f t="shared" ca="1" si="412"/>
        <v>1</v>
      </c>
      <c r="C4939" s="26">
        <f t="shared" ca="1" si="411"/>
        <v>7.1242128089343715E-2</v>
      </c>
      <c r="J4939">
        <f t="shared" ca="1" si="413"/>
        <v>0</v>
      </c>
      <c r="K4939">
        <f t="shared" ca="1" si="414"/>
        <v>0</v>
      </c>
      <c r="L4939">
        <f t="shared" si="415"/>
        <v>4933</v>
      </c>
      <c r="M4939" s="71">
        <f t="shared" ca="1" si="416"/>
        <v>1.663103752876518</v>
      </c>
    </row>
    <row r="4940" spans="1:13" x14ac:dyDescent="0.25">
      <c r="A4940" s="2">
        <v>4934</v>
      </c>
      <c r="B4940" s="11">
        <f t="shared" ca="1" si="412"/>
        <v>0</v>
      </c>
      <c r="C4940" s="26">
        <f t="shared" ca="1" si="411"/>
        <v>0.8920456667492489</v>
      </c>
      <c r="J4940">
        <f t="shared" ca="1" si="413"/>
        <v>0</v>
      </c>
      <c r="K4940">
        <f t="shared" ca="1" si="414"/>
        <v>0</v>
      </c>
      <c r="L4940">
        <f t="shared" si="415"/>
        <v>4934</v>
      </c>
      <c r="M4940" s="71">
        <f t="shared" ca="1" si="416"/>
        <v>0</v>
      </c>
    </row>
    <row r="4941" spans="1:13" x14ac:dyDescent="0.25">
      <c r="A4941" s="2">
        <v>4935</v>
      </c>
      <c r="B4941" s="11">
        <f t="shared" ca="1" si="412"/>
        <v>1</v>
      </c>
      <c r="C4941" s="26">
        <f t="shared" ca="1" si="411"/>
        <v>3.3494791102569477E-2</v>
      </c>
      <c r="J4941">
        <f t="shared" ca="1" si="413"/>
        <v>1</v>
      </c>
      <c r="K4941">
        <f t="shared" ca="1" si="414"/>
        <v>0</v>
      </c>
      <c r="L4941">
        <f t="shared" si="415"/>
        <v>4935</v>
      </c>
      <c r="M4941" s="71">
        <f t="shared" ca="1" si="416"/>
        <v>2.0216690035879328</v>
      </c>
    </row>
    <row r="4942" spans="1:13" x14ac:dyDescent="0.25">
      <c r="A4942" s="2">
        <v>4936</v>
      </c>
      <c r="B4942" s="11">
        <f t="shared" ca="1" si="412"/>
        <v>1</v>
      </c>
      <c r="C4942" s="26">
        <f t="shared" ca="1" si="411"/>
        <v>0.33281683208419488</v>
      </c>
      <c r="J4942">
        <f t="shared" ca="1" si="413"/>
        <v>1</v>
      </c>
      <c r="K4942">
        <f t="shared" ca="1" si="414"/>
        <v>0</v>
      </c>
      <c r="L4942">
        <f t="shared" si="415"/>
        <v>4936</v>
      </c>
      <c r="M4942" s="71">
        <f t="shared" ca="1" si="416"/>
        <v>4.976647968230723</v>
      </c>
    </row>
    <row r="4943" spans="1:13" x14ac:dyDescent="0.25">
      <c r="A4943" s="2">
        <v>4937</v>
      </c>
      <c r="B4943" s="11">
        <f t="shared" ca="1" si="412"/>
        <v>1</v>
      </c>
      <c r="C4943" s="26">
        <f t="shared" ca="1" si="411"/>
        <v>0.32456378078228731</v>
      </c>
      <c r="J4943">
        <f t="shared" ca="1" si="413"/>
        <v>1</v>
      </c>
      <c r="K4943">
        <f t="shared" ca="1" si="414"/>
        <v>0</v>
      </c>
      <c r="L4943">
        <f t="shared" si="415"/>
        <v>4937</v>
      </c>
      <c r="M4943" s="71">
        <f t="shared" ca="1" si="416"/>
        <v>4.1093885170967086</v>
      </c>
    </row>
    <row r="4944" spans="1:13" x14ac:dyDescent="0.25">
      <c r="A4944" s="2">
        <v>4938</v>
      </c>
      <c r="B4944" s="11">
        <f t="shared" ca="1" si="412"/>
        <v>1</v>
      </c>
      <c r="C4944" s="26">
        <f t="shared" ca="1" si="411"/>
        <v>0.21842254190667398</v>
      </c>
      <c r="J4944">
        <f t="shared" ca="1" si="413"/>
        <v>0</v>
      </c>
      <c r="K4944">
        <f t="shared" ca="1" si="414"/>
        <v>0</v>
      </c>
      <c r="L4944">
        <f t="shared" si="415"/>
        <v>4938</v>
      </c>
      <c r="M4944" s="71">
        <f t="shared" ca="1" si="416"/>
        <v>3.1375570117546561</v>
      </c>
    </row>
    <row r="4945" spans="1:13" x14ac:dyDescent="0.25">
      <c r="A4945" s="2">
        <v>4939</v>
      </c>
      <c r="B4945" s="11">
        <f t="shared" ca="1" si="412"/>
        <v>0</v>
      </c>
      <c r="C4945" s="26">
        <f t="shared" ca="1" si="411"/>
        <v>0.87864563884979785</v>
      </c>
      <c r="J4945">
        <f t="shared" ca="1" si="413"/>
        <v>0</v>
      </c>
      <c r="K4945">
        <f t="shared" ca="1" si="414"/>
        <v>0</v>
      </c>
      <c r="L4945">
        <f t="shared" si="415"/>
        <v>4939</v>
      </c>
      <c r="M4945" s="71">
        <f t="shared" ca="1" si="416"/>
        <v>0</v>
      </c>
    </row>
    <row r="4946" spans="1:13" x14ac:dyDescent="0.25">
      <c r="A4946" s="2">
        <v>4940</v>
      </c>
      <c r="B4946" s="11">
        <f t="shared" ca="1" si="412"/>
        <v>1</v>
      </c>
      <c r="C4946" s="26">
        <f t="shared" ca="1" si="411"/>
        <v>0.13659116731280063</v>
      </c>
      <c r="J4946">
        <f t="shared" ca="1" si="413"/>
        <v>0</v>
      </c>
      <c r="K4946">
        <f t="shared" ca="1" si="414"/>
        <v>0</v>
      </c>
      <c r="L4946">
        <f t="shared" si="415"/>
        <v>4940</v>
      </c>
      <c r="M4946" s="71">
        <f t="shared" ca="1" si="416"/>
        <v>1.2570272434810283</v>
      </c>
    </row>
    <row r="4947" spans="1:13" x14ac:dyDescent="0.25">
      <c r="A4947" s="2">
        <v>4941</v>
      </c>
      <c r="B4947" s="11">
        <f t="shared" ca="1" si="412"/>
        <v>0</v>
      </c>
      <c r="C4947" s="26">
        <f t="shared" ca="1" si="411"/>
        <v>0.98134417355666603</v>
      </c>
      <c r="J4947">
        <f t="shared" ca="1" si="413"/>
        <v>0</v>
      </c>
      <c r="K4947">
        <f t="shared" ca="1" si="414"/>
        <v>1</v>
      </c>
      <c r="L4947">
        <f t="shared" si="415"/>
        <v>4941</v>
      </c>
      <c r="M4947" s="71">
        <f t="shared" ca="1" si="416"/>
        <v>0</v>
      </c>
    </row>
    <row r="4948" spans="1:13" x14ac:dyDescent="0.25">
      <c r="A4948" s="2">
        <v>4942</v>
      </c>
      <c r="B4948" s="11">
        <f t="shared" ca="1" si="412"/>
        <v>0</v>
      </c>
      <c r="C4948" s="26">
        <f t="shared" ca="1" si="411"/>
        <v>0.99520399423687178</v>
      </c>
      <c r="J4948">
        <f t="shared" ca="1" si="413"/>
        <v>0</v>
      </c>
      <c r="K4948">
        <f t="shared" ca="1" si="414"/>
        <v>0</v>
      </c>
      <c r="L4948">
        <f t="shared" si="415"/>
        <v>4942</v>
      </c>
      <c r="M4948" s="71">
        <f t="shared" ca="1" si="416"/>
        <v>0</v>
      </c>
    </row>
    <row r="4949" spans="1:13" x14ac:dyDescent="0.25">
      <c r="A4949" s="2">
        <v>4943</v>
      </c>
      <c r="B4949" s="11">
        <f t="shared" ca="1" si="412"/>
        <v>1</v>
      </c>
      <c r="C4949" s="26">
        <f t="shared" ca="1" si="411"/>
        <v>0.28292864477708246</v>
      </c>
      <c r="J4949">
        <f t="shared" ca="1" si="413"/>
        <v>0</v>
      </c>
      <c r="K4949">
        <f t="shared" ca="1" si="414"/>
        <v>0</v>
      </c>
      <c r="L4949">
        <f t="shared" si="415"/>
        <v>4943</v>
      </c>
      <c r="M4949" s="71">
        <f t="shared" ca="1" si="416"/>
        <v>4.1068964480450338</v>
      </c>
    </row>
    <row r="4950" spans="1:13" x14ac:dyDescent="0.25">
      <c r="A4950" s="2">
        <v>4944</v>
      </c>
      <c r="B4950" s="11">
        <f t="shared" ca="1" si="412"/>
        <v>0</v>
      </c>
      <c r="C4950" s="26">
        <f t="shared" ca="1" si="411"/>
        <v>0.96967892998582428</v>
      </c>
      <c r="J4950">
        <f t="shared" ca="1" si="413"/>
        <v>0</v>
      </c>
      <c r="K4950">
        <f t="shared" ca="1" si="414"/>
        <v>0</v>
      </c>
      <c r="L4950">
        <f t="shared" si="415"/>
        <v>4944</v>
      </c>
      <c r="M4950" s="71">
        <f t="shared" ca="1" si="416"/>
        <v>0</v>
      </c>
    </row>
    <row r="4951" spans="1:13" x14ac:dyDescent="0.25">
      <c r="A4951" s="2">
        <v>4945</v>
      </c>
      <c r="B4951" s="11">
        <f t="shared" ca="1" si="412"/>
        <v>1</v>
      </c>
      <c r="C4951" s="26">
        <f t="shared" ca="1" si="411"/>
        <v>0.67835879822748191</v>
      </c>
      <c r="J4951">
        <f t="shared" ca="1" si="413"/>
        <v>0</v>
      </c>
      <c r="K4951">
        <f t="shared" ca="1" si="414"/>
        <v>0</v>
      </c>
      <c r="L4951">
        <f t="shared" si="415"/>
        <v>4945</v>
      </c>
      <c r="M4951" s="71">
        <f t="shared" ca="1" si="416"/>
        <v>9.2356363226643765</v>
      </c>
    </row>
    <row r="4952" spans="1:13" x14ac:dyDescent="0.25">
      <c r="A4952" s="2">
        <v>4946</v>
      </c>
      <c r="B4952" s="11">
        <f t="shared" ca="1" si="412"/>
        <v>0</v>
      </c>
      <c r="C4952" s="26">
        <f t="shared" ca="1" si="411"/>
        <v>0.97487674272530433</v>
      </c>
      <c r="J4952">
        <f t="shared" ca="1" si="413"/>
        <v>0</v>
      </c>
      <c r="K4952">
        <f t="shared" ca="1" si="414"/>
        <v>0</v>
      </c>
      <c r="L4952">
        <f t="shared" si="415"/>
        <v>4946</v>
      </c>
      <c r="M4952" s="71">
        <f t="shared" ca="1" si="416"/>
        <v>0</v>
      </c>
    </row>
    <row r="4953" spans="1:13" x14ac:dyDescent="0.25">
      <c r="A4953" s="2">
        <v>4947</v>
      </c>
      <c r="B4953" s="11">
        <f t="shared" ca="1" si="412"/>
        <v>1</v>
      </c>
      <c r="C4953" s="26">
        <f t="shared" ca="1" si="411"/>
        <v>0.5868888247778522</v>
      </c>
      <c r="J4953">
        <f t="shared" ca="1" si="413"/>
        <v>1</v>
      </c>
      <c r="K4953">
        <f t="shared" ca="1" si="414"/>
        <v>0</v>
      </c>
      <c r="L4953">
        <f t="shared" si="415"/>
        <v>4947</v>
      </c>
      <c r="M4953" s="71">
        <f t="shared" ca="1" si="416"/>
        <v>2.1158650956068299</v>
      </c>
    </row>
    <row r="4954" spans="1:13" x14ac:dyDescent="0.25">
      <c r="A4954" s="2">
        <v>4948</v>
      </c>
      <c r="B4954" s="11">
        <f t="shared" ca="1" si="412"/>
        <v>1</v>
      </c>
      <c r="C4954" s="26">
        <f t="shared" ca="1" si="411"/>
        <v>0.56774966089540935</v>
      </c>
      <c r="J4954">
        <f t="shared" ca="1" si="413"/>
        <v>1</v>
      </c>
      <c r="K4954">
        <f t="shared" ca="1" si="414"/>
        <v>0</v>
      </c>
      <c r="L4954">
        <f t="shared" si="415"/>
        <v>4948</v>
      </c>
      <c r="M4954" s="71">
        <f t="shared" ca="1" si="416"/>
        <v>3.1693397862421357</v>
      </c>
    </row>
    <row r="4955" spans="1:13" x14ac:dyDescent="0.25">
      <c r="A4955" s="2">
        <v>4949</v>
      </c>
      <c r="B4955" s="11">
        <f t="shared" ca="1" si="412"/>
        <v>1</v>
      </c>
      <c r="C4955" s="26">
        <f t="shared" ca="1" si="411"/>
        <v>0.23532299054778161</v>
      </c>
      <c r="J4955">
        <f t="shared" ca="1" si="413"/>
        <v>1</v>
      </c>
      <c r="K4955">
        <f t="shared" ca="1" si="414"/>
        <v>0</v>
      </c>
      <c r="L4955">
        <f t="shared" si="415"/>
        <v>4949</v>
      </c>
      <c r="M4955" s="71">
        <f t="shared" ca="1" si="416"/>
        <v>1.2817033067926018</v>
      </c>
    </row>
    <row r="4956" spans="1:13" x14ac:dyDescent="0.25">
      <c r="A4956" s="2">
        <v>4950</v>
      </c>
      <c r="B4956" s="11">
        <f t="shared" ca="1" si="412"/>
        <v>1</v>
      </c>
      <c r="C4956" s="26">
        <f t="shared" ca="1" si="411"/>
        <v>0.64385558026972567</v>
      </c>
      <c r="J4956">
        <f t="shared" ca="1" si="413"/>
        <v>1</v>
      </c>
      <c r="K4956">
        <f t="shared" ca="1" si="414"/>
        <v>0</v>
      </c>
      <c r="L4956">
        <f t="shared" si="415"/>
        <v>4950</v>
      </c>
      <c r="M4956" s="71">
        <f t="shared" ca="1" si="416"/>
        <v>0.52782046955825457</v>
      </c>
    </row>
    <row r="4957" spans="1:13" x14ac:dyDescent="0.25">
      <c r="A4957" s="2">
        <v>4951</v>
      </c>
      <c r="B4957" s="11">
        <f t="shared" ca="1" si="412"/>
        <v>1</v>
      </c>
      <c r="C4957" s="26">
        <f t="shared" ca="1" si="411"/>
        <v>0.19691899320058581</v>
      </c>
      <c r="J4957">
        <f t="shared" ca="1" si="413"/>
        <v>0</v>
      </c>
      <c r="K4957">
        <f t="shared" ca="1" si="414"/>
        <v>0</v>
      </c>
      <c r="L4957">
        <f t="shared" si="415"/>
        <v>4951</v>
      </c>
      <c r="M4957" s="71">
        <f t="shared" ca="1" si="416"/>
        <v>9.2685159869825515</v>
      </c>
    </row>
    <row r="4958" spans="1:13" x14ac:dyDescent="0.25">
      <c r="A4958" s="2">
        <v>4952</v>
      </c>
      <c r="B4958" s="11">
        <f t="shared" ca="1" si="412"/>
        <v>0</v>
      </c>
      <c r="C4958" s="26">
        <f t="shared" ca="1" si="411"/>
        <v>0.96620551432278157</v>
      </c>
      <c r="J4958">
        <f t="shared" ca="1" si="413"/>
        <v>0</v>
      </c>
      <c r="K4958">
        <f t="shared" ca="1" si="414"/>
        <v>0</v>
      </c>
      <c r="L4958">
        <f t="shared" si="415"/>
        <v>4952</v>
      </c>
      <c r="M4958" s="71">
        <f t="shared" ca="1" si="416"/>
        <v>0</v>
      </c>
    </row>
    <row r="4959" spans="1:13" x14ac:dyDescent="0.25">
      <c r="A4959" s="2">
        <v>4953</v>
      </c>
      <c r="B4959" s="11">
        <f t="shared" ca="1" si="412"/>
        <v>1</v>
      </c>
      <c r="C4959" s="26">
        <f t="shared" ca="1" si="411"/>
        <v>0.65179820568155356</v>
      </c>
      <c r="J4959">
        <f t="shared" ca="1" si="413"/>
        <v>1</v>
      </c>
      <c r="K4959">
        <f t="shared" ca="1" si="414"/>
        <v>0</v>
      </c>
      <c r="L4959">
        <f t="shared" si="415"/>
        <v>4953</v>
      </c>
      <c r="M4959" s="71">
        <f t="shared" ca="1" si="416"/>
        <v>2.693696717299765</v>
      </c>
    </row>
    <row r="4960" spans="1:13" x14ac:dyDescent="0.25">
      <c r="A4960" s="2">
        <v>4954</v>
      </c>
      <c r="B4960" s="11">
        <f t="shared" ca="1" si="412"/>
        <v>1</v>
      </c>
      <c r="C4960" s="26">
        <f t="shared" ca="1" si="411"/>
        <v>1.3561849853454988E-2</v>
      </c>
      <c r="J4960">
        <f t="shared" ca="1" si="413"/>
        <v>1</v>
      </c>
      <c r="K4960">
        <f t="shared" ca="1" si="414"/>
        <v>0</v>
      </c>
      <c r="L4960">
        <f t="shared" si="415"/>
        <v>4954</v>
      </c>
      <c r="M4960" s="71">
        <f t="shared" ca="1" si="416"/>
        <v>1.2640372125449509E-2</v>
      </c>
    </row>
    <row r="4961" spans="1:13" x14ac:dyDescent="0.25">
      <c r="A4961" s="2">
        <v>4955</v>
      </c>
      <c r="B4961" s="11">
        <f t="shared" ca="1" si="412"/>
        <v>1</v>
      </c>
      <c r="C4961" s="26">
        <f t="shared" ca="1" si="411"/>
        <v>0.60828772406589471</v>
      </c>
      <c r="J4961">
        <f t="shared" ca="1" si="413"/>
        <v>1</v>
      </c>
      <c r="K4961">
        <f t="shared" ca="1" si="414"/>
        <v>0</v>
      </c>
      <c r="L4961">
        <f t="shared" si="415"/>
        <v>4955</v>
      </c>
      <c r="M4961" s="71">
        <f t="shared" ca="1" si="416"/>
        <v>0.54578875709315422</v>
      </c>
    </row>
    <row r="4962" spans="1:13" x14ac:dyDescent="0.25">
      <c r="A4962" s="2">
        <v>4956</v>
      </c>
      <c r="B4962" s="11">
        <f t="shared" ca="1" si="412"/>
        <v>1</v>
      </c>
      <c r="C4962" s="26">
        <f t="shared" ca="1" si="411"/>
        <v>0.27144973894003532</v>
      </c>
      <c r="J4962">
        <f t="shared" ca="1" si="413"/>
        <v>1</v>
      </c>
      <c r="K4962">
        <f t="shared" ca="1" si="414"/>
        <v>0</v>
      </c>
      <c r="L4962">
        <f t="shared" si="415"/>
        <v>4956</v>
      </c>
      <c r="M4962" s="71">
        <f t="shared" ca="1" si="416"/>
        <v>0.38075969134118032</v>
      </c>
    </row>
    <row r="4963" spans="1:13" x14ac:dyDescent="0.25">
      <c r="A4963" s="2">
        <v>4957</v>
      </c>
      <c r="B4963" s="11">
        <f t="shared" ca="1" si="412"/>
        <v>1</v>
      </c>
      <c r="C4963" s="26">
        <f t="shared" ca="1" si="411"/>
        <v>0.69829660574362218</v>
      </c>
      <c r="J4963">
        <f t="shared" ca="1" si="413"/>
        <v>0</v>
      </c>
      <c r="K4963">
        <f t="shared" ca="1" si="414"/>
        <v>0</v>
      </c>
      <c r="L4963">
        <f t="shared" si="415"/>
        <v>4957</v>
      </c>
      <c r="M4963" s="71">
        <f t="shared" ca="1" si="416"/>
        <v>0.38499543367059619</v>
      </c>
    </row>
    <row r="4964" spans="1:13" x14ac:dyDescent="0.25">
      <c r="A4964" s="2">
        <v>4958</v>
      </c>
      <c r="B4964" s="11">
        <f t="shared" ca="1" si="412"/>
        <v>0</v>
      </c>
      <c r="C4964" s="26">
        <f t="shared" ca="1" si="411"/>
        <v>0.96729757346943113</v>
      </c>
      <c r="J4964">
        <f t="shared" ca="1" si="413"/>
        <v>0</v>
      </c>
      <c r="K4964">
        <f t="shared" ca="1" si="414"/>
        <v>0</v>
      </c>
      <c r="L4964">
        <f t="shared" si="415"/>
        <v>4958</v>
      </c>
      <c r="M4964" s="71">
        <f t="shared" ca="1" si="416"/>
        <v>0</v>
      </c>
    </row>
    <row r="4965" spans="1:13" x14ac:dyDescent="0.25">
      <c r="A4965" s="2">
        <v>4959</v>
      </c>
      <c r="B4965" s="11">
        <f t="shared" ca="1" si="412"/>
        <v>1</v>
      </c>
      <c r="C4965" s="26">
        <f t="shared" ca="1" si="411"/>
        <v>0.43784338385687038</v>
      </c>
      <c r="J4965">
        <f t="shared" ca="1" si="413"/>
        <v>1</v>
      </c>
      <c r="K4965">
        <f t="shared" ca="1" si="414"/>
        <v>0</v>
      </c>
      <c r="L4965">
        <f t="shared" si="415"/>
        <v>4959</v>
      </c>
      <c r="M4965" s="71">
        <f t="shared" ca="1" si="416"/>
        <v>3.8745228720976317</v>
      </c>
    </row>
    <row r="4966" spans="1:13" x14ac:dyDescent="0.25">
      <c r="A4966" s="2">
        <v>4960</v>
      </c>
      <c r="B4966" s="11">
        <f t="shared" ca="1" si="412"/>
        <v>1</v>
      </c>
      <c r="C4966" s="26">
        <f t="shared" ca="1" si="411"/>
        <v>0.35446191258829707</v>
      </c>
      <c r="J4966">
        <f t="shared" ca="1" si="413"/>
        <v>1</v>
      </c>
      <c r="K4966">
        <f t="shared" ca="1" si="414"/>
        <v>0</v>
      </c>
      <c r="L4966">
        <f t="shared" si="415"/>
        <v>4960</v>
      </c>
      <c r="M4966" s="71">
        <f t="shared" ca="1" si="416"/>
        <v>0.92402859056000597</v>
      </c>
    </row>
    <row r="4967" spans="1:13" x14ac:dyDescent="0.25">
      <c r="A4967" s="2">
        <v>4961</v>
      </c>
      <c r="B4967" s="11">
        <f t="shared" ca="1" si="412"/>
        <v>1</v>
      </c>
      <c r="C4967" s="26">
        <f t="shared" ca="1" si="411"/>
        <v>0.42137718825912307</v>
      </c>
      <c r="J4967">
        <f t="shared" ca="1" si="413"/>
        <v>1</v>
      </c>
      <c r="K4967">
        <f t="shared" ca="1" si="414"/>
        <v>0</v>
      </c>
      <c r="L4967">
        <f t="shared" si="415"/>
        <v>4961</v>
      </c>
      <c r="M4967" s="71">
        <f t="shared" ca="1" si="416"/>
        <v>4.9125350506399732</v>
      </c>
    </row>
    <row r="4968" spans="1:13" x14ac:dyDescent="0.25">
      <c r="A4968" s="2">
        <v>4962</v>
      </c>
      <c r="B4968" s="11">
        <f t="shared" ca="1" si="412"/>
        <v>1</v>
      </c>
      <c r="C4968" s="26">
        <f t="shared" ca="1" si="411"/>
        <v>0.77969459866344337</v>
      </c>
      <c r="J4968">
        <f t="shared" ca="1" si="413"/>
        <v>1</v>
      </c>
      <c r="K4968">
        <f t="shared" ca="1" si="414"/>
        <v>0</v>
      </c>
      <c r="L4968">
        <f t="shared" si="415"/>
        <v>4962</v>
      </c>
      <c r="M4968" s="71">
        <f t="shared" ca="1" si="416"/>
        <v>1.7994427120193051</v>
      </c>
    </row>
    <row r="4969" spans="1:13" x14ac:dyDescent="0.25">
      <c r="A4969" s="2">
        <v>4963</v>
      </c>
      <c r="B4969" s="11">
        <f t="shared" ca="1" si="412"/>
        <v>1</v>
      </c>
      <c r="C4969" s="26">
        <f t="shared" ca="1" si="411"/>
        <v>0.18144821645700415</v>
      </c>
      <c r="J4969">
        <f t="shared" ca="1" si="413"/>
        <v>1</v>
      </c>
      <c r="K4969">
        <f t="shared" ca="1" si="414"/>
        <v>0</v>
      </c>
      <c r="L4969">
        <f t="shared" si="415"/>
        <v>4963</v>
      </c>
      <c r="M4969" s="71">
        <f t="shared" ca="1" si="416"/>
        <v>2.7645360974845778</v>
      </c>
    </row>
    <row r="4970" spans="1:13" x14ac:dyDescent="0.25">
      <c r="A4970" s="2">
        <v>4964</v>
      </c>
      <c r="B4970" s="11">
        <f t="shared" ca="1" si="412"/>
        <v>1</v>
      </c>
      <c r="C4970" s="26">
        <f t="shared" ca="1" si="411"/>
        <v>0.10084535274803896</v>
      </c>
      <c r="J4970">
        <f t="shared" ca="1" si="413"/>
        <v>1</v>
      </c>
      <c r="K4970">
        <f t="shared" ca="1" si="414"/>
        <v>0</v>
      </c>
      <c r="L4970">
        <f t="shared" si="415"/>
        <v>4964</v>
      </c>
      <c r="M4970" s="71">
        <f t="shared" ca="1" si="416"/>
        <v>1.6923776818681751</v>
      </c>
    </row>
    <row r="4971" spans="1:13" x14ac:dyDescent="0.25">
      <c r="A4971" s="2">
        <v>4965</v>
      </c>
      <c r="B4971" s="11">
        <f t="shared" ca="1" si="412"/>
        <v>1</v>
      </c>
      <c r="C4971" s="26">
        <f t="shared" ca="1" si="411"/>
        <v>0.64526043372001851</v>
      </c>
      <c r="J4971">
        <f t="shared" ca="1" si="413"/>
        <v>1</v>
      </c>
      <c r="K4971">
        <f t="shared" ca="1" si="414"/>
        <v>0</v>
      </c>
      <c r="L4971">
        <f t="shared" si="415"/>
        <v>4965</v>
      </c>
      <c r="M4971" s="71">
        <f t="shared" ca="1" si="416"/>
        <v>4.9468867287340892</v>
      </c>
    </row>
    <row r="4972" spans="1:13" x14ac:dyDescent="0.25">
      <c r="A4972" s="2">
        <v>4966</v>
      </c>
      <c r="B4972" s="11">
        <f t="shared" ca="1" si="412"/>
        <v>1</v>
      </c>
      <c r="C4972" s="26">
        <f t="shared" ca="1" si="411"/>
        <v>0.63913796154523128</v>
      </c>
      <c r="J4972">
        <f t="shared" ca="1" si="413"/>
        <v>1</v>
      </c>
      <c r="K4972">
        <f t="shared" ca="1" si="414"/>
        <v>0</v>
      </c>
      <c r="L4972">
        <f t="shared" si="415"/>
        <v>4966</v>
      </c>
      <c r="M4972" s="71">
        <f t="shared" ca="1" si="416"/>
        <v>5.9670371421929493</v>
      </c>
    </row>
    <row r="4973" spans="1:13" x14ac:dyDescent="0.25">
      <c r="A4973" s="2">
        <v>4967</v>
      </c>
      <c r="B4973" s="11">
        <f t="shared" ca="1" si="412"/>
        <v>1</v>
      </c>
      <c r="C4973" s="26">
        <f t="shared" ca="1" si="411"/>
        <v>0.53841843983248361</v>
      </c>
      <c r="J4973">
        <f t="shared" ca="1" si="413"/>
        <v>1</v>
      </c>
      <c r="K4973">
        <f t="shared" ca="1" si="414"/>
        <v>0</v>
      </c>
      <c r="L4973">
        <f t="shared" si="415"/>
        <v>4967</v>
      </c>
      <c r="M4973" s="71">
        <f t="shared" ca="1" si="416"/>
        <v>0.26871320817161443</v>
      </c>
    </row>
    <row r="4974" spans="1:13" x14ac:dyDescent="0.25">
      <c r="A4974" s="2">
        <v>4968</v>
      </c>
      <c r="B4974" s="11">
        <f t="shared" ca="1" si="412"/>
        <v>1</v>
      </c>
      <c r="C4974" s="26">
        <f t="shared" ca="1" si="411"/>
        <v>0.12146423661263583</v>
      </c>
      <c r="J4974">
        <f t="shared" ca="1" si="413"/>
        <v>1</v>
      </c>
      <c r="K4974">
        <f t="shared" ca="1" si="414"/>
        <v>0</v>
      </c>
      <c r="L4974">
        <f t="shared" si="415"/>
        <v>4968</v>
      </c>
      <c r="M4974" s="71">
        <f t="shared" ca="1" si="416"/>
        <v>1.5749489191819737</v>
      </c>
    </row>
    <row r="4975" spans="1:13" x14ac:dyDescent="0.25">
      <c r="A4975" s="2">
        <v>4969</v>
      </c>
      <c r="B4975" s="11">
        <f t="shared" ca="1" si="412"/>
        <v>1</v>
      </c>
      <c r="C4975" s="26">
        <f t="shared" ca="1" si="411"/>
        <v>0.58015180651903397</v>
      </c>
      <c r="J4975">
        <f t="shared" ca="1" si="413"/>
        <v>0</v>
      </c>
      <c r="K4975">
        <f t="shared" ca="1" si="414"/>
        <v>0</v>
      </c>
      <c r="L4975">
        <f t="shared" si="415"/>
        <v>4969</v>
      </c>
      <c r="M4975" s="71">
        <f t="shared" ca="1" si="416"/>
        <v>2.2365801290498788</v>
      </c>
    </row>
    <row r="4976" spans="1:13" x14ac:dyDescent="0.25">
      <c r="A4976" s="2">
        <v>4970</v>
      </c>
      <c r="B4976" s="11">
        <f t="shared" ca="1" si="412"/>
        <v>0</v>
      </c>
      <c r="C4976" s="26">
        <f t="shared" ca="1" si="411"/>
        <v>0.88855120869084125</v>
      </c>
      <c r="J4976">
        <f t="shared" ca="1" si="413"/>
        <v>0</v>
      </c>
      <c r="K4976">
        <f t="shared" ca="1" si="414"/>
        <v>0</v>
      </c>
      <c r="L4976">
        <f t="shared" si="415"/>
        <v>4970</v>
      </c>
      <c r="M4976" s="71">
        <f t="shared" ca="1" si="416"/>
        <v>0</v>
      </c>
    </row>
    <row r="4977" spans="1:13" x14ac:dyDescent="0.25">
      <c r="A4977" s="2">
        <v>4971</v>
      </c>
      <c r="B4977" s="11">
        <f t="shared" ca="1" si="412"/>
        <v>1</v>
      </c>
      <c r="C4977" s="26">
        <f t="shared" ca="1" si="411"/>
        <v>0.69328097453417847</v>
      </c>
      <c r="J4977">
        <f t="shared" ca="1" si="413"/>
        <v>1</v>
      </c>
      <c r="K4977">
        <f t="shared" ca="1" si="414"/>
        <v>0</v>
      </c>
      <c r="L4977">
        <f t="shared" si="415"/>
        <v>4971</v>
      </c>
      <c r="M4977" s="71">
        <f t="shared" ca="1" si="416"/>
        <v>0.62618411322135303</v>
      </c>
    </row>
    <row r="4978" spans="1:13" x14ac:dyDescent="0.25">
      <c r="A4978" s="2">
        <v>4972</v>
      </c>
      <c r="B4978" s="11">
        <f t="shared" ca="1" si="412"/>
        <v>1</v>
      </c>
      <c r="C4978" s="26">
        <f t="shared" ca="1" si="411"/>
        <v>0.22138281027690998</v>
      </c>
      <c r="J4978">
        <f t="shared" ca="1" si="413"/>
        <v>1</v>
      </c>
      <c r="K4978">
        <f t="shared" ca="1" si="414"/>
        <v>0</v>
      </c>
      <c r="L4978">
        <f t="shared" si="415"/>
        <v>4972</v>
      </c>
      <c r="M4978" s="71">
        <f t="shared" ca="1" si="416"/>
        <v>1.3524164721025256</v>
      </c>
    </row>
    <row r="4979" spans="1:13" x14ac:dyDescent="0.25">
      <c r="A4979" s="2">
        <v>4973</v>
      </c>
      <c r="B4979" s="11">
        <f t="shared" ca="1" si="412"/>
        <v>1</v>
      </c>
      <c r="C4979" s="26">
        <f t="shared" ca="1" si="411"/>
        <v>0.11792318195290097</v>
      </c>
      <c r="J4979">
        <f t="shared" ca="1" si="413"/>
        <v>1</v>
      </c>
      <c r="K4979">
        <f t="shared" ca="1" si="414"/>
        <v>0</v>
      </c>
      <c r="L4979">
        <f t="shared" si="415"/>
        <v>4973</v>
      </c>
      <c r="M4979" s="71">
        <f t="shared" ca="1" si="416"/>
        <v>0.17456147650989656</v>
      </c>
    </row>
    <row r="4980" spans="1:13" x14ac:dyDescent="0.25">
      <c r="A4980" s="2">
        <v>4974</v>
      </c>
      <c r="B4980" s="11">
        <f t="shared" ca="1" si="412"/>
        <v>1</v>
      </c>
      <c r="C4980" s="26">
        <f t="shared" ca="1" si="411"/>
        <v>0.35580232921874833</v>
      </c>
      <c r="J4980">
        <f t="shared" ca="1" si="413"/>
        <v>1</v>
      </c>
      <c r="K4980">
        <f t="shared" ca="1" si="414"/>
        <v>0</v>
      </c>
      <c r="L4980">
        <f t="shared" si="415"/>
        <v>4974</v>
      </c>
      <c r="M4980" s="71">
        <f t="shared" ca="1" si="416"/>
        <v>1.700015905016903</v>
      </c>
    </row>
    <row r="4981" spans="1:13" x14ac:dyDescent="0.25">
      <c r="A4981" s="2">
        <v>4975</v>
      </c>
      <c r="B4981" s="11">
        <f t="shared" ca="1" si="412"/>
        <v>1</v>
      </c>
      <c r="C4981" s="26">
        <f t="shared" ca="1" si="411"/>
        <v>3.0974619387771019E-2</v>
      </c>
      <c r="J4981">
        <f t="shared" ca="1" si="413"/>
        <v>0</v>
      </c>
      <c r="K4981">
        <f t="shared" ca="1" si="414"/>
        <v>0</v>
      </c>
      <c r="L4981">
        <f t="shared" si="415"/>
        <v>4975</v>
      </c>
      <c r="M4981" s="71">
        <f t="shared" ca="1" si="416"/>
        <v>3.3042753312560094</v>
      </c>
    </row>
    <row r="4982" spans="1:13" x14ac:dyDescent="0.25">
      <c r="A4982" s="2">
        <v>4976</v>
      </c>
      <c r="B4982" s="11">
        <f t="shared" ca="1" si="412"/>
        <v>0</v>
      </c>
      <c r="C4982" s="26">
        <f t="shared" ca="1" si="411"/>
        <v>0.85056409953974876</v>
      </c>
      <c r="J4982">
        <f t="shared" ca="1" si="413"/>
        <v>0</v>
      </c>
      <c r="K4982">
        <f t="shared" ca="1" si="414"/>
        <v>1</v>
      </c>
      <c r="L4982">
        <f t="shared" si="415"/>
        <v>4976</v>
      </c>
      <c r="M4982" s="71">
        <f t="shared" ca="1" si="416"/>
        <v>0</v>
      </c>
    </row>
    <row r="4983" spans="1:13" x14ac:dyDescent="0.25">
      <c r="A4983" s="2">
        <v>4977</v>
      </c>
      <c r="B4983" s="11">
        <f t="shared" ca="1" si="412"/>
        <v>0</v>
      </c>
      <c r="C4983" s="26">
        <f t="shared" ca="1" si="411"/>
        <v>0.9669168539995282</v>
      </c>
      <c r="J4983">
        <f t="shared" ca="1" si="413"/>
        <v>0</v>
      </c>
      <c r="K4983">
        <f t="shared" ca="1" si="414"/>
        <v>0</v>
      </c>
      <c r="L4983">
        <f t="shared" si="415"/>
        <v>4977</v>
      </c>
      <c r="M4983" s="71">
        <f t="shared" ca="1" si="416"/>
        <v>0</v>
      </c>
    </row>
    <row r="4984" spans="1:13" x14ac:dyDescent="0.25">
      <c r="A4984" s="2">
        <v>4978</v>
      </c>
      <c r="B4984" s="11">
        <f t="shared" ca="1" si="412"/>
        <v>1</v>
      </c>
      <c r="C4984" s="26">
        <f t="shared" ca="1" si="411"/>
        <v>0.14388764853650227</v>
      </c>
      <c r="J4984">
        <f t="shared" ca="1" si="413"/>
        <v>1</v>
      </c>
      <c r="K4984">
        <f t="shared" ca="1" si="414"/>
        <v>0</v>
      </c>
      <c r="L4984">
        <f t="shared" si="415"/>
        <v>4978</v>
      </c>
      <c r="M4984" s="71">
        <f t="shared" ca="1" si="416"/>
        <v>14.947087928683782</v>
      </c>
    </row>
    <row r="4985" spans="1:13" x14ac:dyDescent="0.25">
      <c r="A4985" s="2">
        <v>4979</v>
      </c>
      <c r="B4985" s="11">
        <f t="shared" ca="1" si="412"/>
        <v>1</v>
      </c>
      <c r="C4985" s="26">
        <f t="shared" ca="1" si="411"/>
        <v>7.3348048625211715E-2</v>
      </c>
      <c r="J4985">
        <f t="shared" ca="1" si="413"/>
        <v>1</v>
      </c>
      <c r="K4985">
        <f t="shared" ca="1" si="414"/>
        <v>0</v>
      </c>
      <c r="L4985">
        <f t="shared" si="415"/>
        <v>4979</v>
      </c>
      <c r="M4985" s="71">
        <f t="shared" ca="1" si="416"/>
        <v>0.21031224457180661</v>
      </c>
    </row>
    <row r="4986" spans="1:13" x14ac:dyDescent="0.25">
      <c r="A4986" s="2">
        <v>4980</v>
      </c>
      <c r="B4986" s="11">
        <f t="shared" ca="1" si="412"/>
        <v>1</v>
      </c>
      <c r="C4986" s="26">
        <f t="shared" ca="1" si="411"/>
        <v>0.24961151028124184</v>
      </c>
      <c r="J4986">
        <f t="shared" ca="1" si="413"/>
        <v>1</v>
      </c>
      <c r="K4986">
        <f t="shared" ca="1" si="414"/>
        <v>0</v>
      </c>
      <c r="L4986">
        <f t="shared" si="415"/>
        <v>4980</v>
      </c>
      <c r="M4986" s="71">
        <f t="shared" ca="1" si="416"/>
        <v>4.4680800092080517</v>
      </c>
    </row>
    <row r="4987" spans="1:13" x14ac:dyDescent="0.25">
      <c r="A4987" s="2">
        <v>4981</v>
      </c>
      <c r="B4987" s="11">
        <f t="shared" ca="1" si="412"/>
        <v>1</v>
      </c>
      <c r="C4987" s="26">
        <f t="shared" ca="1" si="411"/>
        <v>0.60458671049891544</v>
      </c>
      <c r="J4987">
        <f t="shared" ca="1" si="413"/>
        <v>1</v>
      </c>
      <c r="K4987">
        <f t="shared" ca="1" si="414"/>
        <v>0</v>
      </c>
      <c r="L4987">
        <f t="shared" si="415"/>
        <v>4981</v>
      </c>
      <c r="M4987" s="71">
        <f t="shared" ca="1" si="416"/>
        <v>0.68453051242383056</v>
      </c>
    </row>
    <row r="4988" spans="1:13" x14ac:dyDescent="0.25">
      <c r="A4988" s="2">
        <v>4982</v>
      </c>
      <c r="B4988" s="11">
        <f t="shared" ca="1" si="412"/>
        <v>1</v>
      </c>
      <c r="C4988" s="26">
        <f t="shared" ca="1" si="411"/>
        <v>0.57607782591688228</v>
      </c>
      <c r="J4988">
        <f t="shared" ca="1" si="413"/>
        <v>1</v>
      </c>
      <c r="K4988">
        <f t="shared" ca="1" si="414"/>
        <v>0</v>
      </c>
      <c r="L4988">
        <f t="shared" si="415"/>
        <v>4982</v>
      </c>
      <c r="M4988" s="71">
        <f t="shared" ca="1" si="416"/>
        <v>0.52876028257836316</v>
      </c>
    </row>
    <row r="4989" spans="1:13" x14ac:dyDescent="0.25">
      <c r="A4989" s="2">
        <v>4983</v>
      </c>
      <c r="B4989" s="11">
        <f t="shared" ca="1" si="412"/>
        <v>1</v>
      </c>
      <c r="C4989" s="26">
        <f t="shared" ca="1" si="411"/>
        <v>0.6295263162337289</v>
      </c>
      <c r="J4989">
        <f t="shared" ca="1" si="413"/>
        <v>1</v>
      </c>
      <c r="K4989">
        <f t="shared" ca="1" si="414"/>
        <v>0</v>
      </c>
      <c r="L4989">
        <f t="shared" si="415"/>
        <v>4983</v>
      </c>
      <c r="M4989" s="71">
        <f t="shared" ca="1" si="416"/>
        <v>2.7342663337272751E-2</v>
      </c>
    </row>
    <row r="4990" spans="1:13" x14ac:dyDescent="0.25">
      <c r="A4990" s="2">
        <v>4984</v>
      </c>
      <c r="B4990" s="11">
        <f t="shared" ca="1" si="412"/>
        <v>1</v>
      </c>
      <c r="C4990" s="26">
        <f t="shared" ca="1" si="411"/>
        <v>0.74675116553694798</v>
      </c>
      <c r="J4990">
        <f t="shared" ca="1" si="413"/>
        <v>1</v>
      </c>
      <c r="K4990">
        <f t="shared" ca="1" si="414"/>
        <v>0</v>
      </c>
      <c r="L4990">
        <f t="shared" si="415"/>
        <v>4984</v>
      </c>
      <c r="M4990" s="71">
        <f t="shared" ca="1" si="416"/>
        <v>6.7577023794664068</v>
      </c>
    </row>
    <row r="4991" spans="1:13" x14ac:dyDescent="0.25">
      <c r="A4991" s="2">
        <v>4985</v>
      </c>
      <c r="B4991" s="11">
        <f t="shared" ca="1" si="412"/>
        <v>1</v>
      </c>
      <c r="C4991" s="26">
        <f t="shared" ca="1" si="411"/>
        <v>0.38358199020355743</v>
      </c>
      <c r="J4991">
        <f t="shared" ca="1" si="413"/>
        <v>1</v>
      </c>
      <c r="K4991">
        <f t="shared" ca="1" si="414"/>
        <v>0</v>
      </c>
      <c r="L4991">
        <f t="shared" si="415"/>
        <v>4985</v>
      </c>
      <c r="M4991" s="71">
        <f t="shared" ca="1" si="416"/>
        <v>8.5936936088895557</v>
      </c>
    </row>
    <row r="4992" spans="1:13" x14ac:dyDescent="0.25">
      <c r="A4992" s="2">
        <v>4986</v>
      </c>
      <c r="B4992" s="11">
        <f t="shared" ca="1" si="412"/>
        <v>1</v>
      </c>
      <c r="C4992" s="26">
        <f t="shared" ca="1" si="411"/>
        <v>0.13350836819606848</v>
      </c>
      <c r="J4992">
        <f t="shared" ca="1" si="413"/>
        <v>1</v>
      </c>
      <c r="K4992">
        <f t="shared" ca="1" si="414"/>
        <v>0</v>
      </c>
      <c r="L4992">
        <f t="shared" si="415"/>
        <v>4986</v>
      </c>
      <c r="M4992" s="71">
        <f t="shared" ca="1" si="416"/>
        <v>1.0922307927226167</v>
      </c>
    </row>
    <row r="4993" spans="1:13" x14ac:dyDescent="0.25">
      <c r="A4993" s="2">
        <v>4987</v>
      </c>
      <c r="B4993" s="11">
        <f t="shared" ca="1" si="412"/>
        <v>1</v>
      </c>
      <c r="C4993" s="26">
        <f t="shared" ca="1" si="411"/>
        <v>0.59554316686909659</v>
      </c>
      <c r="J4993">
        <f t="shared" ca="1" si="413"/>
        <v>1</v>
      </c>
      <c r="K4993">
        <f t="shared" ca="1" si="414"/>
        <v>0</v>
      </c>
      <c r="L4993">
        <f t="shared" si="415"/>
        <v>4987</v>
      </c>
      <c r="M4993" s="71">
        <f t="shared" ca="1" si="416"/>
        <v>0.69684156939403152</v>
      </c>
    </row>
    <row r="4994" spans="1:13" x14ac:dyDescent="0.25">
      <c r="A4994" s="2">
        <v>4988</v>
      </c>
      <c r="B4994" s="11">
        <f t="shared" ca="1" si="412"/>
        <v>1</v>
      </c>
      <c r="C4994" s="26">
        <f t="shared" ca="1" si="411"/>
        <v>0.13490509769368264</v>
      </c>
      <c r="J4994">
        <f t="shared" ca="1" si="413"/>
        <v>1</v>
      </c>
      <c r="K4994">
        <f t="shared" ca="1" si="414"/>
        <v>0</v>
      </c>
      <c r="L4994">
        <f t="shared" si="415"/>
        <v>4988</v>
      </c>
      <c r="M4994" s="71">
        <f t="shared" ca="1" si="416"/>
        <v>8.4096912640101156</v>
      </c>
    </row>
    <row r="4995" spans="1:13" x14ac:dyDescent="0.25">
      <c r="A4995" s="2">
        <v>4989</v>
      </c>
      <c r="B4995" s="11">
        <f t="shared" ca="1" si="412"/>
        <v>1</v>
      </c>
      <c r="C4995" s="26">
        <f t="shared" ca="1" si="411"/>
        <v>0.6058948898507982</v>
      </c>
      <c r="J4995">
        <f t="shared" ca="1" si="413"/>
        <v>1</v>
      </c>
      <c r="K4995">
        <f t="shared" ca="1" si="414"/>
        <v>0</v>
      </c>
      <c r="L4995">
        <f t="shared" si="415"/>
        <v>4989</v>
      </c>
      <c r="M4995" s="71">
        <f t="shared" ca="1" si="416"/>
        <v>15.463654427279987</v>
      </c>
    </row>
    <row r="4996" spans="1:13" x14ac:dyDescent="0.25">
      <c r="A4996" s="2">
        <v>4990</v>
      </c>
      <c r="B4996" s="11">
        <f t="shared" ca="1" si="412"/>
        <v>1</v>
      </c>
      <c r="C4996" s="26">
        <f t="shared" ca="1" si="411"/>
        <v>8.5022074736259778E-2</v>
      </c>
      <c r="J4996">
        <f t="shared" ca="1" si="413"/>
        <v>1</v>
      </c>
      <c r="K4996">
        <f t="shared" ca="1" si="414"/>
        <v>0</v>
      </c>
      <c r="L4996">
        <f t="shared" si="415"/>
        <v>4990</v>
      </c>
      <c r="M4996" s="71">
        <f t="shared" ca="1" si="416"/>
        <v>2.0560081501643386</v>
      </c>
    </row>
    <row r="4997" spans="1:13" x14ac:dyDescent="0.25">
      <c r="A4997" s="2">
        <v>4991</v>
      </c>
      <c r="B4997" s="11">
        <f t="shared" ca="1" si="412"/>
        <v>1</v>
      </c>
      <c r="C4997" s="26">
        <f t="shared" ca="1" si="411"/>
        <v>0.60954072021638717</v>
      </c>
      <c r="J4997">
        <f t="shared" ca="1" si="413"/>
        <v>1</v>
      </c>
      <c r="K4997">
        <f t="shared" ca="1" si="414"/>
        <v>0</v>
      </c>
      <c r="L4997">
        <f t="shared" si="415"/>
        <v>4991</v>
      </c>
      <c r="M4997" s="71">
        <f t="shared" ca="1" si="416"/>
        <v>0.10828091691166029</v>
      </c>
    </row>
    <row r="4998" spans="1:13" x14ac:dyDescent="0.25">
      <c r="A4998" s="2">
        <v>4992</v>
      </c>
      <c r="B4998" s="11">
        <f t="shared" ca="1" si="412"/>
        <v>1</v>
      </c>
      <c r="C4998" s="26">
        <f t="shared" ca="1" si="411"/>
        <v>0.17074849271164427</v>
      </c>
      <c r="J4998">
        <f t="shared" ca="1" si="413"/>
        <v>1</v>
      </c>
      <c r="K4998">
        <f t="shared" ca="1" si="414"/>
        <v>0</v>
      </c>
      <c r="L4998">
        <f t="shared" si="415"/>
        <v>4992</v>
      </c>
      <c r="M4998" s="71">
        <f t="shared" ca="1" si="416"/>
        <v>0.25161195568550732</v>
      </c>
    </row>
    <row r="4999" spans="1:13" x14ac:dyDescent="0.25">
      <c r="A4999" s="2">
        <v>4993</v>
      </c>
      <c r="B4999" s="11">
        <f t="shared" ca="1" si="412"/>
        <v>1</v>
      </c>
      <c r="C4999" s="26">
        <f t="shared" ca="1" si="411"/>
        <v>0.66346806263275071</v>
      </c>
      <c r="J4999">
        <f t="shared" ca="1" si="413"/>
        <v>0</v>
      </c>
      <c r="K4999">
        <f t="shared" ca="1" si="414"/>
        <v>0</v>
      </c>
      <c r="L4999">
        <f t="shared" si="415"/>
        <v>4993</v>
      </c>
      <c r="M4999" s="71">
        <f t="shared" ca="1" si="416"/>
        <v>0.85124701822692916</v>
      </c>
    </row>
    <row r="5000" spans="1:13" x14ac:dyDescent="0.25">
      <c r="A5000" s="2">
        <v>4994</v>
      </c>
      <c r="B5000" s="11">
        <f t="shared" ca="1" si="412"/>
        <v>0</v>
      </c>
      <c r="C5000" s="26">
        <f t="shared" ref="C5000:C5063" ca="1" si="417">RAND()</f>
        <v>0.93072671798326501</v>
      </c>
      <c r="J5000">
        <f t="shared" ca="1" si="413"/>
        <v>0</v>
      </c>
      <c r="K5000">
        <f t="shared" ca="1" si="414"/>
        <v>0</v>
      </c>
      <c r="L5000">
        <f t="shared" si="415"/>
        <v>4994</v>
      </c>
      <c r="M5000" s="71">
        <f t="shared" ca="1" si="416"/>
        <v>0</v>
      </c>
    </row>
    <row r="5001" spans="1:13" x14ac:dyDescent="0.25">
      <c r="A5001" s="2">
        <v>4995</v>
      </c>
      <c r="B5001" s="11">
        <f t="shared" ref="B5001:B5064" ca="1" si="418">IF(B5000&gt;0,IF(C5001&lt;pww,1,0),IF(C5001&lt;pdw,1,0))</f>
        <v>1</v>
      </c>
      <c r="C5001" s="26">
        <f t="shared" ca="1" si="417"/>
        <v>0.23524334772395727</v>
      </c>
      <c r="J5001">
        <f t="shared" ca="1" si="413"/>
        <v>1</v>
      </c>
      <c r="K5001">
        <f t="shared" ca="1" si="414"/>
        <v>0</v>
      </c>
      <c r="L5001">
        <f t="shared" si="415"/>
        <v>4995</v>
      </c>
      <c r="M5001" s="71">
        <f t="shared" ca="1" si="416"/>
        <v>18.428420361653526</v>
      </c>
    </row>
    <row r="5002" spans="1:13" x14ac:dyDescent="0.25">
      <c r="A5002" s="2">
        <v>4996</v>
      </c>
      <c r="B5002" s="11">
        <f t="shared" ca="1" si="418"/>
        <v>1</v>
      </c>
      <c r="C5002" s="26">
        <f t="shared" ca="1" si="417"/>
        <v>0.40916098037474291</v>
      </c>
      <c r="J5002">
        <f t="shared" ref="J5002:J5065" ca="1" si="419">IF(AND(B5002,B5003),1,0)</f>
        <v>1</v>
      </c>
      <c r="K5002">
        <f t="shared" ref="K5002:K5065" ca="1" si="420">IF(AND(NOT(B5002),NOT(B5003)),1,0)</f>
        <v>0</v>
      </c>
      <c r="L5002">
        <f t="shared" ref="L5002:L5065" si="421">L5001+1</f>
        <v>4996</v>
      </c>
      <c r="M5002" s="71">
        <f t="shared" ref="M5002:M5065" ca="1" si="422">IF(B5002&gt;0,-LN(1-(RAND()))/lambda,0)</f>
        <v>1.9952864320749395</v>
      </c>
    </row>
    <row r="5003" spans="1:13" x14ac:dyDescent="0.25">
      <c r="A5003" s="2">
        <v>4997</v>
      </c>
      <c r="B5003" s="11">
        <f t="shared" ca="1" si="418"/>
        <v>1</v>
      </c>
      <c r="C5003" s="26">
        <f t="shared" ca="1" si="417"/>
        <v>0.61854420107290975</v>
      </c>
      <c r="J5003">
        <f t="shared" ca="1" si="419"/>
        <v>1</v>
      </c>
      <c r="K5003">
        <f t="shared" ca="1" si="420"/>
        <v>0</v>
      </c>
      <c r="L5003">
        <f t="shared" si="421"/>
        <v>4997</v>
      </c>
      <c r="M5003" s="71">
        <f t="shared" ca="1" si="422"/>
        <v>1.8304452282540415</v>
      </c>
    </row>
    <row r="5004" spans="1:13" x14ac:dyDescent="0.25">
      <c r="A5004" s="2">
        <v>4998</v>
      </c>
      <c r="B5004" s="11">
        <f t="shared" ca="1" si="418"/>
        <v>1</v>
      </c>
      <c r="C5004" s="26">
        <f t="shared" ca="1" si="417"/>
        <v>0.69904477647157603</v>
      </c>
      <c r="J5004">
        <f t="shared" ca="1" si="419"/>
        <v>1</v>
      </c>
      <c r="K5004">
        <f t="shared" ca="1" si="420"/>
        <v>0</v>
      </c>
      <c r="L5004">
        <f t="shared" si="421"/>
        <v>4998</v>
      </c>
      <c r="M5004" s="71">
        <f t="shared" ca="1" si="422"/>
        <v>0.5257588247861642</v>
      </c>
    </row>
    <row r="5005" spans="1:13" x14ac:dyDescent="0.25">
      <c r="A5005" s="2">
        <v>4999</v>
      </c>
      <c r="B5005" s="11">
        <f t="shared" ca="1" si="418"/>
        <v>1</v>
      </c>
      <c r="C5005" s="26">
        <f t="shared" ca="1" si="417"/>
        <v>0.6707165677572553</v>
      </c>
      <c r="J5005">
        <f t="shared" ca="1" si="419"/>
        <v>0</v>
      </c>
      <c r="K5005">
        <f t="shared" ca="1" si="420"/>
        <v>0</v>
      </c>
      <c r="L5005">
        <f t="shared" si="421"/>
        <v>4999</v>
      </c>
      <c r="M5005" s="71">
        <f t="shared" ca="1" si="422"/>
        <v>0.25813600508329471</v>
      </c>
    </row>
    <row r="5006" spans="1:13" x14ac:dyDescent="0.25">
      <c r="A5006" s="2">
        <v>5000</v>
      </c>
      <c r="B5006" s="11">
        <f t="shared" ca="1" si="418"/>
        <v>0</v>
      </c>
      <c r="C5006" s="26">
        <f t="shared" ca="1" si="417"/>
        <v>0.84070302421403187</v>
      </c>
      <c r="J5006">
        <f t="shared" ca="1" si="419"/>
        <v>0</v>
      </c>
      <c r="K5006">
        <f t="shared" ca="1" si="420"/>
        <v>0</v>
      </c>
      <c r="L5006">
        <f t="shared" si="421"/>
        <v>5000</v>
      </c>
      <c r="M5006" s="71">
        <f t="shared" ca="1" si="422"/>
        <v>0</v>
      </c>
    </row>
    <row r="5007" spans="1:13" x14ac:dyDescent="0.25">
      <c r="A5007" s="2">
        <v>5001</v>
      </c>
      <c r="B5007" s="11">
        <f t="shared" ca="1" si="418"/>
        <v>1</v>
      </c>
      <c r="C5007" s="26">
        <f t="shared" ca="1" si="417"/>
        <v>0.40362153927030486</v>
      </c>
      <c r="J5007">
        <f t="shared" ca="1" si="419"/>
        <v>0</v>
      </c>
      <c r="K5007">
        <f t="shared" ca="1" si="420"/>
        <v>0</v>
      </c>
      <c r="L5007">
        <f t="shared" si="421"/>
        <v>5001</v>
      </c>
      <c r="M5007" s="71">
        <f t="shared" ca="1" si="422"/>
        <v>0.84883448860810518</v>
      </c>
    </row>
    <row r="5008" spans="1:13" x14ac:dyDescent="0.25">
      <c r="A5008" s="2">
        <v>5002</v>
      </c>
      <c r="B5008" s="11">
        <f t="shared" ca="1" si="418"/>
        <v>0</v>
      </c>
      <c r="C5008" s="26">
        <f t="shared" ca="1" si="417"/>
        <v>0.91007149764641293</v>
      </c>
      <c r="J5008">
        <f t="shared" ca="1" si="419"/>
        <v>0</v>
      </c>
      <c r="K5008">
        <f t="shared" ca="1" si="420"/>
        <v>0</v>
      </c>
      <c r="L5008">
        <f t="shared" si="421"/>
        <v>5002</v>
      </c>
      <c r="M5008" s="71">
        <f t="shared" ca="1" si="422"/>
        <v>0</v>
      </c>
    </row>
    <row r="5009" spans="1:13" x14ac:dyDescent="0.25">
      <c r="A5009" s="2">
        <v>5003</v>
      </c>
      <c r="B5009" s="11">
        <f t="shared" ca="1" si="418"/>
        <v>1</v>
      </c>
      <c r="C5009" s="26">
        <f t="shared" ca="1" si="417"/>
        <v>0.2734567673024263</v>
      </c>
      <c r="J5009">
        <f t="shared" ca="1" si="419"/>
        <v>1</v>
      </c>
      <c r="K5009">
        <f t="shared" ca="1" si="420"/>
        <v>0</v>
      </c>
      <c r="L5009">
        <f t="shared" si="421"/>
        <v>5003</v>
      </c>
      <c r="M5009" s="71">
        <f t="shared" ca="1" si="422"/>
        <v>4.1951508716007368E-3</v>
      </c>
    </row>
    <row r="5010" spans="1:13" x14ac:dyDescent="0.25">
      <c r="A5010" s="2">
        <v>5004</v>
      </c>
      <c r="B5010" s="11">
        <f t="shared" ca="1" si="418"/>
        <v>1</v>
      </c>
      <c r="C5010" s="26">
        <f t="shared" ca="1" si="417"/>
        <v>0.76043920769383178</v>
      </c>
      <c r="J5010">
        <f t="shared" ca="1" si="419"/>
        <v>1</v>
      </c>
      <c r="K5010">
        <f t="shared" ca="1" si="420"/>
        <v>0</v>
      </c>
      <c r="L5010">
        <f t="shared" si="421"/>
        <v>5004</v>
      </c>
      <c r="M5010" s="71">
        <f t="shared" ca="1" si="422"/>
        <v>0.61041905543525188</v>
      </c>
    </row>
    <row r="5011" spans="1:13" x14ac:dyDescent="0.25">
      <c r="A5011" s="2">
        <v>5005</v>
      </c>
      <c r="B5011" s="11">
        <f t="shared" ca="1" si="418"/>
        <v>1</v>
      </c>
      <c r="C5011" s="26">
        <f t="shared" ca="1" si="417"/>
        <v>0.10812501034132949</v>
      </c>
      <c r="J5011">
        <f t="shared" ca="1" si="419"/>
        <v>1</v>
      </c>
      <c r="K5011">
        <f t="shared" ca="1" si="420"/>
        <v>0</v>
      </c>
      <c r="L5011">
        <f t="shared" si="421"/>
        <v>5005</v>
      </c>
      <c r="M5011" s="71">
        <f t="shared" ca="1" si="422"/>
        <v>5.6051962213336068</v>
      </c>
    </row>
    <row r="5012" spans="1:13" x14ac:dyDescent="0.25">
      <c r="A5012" s="2">
        <v>5006</v>
      </c>
      <c r="B5012" s="11">
        <f t="shared" ca="1" si="418"/>
        <v>1</v>
      </c>
      <c r="C5012" s="26">
        <f t="shared" ca="1" si="417"/>
        <v>0.16152136608248679</v>
      </c>
      <c r="J5012">
        <f t="shared" ca="1" si="419"/>
        <v>1</v>
      </c>
      <c r="K5012">
        <f t="shared" ca="1" si="420"/>
        <v>0</v>
      </c>
      <c r="L5012">
        <f t="shared" si="421"/>
        <v>5006</v>
      </c>
      <c r="M5012" s="71">
        <f t="shared" ca="1" si="422"/>
        <v>1.7352467771645572</v>
      </c>
    </row>
    <row r="5013" spans="1:13" x14ac:dyDescent="0.25">
      <c r="A5013" s="2">
        <v>5007</v>
      </c>
      <c r="B5013" s="11">
        <f t="shared" ca="1" si="418"/>
        <v>1</v>
      </c>
      <c r="C5013" s="26">
        <f t="shared" ca="1" si="417"/>
        <v>0.31001591583824661</v>
      </c>
      <c r="J5013">
        <f t="shared" ca="1" si="419"/>
        <v>1</v>
      </c>
      <c r="K5013">
        <f t="shared" ca="1" si="420"/>
        <v>0</v>
      </c>
      <c r="L5013">
        <f t="shared" si="421"/>
        <v>5007</v>
      </c>
      <c r="M5013" s="71">
        <f t="shared" ca="1" si="422"/>
        <v>6.4643404060936103</v>
      </c>
    </row>
    <row r="5014" spans="1:13" x14ac:dyDescent="0.25">
      <c r="A5014" s="2">
        <v>5008</v>
      </c>
      <c r="B5014" s="11">
        <f t="shared" ca="1" si="418"/>
        <v>1</v>
      </c>
      <c r="C5014" s="26">
        <f t="shared" ca="1" si="417"/>
        <v>2.6928116256994428E-2</v>
      </c>
      <c r="J5014">
        <f t="shared" ca="1" si="419"/>
        <v>1</v>
      </c>
      <c r="K5014">
        <f t="shared" ca="1" si="420"/>
        <v>0</v>
      </c>
      <c r="L5014">
        <f t="shared" si="421"/>
        <v>5008</v>
      </c>
      <c r="M5014" s="71">
        <f t="shared" ca="1" si="422"/>
        <v>0.94679715129471176</v>
      </c>
    </row>
    <row r="5015" spans="1:13" x14ac:dyDescent="0.25">
      <c r="A5015" s="2">
        <v>5009</v>
      </c>
      <c r="B5015" s="11">
        <f t="shared" ca="1" si="418"/>
        <v>1</v>
      </c>
      <c r="C5015" s="26">
        <f t="shared" ca="1" si="417"/>
        <v>0.78665471638746209</v>
      </c>
      <c r="J5015">
        <f t="shared" ca="1" si="419"/>
        <v>1</v>
      </c>
      <c r="K5015">
        <f t="shared" ca="1" si="420"/>
        <v>0</v>
      </c>
      <c r="L5015">
        <f t="shared" si="421"/>
        <v>5009</v>
      </c>
      <c r="M5015" s="71">
        <f t="shared" ca="1" si="422"/>
        <v>3.2134018581798283</v>
      </c>
    </row>
    <row r="5016" spans="1:13" x14ac:dyDescent="0.25">
      <c r="A5016" s="2">
        <v>5010</v>
      </c>
      <c r="B5016" s="11">
        <f t="shared" ca="1" si="418"/>
        <v>1</v>
      </c>
      <c r="C5016" s="26">
        <f t="shared" ca="1" si="417"/>
        <v>0.11355901307411476</v>
      </c>
      <c r="J5016">
        <f t="shared" ca="1" si="419"/>
        <v>1</v>
      </c>
      <c r="K5016">
        <f t="shared" ca="1" si="420"/>
        <v>0</v>
      </c>
      <c r="L5016">
        <f t="shared" si="421"/>
        <v>5010</v>
      </c>
      <c r="M5016" s="71">
        <f t="shared" ca="1" si="422"/>
        <v>2.2492519232172539</v>
      </c>
    </row>
    <row r="5017" spans="1:13" x14ac:dyDescent="0.25">
      <c r="A5017" s="2">
        <v>5011</v>
      </c>
      <c r="B5017" s="11">
        <f t="shared" ca="1" si="418"/>
        <v>1</v>
      </c>
      <c r="C5017" s="26">
        <f t="shared" ca="1" si="417"/>
        <v>0.53362021671043625</v>
      </c>
      <c r="J5017">
        <f t="shared" ca="1" si="419"/>
        <v>1</v>
      </c>
      <c r="K5017">
        <f t="shared" ca="1" si="420"/>
        <v>0</v>
      </c>
      <c r="L5017">
        <f t="shared" si="421"/>
        <v>5011</v>
      </c>
      <c r="M5017" s="71">
        <f t="shared" ca="1" si="422"/>
        <v>10.048097721814424</v>
      </c>
    </row>
    <row r="5018" spans="1:13" x14ac:dyDescent="0.25">
      <c r="A5018" s="2">
        <v>5012</v>
      </c>
      <c r="B5018" s="11">
        <f t="shared" ca="1" si="418"/>
        <v>1</v>
      </c>
      <c r="C5018" s="26">
        <f t="shared" ca="1" si="417"/>
        <v>0.40289188373433449</v>
      </c>
      <c r="J5018">
        <f t="shared" ca="1" si="419"/>
        <v>0</v>
      </c>
      <c r="K5018">
        <f t="shared" ca="1" si="420"/>
        <v>0</v>
      </c>
      <c r="L5018">
        <f t="shared" si="421"/>
        <v>5012</v>
      </c>
      <c r="M5018" s="71">
        <f t="shared" ca="1" si="422"/>
        <v>1.3035886064076012</v>
      </c>
    </row>
    <row r="5019" spans="1:13" x14ac:dyDescent="0.25">
      <c r="A5019" s="2">
        <v>5013</v>
      </c>
      <c r="B5019" s="11">
        <f t="shared" ca="1" si="418"/>
        <v>0</v>
      </c>
      <c r="C5019" s="26">
        <f t="shared" ca="1" si="417"/>
        <v>0.90919006564148963</v>
      </c>
      <c r="J5019">
        <f t="shared" ca="1" si="419"/>
        <v>0</v>
      </c>
      <c r="K5019">
        <f t="shared" ca="1" si="420"/>
        <v>0</v>
      </c>
      <c r="L5019">
        <f t="shared" si="421"/>
        <v>5013</v>
      </c>
      <c r="M5019" s="71">
        <f t="shared" ca="1" si="422"/>
        <v>0</v>
      </c>
    </row>
    <row r="5020" spans="1:13" x14ac:dyDescent="0.25">
      <c r="A5020" s="2">
        <v>5014</v>
      </c>
      <c r="B5020" s="11">
        <f t="shared" ca="1" si="418"/>
        <v>1</v>
      </c>
      <c r="C5020" s="26">
        <f t="shared" ca="1" si="417"/>
        <v>0.66108562447742869</v>
      </c>
      <c r="J5020">
        <f t="shared" ca="1" si="419"/>
        <v>1</v>
      </c>
      <c r="K5020">
        <f t="shared" ca="1" si="420"/>
        <v>0</v>
      </c>
      <c r="L5020">
        <f t="shared" si="421"/>
        <v>5014</v>
      </c>
      <c r="M5020" s="71">
        <f t="shared" ca="1" si="422"/>
        <v>0.72179253523544651</v>
      </c>
    </row>
    <row r="5021" spans="1:13" x14ac:dyDescent="0.25">
      <c r="A5021" s="2">
        <v>5015</v>
      </c>
      <c r="B5021" s="11">
        <f t="shared" ca="1" si="418"/>
        <v>1</v>
      </c>
      <c r="C5021" s="26">
        <f t="shared" ca="1" si="417"/>
        <v>0.2668683860636698</v>
      </c>
      <c r="J5021">
        <f t="shared" ca="1" si="419"/>
        <v>1</v>
      </c>
      <c r="K5021">
        <f t="shared" ca="1" si="420"/>
        <v>0</v>
      </c>
      <c r="L5021">
        <f t="shared" si="421"/>
        <v>5015</v>
      </c>
      <c r="M5021" s="71">
        <f t="shared" ca="1" si="422"/>
        <v>2.3584082607261063</v>
      </c>
    </row>
    <row r="5022" spans="1:13" x14ac:dyDescent="0.25">
      <c r="A5022" s="2">
        <v>5016</v>
      </c>
      <c r="B5022" s="11">
        <f t="shared" ca="1" si="418"/>
        <v>1</v>
      </c>
      <c r="C5022" s="26">
        <f t="shared" ca="1" si="417"/>
        <v>2.0479837695218883E-2</v>
      </c>
      <c r="J5022">
        <f t="shared" ca="1" si="419"/>
        <v>1</v>
      </c>
      <c r="K5022">
        <f t="shared" ca="1" si="420"/>
        <v>0</v>
      </c>
      <c r="L5022">
        <f t="shared" si="421"/>
        <v>5016</v>
      </c>
      <c r="M5022" s="71">
        <f t="shared" ca="1" si="422"/>
        <v>4.6436870364647094E-3</v>
      </c>
    </row>
    <row r="5023" spans="1:13" x14ac:dyDescent="0.25">
      <c r="A5023" s="2">
        <v>5017</v>
      </c>
      <c r="B5023" s="11">
        <f t="shared" ca="1" si="418"/>
        <v>1</v>
      </c>
      <c r="C5023" s="26">
        <f t="shared" ca="1" si="417"/>
        <v>0.33268490232494885</v>
      </c>
      <c r="J5023">
        <f t="shared" ca="1" si="419"/>
        <v>1</v>
      </c>
      <c r="K5023">
        <f t="shared" ca="1" si="420"/>
        <v>0</v>
      </c>
      <c r="L5023">
        <f t="shared" si="421"/>
        <v>5017</v>
      </c>
      <c r="M5023" s="71">
        <f t="shared" ca="1" si="422"/>
        <v>3.497135661297595</v>
      </c>
    </row>
    <row r="5024" spans="1:13" x14ac:dyDescent="0.25">
      <c r="A5024" s="2">
        <v>5018</v>
      </c>
      <c r="B5024" s="11">
        <f t="shared" ca="1" si="418"/>
        <v>1</v>
      </c>
      <c r="C5024" s="26">
        <f t="shared" ca="1" si="417"/>
        <v>0.79617346972774861</v>
      </c>
      <c r="J5024">
        <f t="shared" ca="1" si="419"/>
        <v>1</v>
      </c>
      <c r="K5024">
        <f t="shared" ca="1" si="420"/>
        <v>0</v>
      </c>
      <c r="L5024">
        <f t="shared" si="421"/>
        <v>5018</v>
      </c>
      <c r="M5024" s="71">
        <f t="shared" ca="1" si="422"/>
        <v>2.8061723130076932</v>
      </c>
    </row>
    <row r="5025" spans="1:13" x14ac:dyDescent="0.25">
      <c r="A5025" s="2">
        <v>5019</v>
      </c>
      <c r="B5025" s="11">
        <f t="shared" ca="1" si="418"/>
        <v>1</v>
      </c>
      <c r="C5025" s="26">
        <f t="shared" ca="1" si="417"/>
        <v>0.20975208485251384</v>
      </c>
      <c r="J5025">
        <f t="shared" ca="1" si="419"/>
        <v>1</v>
      </c>
      <c r="K5025">
        <f t="shared" ca="1" si="420"/>
        <v>0</v>
      </c>
      <c r="L5025">
        <f t="shared" si="421"/>
        <v>5019</v>
      </c>
      <c r="M5025" s="71">
        <f t="shared" ca="1" si="422"/>
        <v>0.26853569718157821</v>
      </c>
    </row>
    <row r="5026" spans="1:13" x14ac:dyDescent="0.25">
      <c r="A5026" s="2">
        <v>5020</v>
      </c>
      <c r="B5026" s="11">
        <f t="shared" ca="1" si="418"/>
        <v>1</v>
      </c>
      <c r="C5026" s="26">
        <f t="shared" ca="1" si="417"/>
        <v>0.48791666068031803</v>
      </c>
      <c r="J5026">
        <f t="shared" ca="1" si="419"/>
        <v>1</v>
      </c>
      <c r="K5026">
        <f t="shared" ca="1" si="420"/>
        <v>0</v>
      </c>
      <c r="L5026">
        <f t="shared" si="421"/>
        <v>5020</v>
      </c>
      <c r="M5026" s="71">
        <f t="shared" ca="1" si="422"/>
        <v>0.53671602684590813</v>
      </c>
    </row>
    <row r="5027" spans="1:13" x14ac:dyDescent="0.25">
      <c r="A5027" s="2">
        <v>5021</v>
      </c>
      <c r="B5027" s="11">
        <f t="shared" ca="1" si="418"/>
        <v>1</v>
      </c>
      <c r="C5027" s="26">
        <f t="shared" ca="1" si="417"/>
        <v>0.74383712216962039</v>
      </c>
      <c r="J5027">
        <f t="shared" ca="1" si="419"/>
        <v>1</v>
      </c>
      <c r="K5027">
        <f t="shared" ca="1" si="420"/>
        <v>0</v>
      </c>
      <c r="L5027">
        <f t="shared" si="421"/>
        <v>5021</v>
      </c>
      <c r="M5027" s="71">
        <f t="shared" ca="1" si="422"/>
        <v>4.6774102261202994</v>
      </c>
    </row>
    <row r="5028" spans="1:13" x14ac:dyDescent="0.25">
      <c r="A5028" s="2">
        <v>5022</v>
      </c>
      <c r="B5028" s="11">
        <f t="shared" ca="1" si="418"/>
        <v>1</v>
      </c>
      <c r="C5028" s="26">
        <f t="shared" ca="1" si="417"/>
        <v>0.27741009701263564</v>
      </c>
      <c r="J5028">
        <f t="shared" ca="1" si="419"/>
        <v>1</v>
      </c>
      <c r="K5028">
        <f t="shared" ca="1" si="420"/>
        <v>0</v>
      </c>
      <c r="L5028">
        <f t="shared" si="421"/>
        <v>5022</v>
      </c>
      <c r="M5028" s="71">
        <f t="shared" ca="1" si="422"/>
        <v>10.462705247379345</v>
      </c>
    </row>
    <row r="5029" spans="1:13" x14ac:dyDescent="0.25">
      <c r="A5029" s="2">
        <v>5023</v>
      </c>
      <c r="B5029" s="11">
        <f t="shared" ca="1" si="418"/>
        <v>1</v>
      </c>
      <c r="C5029" s="26">
        <f t="shared" ca="1" si="417"/>
        <v>0.74333573716479795</v>
      </c>
      <c r="J5029">
        <f t="shared" ca="1" si="419"/>
        <v>1</v>
      </c>
      <c r="K5029">
        <f t="shared" ca="1" si="420"/>
        <v>0</v>
      </c>
      <c r="L5029">
        <f t="shared" si="421"/>
        <v>5023</v>
      </c>
      <c r="M5029" s="71">
        <f t="shared" ca="1" si="422"/>
        <v>3.7271750974390794</v>
      </c>
    </row>
    <row r="5030" spans="1:13" x14ac:dyDescent="0.25">
      <c r="A5030" s="2">
        <v>5024</v>
      </c>
      <c r="B5030" s="11">
        <f t="shared" ca="1" si="418"/>
        <v>1</v>
      </c>
      <c r="C5030" s="26">
        <f t="shared" ca="1" si="417"/>
        <v>0.72885180812521533</v>
      </c>
      <c r="J5030">
        <f t="shared" ca="1" si="419"/>
        <v>1</v>
      </c>
      <c r="K5030">
        <f t="shared" ca="1" si="420"/>
        <v>0</v>
      </c>
      <c r="L5030">
        <f t="shared" si="421"/>
        <v>5024</v>
      </c>
      <c r="M5030" s="71">
        <f t="shared" ca="1" si="422"/>
        <v>9.4553983738092651</v>
      </c>
    </row>
    <row r="5031" spans="1:13" x14ac:dyDescent="0.25">
      <c r="A5031" s="2">
        <v>5025</v>
      </c>
      <c r="B5031" s="11">
        <f t="shared" ca="1" si="418"/>
        <v>1</v>
      </c>
      <c r="C5031" s="26">
        <f t="shared" ca="1" si="417"/>
        <v>0.61350184890853121</v>
      </c>
      <c r="J5031">
        <f t="shared" ca="1" si="419"/>
        <v>1</v>
      </c>
      <c r="K5031">
        <f t="shared" ca="1" si="420"/>
        <v>0</v>
      </c>
      <c r="L5031">
        <f t="shared" si="421"/>
        <v>5025</v>
      </c>
      <c r="M5031" s="71">
        <f t="shared" ca="1" si="422"/>
        <v>1.3269525175412309</v>
      </c>
    </row>
    <row r="5032" spans="1:13" x14ac:dyDescent="0.25">
      <c r="A5032" s="2">
        <v>5026</v>
      </c>
      <c r="B5032" s="11">
        <f t="shared" ca="1" si="418"/>
        <v>1</v>
      </c>
      <c r="C5032" s="26">
        <f t="shared" ca="1" si="417"/>
        <v>0.6454130997397064</v>
      </c>
      <c r="J5032">
        <f t="shared" ca="1" si="419"/>
        <v>0</v>
      </c>
      <c r="K5032">
        <f t="shared" ca="1" si="420"/>
        <v>0</v>
      </c>
      <c r="L5032">
        <f t="shared" si="421"/>
        <v>5026</v>
      </c>
      <c r="M5032" s="71">
        <f t="shared" ca="1" si="422"/>
        <v>7.1952966671127925</v>
      </c>
    </row>
    <row r="5033" spans="1:13" x14ac:dyDescent="0.25">
      <c r="A5033" s="2">
        <v>5027</v>
      </c>
      <c r="B5033" s="11">
        <f t="shared" ca="1" si="418"/>
        <v>0</v>
      </c>
      <c r="C5033" s="26">
        <f t="shared" ca="1" si="417"/>
        <v>0.99464516239065603</v>
      </c>
      <c r="J5033">
        <f t="shared" ca="1" si="419"/>
        <v>0</v>
      </c>
      <c r="K5033">
        <f t="shared" ca="1" si="420"/>
        <v>1</v>
      </c>
      <c r="L5033">
        <f t="shared" si="421"/>
        <v>5027</v>
      </c>
      <c r="M5033" s="71">
        <f t="shared" ca="1" si="422"/>
        <v>0</v>
      </c>
    </row>
    <row r="5034" spans="1:13" x14ac:dyDescent="0.25">
      <c r="A5034" s="2">
        <v>5028</v>
      </c>
      <c r="B5034" s="11">
        <f t="shared" ca="1" si="418"/>
        <v>0</v>
      </c>
      <c r="C5034" s="26">
        <f t="shared" ca="1" si="417"/>
        <v>0.8942651705725928</v>
      </c>
      <c r="J5034">
        <f t="shared" ca="1" si="419"/>
        <v>0</v>
      </c>
      <c r="K5034">
        <f t="shared" ca="1" si="420"/>
        <v>0</v>
      </c>
      <c r="L5034">
        <f t="shared" si="421"/>
        <v>5028</v>
      </c>
      <c r="M5034" s="71">
        <f t="shared" ca="1" si="422"/>
        <v>0</v>
      </c>
    </row>
    <row r="5035" spans="1:13" x14ac:dyDescent="0.25">
      <c r="A5035" s="2">
        <v>5029</v>
      </c>
      <c r="B5035" s="11">
        <f t="shared" ca="1" si="418"/>
        <v>1</v>
      </c>
      <c r="C5035" s="26">
        <f t="shared" ca="1" si="417"/>
        <v>0.36103331140734773</v>
      </c>
      <c r="J5035">
        <f t="shared" ca="1" si="419"/>
        <v>1</v>
      </c>
      <c r="K5035">
        <f t="shared" ca="1" si="420"/>
        <v>0</v>
      </c>
      <c r="L5035">
        <f t="shared" si="421"/>
        <v>5029</v>
      </c>
      <c r="M5035" s="71">
        <f t="shared" ca="1" si="422"/>
        <v>2.1980835525408273</v>
      </c>
    </row>
    <row r="5036" spans="1:13" x14ac:dyDescent="0.25">
      <c r="A5036" s="2">
        <v>5030</v>
      </c>
      <c r="B5036" s="11">
        <f t="shared" ca="1" si="418"/>
        <v>1</v>
      </c>
      <c r="C5036" s="26">
        <f t="shared" ca="1" si="417"/>
        <v>0.28024751783896529</v>
      </c>
      <c r="J5036">
        <f t="shared" ca="1" si="419"/>
        <v>0</v>
      </c>
      <c r="K5036">
        <f t="shared" ca="1" si="420"/>
        <v>0</v>
      </c>
      <c r="L5036">
        <f t="shared" si="421"/>
        <v>5030</v>
      </c>
      <c r="M5036" s="71">
        <f t="shared" ca="1" si="422"/>
        <v>0.68004111748207774</v>
      </c>
    </row>
    <row r="5037" spans="1:13" x14ac:dyDescent="0.25">
      <c r="A5037" s="2">
        <v>5031</v>
      </c>
      <c r="B5037" s="11">
        <f t="shared" ca="1" si="418"/>
        <v>0</v>
      </c>
      <c r="C5037" s="26">
        <f t="shared" ca="1" si="417"/>
        <v>0.8212941944547657</v>
      </c>
      <c r="J5037">
        <f t="shared" ca="1" si="419"/>
        <v>0</v>
      </c>
      <c r="K5037">
        <f t="shared" ca="1" si="420"/>
        <v>0</v>
      </c>
      <c r="L5037">
        <f t="shared" si="421"/>
        <v>5031</v>
      </c>
      <c r="M5037" s="71">
        <f t="shared" ca="1" si="422"/>
        <v>0</v>
      </c>
    </row>
    <row r="5038" spans="1:13" x14ac:dyDescent="0.25">
      <c r="A5038" s="2">
        <v>5032</v>
      </c>
      <c r="B5038" s="11">
        <f t="shared" ca="1" si="418"/>
        <v>1</v>
      </c>
      <c r="C5038" s="26">
        <f t="shared" ca="1" si="417"/>
        <v>0.4180805057127257</v>
      </c>
      <c r="J5038">
        <f t="shared" ca="1" si="419"/>
        <v>1</v>
      </c>
      <c r="K5038">
        <f t="shared" ca="1" si="420"/>
        <v>0</v>
      </c>
      <c r="L5038">
        <f t="shared" si="421"/>
        <v>5032</v>
      </c>
      <c r="M5038" s="71">
        <f t="shared" ca="1" si="422"/>
        <v>0.60389009548738348</v>
      </c>
    </row>
    <row r="5039" spans="1:13" x14ac:dyDescent="0.25">
      <c r="A5039" s="2">
        <v>5033</v>
      </c>
      <c r="B5039" s="11">
        <f t="shared" ca="1" si="418"/>
        <v>1</v>
      </c>
      <c r="C5039" s="26">
        <f t="shared" ca="1" si="417"/>
        <v>3.822404181570549E-2</v>
      </c>
      <c r="J5039">
        <f t="shared" ca="1" si="419"/>
        <v>0</v>
      </c>
      <c r="K5039">
        <f t="shared" ca="1" si="420"/>
        <v>0</v>
      </c>
      <c r="L5039">
        <f t="shared" si="421"/>
        <v>5033</v>
      </c>
      <c r="M5039" s="71">
        <f t="shared" ca="1" si="422"/>
        <v>4.8184066154022434</v>
      </c>
    </row>
    <row r="5040" spans="1:13" x14ac:dyDescent="0.25">
      <c r="A5040" s="2">
        <v>5034</v>
      </c>
      <c r="B5040" s="11">
        <f t="shared" ca="1" si="418"/>
        <v>0</v>
      </c>
      <c r="C5040" s="26">
        <f t="shared" ca="1" si="417"/>
        <v>0.83250861728194225</v>
      </c>
      <c r="J5040">
        <f t="shared" ca="1" si="419"/>
        <v>0</v>
      </c>
      <c r="K5040">
        <f t="shared" ca="1" si="420"/>
        <v>1</v>
      </c>
      <c r="L5040">
        <f t="shared" si="421"/>
        <v>5034</v>
      </c>
      <c r="M5040" s="71">
        <f t="shared" ca="1" si="422"/>
        <v>0</v>
      </c>
    </row>
    <row r="5041" spans="1:13" x14ac:dyDescent="0.25">
      <c r="A5041" s="2">
        <v>5035</v>
      </c>
      <c r="B5041" s="11">
        <f t="shared" ca="1" si="418"/>
        <v>0</v>
      </c>
      <c r="C5041" s="26">
        <f t="shared" ca="1" si="417"/>
        <v>0.76029730343606805</v>
      </c>
      <c r="J5041">
        <f t="shared" ca="1" si="419"/>
        <v>0</v>
      </c>
      <c r="K5041">
        <f t="shared" ca="1" si="420"/>
        <v>1</v>
      </c>
      <c r="L5041">
        <f t="shared" si="421"/>
        <v>5035</v>
      </c>
      <c r="M5041" s="71">
        <f t="shared" ca="1" si="422"/>
        <v>0</v>
      </c>
    </row>
    <row r="5042" spans="1:13" x14ac:dyDescent="0.25">
      <c r="A5042" s="2">
        <v>5036</v>
      </c>
      <c r="B5042" s="11">
        <f t="shared" ca="1" si="418"/>
        <v>0</v>
      </c>
      <c r="C5042" s="26">
        <f t="shared" ca="1" si="417"/>
        <v>0.90235203822768251</v>
      </c>
      <c r="J5042">
        <f t="shared" ca="1" si="419"/>
        <v>0</v>
      </c>
      <c r="K5042">
        <f t="shared" ca="1" si="420"/>
        <v>0</v>
      </c>
      <c r="L5042">
        <f t="shared" si="421"/>
        <v>5036</v>
      </c>
      <c r="M5042" s="71">
        <f t="shared" ca="1" si="422"/>
        <v>0</v>
      </c>
    </row>
    <row r="5043" spans="1:13" x14ac:dyDescent="0.25">
      <c r="A5043" s="2">
        <v>5037</v>
      </c>
      <c r="B5043" s="11">
        <f t="shared" ca="1" si="418"/>
        <v>1</v>
      </c>
      <c r="C5043" s="26">
        <f t="shared" ca="1" si="417"/>
        <v>0.4772994489686514</v>
      </c>
      <c r="J5043">
        <f t="shared" ca="1" si="419"/>
        <v>1</v>
      </c>
      <c r="K5043">
        <f t="shared" ca="1" si="420"/>
        <v>0</v>
      </c>
      <c r="L5043">
        <f t="shared" si="421"/>
        <v>5037</v>
      </c>
      <c r="M5043" s="71">
        <f t="shared" ca="1" si="422"/>
        <v>0.67342249773331742</v>
      </c>
    </row>
    <row r="5044" spans="1:13" x14ac:dyDescent="0.25">
      <c r="A5044" s="2">
        <v>5038</v>
      </c>
      <c r="B5044" s="11">
        <f t="shared" ca="1" si="418"/>
        <v>1</v>
      </c>
      <c r="C5044" s="26">
        <f t="shared" ca="1" si="417"/>
        <v>0.35163633159683505</v>
      </c>
      <c r="J5044">
        <f t="shared" ca="1" si="419"/>
        <v>1</v>
      </c>
      <c r="K5044">
        <f t="shared" ca="1" si="420"/>
        <v>0</v>
      </c>
      <c r="L5044">
        <f t="shared" si="421"/>
        <v>5038</v>
      </c>
      <c r="M5044" s="71">
        <f t="shared" ca="1" si="422"/>
        <v>2.0828442581958537</v>
      </c>
    </row>
    <row r="5045" spans="1:13" x14ac:dyDescent="0.25">
      <c r="A5045" s="2">
        <v>5039</v>
      </c>
      <c r="B5045" s="11">
        <f t="shared" ca="1" si="418"/>
        <v>1</v>
      </c>
      <c r="C5045" s="26">
        <f t="shared" ca="1" si="417"/>
        <v>0.18749923771528076</v>
      </c>
      <c r="J5045">
        <f t="shared" ca="1" si="419"/>
        <v>1</v>
      </c>
      <c r="K5045">
        <f t="shared" ca="1" si="420"/>
        <v>0</v>
      </c>
      <c r="L5045">
        <f t="shared" si="421"/>
        <v>5039</v>
      </c>
      <c r="M5045" s="71">
        <f t="shared" ca="1" si="422"/>
        <v>3.620944503752213</v>
      </c>
    </row>
    <row r="5046" spans="1:13" x14ac:dyDescent="0.25">
      <c r="A5046" s="2">
        <v>5040</v>
      </c>
      <c r="B5046" s="11">
        <f t="shared" ca="1" si="418"/>
        <v>1</v>
      </c>
      <c r="C5046" s="26">
        <f t="shared" ca="1" si="417"/>
        <v>0.55474841914079975</v>
      </c>
      <c r="J5046">
        <f t="shared" ca="1" si="419"/>
        <v>1</v>
      </c>
      <c r="K5046">
        <f t="shared" ca="1" si="420"/>
        <v>0</v>
      </c>
      <c r="L5046">
        <f t="shared" si="421"/>
        <v>5040</v>
      </c>
      <c r="M5046" s="71">
        <f t="shared" ca="1" si="422"/>
        <v>6.4408400266270771</v>
      </c>
    </row>
    <row r="5047" spans="1:13" x14ac:dyDescent="0.25">
      <c r="A5047" s="2">
        <v>5041</v>
      </c>
      <c r="B5047" s="11">
        <f t="shared" ca="1" si="418"/>
        <v>1</v>
      </c>
      <c r="C5047" s="26">
        <f t="shared" ca="1" si="417"/>
        <v>0.20612548566183786</v>
      </c>
      <c r="J5047">
        <f t="shared" ca="1" si="419"/>
        <v>1</v>
      </c>
      <c r="K5047">
        <f t="shared" ca="1" si="420"/>
        <v>0</v>
      </c>
      <c r="L5047">
        <f t="shared" si="421"/>
        <v>5041</v>
      </c>
      <c r="M5047" s="71">
        <f t="shared" ca="1" si="422"/>
        <v>9.4573395337804573</v>
      </c>
    </row>
    <row r="5048" spans="1:13" x14ac:dyDescent="0.25">
      <c r="A5048" s="2">
        <v>5042</v>
      </c>
      <c r="B5048" s="11">
        <f t="shared" ca="1" si="418"/>
        <v>1</v>
      </c>
      <c r="C5048" s="26">
        <f t="shared" ca="1" si="417"/>
        <v>0.36618666567378533</v>
      </c>
      <c r="J5048">
        <f t="shared" ca="1" si="419"/>
        <v>1</v>
      </c>
      <c r="K5048">
        <f t="shared" ca="1" si="420"/>
        <v>0</v>
      </c>
      <c r="L5048">
        <f t="shared" si="421"/>
        <v>5042</v>
      </c>
      <c r="M5048" s="71">
        <f t="shared" ca="1" si="422"/>
        <v>3.5505935667711479</v>
      </c>
    </row>
    <row r="5049" spans="1:13" x14ac:dyDescent="0.25">
      <c r="A5049" s="2">
        <v>5043</v>
      </c>
      <c r="B5049" s="11">
        <f t="shared" ca="1" si="418"/>
        <v>1</v>
      </c>
      <c r="C5049" s="26">
        <f t="shared" ca="1" si="417"/>
        <v>0.15625975624576438</v>
      </c>
      <c r="J5049">
        <f t="shared" ca="1" si="419"/>
        <v>1</v>
      </c>
      <c r="K5049">
        <f t="shared" ca="1" si="420"/>
        <v>0</v>
      </c>
      <c r="L5049">
        <f t="shared" si="421"/>
        <v>5043</v>
      </c>
      <c r="M5049" s="71">
        <f t="shared" ca="1" si="422"/>
        <v>4.5608527209423837</v>
      </c>
    </row>
    <row r="5050" spans="1:13" x14ac:dyDescent="0.25">
      <c r="A5050" s="2">
        <v>5044</v>
      </c>
      <c r="B5050" s="11">
        <f t="shared" ca="1" si="418"/>
        <v>1</v>
      </c>
      <c r="C5050" s="26">
        <f t="shared" ca="1" si="417"/>
        <v>8.1275060267911314E-3</v>
      </c>
      <c r="J5050">
        <f t="shared" ca="1" si="419"/>
        <v>1</v>
      </c>
      <c r="K5050">
        <f t="shared" ca="1" si="420"/>
        <v>0</v>
      </c>
      <c r="L5050">
        <f t="shared" si="421"/>
        <v>5044</v>
      </c>
      <c r="M5050" s="71">
        <f t="shared" ca="1" si="422"/>
        <v>0.2678244072864015</v>
      </c>
    </row>
    <row r="5051" spans="1:13" x14ac:dyDescent="0.25">
      <c r="A5051" s="2">
        <v>5045</v>
      </c>
      <c r="B5051" s="11">
        <f t="shared" ca="1" si="418"/>
        <v>1</v>
      </c>
      <c r="C5051" s="26">
        <f t="shared" ca="1" si="417"/>
        <v>0.15251861327759342</v>
      </c>
      <c r="J5051">
        <f t="shared" ca="1" si="419"/>
        <v>1</v>
      </c>
      <c r="K5051">
        <f t="shared" ca="1" si="420"/>
        <v>0</v>
      </c>
      <c r="L5051">
        <f t="shared" si="421"/>
        <v>5045</v>
      </c>
      <c r="M5051" s="71">
        <f t="shared" ca="1" si="422"/>
        <v>0.83033896310536592</v>
      </c>
    </row>
    <row r="5052" spans="1:13" x14ac:dyDescent="0.25">
      <c r="A5052" s="2">
        <v>5046</v>
      </c>
      <c r="B5052" s="11">
        <f t="shared" ca="1" si="418"/>
        <v>1</v>
      </c>
      <c r="C5052" s="26">
        <f t="shared" ca="1" si="417"/>
        <v>0.25826131285035192</v>
      </c>
      <c r="J5052">
        <f t="shared" ca="1" si="419"/>
        <v>1</v>
      </c>
      <c r="K5052">
        <f t="shared" ca="1" si="420"/>
        <v>0</v>
      </c>
      <c r="L5052">
        <f t="shared" si="421"/>
        <v>5046</v>
      </c>
      <c r="M5052" s="71">
        <f t="shared" ca="1" si="422"/>
        <v>5.4318615418723901</v>
      </c>
    </row>
    <row r="5053" spans="1:13" x14ac:dyDescent="0.25">
      <c r="A5053" s="2">
        <v>5047</v>
      </c>
      <c r="B5053" s="11">
        <f t="shared" ca="1" si="418"/>
        <v>1</v>
      </c>
      <c r="C5053" s="26">
        <f t="shared" ca="1" si="417"/>
        <v>0.20941045491714128</v>
      </c>
      <c r="J5053">
        <f t="shared" ca="1" si="419"/>
        <v>1</v>
      </c>
      <c r="K5053">
        <f t="shared" ca="1" si="420"/>
        <v>0</v>
      </c>
      <c r="L5053">
        <f t="shared" si="421"/>
        <v>5047</v>
      </c>
      <c r="M5053" s="71">
        <f t="shared" ca="1" si="422"/>
        <v>3.9965970922914735</v>
      </c>
    </row>
    <row r="5054" spans="1:13" x14ac:dyDescent="0.25">
      <c r="A5054" s="2">
        <v>5048</v>
      </c>
      <c r="B5054" s="11">
        <f t="shared" ca="1" si="418"/>
        <v>1</v>
      </c>
      <c r="C5054" s="26">
        <f t="shared" ca="1" si="417"/>
        <v>0.53259950598507044</v>
      </c>
      <c r="J5054">
        <f t="shared" ca="1" si="419"/>
        <v>1</v>
      </c>
      <c r="K5054">
        <f t="shared" ca="1" si="420"/>
        <v>0</v>
      </c>
      <c r="L5054">
        <f t="shared" si="421"/>
        <v>5048</v>
      </c>
      <c r="M5054" s="71">
        <f t="shared" ca="1" si="422"/>
        <v>0.32608391309263274</v>
      </c>
    </row>
    <row r="5055" spans="1:13" x14ac:dyDescent="0.25">
      <c r="A5055" s="2">
        <v>5049</v>
      </c>
      <c r="B5055" s="11">
        <f t="shared" ca="1" si="418"/>
        <v>1</v>
      </c>
      <c r="C5055" s="26">
        <f t="shared" ca="1" si="417"/>
        <v>0.30003259664930915</v>
      </c>
      <c r="J5055">
        <f t="shared" ca="1" si="419"/>
        <v>1</v>
      </c>
      <c r="K5055">
        <f t="shared" ca="1" si="420"/>
        <v>0</v>
      </c>
      <c r="L5055">
        <f t="shared" si="421"/>
        <v>5049</v>
      </c>
      <c r="M5055" s="71">
        <f t="shared" ca="1" si="422"/>
        <v>2.0677611239527405</v>
      </c>
    </row>
    <row r="5056" spans="1:13" x14ac:dyDescent="0.25">
      <c r="A5056" s="2">
        <v>5050</v>
      </c>
      <c r="B5056" s="11">
        <f t="shared" ca="1" si="418"/>
        <v>1</v>
      </c>
      <c r="C5056" s="26">
        <f t="shared" ca="1" si="417"/>
        <v>0.75196920030547343</v>
      </c>
      <c r="J5056">
        <f t="shared" ca="1" si="419"/>
        <v>1</v>
      </c>
      <c r="K5056">
        <f t="shared" ca="1" si="420"/>
        <v>0</v>
      </c>
      <c r="L5056">
        <f t="shared" si="421"/>
        <v>5050</v>
      </c>
      <c r="M5056" s="71">
        <f t="shared" ca="1" si="422"/>
        <v>3.8271316560577056</v>
      </c>
    </row>
    <row r="5057" spans="1:13" x14ac:dyDescent="0.25">
      <c r="A5057" s="2">
        <v>5051</v>
      </c>
      <c r="B5057" s="11">
        <f t="shared" ca="1" si="418"/>
        <v>1</v>
      </c>
      <c r="C5057" s="26">
        <f t="shared" ca="1" si="417"/>
        <v>0.26708363539882696</v>
      </c>
      <c r="J5057">
        <f t="shared" ca="1" si="419"/>
        <v>1</v>
      </c>
      <c r="K5057">
        <f t="shared" ca="1" si="420"/>
        <v>0</v>
      </c>
      <c r="L5057">
        <f t="shared" si="421"/>
        <v>5051</v>
      </c>
      <c r="M5057" s="71">
        <f t="shared" ca="1" si="422"/>
        <v>1.6990914226591285</v>
      </c>
    </row>
    <row r="5058" spans="1:13" x14ac:dyDescent="0.25">
      <c r="A5058" s="2">
        <v>5052</v>
      </c>
      <c r="B5058" s="11">
        <f t="shared" ca="1" si="418"/>
        <v>1</v>
      </c>
      <c r="C5058" s="26">
        <f t="shared" ca="1" si="417"/>
        <v>0.78858830639054311</v>
      </c>
      <c r="J5058">
        <f t="shared" ca="1" si="419"/>
        <v>0</v>
      </c>
      <c r="K5058">
        <f t="shared" ca="1" si="420"/>
        <v>0</v>
      </c>
      <c r="L5058">
        <f t="shared" si="421"/>
        <v>5052</v>
      </c>
      <c r="M5058" s="71">
        <f t="shared" ca="1" si="422"/>
        <v>0.64473946122254089</v>
      </c>
    </row>
    <row r="5059" spans="1:13" x14ac:dyDescent="0.25">
      <c r="A5059" s="2">
        <v>5053</v>
      </c>
      <c r="B5059" s="11">
        <f t="shared" ca="1" si="418"/>
        <v>0</v>
      </c>
      <c r="C5059" s="26">
        <f t="shared" ca="1" si="417"/>
        <v>0.89335655638222267</v>
      </c>
      <c r="J5059">
        <f t="shared" ca="1" si="419"/>
        <v>0</v>
      </c>
      <c r="K5059">
        <f t="shared" ca="1" si="420"/>
        <v>0</v>
      </c>
      <c r="L5059">
        <f t="shared" si="421"/>
        <v>5053</v>
      </c>
      <c r="M5059" s="71">
        <f t="shared" ca="1" si="422"/>
        <v>0</v>
      </c>
    </row>
    <row r="5060" spans="1:13" x14ac:dyDescent="0.25">
      <c r="A5060" s="2">
        <v>5054</v>
      </c>
      <c r="B5060" s="11">
        <f t="shared" ca="1" si="418"/>
        <v>1</v>
      </c>
      <c r="C5060" s="26">
        <f t="shared" ca="1" si="417"/>
        <v>0.18412454317423843</v>
      </c>
      <c r="J5060">
        <f t="shared" ca="1" si="419"/>
        <v>1</v>
      </c>
      <c r="K5060">
        <f t="shared" ca="1" si="420"/>
        <v>0</v>
      </c>
      <c r="L5060">
        <f t="shared" si="421"/>
        <v>5054</v>
      </c>
      <c r="M5060" s="71">
        <f t="shared" ca="1" si="422"/>
        <v>4.6589428780587889</v>
      </c>
    </row>
    <row r="5061" spans="1:13" x14ac:dyDescent="0.25">
      <c r="A5061" s="2">
        <v>5055</v>
      </c>
      <c r="B5061" s="11">
        <f t="shared" ca="1" si="418"/>
        <v>1</v>
      </c>
      <c r="C5061" s="26">
        <f t="shared" ca="1" si="417"/>
        <v>0.58850539042192829</v>
      </c>
      <c r="J5061">
        <f t="shared" ca="1" si="419"/>
        <v>1</v>
      </c>
      <c r="K5061">
        <f t="shared" ca="1" si="420"/>
        <v>0</v>
      </c>
      <c r="L5061">
        <f t="shared" si="421"/>
        <v>5055</v>
      </c>
      <c r="M5061" s="71">
        <f t="shared" ca="1" si="422"/>
        <v>2.0216100009160756</v>
      </c>
    </row>
    <row r="5062" spans="1:13" x14ac:dyDescent="0.25">
      <c r="A5062" s="2">
        <v>5056</v>
      </c>
      <c r="B5062" s="11">
        <f t="shared" ca="1" si="418"/>
        <v>1</v>
      </c>
      <c r="C5062" s="26">
        <f t="shared" ca="1" si="417"/>
        <v>0.45183166536931441</v>
      </c>
      <c r="J5062">
        <f t="shared" ca="1" si="419"/>
        <v>1</v>
      </c>
      <c r="K5062">
        <f t="shared" ca="1" si="420"/>
        <v>0</v>
      </c>
      <c r="L5062">
        <f t="shared" si="421"/>
        <v>5056</v>
      </c>
      <c r="M5062" s="71">
        <f t="shared" ca="1" si="422"/>
        <v>1.0128145816649814</v>
      </c>
    </row>
    <row r="5063" spans="1:13" x14ac:dyDescent="0.25">
      <c r="A5063" s="2">
        <v>5057</v>
      </c>
      <c r="B5063" s="11">
        <f t="shared" ca="1" si="418"/>
        <v>1</v>
      </c>
      <c r="C5063" s="26">
        <f t="shared" ca="1" si="417"/>
        <v>0.43283869340517511</v>
      </c>
      <c r="J5063">
        <f t="shared" ca="1" si="419"/>
        <v>0</v>
      </c>
      <c r="K5063">
        <f t="shared" ca="1" si="420"/>
        <v>0</v>
      </c>
      <c r="L5063">
        <f t="shared" si="421"/>
        <v>5057</v>
      </c>
      <c r="M5063" s="71">
        <f t="shared" ca="1" si="422"/>
        <v>2.3093347442533037</v>
      </c>
    </row>
    <row r="5064" spans="1:13" x14ac:dyDescent="0.25">
      <c r="A5064" s="2">
        <v>5058</v>
      </c>
      <c r="B5064" s="11">
        <f t="shared" ca="1" si="418"/>
        <v>0</v>
      </c>
      <c r="C5064" s="26">
        <f t="shared" ref="C5064:C5127" ca="1" si="423">RAND()</f>
        <v>0.80744776498143844</v>
      </c>
      <c r="J5064">
        <f t="shared" ca="1" si="419"/>
        <v>0</v>
      </c>
      <c r="K5064">
        <f t="shared" ca="1" si="420"/>
        <v>0</v>
      </c>
      <c r="L5064">
        <f t="shared" si="421"/>
        <v>5058</v>
      </c>
      <c r="M5064" s="71">
        <f t="shared" ca="1" si="422"/>
        <v>0</v>
      </c>
    </row>
    <row r="5065" spans="1:13" x14ac:dyDescent="0.25">
      <c r="A5065" s="2">
        <v>5059</v>
      </c>
      <c r="B5065" s="11">
        <f t="shared" ref="B5065:B5128" ca="1" si="424">IF(B5064&gt;0,IF(C5065&lt;pww,1,0),IF(C5065&lt;pdw,1,0))</f>
        <v>1</v>
      </c>
      <c r="C5065" s="26">
        <f t="shared" ca="1" si="423"/>
        <v>0.22519462563499792</v>
      </c>
      <c r="J5065">
        <f t="shared" ca="1" si="419"/>
        <v>1</v>
      </c>
      <c r="K5065">
        <f t="shared" ca="1" si="420"/>
        <v>0</v>
      </c>
      <c r="L5065">
        <f t="shared" si="421"/>
        <v>5059</v>
      </c>
      <c r="M5065" s="71">
        <f t="shared" ca="1" si="422"/>
        <v>1.5565339575250252</v>
      </c>
    </row>
    <row r="5066" spans="1:13" x14ac:dyDescent="0.25">
      <c r="A5066" s="2">
        <v>5060</v>
      </c>
      <c r="B5066" s="11">
        <f t="shared" ca="1" si="424"/>
        <v>1</v>
      </c>
      <c r="C5066" s="26">
        <f t="shared" ca="1" si="423"/>
        <v>0.79429643951075402</v>
      </c>
      <c r="J5066">
        <f t="shared" ref="J5066:J5129" ca="1" si="425">IF(AND(B5066,B5067),1,0)</f>
        <v>1</v>
      </c>
      <c r="K5066">
        <f t="shared" ref="K5066:K5129" ca="1" si="426">IF(AND(NOT(B5066),NOT(B5067)),1,0)</f>
        <v>0</v>
      </c>
      <c r="L5066">
        <f t="shared" ref="L5066:L5129" si="427">L5065+1</f>
        <v>5060</v>
      </c>
      <c r="M5066" s="71">
        <f t="shared" ref="M5066:M5129" ca="1" si="428">IF(B5066&gt;0,-LN(1-(RAND()))/lambda,0)</f>
        <v>3.7491626232527659</v>
      </c>
    </row>
    <row r="5067" spans="1:13" x14ac:dyDescent="0.25">
      <c r="A5067" s="2">
        <v>5061</v>
      </c>
      <c r="B5067" s="11">
        <f t="shared" ca="1" si="424"/>
        <v>1</v>
      </c>
      <c r="C5067" s="26">
        <f t="shared" ca="1" si="423"/>
        <v>0.39017824301367354</v>
      </c>
      <c r="J5067">
        <f t="shared" ca="1" si="425"/>
        <v>0</v>
      </c>
      <c r="K5067">
        <f t="shared" ca="1" si="426"/>
        <v>0</v>
      </c>
      <c r="L5067">
        <f t="shared" si="427"/>
        <v>5061</v>
      </c>
      <c r="M5067" s="71">
        <f t="shared" ca="1" si="428"/>
        <v>13.323372333044679</v>
      </c>
    </row>
    <row r="5068" spans="1:13" x14ac:dyDescent="0.25">
      <c r="A5068" s="2">
        <v>5062</v>
      </c>
      <c r="B5068" s="11">
        <f t="shared" ca="1" si="424"/>
        <v>0</v>
      </c>
      <c r="C5068" s="26">
        <f t="shared" ca="1" si="423"/>
        <v>0.85211737806320342</v>
      </c>
      <c r="J5068">
        <f t="shared" ca="1" si="425"/>
        <v>0</v>
      </c>
      <c r="K5068">
        <f t="shared" ca="1" si="426"/>
        <v>0</v>
      </c>
      <c r="L5068">
        <f t="shared" si="427"/>
        <v>5062</v>
      </c>
      <c r="M5068" s="71">
        <f t="shared" ca="1" si="428"/>
        <v>0</v>
      </c>
    </row>
    <row r="5069" spans="1:13" x14ac:dyDescent="0.25">
      <c r="A5069" s="2">
        <v>5063</v>
      </c>
      <c r="B5069" s="11">
        <f t="shared" ca="1" si="424"/>
        <v>1</v>
      </c>
      <c r="C5069" s="26">
        <f t="shared" ca="1" si="423"/>
        <v>0.52118087612523978</v>
      </c>
      <c r="J5069">
        <f t="shared" ca="1" si="425"/>
        <v>1</v>
      </c>
      <c r="K5069">
        <f t="shared" ca="1" si="426"/>
        <v>0</v>
      </c>
      <c r="L5069">
        <f t="shared" si="427"/>
        <v>5063</v>
      </c>
      <c r="M5069" s="71">
        <f t="shared" ca="1" si="428"/>
        <v>1.038286718825939</v>
      </c>
    </row>
    <row r="5070" spans="1:13" x14ac:dyDescent="0.25">
      <c r="A5070" s="2">
        <v>5064</v>
      </c>
      <c r="B5070" s="11">
        <f t="shared" ca="1" si="424"/>
        <v>1</v>
      </c>
      <c r="C5070" s="26">
        <f t="shared" ca="1" si="423"/>
        <v>0.55813684764085614</v>
      </c>
      <c r="J5070">
        <f t="shared" ca="1" si="425"/>
        <v>1</v>
      </c>
      <c r="K5070">
        <f t="shared" ca="1" si="426"/>
        <v>0</v>
      </c>
      <c r="L5070">
        <f t="shared" si="427"/>
        <v>5064</v>
      </c>
      <c r="M5070" s="71">
        <f t="shared" ca="1" si="428"/>
        <v>5.6184653072977602</v>
      </c>
    </row>
    <row r="5071" spans="1:13" x14ac:dyDescent="0.25">
      <c r="A5071" s="2">
        <v>5065</v>
      </c>
      <c r="B5071" s="11">
        <f t="shared" ca="1" si="424"/>
        <v>1</v>
      </c>
      <c r="C5071" s="26">
        <f t="shared" ca="1" si="423"/>
        <v>0.29147946657149815</v>
      </c>
      <c r="J5071">
        <f t="shared" ca="1" si="425"/>
        <v>1</v>
      </c>
      <c r="K5071">
        <f t="shared" ca="1" si="426"/>
        <v>0</v>
      </c>
      <c r="L5071">
        <f t="shared" si="427"/>
        <v>5065</v>
      </c>
      <c r="M5071" s="71">
        <f t="shared" ca="1" si="428"/>
        <v>2.6011527073573135</v>
      </c>
    </row>
    <row r="5072" spans="1:13" x14ac:dyDescent="0.25">
      <c r="A5072" s="2">
        <v>5066</v>
      </c>
      <c r="B5072" s="11">
        <f t="shared" ca="1" si="424"/>
        <v>1</v>
      </c>
      <c r="C5072" s="26">
        <f t="shared" ca="1" si="423"/>
        <v>0.75736276346615261</v>
      </c>
      <c r="J5072">
        <f t="shared" ca="1" si="425"/>
        <v>1</v>
      </c>
      <c r="K5072">
        <f t="shared" ca="1" si="426"/>
        <v>0</v>
      </c>
      <c r="L5072">
        <f t="shared" si="427"/>
        <v>5066</v>
      </c>
      <c r="M5072" s="71">
        <f t="shared" ca="1" si="428"/>
        <v>0.77262424948119168</v>
      </c>
    </row>
    <row r="5073" spans="1:13" x14ac:dyDescent="0.25">
      <c r="A5073" s="2">
        <v>5067</v>
      </c>
      <c r="B5073" s="11">
        <f t="shared" ca="1" si="424"/>
        <v>1</v>
      </c>
      <c r="C5073" s="26">
        <f t="shared" ca="1" si="423"/>
        <v>0.15243502583948132</v>
      </c>
      <c r="J5073">
        <f t="shared" ca="1" si="425"/>
        <v>0</v>
      </c>
      <c r="K5073">
        <f t="shared" ca="1" si="426"/>
        <v>0</v>
      </c>
      <c r="L5073">
        <f t="shared" si="427"/>
        <v>5067</v>
      </c>
      <c r="M5073" s="71">
        <f t="shared" ca="1" si="428"/>
        <v>7.8843199991376416</v>
      </c>
    </row>
    <row r="5074" spans="1:13" x14ac:dyDescent="0.25">
      <c r="A5074" s="2">
        <v>5068</v>
      </c>
      <c r="B5074" s="11">
        <f t="shared" ca="1" si="424"/>
        <v>0</v>
      </c>
      <c r="C5074" s="26">
        <f t="shared" ca="1" si="423"/>
        <v>0.849246222897037</v>
      </c>
      <c r="J5074">
        <f t="shared" ca="1" si="425"/>
        <v>0</v>
      </c>
      <c r="K5074">
        <f t="shared" ca="1" si="426"/>
        <v>0</v>
      </c>
      <c r="L5074">
        <f t="shared" si="427"/>
        <v>5068</v>
      </c>
      <c r="M5074" s="71">
        <f t="shared" ca="1" si="428"/>
        <v>0</v>
      </c>
    </row>
    <row r="5075" spans="1:13" x14ac:dyDescent="0.25">
      <c r="A5075" s="2">
        <v>5069</v>
      </c>
      <c r="B5075" s="11">
        <f t="shared" ca="1" si="424"/>
        <v>1</v>
      </c>
      <c r="C5075" s="26">
        <f t="shared" ca="1" si="423"/>
        <v>5.5689540415687411E-2</v>
      </c>
      <c r="J5075">
        <f t="shared" ca="1" si="425"/>
        <v>1</v>
      </c>
      <c r="K5075">
        <f t="shared" ca="1" si="426"/>
        <v>0</v>
      </c>
      <c r="L5075">
        <f t="shared" si="427"/>
        <v>5069</v>
      </c>
      <c r="M5075" s="71">
        <f t="shared" ca="1" si="428"/>
        <v>4.6637410941449859</v>
      </c>
    </row>
    <row r="5076" spans="1:13" x14ac:dyDescent="0.25">
      <c r="A5076" s="2">
        <v>5070</v>
      </c>
      <c r="B5076" s="11">
        <f t="shared" ca="1" si="424"/>
        <v>1</v>
      </c>
      <c r="C5076" s="26">
        <f t="shared" ca="1" si="423"/>
        <v>0.15019051904904046</v>
      </c>
      <c r="J5076">
        <f t="shared" ca="1" si="425"/>
        <v>1</v>
      </c>
      <c r="K5076">
        <f t="shared" ca="1" si="426"/>
        <v>0</v>
      </c>
      <c r="L5076">
        <f t="shared" si="427"/>
        <v>5070</v>
      </c>
      <c r="M5076" s="71">
        <f t="shared" ca="1" si="428"/>
        <v>1.6413520038032139</v>
      </c>
    </row>
    <row r="5077" spans="1:13" x14ac:dyDescent="0.25">
      <c r="A5077" s="2">
        <v>5071</v>
      </c>
      <c r="B5077" s="11">
        <f t="shared" ca="1" si="424"/>
        <v>1</v>
      </c>
      <c r="C5077" s="26">
        <f t="shared" ca="1" si="423"/>
        <v>0.57332107827045864</v>
      </c>
      <c r="J5077">
        <f t="shared" ca="1" si="425"/>
        <v>1</v>
      </c>
      <c r="K5077">
        <f t="shared" ca="1" si="426"/>
        <v>0</v>
      </c>
      <c r="L5077">
        <f t="shared" si="427"/>
        <v>5071</v>
      </c>
      <c r="M5077" s="71">
        <f t="shared" ca="1" si="428"/>
        <v>3.3584214651846178</v>
      </c>
    </row>
    <row r="5078" spans="1:13" x14ac:dyDescent="0.25">
      <c r="A5078" s="2">
        <v>5072</v>
      </c>
      <c r="B5078" s="11">
        <f t="shared" ca="1" si="424"/>
        <v>1</v>
      </c>
      <c r="C5078" s="26">
        <f t="shared" ca="1" si="423"/>
        <v>0.48324251586784051</v>
      </c>
      <c r="J5078">
        <f t="shared" ca="1" si="425"/>
        <v>1</v>
      </c>
      <c r="K5078">
        <f t="shared" ca="1" si="426"/>
        <v>0</v>
      </c>
      <c r="L5078">
        <f t="shared" si="427"/>
        <v>5072</v>
      </c>
      <c r="M5078" s="71">
        <f t="shared" ca="1" si="428"/>
        <v>9.9563209556083212</v>
      </c>
    </row>
    <row r="5079" spans="1:13" x14ac:dyDescent="0.25">
      <c r="A5079" s="2">
        <v>5073</v>
      </c>
      <c r="B5079" s="11">
        <f t="shared" ca="1" si="424"/>
        <v>1</v>
      </c>
      <c r="C5079" s="26">
        <f t="shared" ca="1" si="423"/>
        <v>0.48943023663282847</v>
      </c>
      <c r="J5079">
        <f t="shared" ca="1" si="425"/>
        <v>1</v>
      </c>
      <c r="K5079">
        <f t="shared" ca="1" si="426"/>
        <v>0</v>
      </c>
      <c r="L5079">
        <f t="shared" si="427"/>
        <v>5073</v>
      </c>
      <c r="M5079" s="71">
        <f t="shared" ca="1" si="428"/>
        <v>6.8374758919565624</v>
      </c>
    </row>
    <row r="5080" spans="1:13" x14ac:dyDescent="0.25">
      <c r="A5080" s="2">
        <v>5074</v>
      </c>
      <c r="B5080" s="11">
        <f t="shared" ca="1" si="424"/>
        <v>1</v>
      </c>
      <c r="C5080" s="26">
        <f t="shared" ca="1" si="423"/>
        <v>0.44045875063700513</v>
      </c>
      <c r="J5080">
        <f t="shared" ca="1" si="425"/>
        <v>1</v>
      </c>
      <c r="K5080">
        <f t="shared" ca="1" si="426"/>
        <v>0</v>
      </c>
      <c r="L5080">
        <f t="shared" si="427"/>
        <v>5074</v>
      </c>
      <c r="M5080" s="71">
        <f t="shared" ca="1" si="428"/>
        <v>2.9512248002006269</v>
      </c>
    </row>
    <row r="5081" spans="1:13" x14ac:dyDescent="0.25">
      <c r="A5081" s="2">
        <v>5075</v>
      </c>
      <c r="B5081" s="11">
        <f t="shared" ca="1" si="424"/>
        <v>1</v>
      </c>
      <c r="C5081" s="26">
        <f t="shared" ca="1" si="423"/>
        <v>0.26168180830229748</v>
      </c>
      <c r="J5081">
        <f t="shared" ca="1" si="425"/>
        <v>0</v>
      </c>
      <c r="K5081">
        <f t="shared" ca="1" si="426"/>
        <v>0</v>
      </c>
      <c r="L5081">
        <f t="shared" si="427"/>
        <v>5075</v>
      </c>
      <c r="M5081" s="71">
        <f t="shared" ca="1" si="428"/>
        <v>0.59598157069834501</v>
      </c>
    </row>
    <row r="5082" spans="1:13" x14ac:dyDescent="0.25">
      <c r="A5082" s="2">
        <v>5076</v>
      </c>
      <c r="B5082" s="11">
        <f t="shared" ca="1" si="424"/>
        <v>0</v>
      </c>
      <c r="C5082" s="26">
        <f t="shared" ca="1" si="423"/>
        <v>0.99763724634198714</v>
      </c>
      <c r="J5082">
        <f t="shared" ca="1" si="425"/>
        <v>0</v>
      </c>
      <c r="K5082">
        <f t="shared" ca="1" si="426"/>
        <v>1</v>
      </c>
      <c r="L5082">
        <f t="shared" si="427"/>
        <v>5076</v>
      </c>
      <c r="M5082" s="71">
        <f t="shared" ca="1" si="428"/>
        <v>0</v>
      </c>
    </row>
    <row r="5083" spans="1:13" x14ac:dyDescent="0.25">
      <c r="A5083" s="2">
        <v>5077</v>
      </c>
      <c r="B5083" s="11">
        <f t="shared" ca="1" si="424"/>
        <v>0</v>
      </c>
      <c r="C5083" s="26">
        <f t="shared" ca="1" si="423"/>
        <v>0.80615483362586426</v>
      </c>
      <c r="J5083">
        <f t="shared" ca="1" si="425"/>
        <v>0</v>
      </c>
      <c r="K5083">
        <f t="shared" ca="1" si="426"/>
        <v>1</v>
      </c>
      <c r="L5083">
        <f t="shared" si="427"/>
        <v>5077</v>
      </c>
      <c r="M5083" s="71">
        <f t="shared" ca="1" si="428"/>
        <v>0</v>
      </c>
    </row>
    <row r="5084" spans="1:13" x14ac:dyDescent="0.25">
      <c r="A5084" s="2">
        <v>5078</v>
      </c>
      <c r="B5084" s="11">
        <f t="shared" ca="1" si="424"/>
        <v>0</v>
      </c>
      <c r="C5084" s="26">
        <f t="shared" ca="1" si="423"/>
        <v>0.91347254206952366</v>
      </c>
      <c r="J5084">
        <f t="shared" ca="1" si="425"/>
        <v>0</v>
      </c>
      <c r="K5084">
        <f t="shared" ca="1" si="426"/>
        <v>0</v>
      </c>
      <c r="L5084">
        <f t="shared" si="427"/>
        <v>5078</v>
      </c>
      <c r="M5084" s="71">
        <f t="shared" ca="1" si="428"/>
        <v>0</v>
      </c>
    </row>
    <row r="5085" spans="1:13" x14ac:dyDescent="0.25">
      <c r="A5085" s="2">
        <v>5079</v>
      </c>
      <c r="B5085" s="11">
        <f t="shared" ca="1" si="424"/>
        <v>1</v>
      </c>
      <c r="C5085" s="26">
        <f t="shared" ca="1" si="423"/>
        <v>9.8454054402924207E-2</v>
      </c>
      <c r="J5085">
        <f t="shared" ca="1" si="425"/>
        <v>0</v>
      </c>
      <c r="K5085">
        <f t="shared" ca="1" si="426"/>
        <v>0</v>
      </c>
      <c r="L5085">
        <f t="shared" si="427"/>
        <v>5079</v>
      </c>
      <c r="M5085" s="71">
        <f t="shared" ca="1" si="428"/>
        <v>4.7331224335142208</v>
      </c>
    </row>
    <row r="5086" spans="1:13" x14ac:dyDescent="0.25">
      <c r="A5086" s="2">
        <v>5080</v>
      </c>
      <c r="B5086" s="11">
        <f t="shared" ca="1" si="424"/>
        <v>0</v>
      </c>
      <c r="C5086" s="26">
        <f t="shared" ca="1" si="423"/>
        <v>0.90927273556723176</v>
      </c>
      <c r="J5086">
        <f t="shared" ca="1" si="425"/>
        <v>0</v>
      </c>
      <c r="K5086">
        <f t="shared" ca="1" si="426"/>
        <v>0</v>
      </c>
      <c r="L5086">
        <f t="shared" si="427"/>
        <v>5080</v>
      </c>
      <c r="M5086" s="71">
        <f t="shared" ca="1" si="428"/>
        <v>0</v>
      </c>
    </row>
    <row r="5087" spans="1:13" x14ac:dyDescent="0.25">
      <c r="A5087" s="2">
        <v>5081</v>
      </c>
      <c r="B5087" s="11">
        <f t="shared" ca="1" si="424"/>
        <v>1</v>
      </c>
      <c r="C5087" s="26">
        <f t="shared" ca="1" si="423"/>
        <v>0.23254906059948488</v>
      </c>
      <c r="J5087">
        <f t="shared" ca="1" si="425"/>
        <v>1</v>
      </c>
      <c r="K5087">
        <f t="shared" ca="1" si="426"/>
        <v>0</v>
      </c>
      <c r="L5087">
        <f t="shared" si="427"/>
        <v>5081</v>
      </c>
      <c r="M5087" s="71">
        <f t="shared" ca="1" si="428"/>
        <v>1.5938697771076531</v>
      </c>
    </row>
    <row r="5088" spans="1:13" x14ac:dyDescent="0.25">
      <c r="A5088" s="2">
        <v>5082</v>
      </c>
      <c r="B5088" s="11">
        <f t="shared" ca="1" si="424"/>
        <v>1</v>
      </c>
      <c r="C5088" s="26">
        <f t="shared" ca="1" si="423"/>
        <v>0.538220764594456</v>
      </c>
      <c r="J5088">
        <f t="shared" ca="1" si="425"/>
        <v>1</v>
      </c>
      <c r="K5088">
        <f t="shared" ca="1" si="426"/>
        <v>0</v>
      </c>
      <c r="L5088">
        <f t="shared" si="427"/>
        <v>5082</v>
      </c>
      <c r="M5088" s="71">
        <f t="shared" ca="1" si="428"/>
        <v>1.4544250616814351</v>
      </c>
    </row>
    <row r="5089" spans="1:13" x14ac:dyDescent="0.25">
      <c r="A5089" s="2">
        <v>5083</v>
      </c>
      <c r="B5089" s="11">
        <f t="shared" ca="1" si="424"/>
        <v>1</v>
      </c>
      <c r="C5089" s="26">
        <f t="shared" ca="1" si="423"/>
        <v>3.3915812104175602E-2</v>
      </c>
      <c r="J5089">
        <f t="shared" ca="1" si="425"/>
        <v>1</v>
      </c>
      <c r="K5089">
        <f t="shared" ca="1" si="426"/>
        <v>0</v>
      </c>
      <c r="L5089">
        <f t="shared" si="427"/>
        <v>5083</v>
      </c>
      <c r="M5089" s="71">
        <f t="shared" ca="1" si="428"/>
        <v>3.9050192022850019</v>
      </c>
    </row>
    <row r="5090" spans="1:13" x14ac:dyDescent="0.25">
      <c r="A5090" s="2">
        <v>5084</v>
      </c>
      <c r="B5090" s="11">
        <f t="shared" ca="1" si="424"/>
        <v>1</v>
      </c>
      <c r="C5090" s="26">
        <f t="shared" ca="1" si="423"/>
        <v>0.47201572472834186</v>
      </c>
      <c r="J5090">
        <f t="shared" ca="1" si="425"/>
        <v>0</v>
      </c>
      <c r="K5090">
        <f t="shared" ca="1" si="426"/>
        <v>0</v>
      </c>
      <c r="L5090">
        <f t="shared" si="427"/>
        <v>5084</v>
      </c>
      <c r="M5090" s="71">
        <f t="shared" ca="1" si="428"/>
        <v>8.5760162253328964</v>
      </c>
    </row>
    <row r="5091" spans="1:13" x14ac:dyDescent="0.25">
      <c r="A5091" s="2">
        <v>5085</v>
      </c>
      <c r="B5091" s="11">
        <f t="shared" ca="1" si="424"/>
        <v>0</v>
      </c>
      <c r="C5091" s="26">
        <f t="shared" ca="1" si="423"/>
        <v>0.9288377240525183</v>
      </c>
      <c r="J5091">
        <f t="shared" ca="1" si="425"/>
        <v>0</v>
      </c>
      <c r="K5091">
        <f t="shared" ca="1" si="426"/>
        <v>1</v>
      </c>
      <c r="L5091">
        <f t="shared" si="427"/>
        <v>5085</v>
      </c>
      <c r="M5091" s="71">
        <f t="shared" ca="1" si="428"/>
        <v>0</v>
      </c>
    </row>
    <row r="5092" spans="1:13" x14ac:dyDescent="0.25">
      <c r="A5092" s="2">
        <v>5086</v>
      </c>
      <c r="B5092" s="11">
        <f t="shared" ca="1" si="424"/>
        <v>0</v>
      </c>
      <c r="C5092" s="26">
        <f t="shared" ca="1" si="423"/>
        <v>0.78787232503317939</v>
      </c>
      <c r="J5092">
        <f t="shared" ca="1" si="425"/>
        <v>0</v>
      </c>
      <c r="K5092">
        <f t="shared" ca="1" si="426"/>
        <v>0</v>
      </c>
      <c r="L5092">
        <f t="shared" si="427"/>
        <v>5086</v>
      </c>
      <c r="M5092" s="71">
        <f t="shared" ca="1" si="428"/>
        <v>0</v>
      </c>
    </row>
    <row r="5093" spans="1:13" x14ac:dyDescent="0.25">
      <c r="A5093" s="2">
        <v>5087</v>
      </c>
      <c r="B5093" s="11">
        <f t="shared" ca="1" si="424"/>
        <v>1</v>
      </c>
      <c r="C5093" s="26">
        <f t="shared" ca="1" si="423"/>
        <v>9.5695594969268716E-2</v>
      </c>
      <c r="J5093">
        <f t="shared" ca="1" si="425"/>
        <v>0</v>
      </c>
      <c r="K5093">
        <f t="shared" ca="1" si="426"/>
        <v>0</v>
      </c>
      <c r="L5093">
        <f t="shared" si="427"/>
        <v>5087</v>
      </c>
      <c r="M5093" s="71">
        <f t="shared" ca="1" si="428"/>
        <v>2.5497081717353796</v>
      </c>
    </row>
    <row r="5094" spans="1:13" x14ac:dyDescent="0.25">
      <c r="A5094" s="2">
        <v>5088</v>
      </c>
      <c r="B5094" s="11">
        <f t="shared" ca="1" si="424"/>
        <v>0</v>
      </c>
      <c r="C5094" s="26">
        <f t="shared" ca="1" si="423"/>
        <v>0.96648441215997782</v>
      </c>
      <c r="J5094">
        <f t="shared" ca="1" si="425"/>
        <v>0</v>
      </c>
      <c r="K5094">
        <f t="shared" ca="1" si="426"/>
        <v>0</v>
      </c>
      <c r="L5094">
        <f t="shared" si="427"/>
        <v>5088</v>
      </c>
      <c r="M5094" s="71">
        <f t="shared" ca="1" si="428"/>
        <v>0</v>
      </c>
    </row>
    <row r="5095" spans="1:13" x14ac:dyDescent="0.25">
      <c r="A5095" s="2">
        <v>5089</v>
      </c>
      <c r="B5095" s="11">
        <f t="shared" ca="1" si="424"/>
        <v>1</v>
      </c>
      <c r="C5095" s="26">
        <f t="shared" ca="1" si="423"/>
        <v>0.20748054673489025</v>
      </c>
      <c r="J5095">
        <f t="shared" ca="1" si="425"/>
        <v>1</v>
      </c>
      <c r="K5095">
        <f t="shared" ca="1" si="426"/>
        <v>0</v>
      </c>
      <c r="L5095">
        <f t="shared" si="427"/>
        <v>5089</v>
      </c>
      <c r="M5095" s="71">
        <f t="shared" ca="1" si="428"/>
        <v>1.8601180188795523</v>
      </c>
    </row>
    <row r="5096" spans="1:13" x14ac:dyDescent="0.25">
      <c r="A5096" s="2">
        <v>5090</v>
      </c>
      <c r="B5096" s="11">
        <f t="shared" ca="1" si="424"/>
        <v>1</v>
      </c>
      <c r="C5096" s="26">
        <f t="shared" ca="1" si="423"/>
        <v>4.4188140404411991E-3</v>
      </c>
      <c r="J5096">
        <f t="shared" ca="1" si="425"/>
        <v>1</v>
      </c>
      <c r="K5096">
        <f t="shared" ca="1" si="426"/>
        <v>0</v>
      </c>
      <c r="L5096">
        <f t="shared" si="427"/>
        <v>5090</v>
      </c>
      <c r="M5096" s="71">
        <f t="shared" ca="1" si="428"/>
        <v>2.5232379052348537</v>
      </c>
    </row>
    <row r="5097" spans="1:13" x14ac:dyDescent="0.25">
      <c r="A5097" s="2">
        <v>5091</v>
      </c>
      <c r="B5097" s="11">
        <f t="shared" ca="1" si="424"/>
        <v>1</v>
      </c>
      <c r="C5097" s="26">
        <f t="shared" ca="1" si="423"/>
        <v>5.7138163402437825E-2</v>
      </c>
      <c r="J5097">
        <f t="shared" ca="1" si="425"/>
        <v>0</v>
      </c>
      <c r="K5097">
        <f t="shared" ca="1" si="426"/>
        <v>0</v>
      </c>
      <c r="L5097">
        <f t="shared" si="427"/>
        <v>5091</v>
      </c>
      <c r="M5097" s="71">
        <f t="shared" ca="1" si="428"/>
        <v>0.45433267421818047</v>
      </c>
    </row>
    <row r="5098" spans="1:13" x14ac:dyDescent="0.25">
      <c r="A5098" s="2">
        <v>5092</v>
      </c>
      <c r="B5098" s="11">
        <f t="shared" ca="1" si="424"/>
        <v>0</v>
      </c>
      <c r="C5098" s="26">
        <f t="shared" ca="1" si="423"/>
        <v>0.87107188774313615</v>
      </c>
      <c r="J5098">
        <f t="shared" ca="1" si="425"/>
        <v>0</v>
      </c>
      <c r="K5098">
        <f t="shared" ca="1" si="426"/>
        <v>1</v>
      </c>
      <c r="L5098">
        <f t="shared" si="427"/>
        <v>5092</v>
      </c>
      <c r="M5098" s="71">
        <f t="shared" ca="1" si="428"/>
        <v>0</v>
      </c>
    </row>
    <row r="5099" spans="1:13" x14ac:dyDescent="0.25">
      <c r="A5099" s="2">
        <v>5093</v>
      </c>
      <c r="B5099" s="11">
        <f t="shared" ca="1" si="424"/>
        <v>0</v>
      </c>
      <c r="C5099" s="26">
        <f t="shared" ca="1" si="423"/>
        <v>0.98448939295602744</v>
      </c>
      <c r="J5099">
        <f t="shared" ca="1" si="425"/>
        <v>0</v>
      </c>
      <c r="K5099">
        <f t="shared" ca="1" si="426"/>
        <v>0</v>
      </c>
      <c r="L5099">
        <f t="shared" si="427"/>
        <v>5093</v>
      </c>
      <c r="M5099" s="71">
        <f t="shared" ca="1" si="428"/>
        <v>0</v>
      </c>
    </row>
    <row r="5100" spans="1:13" x14ac:dyDescent="0.25">
      <c r="A5100" s="2">
        <v>5094</v>
      </c>
      <c r="B5100" s="11">
        <f t="shared" ca="1" si="424"/>
        <v>1</v>
      </c>
      <c r="C5100" s="26">
        <f t="shared" ca="1" si="423"/>
        <v>0.31475420409590471</v>
      </c>
      <c r="J5100">
        <f t="shared" ca="1" si="425"/>
        <v>1</v>
      </c>
      <c r="K5100">
        <f t="shared" ca="1" si="426"/>
        <v>0</v>
      </c>
      <c r="L5100">
        <f t="shared" si="427"/>
        <v>5094</v>
      </c>
      <c r="M5100" s="71">
        <f t="shared" ca="1" si="428"/>
        <v>2.6249686975654805</v>
      </c>
    </row>
    <row r="5101" spans="1:13" x14ac:dyDescent="0.25">
      <c r="A5101" s="2">
        <v>5095</v>
      </c>
      <c r="B5101" s="11">
        <f t="shared" ca="1" si="424"/>
        <v>1</v>
      </c>
      <c r="C5101" s="26">
        <f t="shared" ca="1" si="423"/>
        <v>0.29554650848775454</v>
      </c>
      <c r="J5101">
        <f t="shared" ca="1" si="425"/>
        <v>1</v>
      </c>
      <c r="K5101">
        <f t="shared" ca="1" si="426"/>
        <v>0</v>
      </c>
      <c r="L5101">
        <f t="shared" si="427"/>
        <v>5095</v>
      </c>
      <c r="M5101" s="71">
        <f t="shared" ca="1" si="428"/>
        <v>1.5150698878449607</v>
      </c>
    </row>
    <row r="5102" spans="1:13" x14ac:dyDescent="0.25">
      <c r="A5102" s="2">
        <v>5096</v>
      </c>
      <c r="B5102" s="11">
        <f t="shared" ca="1" si="424"/>
        <v>1</v>
      </c>
      <c r="C5102" s="26">
        <f t="shared" ca="1" si="423"/>
        <v>5.9065156379191075E-2</v>
      </c>
      <c r="J5102">
        <f t="shared" ca="1" si="425"/>
        <v>1</v>
      </c>
      <c r="K5102">
        <f t="shared" ca="1" si="426"/>
        <v>0</v>
      </c>
      <c r="L5102">
        <f t="shared" si="427"/>
        <v>5096</v>
      </c>
      <c r="M5102" s="71">
        <f t="shared" ca="1" si="428"/>
        <v>4.7580849950360617</v>
      </c>
    </row>
    <row r="5103" spans="1:13" x14ac:dyDescent="0.25">
      <c r="A5103" s="2">
        <v>5097</v>
      </c>
      <c r="B5103" s="11">
        <f t="shared" ca="1" si="424"/>
        <v>1</v>
      </c>
      <c r="C5103" s="26">
        <f t="shared" ca="1" si="423"/>
        <v>0.62786256749046354</v>
      </c>
      <c r="J5103">
        <f t="shared" ca="1" si="425"/>
        <v>1</v>
      </c>
      <c r="K5103">
        <f t="shared" ca="1" si="426"/>
        <v>0</v>
      </c>
      <c r="L5103">
        <f t="shared" si="427"/>
        <v>5097</v>
      </c>
      <c r="M5103" s="71">
        <f t="shared" ca="1" si="428"/>
        <v>0.95371339809716504</v>
      </c>
    </row>
    <row r="5104" spans="1:13" x14ac:dyDescent="0.25">
      <c r="A5104" s="2">
        <v>5098</v>
      </c>
      <c r="B5104" s="11">
        <f t="shared" ca="1" si="424"/>
        <v>1</v>
      </c>
      <c r="C5104" s="26">
        <f t="shared" ca="1" si="423"/>
        <v>0.44280414847598204</v>
      </c>
      <c r="J5104">
        <f t="shared" ca="1" si="425"/>
        <v>0</v>
      </c>
      <c r="K5104">
        <f t="shared" ca="1" si="426"/>
        <v>0</v>
      </c>
      <c r="L5104">
        <f t="shared" si="427"/>
        <v>5098</v>
      </c>
      <c r="M5104" s="71">
        <f t="shared" ca="1" si="428"/>
        <v>1.6015537470021468</v>
      </c>
    </row>
    <row r="5105" spans="1:13" x14ac:dyDescent="0.25">
      <c r="A5105" s="2">
        <v>5099</v>
      </c>
      <c r="B5105" s="11">
        <f t="shared" ca="1" si="424"/>
        <v>0</v>
      </c>
      <c r="C5105" s="26">
        <f t="shared" ca="1" si="423"/>
        <v>0.98535660927839852</v>
      </c>
      <c r="J5105">
        <f t="shared" ca="1" si="425"/>
        <v>0</v>
      </c>
      <c r="K5105">
        <f t="shared" ca="1" si="426"/>
        <v>0</v>
      </c>
      <c r="L5105">
        <f t="shared" si="427"/>
        <v>5099</v>
      </c>
      <c r="M5105" s="71">
        <f t="shared" ca="1" si="428"/>
        <v>0</v>
      </c>
    </row>
    <row r="5106" spans="1:13" x14ac:dyDescent="0.25">
      <c r="A5106" s="2">
        <v>5100</v>
      </c>
      <c r="B5106" s="11">
        <f t="shared" ca="1" si="424"/>
        <v>1</v>
      </c>
      <c r="C5106" s="26">
        <f t="shared" ca="1" si="423"/>
        <v>0.48436486998345663</v>
      </c>
      <c r="J5106">
        <f t="shared" ca="1" si="425"/>
        <v>1</v>
      </c>
      <c r="K5106">
        <f t="shared" ca="1" si="426"/>
        <v>0</v>
      </c>
      <c r="L5106">
        <f t="shared" si="427"/>
        <v>5100</v>
      </c>
      <c r="M5106" s="71">
        <f t="shared" ca="1" si="428"/>
        <v>6.1462420472781094</v>
      </c>
    </row>
    <row r="5107" spans="1:13" x14ac:dyDescent="0.25">
      <c r="A5107" s="2">
        <v>5101</v>
      </c>
      <c r="B5107" s="11">
        <f t="shared" ca="1" si="424"/>
        <v>1</v>
      </c>
      <c r="C5107" s="26">
        <f t="shared" ca="1" si="423"/>
        <v>0.35226585966337776</v>
      </c>
      <c r="J5107">
        <f t="shared" ca="1" si="425"/>
        <v>1</v>
      </c>
      <c r="K5107">
        <f t="shared" ca="1" si="426"/>
        <v>0</v>
      </c>
      <c r="L5107">
        <f t="shared" si="427"/>
        <v>5101</v>
      </c>
      <c r="M5107" s="71">
        <f t="shared" ca="1" si="428"/>
        <v>3.9737362588718743</v>
      </c>
    </row>
    <row r="5108" spans="1:13" x14ac:dyDescent="0.25">
      <c r="A5108" s="2">
        <v>5102</v>
      </c>
      <c r="B5108" s="11">
        <f t="shared" ca="1" si="424"/>
        <v>1</v>
      </c>
      <c r="C5108" s="26">
        <f t="shared" ca="1" si="423"/>
        <v>0.70208192768027666</v>
      </c>
      <c r="J5108">
        <f t="shared" ca="1" si="425"/>
        <v>1</v>
      </c>
      <c r="K5108">
        <f t="shared" ca="1" si="426"/>
        <v>0</v>
      </c>
      <c r="L5108">
        <f t="shared" si="427"/>
        <v>5102</v>
      </c>
      <c r="M5108" s="71">
        <f t="shared" ca="1" si="428"/>
        <v>5.6827572633149579</v>
      </c>
    </row>
    <row r="5109" spans="1:13" x14ac:dyDescent="0.25">
      <c r="A5109" s="2">
        <v>5103</v>
      </c>
      <c r="B5109" s="11">
        <f t="shared" ca="1" si="424"/>
        <v>1</v>
      </c>
      <c r="C5109" s="26">
        <f t="shared" ca="1" si="423"/>
        <v>0.16320491717034147</v>
      </c>
      <c r="J5109">
        <f t="shared" ca="1" si="425"/>
        <v>0</v>
      </c>
      <c r="K5109">
        <f t="shared" ca="1" si="426"/>
        <v>0</v>
      </c>
      <c r="L5109">
        <f t="shared" si="427"/>
        <v>5103</v>
      </c>
      <c r="M5109" s="71">
        <f t="shared" ca="1" si="428"/>
        <v>0.87736043049373091</v>
      </c>
    </row>
    <row r="5110" spans="1:13" x14ac:dyDescent="0.25">
      <c r="A5110" s="2">
        <v>5104</v>
      </c>
      <c r="B5110" s="11">
        <f t="shared" ca="1" si="424"/>
        <v>0</v>
      </c>
      <c r="C5110" s="26">
        <f t="shared" ca="1" si="423"/>
        <v>0.95588794575420888</v>
      </c>
      <c r="J5110">
        <f t="shared" ca="1" si="425"/>
        <v>0</v>
      </c>
      <c r="K5110">
        <f t="shared" ca="1" si="426"/>
        <v>1</v>
      </c>
      <c r="L5110">
        <f t="shared" si="427"/>
        <v>5104</v>
      </c>
      <c r="M5110" s="71">
        <f t="shared" ca="1" si="428"/>
        <v>0</v>
      </c>
    </row>
    <row r="5111" spans="1:13" x14ac:dyDescent="0.25">
      <c r="A5111" s="2">
        <v>5105</v>
      </c>
      <c r="B5111" s="11">
        <f t="shared" ca="1" si="424"/>
        <v>0</v>
      </c>
      <c r="C5111" s="26">
        <f t="shared" ca="1" si="423"/>
        <v>0.9852111427890885</v>
      </c>
      <c r="J5111">
        <f t="shared" ca="1" si="425"/>
        <v>0</v>
      </c>
      <c r="K5111">
        <f t="shared" ca="1" si="426"/>
        <v>0</v>
      </c>
      <c r="L5111">
        <f t="shared" si="427"/>
        <v>5105</v>
      </c>
      <c r="M5111" s="71">
        <f t="shared" ca="1" si="428"/>
        <v>0</v>
      </c>
    </row>
    <row r="5112" spans="1:13" x14ac:dyDescent="0.25">
      <c r="A5112" s="2">
        <v>5106</v>
      </c>
      <c r="B5112" s="11">
        <f t="shared" ca="1" si="424"/>
        <v>1</v>
      </c>
      <c r="C5112" s="26">
        <f t="shared" ca="1" si="423"/>
        <v>0.30783344417080827</v>
      </c>
      <c r="J5112">
        <f t="shared" ca="1" si="425"/>
        <v>0</v>
      </c>
      <c r="K5112">
        <f t="shared" ca="1" si="426"/>
        <v>0</v>
      </c>
      <c r="L5112">
        <f t="shared" si="427"/>
        <v>5106</v>
      </c>
      <c r="M5112" s="71">
        <f t="shared" ca="1" si="428"/>
        <v>3.0598565722886435</v>
      </c>
    </row>
    <row r="5113" spans="1:13" x14ac:dyDescent="0.25">
      <c r="A5113" s="2">
        <v>5107</v>
      </c>
      <c r="B5113" s="11">
        <f t="shared" ca="1" si="424"/>
        <v>0</v>
      </c>
      <c r="C5113" s="26">
        <f t="shared" ca="1" si="423"/>
        <v>0.87421260769666531</v>
      </c>
      <c r="J5113">
        <f t="shared" ca="1" si="425"/>
        <v>0</v>
      </c>
      <c r="K5113">
        <f t="shared" ca="1" si="426"/>
        <v>0</v>
      </c>
      <c r="L5113">
        <f t="shared" si="427"/>
        <v>5107</v>
      </c>
      <c r="M5113" s="71">
        <f t="shared" ca="1" si="428"/>
        <v>0</v>
      </c>
    </row>
    <row r="5114" spans="1:13" x14ac:dyDescent="0.25">
      <c r="A5114" s="2">
        <v>5108</v>
      </c>
      <c r="B5114" s="11">
        <f t="shared" ca="1" si="424"/>
        <v>1</v>
      </c>
      <c r="C5114" s="26">
        <f t="shared" ca="1" si="423"/>
        <v>0.27140050578364538</v>
      </c>
      <c r="J5114">
        <f t="shared" ca="1" si="425"/>
        <v>1</v>
      </c>
      <c r="K5114">
        <f t="shared" ca="1" si="426"/>
        <v>0</v>
      </c>
      <c r="L5114">
        <f t="shared" si="427"/>
        <v>5108</v>
      </c>
      <c r="M5114" s="71">
        <f t="shared" ca="1" si="428"/>
        <v>1.8461573336776749</v>
      </c>
    </row>
    <row r="5115" spans="1:13" x14ac:dyDescent="0.25">
      <c r="A5115" s="2">
        <v>5109</v>
      </c>
      <c r="B5115" s="11">
        <f t="shared" ca="1" si="424"/>
        <v>1</v>
      </c>
      <c r="C5115" s="26">
        <f t="shared" ca="1" si="423"/>
        <v>0.32451103769341016</v>
      </c>
      <c r="J5115">
        <f t="shared" ca="1" si="425"/>
        <v>1</v>
      </c>
      <c r="K5115">
        <f t="shared" ca="1" si="426"/>
        <v>0</v>
      </c>
      <c r="L5115">
        <f t="shared" si="427"/>
        <v>5109</v>
      </c>
      <c r="M5115" s="71">
        <f t="shared" ca="1" si="428"/>
        <v>3.8558459621273871</v>
      </c>
    </row>
    <row r="5116" spans="1:13" x14ac:dyDescent="0.25">
      <c r="A5116" s="2">
        <v>5110</v>
      </c>
      <c r="B5116" s="11">
        <f t="shared" ca="1" si="424"/>
        <v>1</v>
      </c>
      <c r="C5116" s="26">
        <f t="shared" ca="1" si="423"/>
        <v>0.65196178387695292</v>
      </c>
      <c r="J5116">
        <f t="shared" ca="1" si="425"/>
        <v>1</v>
      </c>
      <c r="K5116">
        <f t="shared" ca="1" si="426"/>
        <v>0</v>
      </c>
      <c r="L5116">
        <f t="shared" si="427"/>
        <v>5110</v>
      </c>
      <c r="M5116" s="71">
        <f t="shared" ca="1" si="428"/>
        <v>5.0956573667872469</v>
      </c>
    </row>
    <row r="5117" spans="1:13" x14ac:dyDescent="0.25">
      <c r="A5117" s="2">
        <v>5111</v>
      </c>
      <c r="B5117" s="11">
        <f t="shared" ca="1" si="424"/>
        <v>1</v>
      </c>
      <c r="C5117" s="26">
        <f t="shared" ca="1" si="423"/>
        <v>0.68140193638613333</v>
      </c>
      <c r="J5117">
        <f t="shared" ca="1" si="425"/>
        <v>1</v>
      </c>
      <c r="K5117">
        <f t="shared" ca="1" si="426"/>
        <v>0</v>
      </c>
      <c r="L5117">
        <f t="shared" si="427"/>
        <v>5111</v>
      </c>
      <c r="M5117" s="71">
        <f t="shared" ca="1" si="428"/>
        <v>5.1957268061690574</v>
      </c>
    </row>
    <row r="5118" spans="1:13" x14ac:dyDescent="0.25">
      <c r="A5118" s="2">
        <v>5112</v>
      </c>
      <c r="B5118" s="11">
        <f t="shared" ca="1" si="424"/>
        <v>1</v>
      </c>
      <c r="C5118" s="26">
        <f t="shared" ca="1" si="423"/>
        <v>0.33329919264859154</v>
      </c>
      <c r="J5118">
        <f t="shared" ca="1" si="425"/>
        <v>0</v>
      </c>
      <c r="K5118">
        <f t="shared" ca="1" si="426"/>
        <v>0</v>
      </c>
      <c r="L5118">
        <f t="shared" si="427"/>
        <v>5112</v>
      </c>
      <c r="M5118" s="71">
        <f t="shared" ca="1" si="428"/>
        <v>5.9390701825448735</v>
      </c>
    </row>
    <row r="5119" spans="1:13" x14ac:dyDescent="0.25">
      <c r="A5119" s="2">
        <v>5113</v>
      </c>
      <c r="B5119" s="11">
        <f t="shared" ca="1" si="424"/>
        <v>0</v>
      </c>
      <c r="C5119" s="26">
        <f t="shared" ca="1" si="423"/>
        <v>0.85443989828306899</v>
      </c>
      <c r="J5119">
        <f t="shared" ca="1" si="425"/>
        <v>0</v>
      </c>
      <c r="K5119">
        <f t="shared" ca="1" si="426"/>
        <v>0</v>
      </c>
      <c r="L5119">
        <f t="shared" si="427"/>
        <v>5113</v>
      </c>
      <c r="M5119" s="71">
        <f t="shared" ca="1" si="428"/>
        <v>0</v>
      </c>
    </row>
    <row r="5120" spans="1:13" x14ac:dyDescent="0.25">
      <c r="A5120" s="2">
        <v>5114</v>
      </c>
      <c r="B5120" s="11">
        <f t="shared" ca="1" si="424"/>
        <v>1</v>
      </c>
      <c r="C5120" s="26">
        <f t="shared" ca="1" si="423"/>
        <v>0.70570028068417634</v>
      </c>
      <c r="J5120">
        <f t="shared" ca="1" si="425"/>
        <v>1</v>
      </c>
      <c r="K5120">
        <f t="shared" ca="1" si="426"/>
        <v>0</v>
      </c>
      <c r="L5120">
        <f t="shared" si="427"/>
        <v>5114</v>
      </c>
      <c r="M5120" s="71">
        <f t="shared" ca="1" si="428"/>
        <v>9.9101954757216308</v>
      </c>
    </row>
    <row r="5121" spans="1:13" x14ac:dyDescent="0.25">
      <c r="A5121" s="2">
        <v>5115</v>
      </c>
      <c r="B5121" s="11">
        <f t="shared" ca="1" si="424"/>
        <v>1</v>
      </c>
      <c r="C5121" s="26">
        <f t="shared" ca="1" si="423"/>
        <v>0.63071148301241375</v>
      </c>
      <c r="J5121">
        <f t="shared" ca="1" si="425"/>
        <v>1</v>
      </c>
      <c r="K5121">
        <f t="shared" ca="1" si="426"/>
        <v>0</v>
      </c>
      <c r="L5121">
        <f t="shared" si="427"/>
        <v>5115</v>
      </c>
      <c r="M5121" s="71">
        <f t="shared" ca="1" si="428"/>
        <v>3.1950257902463677</v>
      </c>
    </row>
    <row r="5122" spans="1:13" x14ac:dyDescent="0.25">
      <c r="A5122" s="2">
        <v>5116</v>
      </c>
      <c r="B5122" s="11">
        <f t="shared" ca="1" si="424"/>
        <v>1</v>
      </c>
      <c r="C5122" s="26">
        <f t="shared" ca="1" si="423"/>
        <v>0.27012192130882828</v>
      </c>
      <c r="J5122">
        <f t="shared" ca="1" si="425"/>
        <v>1</v>
      </c>
      <c r="K5122">
        <f t="shared" ca="1" si="426"/>
        <v>0</v>
      </c>
      <c r="L5122">
        <f t="shared" si="427"/>
        <v>5116</v>
      </c>
      <c r="M5122" s="71">
        <f t="shared" ca="1" si="428"/>
        <v>5.1800268457300547</v>
      </c>
    </row>
    <row r="5123" spans="1:13" x14ac:dyDescent="0.25">
      <c r="A5123" s="2">
        <v>5117</v>
      </c>
      <c r="B5123" s="11">
        <f t="shared" ca="1" si="424"/>
        <v>1</v>
      </c>
      <c r="C5123" s="26">
        <f t="shared" ca="1" si="423"/>
        <v>0.20063434336620001</v>
      </c>
      <c r="J5123">
        <f t="shared" ca="1" si="425"/>
        <v>1</v>
      </c>
      <c r="K5123">
        <f t="shared" ca="1" si="426"/>
        <v>0</v>
      </c>
      <c r="L5123">
        <f t="shared" si="427"/>
        <v>5117</v>
      </c>
      <c r="M5123" s="71">
        <f t="shared" ca="1" si="428"/>
        <v>4.7896250972020091</v>
      </c>
    </row>
    <row r="5124" spans="1:13" x14ac:dyDescent="0.25">
      <c r="A5124" s="2">
        <v>5118</v>
      </c>
      <c r="B5124" s="11">
        <f t="shared" ca="1" si="424"/>
        <v>1</v>
      </c>
      <c r="C5124" s="26">
        <f t="shared" ca="1" si="423"/>
        <v>0.16250932626115078</v>
      </c>
      <c r="J5124">
        <f t="shared" ca="1" si="425"/>
        <v>1</v>
      </c>
      <c r="K5124">
        <f t="shared" ca="1" si="426"/>
        <v>0</v>
      </c>
      <c r="L5124">
        <f t="shared" si="427"/>
        <v>5118</v>
      </c>
      <c r="M5124" s="71">
        <f t="shared" ca="1" si="428"/>
        <v>2.5070961438005566</v>
      </c>
    </row>
    <row r="5125" spans="1:13" x14ac:dyDescent="0.25">
      <c r="A5125" s="2">
        <v>5119</v>
      </c>
      <c r="B5125" s="11">
        <f t="shared" ca="1" si="424"/>
        <v>1</v>
      </c>
      <c r="C5125" s="26">
        <f t="shared" ca="1" si="423"/>
        <v>0.7931706983698944</v>
      </c>
      <c r="J5125">
        <f t="shared" ca="1" si="425"/>
        <v>1</v>
      </c>
      <c r="K5125">
        <f t="shared" ca="1" si="426"/>
        <v>0</v>
      </c>
      <c r="L5125">
        <f t="shared" si="427"/>
        <v>5119</v>
      </c>
      <c r="M5125" s="71">
        <f t="shared" ca="1" si="428"/>
        <v>3.6336204833252541</v>
      </c>
    </row>
    <row r="5126" spans="1:13" x14ac:dyDescent="0.25">
      <c r="A5126" s="2">
        <v>5120</v>
      </c>
      <c r="B5126" s="11">
        <f t="shared" ca="1" si="424"/>
        <v>1</v>
      </c>
      <c r="C5126" s="26">
        <f t="shared" ca="1" si="423"/>
        <v>0.23370454777408201</v>
      </c>
      <c r="J5126">
        <f t="shared" ca="1" si="425"/>
        <v>1</v>
      </c>
      <c r="K5126">
        <f t="shared" ca="1" si="426"/>
        <v>0</v>
      </c>
      <c r="L5126">
        <f t="shared" si="427"/>
        <v>5120</v>
      </c>
      <c r="M5126" s="71">
        <f t="shared" ca="1" si="428"/>
        <v>0.22591311325466437</v>
      </c>
    </row>
    <row r="5127" spans="1:13" x14ac:dyDescent="0.25">
      <c r="A5127" s="2">
        <v>5121</v>
      </c>
      <c r="B5127" s="11">
        <f t="shared" ca="1" si="424"/>
        <v>1</v>
      </c>
      <c r="C5127" s="26">
        <f t="shared" ca="1" si="423"/>
        <v>0.65263977312359056</v>
      </c>
      <c r="J5127">
        <f t="shared" ca="1" si="425"/>
        <v>1</v>
      </c>
      <c r="K5127">
        <f t="shared" ca="1" si="426"/>
        <v>0</v>
      </c>
      <c r="L5127">
        <f t="shared" si="427"/>
        <v>5121</v>
      </c>
      <c r="M5127" s="71">
        <f t="shared" ca="1" si="428"/>
        <v>10.448354802024614</v>
      </c>
    </row>
    <row r="5128" spans="1:13" x14ac:dyDescent="0.25">
      <c r="A5128" s="2">
        <v>5122</v>
      </c>
      <c r="B5128" s="11">
        <f t="shared" ca="1" si="424"/>
        <v>1</v>
      </c>
      <c r="C5128" s="26">
        <f t="shared" ref="C5128:C5191" ca="1" si="429">RAND()</f>
        <v>0.50777299645189589</v>
      </c>
      <c r="J5128">
        <f t="shared" ca="1" si="425"/>
        <v>1</v>
      </c>
      <c r="K5128">
        <f t="shared" ca="1" si="426"/>
        <v>0</v>
      </c>
      <c r="L5128">
        <f t="shared" si="427"/>
        <v>5122</v>
      </c>
      <c r="M5128" s="71">
        <f t="shared" ca="1" si="428"/>
        <v>2.6797960928241289</v>
      </c>
    </row>
    <row r="5129" spans="1:13" x14ac:dyDescent="0.25">
      <c r="A5129" s="2">
        <v>5123</v>
      </c>
      <c r="B5129" s="11">
        <f t="shared" ref="B5129:B5192" ca="1" si="430">IF(B5128&gt;0,IF(C5129&lt;pww,1,0),IF(C5129&lt;pdw,1,0))</f>
        <v>1</v>
      </c>
      <c r="C5129" s="26">
        <f t="shared" ca="1" si="429"/>
        <v>0.40624418582381616</v>
      </c>
      <c r="J5129">
        <f t="shared" ca="1" si="425"/>
        <v>1</v>
      </c>
      <c r="K5129">
        <f t="shared" ca="1" si="426"/>
        <v>0</v>
      </c>
      <c r="L5129">
        <f t="shared" si="427"/>
        <v>5123</v>
      </c>
      <c r="M5129" s="71">
        <f t="shared" ca="1" si="428"/>
        <v>1.2288931845297844</v>
      </c>
    </row>
    <row r="5130" spans="1:13" x14ac:dyDescent="0.25">
      <c r="A5130" s="2">
        <v>5124</v>
      </c>
      <c r="B5130" s="11">
        <f t="shared" ca="1" si="430"/>
        <v>1</v>
      </c>
      <c r="C5130" s="26">
        <f t="shared" ca="1" si="429"/>
        <v>4.7091622836781366E-2</v>
      </c>
      <c r="J5130">
        <f t="shared" ref="J5130:J5193" ca="1" si="431">IF(AND(B5130,B5131),1,0)</f>
        <v>0</v>
      </c>
      <c r="K5130">
        <f t="shared" ref="K5130:K5193" ca="1" si="432">IF(AND(NOT(B5130),NOT(B5131)),1,0)</f>
        <v>0</v>
      </c>
      <c r="L5130">
        <f t="shared" ref="L5130:L5193" si="433">L5129+1</f>
        <v>5124</v>
      </c>
      <c r="M5130" s="71">
        <f t="shared" ref="M5130:M5193" ca="1" si="434">IF(B5130&gt;0,-LN(1-(RAND()))/lambda,0)</f>
        <v>1.3602963265654351</v>
      </c>
    </row>
    <row r="5131" spans="1:13" x14ac:dyDescent="0.25">
      <c r="A5131" s="2">
        <v>5125</v>
      </c>
      <c r="B5131" s="11">
        <f t="shared" ca="1" si="430"/>
        <v>0</v>
      </c>
      <c r="C5131" s="26">
        <f t="shared" ca="1" si="429"/>
        <v>0.88129128687033198</v>
      </c>
      <c r="J5131">
        <f t="shared" ca="1" si="431"/>
        <v>0</v>
      </c>
      <c r="K5131">
        <f t="shared" ca="1" si="432"/>
        <v>0</v>
      </c>
      <c r="L5131">
        <f t="shared" si="433"/>
        <v>5125</v>
      </c>
      <c r="M5131" s="71">
        <f t="shared" ca="1" si="434"/>
        <v>0</v>
      </c>
    </row>
    <row r="5132" spans="1:13" x14ac:dyDescent="0.25">
      <c r="A5132" s="2">
        <v>5126</v>
      </c>
      <c r="B5132" s="11">
        <f t="shared" ca="1" si="430"/>
        <v>1</v>
      </c>
      <c r="C5132" s="26">
        <f t="shared" ca="1" si="429"/>
        <v>0.32441205245369398</v>
      </c>
      <c r="J5132">
        <f t="shared" ca="1" si="431"/>
        <v>1</v>
      </c>
      <c r="K5132">
        <f t="shared" ca="1" si="432"/>
        <v>0</v>
      </c>
      <c r="L5132">
        <f t="shared" si="433"/>
        <v>5126</v>
      </c>
      <c r="M5132" s="71">
        <f t="shared" ca="1" si="434"/>
        <v>1.4428674116695996</v>
      </c>
    </row>
    <row r="5133" spans="1:13" x14ac:dyDescent="0.25">
      <c r="A5133" s="2">
        <v>5127</v>
      </c>
      <c r="B5133" s="11">
        <f t="shared" ca="1" si="430"/>
        <v>1</v>
      </c>
      <c r="C5133" s="26">
        <f t="shared" ca="1" si="429"/>
        <v>0.44415265201786447</v>
      </c>
      <c r="J5133">
        <f t="shared" ca="1" si="431"/>
        <v>0</v>
      </c>
      <c r="K5133">
        <f t="shared" ca="1" si="432"/>
        <v>0</v>
      </c>
      <c r="L5133">
        <f t="shared" si="433"/>
        <v>5127</v>
      </c>
      <c r="M5133" s="71">
        <f t="shared" ca="1" si="434"/>
        <v>6.7575633183695336</v>
      </c>
    </row>
    <row r="5134" spans="1:13" x14ac:dyDescent="0.25">
      <c r="A5134" s="2">
        <v>5128</v>
      </c>
      <c r="B5134" s="11">
        <f t="shared" ca="1" si="430"/>
        <v>0</v>
      </c>
      <c r="C5134" s="26">
        <f t="shared" ca="1" si="429"/>
        <v>0.9520473565179427</v>
      </c>
      <c r="J5134">
        <f t="shared" ca="1" si="431"/>
        <v>0</v>
      </c>
      <c r="K5134">
        <f t="shared" ca="1" si="432"/>
        <v>0</v>
      </c>
      <c r="L5134">
        <f t="shared" si="433"/>
        <v>5128</v>
      </c>
      <c r="M5134" s="71">
        <f t="shared" ca="1" si="434"/>
        <v>0</v>
      </c>
    </row>
    <row r="5135" spans="1:13" x14ac:dyDescent="0.25">
      <c r="A5135" s="2">
        <v>5129</v>
      </c>
      <c r="B5135" s="11">
        <f t="shared" ca="1" si="430"/>
        <v>1</v>
      </c>
      <c r="C5135" s="26">
        <f t="shared" ca="1" si="429"/>
        <v>0.50772035995248266</v>
      </c>
      <c r="J5135">
        <f t="shared" ca="1" si="431"/>
        <v>0</v>
      </c>
      <c r="K5135">
        <f t="shared" ca="1" si="432"/>
        <v>0</v>
      </c>
      <c r="L5135">
        <f t="shared" si="433"/>
        <v>5129</v>
      </c>
      <c r="M5135" s="71">
        <f t="shared" ca="1" si="434"/>
        <v>5.385962994116869</v>
      </c>
    </row>
    <row r="5136" spans="1:13" x14ac:dyDescent="0.25">
      <c r="A5136" s="2">
        <v>5130</v>
      </c>
      <c r="B5136" s="11">
        <f t="shared" ca="1" si="430"/>
        <v>0</v>
      </c>
      <c r="C5136" s="26">
        <f t="shared" ca="1" si="429"/>
        <v>0.87257451347419324</v>
      </c>
      <c r="J5136">
        <f t="shared" ca="1" si="431"/>
        <v>0</v>
      </c>
      <c r="K5136">
        <f t="shared" ca="1" si="432"/>
        <v>0</v>
      </c>
      <c r="L5136">
        <f t="shared" si="433"/>
        <v>5130</v>
      </c>
      <c r="M5136" s="71">
        <f t="shared" ca="1" si="434"/>
        <v>0</v>
      </c>
    </row>
    <row r="5137" spans="1:13" x14ac:dyDescent="0.25">
      <c r="A5137" s="2">
        <v>5131</v>
      </c>
      <c r="B5137" s="11">
        <f t="shared" ca="1" si="430"/>
        <v>1</v>
      </c>
      <c r="C5137" s="26">
        <f t="shared" ca="1" si="429"/>
        <v>0.22188459126632154</v>
      </c>
      <c r="J5137">
        <f t="shared" ca="1" si="431"/>
        <v>1</v>
      </c>
      <c r="K5137">
        <f t="shared" ca="1" si="432"/>
        <v>0</v>
      </c>
      <c r="L5137">
        <f t="shared" si="433"/>
        <v>5131</v>
      </c>
      <c r="M5137" s="71">
        <f t="shared" ca="1" si="434"/>
        <v>0.14164042555576989</v>
      </c>
    </row>
    <row r="5138" spans="1:13" x14ac:dyDescent="0.25">
      <c r="A5138" s="2">
        <v>5132</v>
      </c>
      <c r="B5138" s="11">
        <f t="shared" ca="1" si="430"/>
        <v>1</v>
      </c>
      <c r="C5138" s="26">
        <f t="shared" ca="1" si="429"/>
        <v>0.25924721825116881</v>
      </c>
      <c r="J5138">
        <f t="shared" ca="1" si="431"/>
        <v>1</v>
      </c>
      <c r="K5138">
        <f t="shared" ca="1" si="432"/>
        <v>0</v>
      </c>
      <c r="L5138">
        <f t="shared" si="433"/>
        <v>5132</v>
      </c>
      <c r="M5138" s="71">
        <f t="shared" ca="1" si="434"/>
        <v>11.274542830414971</v>
      </c>
    </row>
    <row r="5139" spans="1:13" x14ac:dyDescent="0.25">
      <c r="A5139" s="2">
        <v>5133</v>
      </c>
      <c r="B5139" s="11">
        <f t="shared" ca="1" si="430"/>
        <v>1</v>
      </c>
      <c r="C5139" s="26">
        <f t="shared" ca="1" si="429"/>
        <v>0.14718638612362211</v>
      </c>
      <c r="J5139">
        <f t="shared" ca="1" si="431"/>
        <v>1</v>
      </c>
      <c r="K5139">
        <f t="shared" ca="1" si="432"/>
        <v>0</v>
      </c>
      <c r="L5139">
        <f t="shared" si="433"/>
        <v>5133</v>
      </c>
      <c r="M5139" s="71">
        <f t="shared" ca="1" si="434"/>
        <v>1.4279816716976239</v>
      </c>
    </row>
    <row r="5140" spans="1:13" x14ac:dyDescent="0.25">
      <c r="A5140" s="2">
        <v>5134</v>
      </c>
      <c r="B5140" s="11">
        <f t="shared" ca="1" si="430"/>
        <v>1</v>
      </c>
      <c r="C5140" s="26">
        <f t="shared" ca="1" si="429"/>
        <v>0.47850054206591508</v>
      </c>
      <c r="J5140">
        <f t="shared" ca="1" si="431"/>
        <v>1</v>
      </c>
      <c r="K5140">
        <f t="shared" ca="1" si="432"/>
        <v>0</v>
      </c>
      <c r="L5140">
        <f t="shared" si="433"/>
        <v>5134</v>
      </c>
      <c r="M5140" s="71">
        <f t="shared" ca="1" si="434"/>
        <v>6.5507857723917597</v>
      </c>
    </row>
    <row r="5141" spans="1:13" x14ac:dyDescent="0.25">
      <c r="A5141" s="2">
        <v>5135</v>
      </c>
      <c r="B5141" s="11">
        <f t="shared" ca="1" si="430"/>
        <v>1</v>
      </c>
      <c r="C5141" s="26">
        <f t="shared" ca="1" si="429"/>
        <v>0.61038491131152972</v>
      </c>
      <c r="J5141">
        <f t="shared" ca="1" si="431"/>
        <v>1</v>
      </c>
      <c r="K5141">
        <f t="shared" ca="1" si="432"/>
        <v>0</v>
      </c>
      <c r="L5141">
        <f t="shared" si="433"/>
        <v>5135</v>
      </c>
      <c r="M5141" s="71">
        <f t="shared" ca="1" si="434"/>
        <v>3.8436906797816959</v>
      </c>
    </row>
    <row r="5142" spans="1:13" x14ac:dyDescent="0.25">
      <c r="A5142" s="2">
        <v>5136</v>
      </c>
      <c r="B5142" s="11">
        <f t="shared" ca="1" si="430"/>
        <v>1</v>
      </c>
      <c r="C5142" s="26">
        <f t="shared" ca="1" si="429"/>
        <v>0.17228671023629694</v>
      </c>
      <c r="J5142">
        <f t="shared" ca="1" si="431"/>
        <v>1</v>
      </c>
      <c r="K5142">
        <f t="shared" ca="1" si="432"/>
        <v>0</v>
      </c>
      <c r="L5142">
        <f t="shared" si="433"/>
        <v>5136</v>
      </c>
      <c r="M5142" s="71">
        <f t="shared" ca="1" si="434"/>
        <v>0.48252312629616112</v>
      </c>
    </row>
    <row r="5143" spans="1:13" x14ac:dyDescent="0.25">
      <c r="A5143" s="2">
        <v>5137</v>
      </c>
      <c r="B5143" s="11">
        <f t="shared" ca="1" si="430"/>
        <v>1</v>
      </c>
      <c r="C5143" s="26">
        <f t="shared" ca="1" si="429"/>
        <v>0.65353847872562665</v>
      </c>
      <c r="J5143">
        <f t="shared" ca="1" si="431"/>
        <v>0</v>
      </c>
      <c r="K5143">
        <f t="shared" ca="1" si="432"/>
        <v>0</v>
      </c>
      <c r="L5143">
        <f t="shared" si="433"/>
        <v>5137</v>
      </c>
      <c r="M5143" s="71">
        <f t="shared" ca="1" si="434"/>
        <v>5.7988197167843332</v>
      </c>
    </row>
    <row r="5144" spans="1:13" x14ac:dyDescent="0.25">
      <c r="A5144" s="2">
        <v>5138</v>
      </c>
      <c r="B5144" s="11">
        <f t="shared" ca="1" si="430"/>
        <v>0</v>
      </c>
      <c r="C5144" s="26">
        <f t="shared" ca="1" si="429"/>
        <v>0.94963081411606243</v>
      </c>
      <c r="J5144">
        <f t="shared" ca="1" si="431"/>
        <v>0</v>
      </c>
      <c r="K5144">
        <f t="shared" ca="1" si="432"/>
        <v>1</v>
      </c>
      <c r="L5144">
        <f t="shared" si="433"/>
        <v>5138</v>
      </c>
      <c r="M5144" s="71">
        <f t="shared" ca="1" si="434"/>
        <v>0</v>
      </c>
    </row>
    <row r="5145" spans="1:13" x14ac:dyDescent="0.25">
      <c r="A5145" s="2">
        <v>5139</v>
      </c>
      <c r="B5145" s="11">
        <f t="shared" ca="1" si="430"/>
        <v>0</v>
      </c>
      <c r="C5145" s="26">
        <f t="shared" ca="1" si="429"/>
        <v>0.79700769663650251</v>
      </c>
      <c r="J5145">
        <f t="shared" ca="1" si="431"/>
        <v>0</v>
      </c>
      <c r="K5145">
        <f t="shared" ca="1" si="432"/>
        <v>0</v>
      </c>
      <c r="L5145">
        <f t="shared" si="433"/>
        <v>5139</v>
      </c>
      <c r="M5145" s="71">
        <f t="shared" ca="1" si="434"/>
        <v>0</v>
      </c>
    </row>
    <row r="5146" spans="1:13" x14ac:dyDescent="0.25">
      <c r="A5146" s="2">
        <v>5140</v>
      </c>
      <c r="B5146" s="11">
        <f t="shared" ca="1" si="430"/>
        <v>1</v>
      </c>
      <c r="C5146" s="26">
        <f t="shared" ca="1" si="429"/>
        <v>0.33627492801006276</v>
      </c>
      <c r="J5146">
        <f t="shared" ca="1" si="431"/>
        <v>1</v>
      </c>
      <c r="K5146">
        <f t="shared" ca="1" si="432"/>
        <v>0</v>
      </c>
      <c r="L5146">
        <f t="shared" si="433"/>
        <v>5140</v>
      </c>
      <c r="M5146" s="71">
        <f t="shared" ca="1" si="434"/>
        <v>1.5953987045759346</v>
      </c>
    </row>
    <row r="5147" spans="1:13" x14ac:dyDescent="0.25">
      <c r="A5147" s="2">
        <v>5141</v>
      </c>
      <c r="B5147" s="11">
        <f t="shared" ca="1" si="430"/>
        <v>1</v>
      </c>
      <c r="C5147" s="26">
        <f t="shared" ca="1" si="429"/>
        <v>0.59829575557492953</v>
      </c>
      <c r="J5147">
        <f t="shared" ca="1" si="431"/>
        <v>1</v>
      </c>
      <c r="K5147">
        <f t="shared" ca="1" si="432"/>
        <v>0</v>
      </c>
      <c r="L5147">
        <f t="shared" si="433"/>
        <v>5141</v>
      </c>
      <c r="M5147" s="71">
        <f t="shared" ca="1" si="434"/>
        <v>2.4153163767476391</v>
      </c>
    </row>
    <row r="5148" spans="1:13" x14ac:dyDescent="0.25">
      <c r="A5148" s="2">
        <v>5142</v>
      </c>
      <c r="B5148" s="11">
        <f t="shared" ca="1" si="430"/>
        <v>1</v>
      </c>
      <c r="C5148" s="26">
        <f t="shared" ca="1" si="429"/>
        <v>6.4805251034873446E-2</v>
      </c>
      <c r="J5148">
        <f t="shared" ca="1" si="431"/>
        <v>1</v>
      </c>
      <c r="K5148">
        <f t="shared" ca="1" si="432"/>
        <v>0</v>
      </c>
      <c r="L5148">
        <f t="shared" si="433"/>
        <v>5142</v>
      </c>
      <c r="M5148" s="71">
        <f t="shared" ca="1" si="434"/>
        <v>0.21855350713687274</v>
      </c>
    </row>
    <row r="5149" spans="1:13" x14ac:dyDescent="0.25">
      <c r="A5149" s="2">
        <v>5143</v>
      </c>
      <c r="B5149" s="11">
        <f t="shared" ca="1" si="430"/>
        <v>1</v>
      </c>
      <c r="C5149" s="26">
        <f t="shared" ca="1" si="429"/>
        <v>0.46146205416010233</v>
      </c>
      <c r="J5149">
        <f t="shared" ca="1" si="431"/>
        <v>1</v>
      </c>
      <c r="K5149">
        <f t="shared" ca="1" si="432"/>
        <v>0</v>
      </c>
      <c r="L5149">
        <f t="shared" si="433"/>
        <v>5143</v>
      </c>
      <c r="M5149" s="71">
        <f t="shared" ca="1" si="434"/>
        <v>0.89199649973692552</v>
      </c>
    </row>
    <row r="5150" spans="1:13" x14ac:dyDescent="0.25">
      <c r="A5150" s="2">
        <v>5144</v>
      </c>
      <c r="B5150" s="11">
        <f t="shared" ca="1" si="430"/>
        <v>1</v>
      </c>
      <c r="C5150" s="26">
        <f t="shared" ca="1" si="429"/>
        <v>0.65513920833490191</v>
      </c>
      <c r="J5150">
        <f t="shared" ca="1" si="431"/>
        <v>1</v>
      </c>
      <c r="K5150">
        <f t="shared" ca="1" si="432"/>
        <v>0</v>
      </c>
      <c r="L5150">
        <f t="shared" si="433"/>
        <v>5144</v>
      </c>
      <c r="M5150" s="71">
        <f t="shared" ca="1" si="434"/>
        <v>4.7487192489638117</v>
      </c>
    </row>
    <row r="5151" spans="1:13" x14ac:dyDescent="0.25">
      <c r="A5151" s="2">
        <v>5145</v>
      </c>
      <c r="B5151" s="11">
        <f t="shared" ca="1" si="430"/>
        <v>1</v>
      </c>
      <c r="C5151" s="26">
        <f t="shared" ca="1" si="429"/>
        <v>0.21114673512084514</v>
      </c>
      <c r="J5151">
        <f t="shared" ca="1" si="431"/>
        <v>1</v>
      </c>
      <c r="K5151">
        <f t="shared" ca="1" si="432"/>
        <v>0</v>
      </c>
      <c r="L5151">
        <f t="shared" si="433"/>
        <v>5145</v>
      </c>
      <c r="M5151" s="71">
        <f t="shared" ca="1" si="434"/>
        <v>1.6113012894285732</v>
      </c>
    </row>
    <row r="5152" spans="1:13" x14ac:dyDescent="0.25">
      <c r="A5152" s="2">
        <v>5146</v>
      </c>
      <c r="B5152" s="11">
        <f t="shared" ca="1" si="430"/>
        <v>1</v>
      </c>
      <c r="C5152" s="26">
        <f t="shared" ca="1" si="429"/>
        <v>0.17077494579822605</v>
      </c>
      <c r="J5152">
        <f t="shared" ca="1" si="431"/>
        <v>1</v>
      </c>
      <c r="K5152">
        <f t="shared" ca="1" si="432"/>
        <v>0</v>
      </c>
      <c r="L5152">
        <f t="shared" si="433"/>
        <v>5146</v>
      </c>
      <c r="M5152" s="71">
        <f t="shared" ca="1" si="434"/>
        <v>0.83295967509757118</v>
      </c>
    </row>
    <row r="5153" spans="1:13" x14ac:dyDescent="0.25">
      <c r="A5153" s="2">
        <v>5147</v>
      </c>
      <c r="B5153" s="11">
        <f t="shared" ca="1" si="430"/>
        <v>1</v>
      </c>
      <c r="C5153" s="26">
        <f t="shared" ca="1" si="429"/>
        <v>0.26623508360705117</v>
      </c>
      <c r="J5153">
        <f t="shared" ca="1" si="431"/>
        <v>1</v>
      </c>
      <c r="K5153">
        <f t="shared" ca="1" si="432"/>
        <v>0</v>
      </c>
      <c r="L5153">
        <f t="shared" si="433"/>
        <v>5147</v>
      </c>
      <c r="M5153" s="71">
        <f t="shared" ca="1" si="434"/>
        <v>0.46680191869889792</v>
      </c>
    </row>
    <row r="5154" spans="1:13" x14ac:dyDescent="0.25">
      <c r="A5154" s="2">
        <v>5148</v>
      </c>
      <c r="B5154" s="11">
        <f t="shared" ca="1" si="430"/>
        <v>1</v>
      </c>
      <c r="C5154" s="26">
        <f t="shared" ca="1" si="429"/>
        <v>0.34531446684730649</v>
      </c>
      <c r="J5154">
        <f t="shared" ca="1" si="431"/>
        <v>1</v>
      </c>
      <c r="K5154">
        <f t="shared" ca="1" si="432"/>
        <v>0</v>
      </c>
      <c r="L5154">
        <f t="shared" si="433"/>
        <v>5148</v>
      </c>
      <c r="M5154" s="71">
        <f t="shared" ca="1" si="434"/>
        <v>2.7284141002865834</v>
      </c>
    </row>
    <row r="5155" spans="1:13" x14ac:dyDescent="0.25">
      <c r="A5155" s="2">
        <v>5149</v>
      </c>
      <c r="B5155" s="11">
        <f t="shared" ca="1" si="430"/>
        <v>1</v>
      </c>
      <c r="C5155" s="26">
        <f t="shared" ca="1" si="429"/>
        <v>0.70786134349531116</v>
      </c>
      <c r="J5155">
        <f t="shared" ca="1" si="431"/>
        <v>1</v>
      </c>
      <c r="K5155">
        <f t="shared" ca="1" si="432"/>
        <v>0</v>
      </c>
      <c r="L5155">
        <f t="shared" si="433"/>
        <v>5149</v>
      </c>
      <c r="M5155" s="71">
        <f t="shared" ca="1" si="434"/>
        <v>6.3285646860545883</v>
      </c>
    </row>
    <row r="5156" spans="1:13" x14ac:dyDescent="0.25">
      <c r="A5156" s="2">
        <v>5150</v>
      </c>
      <c r="B5156" s="11">
        <f t="shared" ca="1" si="430"/>
        <v>1</v>
      </c>
      <c r="C5156" s="26">
        <f t="shared" ca="1" si="429"/>
        <v>0.79438935921609166</v>
      </c>
      <c r="J5156">
        <f t="shared" ca="1" si="431"/>
        <v>1</v>
      </c>
      <c r="K5156">
        <f t="shared" ca="1" si="432"/>
        <v>0</v>
      </c>
      <c r="L5156">
        <f t="shared" si="433"/>
        <v>5150</v>
      </c>
      <c r="M5156" s="71">
        <f t="shared" ca="1" si="434"/>
        <v>2.3328652692321881</v>
      </c>
    </row>
    <row r="5157" spans="1:13" x14ac:dyDescent="0.25">
      <c r="A5157" s="2">
        <v>5151</v>
      </c>
      <c r="B5157" s="11">
        <f t="shared" ca="1" si="430"/>
        <v>1</v>
      </c>
      <c r="C5157" s="26">
        <f t="shared" ca="1" si="429"/>
        <v>0.31728543277489984</v>
      </c>
      <c r="J5157">
        <f t="shared" ca="1" si="431"/>
        <v>0</v>
      </c>
      <c r="K5157">
        <f t="shared" ca="1" si="432"/>
        <v>0</v>
      </c>
      <c r="L5157">
        <f t="shared" si="433"/>
        <v>5151</v>
      </c>
      <c r="M5157" s="71">
        <f t="shared" ca="1" si="434"/>
        <v>5.4126229860121464</v>
      </c>
    </row>
    <row r="5158" spans="1:13" x14ac:dyDescent="0.25">
      <c r="A5158" s="2">
        <v>5152</v>
      </c>
      <c r="B5158" s="11">
        <f t="shared" ca="1" si="430"/>
        <v>0</v>
      </c>
      <c r="C5158" s="26">
        <f t="shared" ca="1" si="429"/>
        <v>0.99642286291219695</v>
      </c>
      <c r="J5158">
        <f t="shared" ca="1" si="431"/>
        <v>0</v>
      </c>
      <c r="K5158">
        <f t="shared" ca="1" si="432"/>
        <v>0</v>
      </c>
      <c r="L5158">
        <f t="shared" si="433"/>
        <v>5152</v>
      </c>
      <c r="M5158" s="71">
        <f t="shared" ca="1" si="434"/>
        <v>0</v>
      </c>
    </row>
    <row r="5159" spans="1:13" x14ac:dyDescent="0.25">
      <c r="A5159" s="2">
        <v>5153</v>
      </c>
      <c r="B5159" s="11">
        <f t="shared" ca="1" si="430"/>
        <v>1</v>
      </c>
      <c r="C5159" s="26">
        <f t="shared" ca="1" si="429"/>
        <v>0.39573897485834686</v>
      </c>
      <c r="J5159">
        <f t="shared" ca="1" si="431"/>
        <v>1</v>
      </c>
      <c r="K5159">
        <f t="shared" ca="1" si="432"/>
        <v>0</v>
      </c>
      <c r="L5159">
        <f t="shared" si="433"/>
        <v>5153</v>
      </c>
      <c r="M5159" s="71">
        <f t="shared" ca="1" si="434"/>
        <v>0.21732850752175026</v>
      </c>
    </row>
    <row r="5160" spans="1:13" x14ac:dyDescent="0.25">
      <c r="A5160" s="2">
        <v>5154</v>
      </c>
      <c r="B5160" s="11">
        <f t="shared" ca="1" si="430"/>
        <v>1</v>
      </c>
      <c r="C5160" s="26">
        <f t="shared" ca="1" si="429"/>
        <v>0.7113446548133906</v>
      </c>
      <c r="J5160">
        <f t="shared" ca="1" si="431"/>
        <v>0</v>
      </c>
      <c r="K5160">
        <f t="shared" ca="1" si="432"/>
        <v>0</v>
      </c>
      <c r="L5160">
        <f t="shared" si="433"/>
        <v>5154</v>
      </c>
      <c r="M5160" s="71">
        <f t="shared" ca="1" si="434"/>
        <v>1.6639176094444044</v>
      </c>
    </row>
    <row r="5161" spans="1:13" x14ac:dyDescent="0.25">
      <c r="A5161" s="2">
        <v>5155</v>
      </c>
      <c r="B5161" s="11">
        <f t="shared" ca="1" si="430"/>
        <v>0</v>
      </c>
      <c r="C5161" s="26">
        <f t="shared" ca="1" si="429"/>
        <v>0.82904499771101259</v>
      </c>
      <c r="J5161">
        <f t="shared" ca="1" si="431"/>
        <v>0</v>
      </c>
      <c r="K5161">
        <f t="shared" ca="1" si="432"/>
        <v>0</v>
      </c>
      <c r="L5161">
        <f t="shared" si="433"/>
        <v>5155</v>
      </c>
      <c r="M5161" s="71">
        <f t="shared" ca="1" si="434"/>
        <v>0</v>
      </c>
    </row>
    <row r="5162" spans="1:13" x14ac:dyDescent="0.25">
      <c r="A5162" s="2">
        <v>5156</v>
      </c>
      <c r="B5162" s="11">
        <f t="shared" ca="1" si="430"/>
        <v>1</v>
      </c>
      <c r="C5162" s="26">
        <f t="shared" ca="1" si="429"/>
        <v>0.59163705730089333</v>
      </c>
      <c r="J5162">
        <f t="shared" ca="1" si="431"/>
        <v>1</v>
      </c>
      <c r="K5162">
        <f t="shared" ca="1" si="432"/>
        <v>0</v>
      </c>
      <c r="L5162">
        <f t="shared" si="433"/>
        <v>5156</v>
      </c>
      <c r="M5162" s="71">
        <f t="shared" ca="1" si="434"/>
        <v>3.127820254080365</v>
      </c>
    </row>
    <row r="5163" spans="1:13" x14ac:dyDescent="0.25">
      <c r="A5163" s="2">
        <v>5157</v>
      </c>
      <c r="B5163" s="11">
        <f t="shared" ca="1" si="430"/>
        <v>1</v>
      </c>
      <c r="C5163" s="26">
        <f t="shared" ca="1" si="429"/>
        <v>0.62230104396878627</v>
      </c>
      <c r="J5163">
        <f t="shared" ca="1" si="431"/>
        <v>1</v>
      </c>
      <c r="K5163">
        <f t="shared" ca="1" si="432"/>
        <v>0</v>
      </c>
      <c r="L5163">
        <f t="shared" si="433"/>
        <v>5157</v>
      </c>
      <c r="M5163" s="71">
        <f t="shared" ca="1" si="434"/>
        <v>1.7585681231284129</v>
      </c>
    </row>
    <row r="5164" spans="1:13" x14ac:dyDescent="0.25">
      <c r="A5164" s="2">
        <v>5158</v>
      </c>
      <c r="B5164" s="11">
        <f t="shared" ca="1" si="430"/>
        <v>1</v>
      </c>
      <c r="C5164" s="26">
        <f t="shared" ca="1" si="429"/>
        <v>8.6915817338032664E-2</v>
      </c>
      <c r="J5164">
        <f t="shared" ca="1" si="431"/>
        <v>1</v>
      </c>
      <c r="K5164">
        <f t="shared" ca="1" si="432"/>
        <v>0</v>
      </c>
      <c r="L5164">
        <f t="shared" si="433"/>
        <v>5158</v>
      </c>
      <c r="M5164" s="71">
        <f t="shared" ca="1" si="434"/>
        <v>4.5995687833533392</v>
      </c>
    </row>
    <row r="5165" spans="1:13" x14ac:dyDescent="0.25">
      <c r="A5165" s="2">
        <v>5159</v>
      </c>
      <c r="B5165" s="11">
        <f t="shared" ca="1" si="430"/>
        <v>1</v>
      </c>
      <c r="C5165" s="26">
        <f t="shared" ca="1" si="429"/>
        <v>0.14003608280722646</v>
      </c>
      <c r="J5165">
        <f t="shared" ca="1" si="431"/>
        <v>1</v>
      </c>
      <c r="K5165">
        <f t="shared" ca="1" si="432"/>
        <v>0</v>
      </c>
      <c r="L5165">
        <f t="shared" si="433"/>
        <v>5159</v>
      </c>
      <c r="M5165" s="71">
        <f t="shared" ca="1" si="434"/>
        <v>2.9085393498823207</v>
      </c>
    </row>
    <row r="5166" spans="1:13" x14ac:dyDescent="0.25">
      <c r="A5166" s="2">
        <v>5160</v>
      </c>
      <c r="B5166" s="11">
        <f t="shared" ca="1" si="430"/>
        <v>1</v>
      </c>
      <c r="C5166" s="26">
        <f t="shared" ca="1" si="429"/>
        <v>0.59005416272166467</v>
      </c>
      <c r="J5166">
        <f t="shared" ca="1" si="431"/>
        <v>1</v>
      </c>
      <c r="K5166">
        <f t="shared" ca="1" si="432"/>
        <v>0</v>
      </c>
      <c r="L5166">
        <f t="shared" si="433"/>
        <v>5160</v>
      </c>
      <c r="M5166" s="71">
        <f t="shared" ca="1" si="434"/>
        <v>2.6086798980214141</v>
      </c>
    </row>
    <row r="5167" spans="1:13" x14ac:dyDescent="0.25">
      <c r="A5167" s="2">
        <v>5161</v>
      </c>
      <c r="B5167" s="11">
        <f t="shared" ca="1" si="430"/>
        <v>1</v>
      </c>
      <c r="C5167" s="26">
        <f t="shared" ca="1" si="429"/>
        <v>0.59834942099406752</v>
      </c>
      <c r="J5167">
        <f t="shared" ca="1" si="431"/>
        <v>1</v>
      </c>
      <c r="K5167">
        <f t="shared" ca="1" si="432"/>
        <v>0</v>
      </c>
      <c r="L5167">
        <f t="shared" si="433"/>
        <v>5161</v>
      </c>
      <c r="M5167" s="71">
        <f t="shared" ca="1" si="434"/>
        <v>1.9452310118252938</v>
      </c>
    </row>
    <row r="5168" spans="1:13" x14ac:dyDescent="0.25">
      <c r="A5168" s="2">
        <v>5162</v>
      </c>
      <c r="B5168" s="11">
        <f t="shared" ca="1" si="430"/>
        <v>1</v>
      </c>
      <c r="C5168" s="26">
        <f t="shared" ca="1" si="429"/>
        <v>2.7160304792466117E-2</v>
      </c>
      <c r="J5168">
        <f t="shared" ca="1" si="431"/>
        <v>1</v>
      </c>
      <c r="K5168">
        <f t="shared" ca="1" si="432"/>
        <v>0</v>
      </c>
      <c r="L5168">
        <f t="shared" si="433"/>
        <v>5162</v>
      </c>
      <c r="M5168" s="71">
        <f t="shared" ca="1" si="434"/>
        <v>3.9755565285827341</v>
      </c>
    </row>
    <row r="5169" spans="1:13" x14ac:dyDescent="0.25">
      <c r="A5169" s="2">
        <v>5163</v>
      </c>
      <c r="B5169" s="11">
        <f t="shared" ca="1" si="430"/>
        <v>1</v>
      </c>
      <c r="C5169" s="26">
        <f t="shared" ca="1" si="429"/>
        <v>0.54815817885060292</v>
      </c>
      <c r="J5169">
        <f t="shared" ca="1" si="431"/>
        <v>1</v>
      </c>
      <c r="K5169">
        <f t="shared" ca="1" si="432"/>
        <v>0</v>
      </c>
      <c r="L5169">
        <f t="shared" si="433"/>
        <v>5163</v>
      </c>
      <c r="M5169" s="71">
        <f t="shared" ca="1" si="434"/>
        <v>3.2834779982383653</v>
      </c>
    </row>
    <row r="5170" spans="1:13" x14ac:dyDescent="0.25">
      <c r="A5170" s="2">
        <v>5164</v>
      </c>
      <c r="B5170" s="11">
        <f t="shared" ca="1" si="430"/>
        <v>1</v>
      </c>
      <c r="C5170" s="26">
        <f t="shared" ca="1" si="429"/>
        <v>0.75187760948856119</v>
      </c>
      <c r="J5170">
        <f t="shared" ca="1" si="431"/>
        <v>1</v>
      </c>
      <c r="K5170">
        <f t="shared" ca="1" si="432"/>
        <v>0</v>
      </c>
      <c r="L5170">
        <f t="shared" si="433"/>
        <v>5164</v>
      </c>
      <c r="M5170" s="71">
        <f t="shared" ca="1" si="434"/>
        <v>2.5455745994967285</v>
      </c>
    </row>
    <row r="5171" spans="1:13" x14ac:dyDescent="0.25">
      <c r="A5171" s="2">
        <v>5165</v>
      </c>
      <c r="B5171" s="11">
        <f t="shared" ca="1" si="430"/>
        <v>1</v>
      </c>
      <c r="C5171" s="26">
        <f t="shared" ca="1" si="429"/>
        <v>0.36556392932297133</v>
      </c>
      <c r="J5171">
        <f t="shared" ca="1" si="431"/>
        <v>1</v>
      </c>
      <c r="K5171">
        <f t="shared" ca="1" si="432"/>
        <v>0</v>
      </c>
      <c r="L5171">
        <f t="shared" si="433"/>
        <v>5165</v>
      </c>
      <c r="M5171" s="71">
        <f t="shared" ca="1" si="434"/>
        <v>0.1401045755083849</v>
      </c>
    </row>
    <row r="5172" spans="1:13" x14ac:dyDescent="0.25">
      <c r="A5172" s="2">
        <v>5166</v>
      </c>
      <c r="B5172" s="11">
        <f t="shared" ca="1" si="430"/>
        <v>1</v>
      </c>
      <c r="C5172" s="26">
        <f t="shared" ca="1" si="429"/>
        <v>0.70762855884221254</v>
      </c>
      <c r="J5172">
        <f t="shared" ca="1" si="431"/>
        <v>1</v>
      </c>
      <c r="K5172">
        <f t="shared" ca="1" si="432"/>
        <v>0</v>
      </c>
      <c r="L5172">
        <f t="shared" si="433"/>
        <v>5166</v>
      </c>
      <c r="M5172" s="71">
        <f t="shared" ca="1" si="434"/>
        <v>0.24826858657329509</v>
      </c>
    </row>
    <row r="5173" spans="1:13" x14ac:dyDescent="0.25">
      <c r="A5173" s="2">
        <v>5167</v>
      </c>
      <c r="B5173" s="11">
        <f t="shared" ca="1" si="430"/>
        <v>1</v>
      </c>
      <c r="C5173" s="26">
        <f t="shared" ca="1" si="429"/>
        <v>0.64309791790856741</v>
      </c>
      <c r="J5173">
        <f t="shared" ca="1" si="431"/>
        <v>1</v>
      </c>
      <c r="K5173">
        <f t="shared" ca="1" si="432"/>
        <v>0</v>
      </c>
      <c r="L5173">
        <f t="shared" si="433"/>
        <v>5167</v>
      </c>
      <c r="M5173" s="71">
        <f t="shared" ca="1" si="434"/>
        <v>0.38006985985898856</v>
      </c>
    </row>
    <row r="5174" spans="1:13" x14ac:dyDescent="0.25">
      <c r="A5174" s="2">
        <v>5168</v>
      </c>
      <c r="B5174" s="11">
        <f t="shared" ca="1" si="430"/>
        <v>1</v>
      </c>
      <c r="C5174" s="26">
        <f t="shared" ca="1" si="429"/>
        <v>0.47404507612618396</v>
      </c>
      <c r="J5174">
        <f t="shared" ca="1" si="431"/>
        <v>1</v>
      </c>
      <c r="K5174">
        <f t="shared" ca="1" si="432"/>
        <v>0</v>
      </c>
      <c r="L5174">
        <f t="shared" si="433"/>
        <v>5168</v>
      </c>
      <c r="M5174" s="71">
        <f t="shared" ca="1" si="434"/>
        <v>4.2961845370376679</v>
      </c>
    </row>
    <row r="5175" spans="1:13" x14ac:dyDescent="0.25">
      <c r="A5175" s="2">
        <v>5169</v>
      </c>
      <c r="B5175" s="11">
        <f t="shared" ca="1" si="430"/>
        <v>1</v>
      </c>
      <c r="C5175" s="26">
        <f t="shared" ca="1" si="429"/>
        <v>0.19733016768721345</v>
      </c>
      <c r="J5175">
        <f t="shared" ca="1" si="431"/>
        <v>1</v>
      </c>
      <c r="K5175">
        <f t="shared" ca="1" si="432"/>
        <v>0</v>
      </c>
      <c r="L5175">
        <f t="shared" si="433"/>
        <v>5169</v>
      </c>
      <c r="M5175" s="71">
        <f t="shared" ca="1" si="434"/>
        <v>11.589747730042461</v>
      </c>
    </row>
    <row r="5176" spans="1:13" x14ac:dyDescent="0.25">
      <c r="A5176" s="2">
        <v>5170</v>
      </c>
      <c r="B5176" s="11">
        <f t="shared" ca="1" si="430"/>
        <v>1</v>
      </c>
      <c r="C5176" s="26">
        <f t="shared" ca="1" si="429"/>
        <v>0.30738456353679944</v>
      </c>
      <c r="J5176">
        <f t="shared" ca="1" si="431"/>
        <v>1</v>
      </c>
      <c r="K5176">
        <f t="shared" ca="1" si="432"/>
        <v>0</v>
      </c>
      <c r="L5176">
        <f t="shared" si="433"/>
        <v>5170</v>
      </c>
      <c r="M5176" s="71">
        <f t="shared" ca="1" si="434"/>
        <v>5.42696585434601</v>
      </c>
    </row>
    <row r="5177" spans="1:13" x14ac:dyDescent="0.25">
      <c r="A5177" s="2">
        <v>5171</v>
      </c>
      <c r="B5177" s="11">
        <f t="shared" ca="1" si="430"/>
        <v>1</v>
      </c>
      <c r="C5177" s="26">
        <f t="shared" ca="1" si="429"/>
        <v>0.14510543487934668</v>
      </c>
      <c r="J5177">
        <f t="shared" ca="1" si="431"/>
        <v>1</v>
      </c>
      <c r="K5177">
        <f t="shared" ca="1" si="432"/>
        <v>0</v>
      </c>
      <c r="L5177">
        <f t="shared" si="433"/>
        <v>5171</v>
      </c>
      <c r="M5177" s="71">
        <f t="shared" ca="1" si="434"/>
        <v>0.52836391891955692</v>
      </c>
    </row>
    <row r="5178" spans="1:13" x14ac:dyDescent="0.25">
      <c r="A5178" s="2">
        <v>5172</v>
      </c>
      <c r="B5178" s="11">
        <f t="shared" ca="1" si="430"/>
        <v>1</v>
      </c>
      <c r="C5178" s="26">
        <f t="shared" ca="1" si="429"/>
        <v>0.46431600285193753</v>
      </c>
      <c r="J5178">
        <f t="shared" ca="1" si="431"/>
        <v>1</v>
      </c>
      <c r="K5178">
        <f t="shared" ca="1" si="432"/>
        <v>0</v>
      </c>
      <c r="L5178">
        <f t="shared" si="433"/>
        <v>5172</v>
      </c>
      <c r="M5178" s="71">
        <f t="shared" ca="1" si="434"/>
        <v>3.6544722189202643</v>
      </c>
    </row>
    <row r="5179" spans="1:13" x14ac:dyDescent="0.25">
      <c r="A5179" s="2">
        <v>5173</v>
      </c>
      <c r="B5179" s="11">
        <f t="shared" ca="1" si="430"/>
        <v>1</v>
      </c>
      <c r="C5179" s="26">
        <f t="shared" ca="1" si="429"/>
        <v>0.17120472252374308</v>
      </c>
      <c r="J5179">
        <f t="shared" ca="1" si="431"/>
        <v>0</v>
      </c>
      <c r="K5179">
        <f t="shared" ca="1" si="432"/>
        <v>0</v>
      </c>
      <c r="L5179">
        <f t="shared" si="433"/>
        <v>5173</v>
      </c>
      <c r="M5179" s="71">
        <f t="shared" ca="1" si="434"/>
        <v>4.5583363544159656</v>
      </c>
    </row>
    <row r="5180" spans="1:13" x14ac:dyDescent="0.25">
      <c r="A5180" s="2">
        <v>5174</v>
      </c>
      <c r="B5180" s="11">
        <f t="shared" ca="1" si="430"/>
        <v>0</v>
      </c>
      <c r="C5180" s="26">
        <f t="shared" ca="1" si="429"/>
        <v>0.97576027248959651</v>
      </c>
      <c r="J5180">
        <f t="shared" ca="1" si="431"/>
        <v>0</v>
      </c>
      <c r="K5180">
        <f t="shared" ca="1" si="432"/>
        <v>0</v>
      </c>
      <c r="L5180">
        <f t="shared" si="433"/>
        <v>5174</v>
      </c>
      <c r="M5180" s="71">
        <f t="shared" ca="1" si="434"/>
        <v>0</v>
      </c>
    </row>
    <row r="5181" spans="1:13" x14ac:dyDescent="0.25">
      <c r="A5181" s="2">
        <v>5175</v>
      </c>
      <c r="B5181" s="11">
        <f t="shared" ca="1" si="430"/>
        <v>1</v>
      </c>
      <c r="C5181" s="26">
        <f t="shared" ca="1" si="429"/>
        <v>0.53616552040965992</v>
      </c>
      <c r="J5181">
        <f t="shared" ca="1" si="431"/>
        <v>1</v>
      </c>
      <c r="K5181">
        <f t="shared" ca="1" si="432"/>
        <v>0</v>
      </c>
      <c r="L5181">
        <f t="shared" si="433"/>
        <v>5175</v>
      </c>
      <c r="M5181" s="71">
        <f t="shared" ca="1" si="434"/>
        <v>4.2874662075848162</v>
      </c>
    </row>
    <row r="5182" spans="1:13" x14ac:dyDescent="0.25">
      <c r="A5182" s="2">
        <v>5176</v>
      </c>
      <c r="B5182" s="11">
        <f t="shared" ca="1" si="430"/>
        <v>1</v>
      </c>
      <c r="C5182" s="26">
        <f t="shared" ca="1" si="429"/>
        <v>0.37250027422688292</v>
      </c>
      <c r="J5182">
        <f t="shared" ca="1" si="431"/>
        <v>1</v>
      </c>
      <c r="K5182">
        <f t="shared" ca="1" si="432"/>
        <v>0</v>
      </c>
      <c r="L5182">
        <f t="shared" si="433"/>
        <v>5176</v>
      </c>
      <c r="M5182" s="71">
        <f t="shared" ca="1" si="434"/>
        <v>6.9417749864056078E-2</v>
      </c>
    </row>
    <row r="5183" spans="1:13" x14ac:dyDescent="0.25">
      <c r="A5183" s="2">
        <v>5177</v>
      </c>
      <c r="B5183" s="11">
        <f t="shared" ca="1" si="430"/>
        <v>1</v>
      </c>
      <c r="C5183" s="26">
        <f t="shared" ca="1" si="429"/>
        <v>0.54547351240617614</v>
      </c>
      <c r="J5183">
        <f t="shared" ca="1" si="431"/>
        <v>1</v>
      </c>
      <c r="K5183">
        <f t="shared" ca="1" si="432"/>
        <v>0</v>
      </c>
      <c r="L5183">
        <f t="shared" si="433"/>
        <v>5177</v>
      </c>
      <c r="M5183" s="71">
        <f t="shared" ca="1" si="434"/>
        <v>6.4172134949488884</v>
      </c>
    </row>
    <row r="5184" spans="1:13" x14ac:dyDescent="0.25">
      <c r="A5184" s="2">
        <v>5178</v>
      </c>
      <c r="B5184" s="11">
        <f t="shared" ca="1" si="430"/>
        <v>1</v>
      </c>
      <c r="C5184" s="26">
        <f t="shared" ca="1" si="429"/>
        <v>0.31657194186084381</v>
      </c>
      <c r="J5184">
        <f t="shared" ca="1" si="431"/>
        <v>1</v>
      </c>
      <c r="K5184">
        <f t="shared" ca="1" si="432"/>
        <v>0</v>
      </c>
      <c r="L5184">
        <f t="shared" si="433"/>
        <v>5178</v>
      </c>
      <c r="M5184" s="71">
        <f t="shared" ca="1" si="434"/>
        <v>0.1455946620593255</v>
      </c>
    </row>
    <row r="5185" spans="1:13" x14ac:dyDescent="0.25">
      <c r="A5185" s="2">
        <v>5179</v>
      </c>
      <c r="B5185" s="11">
        <f t="shared" ca="1" si="430"/>
        <v>1</v>
      </c>
      <c r="C5185" s="26">
        <f t="shared" ca="1" si="429"/>
        <v>0.26416672990609757</v>
      </c>
      <c r="J5185">
        <f t="shared" ca="1" si="431"/>
        <v>1</v>
      </c>
      <c r="K5185">
        <f t="shared" ca="1" si="432"/>
        <v>0</v>
      </c>
      <c r="L5185">
        <f t="shared" si="433"/>
        <v>5179</v>
      </c>
      <c r="M5185" s="71">
        <f t="shared" ca="1" si="434"/>
        <v>1.2707410839816271</v>
      </c>
    </row>
    <row r="5186" spans="1:13" x14ac:dyDescent="0.25">
      <c r="A5186" s="2">
        <v>5180</v>
      </c>
      <c r="B5186" s="11">
        <f t="shared" ca="1" si="430"/>
        <v>1</v>
      </c>
      <c r="C5186" s="26">
        <f t="shared" ca="1" si="429"/>
        <v>0.51339477012815793</v>
      </c>
      <c r="J5186">
        <f t="shared" ca="1" si="431"/>
        <v>0</v>
      </c>
      <c r="K5186">
        <f t="shared" ca="1" si="432"/>
        <v>0</v>
      </c>
      <c r="L5186">
        <f t="shared" si="433"/>
        <v>5180</v>
      </c>
      <c r="M5186" s="71">
        <f t="shared" ca="1" si="434"/>
        <v>0.44333639412712311</v>
      </c>
    </row>
    <row r="5187" spans="1:13" x14ac:dyDescent="0.25">
      <c r="A5187" s="2">
        <v>5181</v>
      </c>
      <c r="B5187" s="11">
        <f t="shared" ca="1" si="430"/>
        <v>0</v>
      </c>
      <c r="C5187" s="26">
        <f t="shared" ca="1" si="429"/>
        <v>0.9671682750029349</v>
      </c>
      <c r="J5187">
        <f t="shared" ca="1" si="431"/>
        <v>0</v>
      </c>
      <c r="K5187">
        <f t="shared" ca="1" si="432"/>
        <v>0</v>
      </c>
      <c r="L5187">
        <f t="shared" si="433"/>
        <v>5181</v>
      </c>
      <c r="M5187" s="71">
        <f t="shared" ca="1" si="434"/>
        <v>0</v>
      </c>
    </row>
    <row r="5188" spans="1:13" x14ac:dyDescent="0.25">
      <c r="A5188" s="2">
        <v>5182</v>
      </c>
      <c r="B5188" s="11">
        <f t="shared" ca="1" si="430"/>
        <v>1</v>
      </c>
      <c r="C5188" s="26">
        <f t="shared" ca="1" si="429"/>
        <v>0.66105631390183306</v>
      </c>
      <c r="J5188">
        <f t="shared" ca="1" si="431"/>
        <v>1</v>
      </c>
      <c r="K5188">
        <f t="shared" ca="1" si="432"/>
        <v>0</v>
      </c>
      <c r="L5188">
        <f t="shared" si="433"/>
        <v>5182</v>
      </c>
      <c r="M5188" s="71">
        <f t="shared" ca="1" si="434"/>
        <v>13.945123008744169</v>
      </c>
    </row>
    <row r="5189" spans="1:13" x14ac:dyDescent="0.25">
      <c r="A5189" s="2">
        <v>5183</v>
      </c>
      <c r="B5189" s="11">
        <f t="shared" ca="1" si="430"/>
        <v>1</v>
      </c>
      <c r="C5189" s="26">
        <f t="shared" ca="1" si="429"/>
        <v>0.76050817031298057</v>
      </c>
      <c r="J5189">
        <f t="shared" ca="1" si="431"/>
        <v>1</v>
      </c>
      <c r="K5189">
        <f t="shared" ca="1" si="432"/>
        <v>0</v>
      </c>
      <c r="L5189">
        <f t="shared" si="433"/>
        <v>5183</v>
      </c>
      <c r="M5189" s="71">
        <f t="shared" ca="1" si="434"/>
        <v>4.342733490199465</v>
      </c>
    </row>
    <row r="5190" spans="1:13" x14ac:dyDescent="0.25">
      <c r="A5190" s="2">
        <v>5184</v>
      </c>
      <c r="B5190" s="11">
        <f t="shared" ca="1" si="430"/>
        <v>1</v>
      </c>
      <c r="C5190" s="26">
        <f t="shared" ca="1" si="429"/>
        <v>0.29187964997058424</v>
      </c>
      <c r="J5190">
        <f t="shared" ca="1" si="431"/>
        <v>1</v>
      </c>
      <c r="K5190">
        <f t="shared" ca="1" si="432"/>
        <v>0</v>
      </c>
      <c r="L5190">
        <f t="shared" si="433"/>
        <v>5184</v>
      </c>
      <c r="M5190" s="71">
        <f t="shared" ca="1" si="434"/>
        <v>23.163727205557318</v>
      </c>
    </row>
    <row r="5191" spans="1:13" x14ac:dyDescent="0.25">
      <c r="A5191" s="2">
        <v>5185</v>
      </c>
      <c r="B5191" s="11">
        <f t="shared" ca="1" si="430"/>
        <v>1</v>
      </c>
      <c r="C5191" s="26">
        <f t="shared" ca="1" si="429"/>
        <v>0.18193703565705088</v>
      </c>
      <c r="J5191">
        <f t="shared" ca="1" si="431"/>
        <v>1</v>
      </c>
      <c r="K5191">
        <f t="shared" ca="1" si="432"/>
        <v>0</v>
      </c>
      <c r="L5191">
        <f t="shared" si="433"/>
        <v>5185</v>
      </c>
      <c r="M5191" s="71">
        <f t="shared" ca="1" si="434"/>
        <v>3.780761364719242</v>
      </c>
    </row>
    <row r="5192" spans="1:13" x14ac:dyDescent="0.25">
      <c r="A5192" s="2">
        <v>5186</v>
      </c>
      <c r="B5192" s="11">
        <f t="shared" ca="1" si="430"/>
        <v>1</v>
      </c>
      <c r="C5192" s="26">
        <f t="shared" ref="C5192:C5255" ca="1" si="435">RAND()</f>
        <v>1.1136407581866514E-2</v>
      </c>
      <c r="J5192">
        <f t="shared" ca="1" si="431"/>
        <v>1</v>
      </c>
      <c r="K5192">
        <f t="shared" ca="1" si="432"/>
        <v>0</v>
      </c>
      <c r="L5192">
        <f t="shared" si="433"/>
        <v>5186</v>
      </c>
      <c r="M5192" s="71">
        <f t="shared" ca="1" si="434"/>
        <v>4.4626804048567132</v>
      </c>
    </row>
    <row r="5193" spans="1:13" x14ac:dyDescent="0.25">
      <c r="A5193" s="2">
        <v>5187</v>
      </c>
      <c r="B5193" s="11">
        <f t="shared" ref="B5193:B5256" ca="1" si="436">IF(B5192&gt;0,IF(C5193&lt;pww,1,0),IF(C5193&lt;pdw,1,0))</f>
        <v>1</v>
      </c>
      <c r="C5193" s="26">
        <f t="shared" ca="1" si="435"/>
        <v>0.37993193803695946</v>
      </c>
      <c r="J5193">
        <f t="shared" ca="1" si="431"/>
        <v>1</v>
      </c>
      <c r="K5193">
        <f t="shared" ca="1" si="432"/>
        <v>0</v>
      </c>
      <c r="L5193">
        <f t="shared" si="433"/>
        <v>5187</v>
      </c>
      <c r="M5193" s="71">
        <f t="shared" ca="1" si="434"/>
        <v>3.6453433465073637</v>
      </c>
    </row>
    <row r="5194" spans="1:13" x14ac:dyDescent="0.25">
      <c r="A5194" s="2">
        <v>5188</v>
      </c>
      <c r="B5194" s="11">
        <f t="shared" ca="1" si="436"/>
        <v>1</v>
      </c>
      <c r="C5194" s="26">
        <f t="shared" ca="1" si="435"/>
        <v>0.10540783612364168</v>
      </c>
      <c r="J5194">
        <f t="shared" ref="J5194:J5257" ca="1" si="437">IF(AND(B5194,B5195),1,0)</f>
        <v>1</v>
      </c>
      <c r="K5194">
        <f t="shared" ref="K5194:K5257" ca="1" si="438">IF(AND(NOT(B5194),NOT(B5195)),1,0)</f>
        <v>0</v>
      </c>
      <c r="L5194">
        <f t="shared" ref="L5194:L5257" si="439">L5193+1</f>
        <v>5188</v>
      </c>
      <c r="M5194" s="71">
        <f t="shared" ref="M5194:M5257" ca="1" si="440">IF(B5194&gt;0,-LN(1-(RAND()))/lambda,0)</f>
        <v>23.693467713470067</v>
      </c>
    </row>
    <row r="5195" spans="1:13" x14ac:dyDescent="0.25">
      <c r="A5195" s="2">
        <v>5189</v>
      </c>
      <c r="B5195" s="11">
        <f t="shared" ca="1" si="436"/>
        <v>1</v>
      </c>
      <c r="C5195" s="26">
        <f t="shared" ca="1" si="435"/>
        <v>0.3741248939475561</v>
      </c>
      <c r="J5195">
        <f t="shared" ca="1" si="437"/>
        <v>1</v>
      </c>
      <c r="K5195">
        <f t="shared" ca="1" si="438"/>
        <v>0</v>
      </c>
      <c r="L5195">
        <f t="shared" si="439"/>
        <v>5189</v>
      </c>
      <c r="M5195" s="71">
        <f t="shared" ca="1" si="440"/>
        <v>0.46986245888832434</v>
      </c>
    </row>
    <row r="5196" spans="1:13" x14ac:dyDescent="0.25">
      <c r="A5196" s="2">
        <v>5190</v>
      </c>
      <c r="B5196" s="11">
        <f t="shared" ca="1" si="436"/>
        <v>1</v>
      </c>
      <c r="C5196" s="26">
        <f t="shared" ca="1" si="435"/>
        <v>0.72516917009600312</v>
      </c>
      <c r="J5196">
        <f t="shared" ca="1" si="437"/>
        <v>0</v>
      </c>
      <c r="K5196">
        <f t="shared" ca="1" si="438"/>
        <v>0</v>
      </c>
      <c r="L5196">
        <f t="shared" si="439"/>
        <v>5190</v>
      </c>
      <c r="M5196" s="71">
        <f t="shared" ca="1" si="440"/>
        <v>7.6350274099826674</v>
      </c>
    </row>
    <row r="5197" spans="1:13" x14ac:dyDescent="0.25">
      <c r="A5197" s="2">
        <v>5191</v>
      </c>
      <c r="B5197" s="11">
        <f t="shared" ca="1" si="436"/>
        <v>0</v>
      </c>
      <c r="C5197" s="26">
        <f t="shared" ca="1" si="435"/>
        <v>0.99038791401313842</v>
      </c>
      <c r="J5197">
        <f t="shared" ca="1" si="437"/>
        <v>0</v>
      </c>
      <c r="K5197">
        <f t="shared" ca="1" si="438"/>
        <v>0</v>
      </c>
      <c r="L5197">
        <f t="shared" si="439"/>
        <v>5191</v>
      </c>
      <c r="M5197" s="71">
        <f t="shared" ca="1" si="440"/>
        <v>0</v>
      </c>
    </row>
    <row r="5198" spans="1:13" x14ac:dyDescent="0.25">
      <c r="A5198" s="2">
        <v>5192</v>
      </c>
      <c r="B5198" s="11">
        <f t="shared" ca="1" si="436"/>
        <v>1</v>
      </c>
      <c r="C5198" s="26">
        <f t="shared" ca="1" si="435"/>
        <v>0.29209130795057758</v>
      </c>
      <c r="J5198">
        <f t="shared" ca="1" si="437"/>
        <v>1</v>
      </c>
      <c r="K5198">
        <f t="shared" ca="1" si="438"/>
        <v>0</v>
      </c>
      <c r="L5198">
        <f t="shared" si="439"/>
        <v>5192</v>
      </c>
      <c r="M5198" s="71">
        <f t="shared" ca="1" si="440"/>
        <v>2.9666226769361939</v>
      </c>
    </row>
    <row r="5199" spans="1:13" x14ac:dyDescent="0.25">
      <c r="A5199" s="2">
        <v>5193</v>
      </c>
      <c r="B5199" s="11">
        <f t="shared" ca="1" si="436"/>
        <v>1</v>
      </c>
      <c r="C5199" s="26">
        <f t="shared" ca="1" si="435"/>
        <v>3.5164304640331379E-2</v>
      </c>
      <c r="J5199">
        <f t="shared" ca="1" si="437"/>
        <v>1</v>
      </c>
      <c r="K5199">
        <f t="shared" ca="1" si="438"/>
        <v>0</v>
      </c>
      <c r="L5199">
        <f t="shared" si="439"/>
        <v>5193</v>
      </c>
      <c r="M5199" s="71">
        <f t="shared" ca="1" si="440"/>
        <v>0.20086231370470845</v>
      </c>
    </row>
    <row r="5200" spans="1:13" x14ac:dyDescent="0.25">
      <c r="A5200" s="2">
        <v>5194</v>
      </c>
      <c r="B5200" s="11">
        <f t="shared" ca="1" si="436"/>
        <v>1</v>
      </c>
      <c r="C5200" s="26">
        <f t="shared" ca="1" si="435"/>
        <v>0.42461616761443233</v>
      </c>
      <c r="J5200">
        <f t="shared" ca="1" si="437"/>
        <v>1</v>
      </c>
      <c r="K5200">
        <f t="shared" ca="1" si="438"/>
        <v>0</v>
      </c>
      <c r="L5200">
        <f t="shared" si="439"/>
        <v>5194</v>
      </c>
      <c r="M5200" s="71">
        <f t="shared" ca="1" si="440"/>
        <v>1.5574509981339253</v>
      </c>
    </row>
    <row r="5201" spans="1:13" x14ac:dyDescent="0.25">
      <c r="A5201" s="2">
        <v>5195</v>
      </c>
      <c r="B5201" s="11">
        <f t="shared" ca="1" si="436"/>
        <v>1</v>
      </c>
      <c r="C5201" s="26">
        <f t="shared" ca="1" si="435"/>
        <v>0.46086135395527217</v>
      </c>
      <c r="J5201">
        <f t="shared" ca="1" si="437"/>
        <v>1</v>
      </c>
      <c r="K5201">
        <f t="shared" ca="1" si="438"/>
        <v>0</v>
      </c>
      <c r="L5201">
        <f t="shared" si="439"/>
        <v>5195</v>
      </c>
      <c r="M5201" s="71">
        <f t="shared" ca="1" si="440"/>
        <v>0.83087233310009245</v>
      </c>
    </row>
    <row r="5202" spans="1:13" x14ac:dyDescent="0.25">
      <c r="A5202" s="2">
        <v>5196</v>
      </c>
      <c r="B5202" s="11">
        <f t="shared" ca="1" si="436"/>
        <v>1</v>
      </c>
      <c r="C5202" s="26">
        <f t="shared" ca="1" si="435"/>
        <v>0.14390153708722764</v>
      </c>
      <c r="J5202">
        <f t="shared" ca="1" si="437"/>
        <v>1</v>
      </c>
      <c r="K5202">
        <f t="shared" ca="1" si="438"/>
        <v>0</v>
      </c>
      <c r="L5202">
        <f t="shared" si="439"/>
        <v>5196</v>
      </c>
      <c r="M5202" s="71">
        <f t="shared" ca="1" si="440"/>
        <v>1.932004880578269</v>
      </c>
    </row>
    <row r="5203" spans="1:13" x14ac:dyDescent="0.25">
      <c r="A5203" s="2">
        <v>5197</v>
      </c>
      <c r="B5203" s="11">
        <f t="shared" ca="1" si="436"/>
        <v>1</v>
      </c>
      <c r="C5203" s="26">
        <f t="shared" ca="1" si="435"/>
        <v>0.36595509568883056</v>
      </c>
      <c r="J5203">
        <f t="shared" ca="1" si="437"/>
        <v>1</v>
      </c>
      <c r="K5203">
        <f t="shared" ca="1" si="438"/>
        <v>0</v>
      </c>
      <c r="L5203">
        <f t="shared" si="439"/>
        <v>5197</v>
      </c>
      <c r="M5203" s="71">
        <f t="shared" ca="1" si="440"/>
        <v>0.40051741515610118</v>
      </c>
    </row>
    <row r="5204" spans="1:13" x14ac:dyDescent="0.25">
      <c r="A5204" s="2">
        <v>5198</v>
      </c>
      <c r="B5204" s="11">
        <f t="shared" ca="1" si="436"/>
        <v>1</v>
      </c>
      <c r="C5204" s="26">
        <f t="shared" ca="1" si="435"/>
        <v>0.65744047229173774</v>
      </c>
      <c r="J5204">
        <f t="shared" ca="1" si="437"/>
        <v>1</v>
      </c>
      <c r="K5204">
        <f t="shared" ca="1" si="438"/>
        <v>0</v>
      </c>
      <c r="L5204">
        <f t="shared" si="439"/>
        <v>5198</v>
      </c>
      <c r="M5204" s="71">
        <f t="shared" ca="1" si="440"/>
        <v>0.62865088436661976</v>
      </c>
    </row>
    <row r="5205" spans="1:13" x14ac:dyDescent="0.25">
      <c r="A5205" s="2">
        <v>5199</v>
      </c>
      <c r="B5205" s="11">
        <f t="shared" ca="1" si="436"/>
        <v>1</v>
      </c>
      <c r="C5205" s="26">
        <f t="shared" ca="1" si="435"/>
        <v>0.55594183611039649</v>
      </c>
      <c r="J5205">
        <f t="shared" ca="1" si="437"/>
        <v>1</v>
      </c>
      <c r="K5205">
        <f t="shared" ca="1" si="438"/>
        <v>0</v>
      </c>
      <c r="L5205">
        <f t="shared" si="439"/>
        <v>5199</v>
      </c>
      <c r="M5205" s="71">
        <f t="shared" ca="1" si="440"/>
        <v>0.91086723942085179</v>
      </c>
    </row>
    <row r="5206" spans="1:13" x14ac:dyDescent="0.25">
      <c r="A5206" s="2">
        <v>5200</v>
      </c>
      <c r="B5206" s="11">
        <f t="shared" ca="1" si="436"/>
        <v>1</v>
      </c>
      <c r="C5206" s="26">
        <f t="shared" ca="1" si="435"/>
        <v>0.39241388812706313</v>
      </c>
      <c r="J5206">
        <f t="shared" ca="1" si="437"/>
        <v>1</v>
      </c>
      <c r="K5206">
        <f t="shared" ca="1" si="438"/>
        <v>0</v>
      </c>
      <c r="L5206">
        <f t="shared" si="439"/>
        <v>5200</v>
      </c>
      <c r="M5206" s="71">
        <f t="shared" ca="1" si="440"/>
        <v>3.6943443240713401</v>
      </c>
    </row>
    <row r="5207" spans="1:13" x14ac:dyDescent="0.25">
      <c r="A5207" s="2">
        <v>5201</v>
      </c>
      <c r="B5207" s="11">
        <f t="shared" ca="1" si="436"/>
        <v>1</v>
      </c>
      <c r="C5207" s="26">
        <f t="shared" ca="1" si="435"/>
        <v>0.69209790454734599</v>
      </c>
      <c r="J5207">
        <f t="shared" ca="1" si="437"/>
        <v>1</v>
      </c>
      <c r="K5207">
        <f t="shared" ca="1" si="438"/>
        <v>0</v>
      </c>
      <c r="L5207">
        <f t="shared" si="439"/>
        <v>5201</v>
      </c>
      <c r="M5207" s="71">
        <f t="shared" ca="1" si="440"/>
        <v>2.7146931019190603</v>
      </c>
    </row>
    <row r="5208" spans="1:13" x14ac:dyDescent="0.25">
      <c r="A5208" s="2">
        <v>5202</v>
      </c>
      <c r="B5208" s="11">
        <f t="shared" ca="1" si="436"/>
        <v>1</v>
      </c>
      <c r="C5208" s="26">
        <f t="shared" ca="1" si="435"/>
        <v>0.62087235377862782</v>
      </c>
      <c r="J5208">
        <f t="shared" ca="1" si="437"/>
        <v>1</v>
      </c>
      <c r="K5208">
        <f t="shared" ca="1" si="438"/>
        <v>0</v>
      </c>
      <c r="L5208">
        <f t="shared" si="439"/>
        <v>5202</v>
      </c>
      <c r="M5208" s="71">
        <f t="shared" ca="1" si="440"/>
        <v>1.1258434046528307</v>
      </c>
    </row>
    <row r="5209" spans="1:13" x14ac:dyDescent="0.25">
      <c r="A5209" s="2">
        <v>5203</v>
      </c>
      <c r="B5209" s="11">
        <f t="shared" ca="1" si="436"/>
        <v>1</v>
      </c>
      <c r="C5209" s="26">
        <f t="shared" ca="1" si="435"/>
        <v>0.34984534977205162</v>
      </c>
      <c r="J5209">
        <f t="shared" ca="1" si="437"/>
        <v>0</v>
      </c>
      <c r="K5209">
        <f t="shared" ca="1" si="438"/>
        <v>0</v>
      </c>
      <c r="L5209">
        <f t="shared" si="439"/>
        <v>5203</v>
      </c>
      <c r="M5209" s="71">
        <f t="shared" ca="1" si="440"/>
        <v>3.8802203498280003</v>
      </c>
    </row>
    <row r="5210" spans="1:13" x14ac:dyDescent="0.25">
      <c r="A5210" s="2">
        <v>5204</v>
      </c>
      <c r="B5210" s="11">
        <f t="shared" ca="1" si="436"/>
        <v>0</v>
      </c>
      <c r="C5210" s="26">
        <f t="shared" ca="1" si="435"/>
        <v>0.88081519415607679</v>
      </c>
      <c r="J5210">
        <f t="shared" ca="1" si="437"/>
        <v>0</v>
      </c>
      <c r="K5210">
        <f t="shared" ca="1" si="438"/>
        <v>1</v>
      </c>
      <c r="L5210">
        <f t="shared" si="439"/>
        <v>5204</v>
      </c>
      <c r="M5210" s="71">
        <f t="shared" ca="1" si="440"/>
        <v>0</v>
      </c>
    </row>
    <row r="5211" spans="1:13" x14ac:dyDescent="0.25">
      <c r="A5211" s="2">
        <v>5205</v>
      </c>
      <c r="B5211" s="11">
        <f t="shared" ca="1" si="436"/>
        <v>0</v>
      </c>
      <c r="C5211" s="26">
        <f t="shared" ca="1" si="435"/>
        <v>0.96646163698237353</v>
      </c>
      <c r="J5211">
        <f t="shared" ca="1" si="437"/>
        <v>0</v>
      </c>
      <c r="K5211">
        <f t="shared" ca="1" si="438"/>
        <v>0</v>
      </c>
      <c r="L5211">
        <f t="shared" si="439"/>
        <v>5205</v>
      </c>
      <c r="M5211" s="71">
        <f t="shared" ca="1" si="440"/>
        <v>0</v>
      </c>
    </row>
    <row r="5212" spans="1:13" x14ac:dyDescent="0.25">
      <c r="A5212" s="2">
        <v>5206</v>
      </c>
      <c r="B5212" s="11">
        <f t="shared" ca="1" si="436"/>
        <v>1</v>
      </c>
      <c r="C5212" s="26">
        <f t="shared" ca="1" si="435"/>
        <v>0.12380288487908087</v>
      </c>
      <c r="J5212">
        <f t="shared" ca="1" si="437"/>
        <v>1</v>
      </c>
      <c r="K5212">
        <f t="shared" ca="1" si="438"/>
        <v>0</v>
      </c>
      <c r="L5212">
        <f t="shared" si="439"/>
        <v>5206</v>
      </c>
      <c r="M5212" s="71">
        <f t="shared" ca="1" si="440"/>
        <v>14.884323421834472</v>
      </c>
    </row>
    <row r="5213" spans="1:13" x14ac:dyDescent="0.25">
      <c r="A5213" s="2">
        <v>5207</v>
      </c>
      <c r="B5213" s="11">
        <f t="shared" ca="1" si="436"/>
        <v>1</v>
      </c>
      <c r="C5213" s="26">
        <f t="shared" ca="1" si="435"/>
        <v>0.31707993487492503</v>
      </c>
      <c r="J5213">
        <f t="shared" ca="1" si="437"/>
        <v>1</v>
      </c>
      <c r="K5213">
        <f t="shared" ca="1" si="438"/>
        <v>0</v>
      </c>
      <c r="L5213">
        <f t="shared" si="439"/>
        <v>5207</v>
      </c>
      <c r="M5213" s="71">
        <f t="shared" ca="1" si="440"/>
        <v>0.4313763630424835</v>
      </c>
    </row>
    <row r="5214" spans="1:13" x14ac:dyDescent="0.25">
      <c r="A5214" s="2">
        <v>5208</v>
      </c>
      <c r="B5214" s="11">
        <f t="shared" ca="1" si="436"/>
        <v>1</v>
      </c>
      <c r="C5214" s="26">
        <f t="shared" ca="1" si="435"/>
        <v>0.17124062914276439</v>
      </c>
      <c r="J5214">
        <f t="shared" ca="1" si="437"/>
        <v>0</v>
      </c>
      <c r="K5214">
        <f t="shared" ca="1" si="438"/>
        <v>0</v>
      </c>
      <c r="L5214">
        <f t="shared" si="439"/>
        <v>5208</v>
      </c>
      <c r="M5214" s="71">
        <f t="shared" ca="1" si="440"/>
        <v>3.106034936696052</v>
      </c>
    </row>
    <row r="5215" spans="1:13" x14ac:dyDescent="0.25">
      <c r="A5215" s="2">
        <v>5209</v>
      </c>
      <c r="B5215" s="11">
        <f t="shared" ca="1" si="436"/>
        <v>0</v>
      </c>
      <c r="C5215" s="26">
        <f t="shared" ca="1" si="435"/>
        <v>0.89085015446144977</v>
      </c>
      <c r="J5215">
        <f t="shared" ca="1" si="437"/>
        <v>0</v>
      </c>
      <c r="K5215">
        <f t="shared" ca="1" si="438"/>
        <v>0</v>
      </c>
      <c r="L5215">
        <f t="shared" si="439"/>
        <v>5209</v>
      </c>
      <c r="M5215" s="71">
        <f t="shared" ca="1" si="440"/>
        <v>0</v>
      </c>
    </row>
    <row r="5216" spans="1:13" x14ac:dyDescent="0.25">
      <c r="A5216" s="2">
        <v>5210</v>
      </c>
      <c r="B5216" s="11">
        <f t="shared" ca="1" si="436"/>
        <v>1</v>
      </c>
      <c r="C5216" s="26">
        <f t="shared" ca="1" si="435"/>
        <v>0.51596848622800573</v>
      </c>
      <c r="J5216">
        <f t="shared" ca="1" si="437"/>
        <v>1</v>
      </c>
      <c r="K5216">
        <f t="shared" ca="1" si="438"/>
        <v>0</v>
      </c>
      <c r="L5216">
        <f t="shared" si="439"/>
        <v>5210</v>
      </c>
      <c r="M5216" s="71">
        <f t="shared" ca="1" si="440"/>
        <v>4.9316819507040046</v>
      </c>
    </row>
    <row r="5217" spans="1:13" x14ac:dyDescent="0.25">
      <c r="A5217" s="2">
        <v>5211</v>
      </c>
      <c r="B5217" s="11">
        <f t="shared" ca="1" si="436"/>
        <v>1</v>
      </c>
      <c r="C5217" s="26">
        <f t="shared" ca="1" si="435"/>
        <v>0.78642778884246511</v>
      </c>
      <c r="J5217">
        <f t="shared" ca="1" si="437"/>
        <v>0</v>
      </c>
      <c r="K5217">
        <f t="shared" ca="1" si="438"/>
        <v>0</v>
      </c>
      <c r="L5217">
        <f t="shared" si="439"/>
        <v>5211</v>
      </c>
      <c r="M5217" s="71">
        <f t="shared" ca="1" si="440"/>
        <v>1.8729709011001787</v>
      </c>
    </row>
    <row r="5218" spans="1:13" x14ac:dyDescent="0.25">
      <c r="A5218" s="2">
        <v>5212</v>
      </c>
      <c r="B5218" s="11">
        <f t="shared" ca="1" si="436"/>
        <v>0</v>
      </c>
      <c r="C5218" s="26">
        <f t="shared" ca="1" si="435"/>
        <v>0.91504148894698045</v>
      </c>
      <c r="J5218">
        <f t="shared" ca="1" si="437"/>
        <v>0</v>
      </c>
      <c r="K5218">
        <f t="shared" ca="1" si="438"/>
        <v>0</v>
      </c>
      <c r="L5218">
        <f t="shared" si="439"/>
        <v>5212</v>
      </c>
      <c r="M5218" s="71">
        <f t="shared" ca="1" si="440"/>
        <v>0</v>
      </c>
    </row>
    <row r="5219" spans="1:13" x14ac:dyDescent="0.25">
      <c r="A5219" s="2">
        <v>5213</v>
      </c>
      <c r="B5219" s="11">
        <f t="shared" ca="1" si="436"/>
        <v>1</v>
      </c>
      <c r="C5219" s="26">
        <f t="shared" ca="1" si="435"/>
        <v>0.60787646598235667</v>
      </c>
      <c r="J5219">
        <f t="shared" ca="1" si="437"/>
        <v>1</v>
      </c>
      <c r="K5219">
        <f t="shared" ca="1" si="438"/>
        <v>0</v>
      </c>
      <c r="L5219">
        <f t="shared" si="439"/>
        <v>5213</v>
      </c>
      <c r="M5219" s="71">
        <f t="shared" ca="1" si="440"/>
        <v>8.0429834147570602</v>
      </c>
    </row>
    <row r="5220" spans="1:13" x14ac:dyDescent="0.25">
      <c r="A5220" s="2">
        <v>5214</v>
      </c>
      <c r="B5220" s="11">
        <f t="shared" ca="1" si="436"/>
        <v>1</v>
      </c>
      <c r="C5220" s="26">
        <f t="shared" ca="1" si="435"/>
        <v>6.3024463224947036E-2</v>
      </c>
      <c r="J5220">
        <f t="shared" ca="1" si="437"/>
        <v>1</v>
      </c>
      <c r="K5220">
        <f t="shared" ca="1" si="438"/>
        <v>0</v>
      </c>
      <c r="L5220">
        <f t="shared" si="439"/>
        <v>5214</v>
      </c>
      <c r="M5220" s="71">
        <f t="shared" ca="1" si="440"/>
        <v>3.083225702760116</v>
      </c>
    </row>
    <row r="5221" spans="1:13" x14ac:dyDescent="0.25">
      <c r="A5221" s="2">
        <v>5215</v>
      </c>
      <c r="B5221" s="11">
        <f t="shared" ca="1" si="436"/>
        <v>1</v>
      </c>
      <c r="C5221" s="26">
        <f t="shared" ca="1" si="435"/>
        <v>0.11350640677489399</v>
      </c>
      <c r="J5221">
        <f t="shared" ca="1" si="437"/>
        <v>1</v>
      </c>
      <c r="K5221">
        <f t="shared" ca="1" si="438"/>
        <v>0</v>
      </c>
      <c r="L5221">
        <f t="shared" si="439"/>
        <v>5215</v>
      </c>
      <c r="M5221" s="71">
        <f t="shared" ca="1" si="440"/>
        <v>1.3578153361674972</v>
      </c>
    </row>
    <row r="5222" spans="1:13" x14ac:dyDescent="0.25">
      <c r="A5222" s="2">
        <v>5216</v>
      </c>
      <c r="B5222" s="11">
        <f t="shared" ca="1" si="436"/>
        <v>1</v>
      </c>
      <c r="C5222" s="26">
        <f t="shared" ca="1" si="435"/>
        <v>0.42012139026929318</v>
      </c>
      <c r="J5222">
        <f t="shared" ca="1" si="437"/>
        <v>0</v>
      </c>
      <c r="K5222">
        <f t="shared" ca="1" si="438"/>
        <v>0</v>
      </c>
      <c r="L5222">
        <f t="shared" si="439"/>
        <v>5216</v>
      </c>
      <c r="M5222" s="71">
        <f t="shared" ca="1" si="440"/>
        <v>2.9772478740649451</v>
      </c>
    </row>
    <row r="5223" spans="1:13" x14ac:dyDescent="0.25">
      <c r="A5223" s="2">
        <v>5217</v>
      </c>
      <c r="B5223" s="11">
        <f t="shared" ca="1" si="436"/>
        <v>0</v>
      </c>
      <c r="C5223" s="26">
        <f t="shared" ca="1" si="435"/>
        <v>0.9827268971507418</v>
      </c>
      <c r="J5223">
        <f t="shared" ca="1" si="437"/>
        <v>0</v>
      </c>
      <c r="K5223">
        <f t="shared" ca="1" si="438"/>
        <v>0</v>
      </c>
      <c r="L5223">
        <f t="shared" si="439"/>
        <v>5217</v>
      </c>
      <c r="M5223" s="71">
        <f t="shared" ca="1" si="440"/>
        <v>0</v>
      </c>
    </row>
    <row r="5224" spans="1:13" x14ac:dyDescent="0.25">
      <c r="A5224" s="2">
        <v>5218</v>
      </c>
      <c r="B5224" s="11">
        <f t="shared" ca="1" si="436"/>
        <v>1</v>
      </c>
      <c r="C5224" s="26">
        <f t="shared" ca="1" si="435"/>
        <v>0.44775576359953362</v>
      </c>
      <c r="J5224">
        <f t="shared" ca="1" si="437"/>
        <v>1</v>
      </c>
      <c r="K5224">
        <f t="shared" ca="1" si="438"/>
        <v>0</v>
      </c>
      <c r="L5224">
        <f t="shared" si="439"/>
        <v>5218</v>
      </c>
      <c r="M5224" s="71">
        <f t="shared" ca="1" si="440"/>
        <v>0.63722232865980133</v>
      </c>
    </row>
    <row r="5225" spans="1:13" x14ac:dyDescent="0.25">
      <c r="A5225" s="2">
        <v>5219</v>
      </c>
      <c r="B5225" s="11">
        <f t="shared" ca="1" si="436"/>
        <v>1</v>
      </c>
      <c r="C5225" s="26">
        <f t="shared" ca="1" si="435"/>
        <v>0.27503844212162565</v>
      </c>
      <c r="J5225">
        <f t="shared" ca="1" si="437"/>
        <v>1</v>
      </c>
      <c r="K5225">
        <f t="shared" ca="1" si="438"/>
        <v>0</v>
      </c>
      <c r="L5225">
        <f t="shared" si="439"/>
        <v>5219</v>
      </c>
      <c r="M5225" s="71">
        <f t="shared" ca="1" si="440"/>
        <v>0.15710439598630768</v>
      </c>
    </row>
    <row r="5226" spans="1:13" x14ac:dyDescent="0.25">
      <c r="A5226" s="2">
        <v>5220</v>
      </c>
      <c r="B5226" s="11">
        <f t="shared" ca="1" si="436"/>
        <v>1</v>
      </c>
      <c r="C5226" s="26">
        <f t="shared" ca="1" si="435"/>
        <v>0.66473230777915426</v>
      </c>
      <c r="J5226">
        <f t="shared" ca="1" si="437"/>
        <v>1</v>
      </c>
      <c r="K5226">
        <f t="shared" ca="1" si="438"/>
        <v>0</v>
      </c>
      <c r="L5226">
        <f t="shared" si="439"/>
        <v>5220</v>
      </c>
      <c r="M5226" s="71">
        <f t="shared" ca="1" si="440"/>
        <v>4.1281205060443327</v>
      </c>
    </row>
    <row r="5227" spans="1:13" x14ac:dyDescent="0.25">
      <c r="A5227" s="2">
        <v>5221</v>
      </c>
      <c r="B5227" s="11">
        <f t="shared" ca="1" si="436"/>
        <v>1</v>
      </c>
      <c r="C5227" s="26">
        <f t="shared" ca="1" si="435"/>
        <v>0.22424721451664287</v>
      </c>
      <c r="J5227">
        <f t="shared" ca="1" si="437"/>
        <v>1</v>
      </c>
      <c r="K5227">
        <f t="shared" ca="1" si="438"/>
        <v>0</v>
      </c>
      <c r="L5227">
        <f t="shared" si="439"/>
        <v>5221</v>
      </c>
      <c r="M5227" s="71">
        <f t="shared" ca="1" si="440"/>
        <v>1.1259940732841216</v>
      </c>
    </row>
    <row r="5228" spans="1:13" x14ac:dyDescent="0.25">
      <c r="A5228" s="2">
        <v>5222</v>
      </c>
      <c r="B5228" s="11">
        <f t="shared" ca="1" si="436"/>
        <v>1</v>
      </c>
      <c r="C5228" s="26">
        <f t="shared" ca="1" si="435"/>
        <v>0.22618072342437412</v>
      </c>
      <c r="J5228">
        <f t="shared" ca="1" si="437"/>
        <v>0</v>
      </c>
      <c r="K5228">
        <f t="shared" ca="1" si="438"/>
        <v>0</v>
      </c>
      <c r="L5228">
        <f t="shared" si="439"/>
        <v>5222</v>
      </c>
      <c r="M5228" s="71">
        <f t="shared" ca="1" si="440"/>
        <v>1.4015850819997369</v>
      </c>
    </row>
    <row r="5229" spans="1:13" x14ac:dyDescent="0.25">
      <c r="A5229" s="2">
        <v>5223</v>
      </c>
      <c r="B5229" s="11">
        <f t="shared" ca="1" si="436"/>
        <v>0</v>
      </c>
      <c r="C5229" s="26">
        <f t="shared" ca="1" si="435"/>
        <v>0.98132838855458016</v>
      </c>
      <c r="J5229">
        <f t="shared" ca="1" si="437"/>
        <v>0</v>
      </c>
      <c r="K5229">
        <f t="shared" ca="1" si="438"/>
        <v>0</v>
      </c>
      <c r="L5229">
        <f t="shared" si="439"/>
        <v>5223</v>
      </c>
      <c r="M5229" s="71">
        <f t="shared" ca="1" si="440"/>
        <v>0</v>
      </c>
    </row>
    <row r="5230" spans="1:13" x14ac:dyDescent="0.25">
      <c r="A5230" s="2">
        <v>5224</v>
      </c>
      <c r="B5230" s="11">
        <f t="shared" ca="1" si="436"/>
        <v>1</v>
      </c>
      <c r="C5230" s="26">
        <f t="shared" ca="1" si="435"/>
        <v>0.33042908420712724</v>
      </c>
      <c r="J5230">
        <f t="shared" ca="1" si="437"/>
        <v>1</v>
      </c>
      <c r="K5230">
        <f t="shared" ca="1" si="438"/>
        <v>0</v>
      </c>
      <c r="L5230">
        <f t="shared" si="439"/>
        <v>5224</v>
      </c>
      <c r="M5230" s="71">
        <f t="shared" ca="1" si="440"/>
        <v>2.1182388600264579</v>
      </c>
    </row>
    <row r="5231" spans="1:13" x14ac:dyDescent="0.25">
      <c r="A5231" s="2">
        <v>5225</v>
      </c>
      <c r="B5231" s="11">
        <f t="shared" ca="1" si="436"/>
        <v>1</v>
      </c>
      <c r="C5231" s="26">
        <f t="shared" ca="1" si="435"/>
        <v>0.30409425816068714</v>
      </c>
      <c r="J5231">
        <f t="shared" ca="1" si="437"/>
        <v>1</v>
      </c>
      <c r="K5231">
        <f t="shared" ca="1" si="438"/>
        <v>0</v>
      </c>
      <c r="L5231">
        <f t="shared" si="439"/>
        <v>5225</v>
      </c>
      <c r="M5231" s="71">
        <f t="shared" ca="1" si="440"/>
        <v>4.8108431137028251</v>
      </c>
    </row>
    <row r="5232" spans="1:13" x14ac:dyDescent="0.25">
      <c r="A5232" s="2">
        <v>5226</v>
      </c>
      <c r="B5232" s="11">
        <f t="shared" ca="1" si="436"/>
        <v>1</v>
      </c>
      <c r="C5232" s="26">
        <f t="shared" ca="1" si="435"/>
        <v>0.45178416379000608</v>
      </c>
      <c r="J5232">
        <f t="shared" ca="1" si="437"/>
        <v>1</v>
      </c>
      <c r="K5232">
        <f t="shared" ca="1" si="438"/>
        <v>0</v>
      </c>
      <c r="L5232">
        <f t="shared" si="439"/>
        <v>5226</v>
      </c>
      <c r="M5232" s="71">
        <f t="shared" ca="1" si="440"/>
        <v>7.2429242113290764</v>
      </c>
    </row>
    <row r="5233" spans="1:13" x14ac:dyDescent="0.25">
      <c r="A5233" s="2">
        <v>5227</v>
      </c>
      <c r="B5233" s="11">
        <f t="shared" ca="1" si="436"/>
        <v>1</v>
      </c>
      <c r="C5233" s="26">
        <f t="shared" ca="1" si="435"/>
        <v>0.74212919342284189</v>
      </c>
      <c r="J5233">
        <f t="shared" ca="1" si="437"/>
        <v>1</v>
      </c>
      <c r="K5233">
        <f t="shared" ca="1" si="438"/>
        <v>0</v>
      </c>
      <c r="L5233">
        <f t="shared" si="439"/>
        <v>5227</v>
      </c>
      <c r="M5233" s="71">
        <f t="shared" ca="1" si="440"/>
        <v>2.8543500869542671</v>
      </c>
    </row>
    <row r="5234" spans="1:13" x14ac:dyDescent="0.25">
      <c r="A5234" s="2">
        <v>5228</v>
      </c>
      <c r="B5234" s="11">
        <f t="shared" ca="1" si="436"/>
        <v>1</v>
      </c>
      <c r="C5234" s="26">
        <f t="shared" ca="1" si="435"/>
        <v>8.5777402923850055E-2</v>
      </c>
      <c r="J5234">
        <f t="shared" ca="1" si="437"/>
        <v>1</v>
      </c>
      <c r="K5234">
        <f t="shared" ca="1" si="438"/>
        <v>0</v>
      </c>
      <c r="L5234">
        <f t="shared" si="439"/>
        <v>5228</v>
      </c>
      <c r="M5234" s="71">
        <f t="shared" ca="1" si="440"/>
        <v>0.11751331602431921</v>
      </c>
    </row>
    <row r="5235" spans="1:13" x14ac:dyDescent="0.25">
      <c r="A5235" s="2">
        <v>5229</v>
      </c>
      <c r="B5235" s="11">
        <f t="shared" ca="1" si="436"/>
        <v>1</v>
      </c>
      <c r="C5235" s="26">
        <f t="shared" ca="1" si="435"/>
        <v>0.63698574623191329</v>
      </c>
      <c r="J5235">
        <f t="shared" ca="1" si="437"/>
        <v>0</v>
      </c>
      <c r="K5235">
        <f t="shared" ca="1" si="438"/>
        <v>0</v>
      </c>
      <c r="L5235">
        <f t="shared" si="439"/>
        <v>5229</v>
      </c>
      <c r="M5235" s="71">
        <f t="shared" ca="1" si="440"/>
        <v>0.65918494960387908</v>
      </c>
    </row>
    <row r="5236" spans="1:13" x14ac:dyDescent="0.25">
      <c r="A5236" s="2">
        <v>5230</v>
      </c>
      <c r="B5236" s="11">
        <f t="shared" ca="1" si="436"/>
        <v>0</v>
      </c>
      <c r="C5236" s="26">
        <f t="shared" ca="1" si="435"/>
        <v>0.87866484512079257</v>
      </c>
      <c r="J5236">
        <f t="shared" ca="1" si="437"/>
        <v>0</v>
      </c>
      <c r="K5236">
        <f t="shared" ca="1" si="438"/>
        <v>0</v>
      </c>
      <c r="L5236">
        <f t="shared" si="439"/>
        <v>5230</v>
      </c>
      <c r="M5236" s="71">
        <f t="shared" ca="1" si="440"/>
        <v>0</v>
      </c>
    </row>
    <row r="5237" spans="1:13" x14ac:dyDescent="0.25">
      <c r="A5237" s="2">
        <v>5231</v>
      </c>
      <c r="B5237" s="11">
        <f t="shared" ca="1" si="436"/>
        <v>1</v>
      </c>
      <c r="C5237" s="26">
        <f t="shared" ca="1" si="435"/>
        <v>2.8196214355556859E-2</v>
      </c>
      <c r="J5237">
        <f t="shared" ca="1" si="437"/>
        <v>1</v>
      </c>
      <c r="K5237">
        <f t="shared" ca="1" si="438"/>
        <v>0</v>
      </c>
      <c r="L5237">
        <f t="shared" si="439"/>
        <v>5231</v>
      </c>
      <c r="M5237" s="71">
        <f t="shared" ca="1" si="440"/>
        <v>0.35162343484345621</v>
      </c>
    </row>
    <row r="5238" spans="1:13" x14ac:dyDescent="0.25">
      <c r="A5238" s="2">
        <v>5232</v>
      </c>
      <c r="B5238" s="11">
        <f t="shared" ca="1" si="436"/>
        <v>1</v>
      </c>
      <c r="C5238" s="26">
        <f t="shared" ca="1" si="435"/>
        <v>0.37743454303519575</v>
      </c>
      <c r="J5238">
        <f t="shared" ca="1" si="437"/>
        <v>1</v>
      </c>
      <c r="K5238">
        <f t="shared" ca="1" si="438"/>
        <v>0</v>
      </c>
      <c r="L5238">
        <f t="shared" si="439"/>
        <v>5232</v>
      </c>
      <c r="M5238" s="71">
        <f t="shared" ca="1" si="440"/>
        <v>0.18974500244922352</v>
      </c>
    </row>
    <row r="5239" spans="1:13" x14ac:dyDescent="0.25">
      <c r="A5239" s="2">
        <v>5233</v>
      </c>
      <c r="B5239" s="11">
        <f t="shared" ca="1" si="436"/>
        <v>1</v>
      </c>
      <c r="C5239" s="26">
        <f t="shared" ca="1" si="435"/>
        <v>0.67596497258267152</v>
      </c>
      <c r="J5239">
        <f t="shared" ca="1" si="437"/>
        <v>1</v>
      </c>
      <c r="K5239">
        <f t="shared" ca="1" si="438"/>
        <v>0</v>
      </c>
      <c r="L5239">
        <f t="shared" si="439"/>
        <v>5233</v>
      </c>
      <c r="M5239" s="71">
        <f t="shared" ca="1" si="440"/>
        <v>0.4993514818720533</v>
      </c>
    </row>
    <row r="5240" spans="1:13" x14ac:dyDescent="0.25">
      <c r="A5240" s="2">
        <v>5234</v>
      </c>
      <c r="B5240" s="11">
        <f t="shared" ca="1" si="436"/>
        <v>1</v>
      </c>
      <c r="C5240" s="26">
        <f t="shared" ca="1" si="435"/>
        <v>0.50768549809907737</v>
      </c>
      <c r="J5240">
        <f t="shared" ca="1" si="437"/>
        <v>1</v>
      </c>
      <c r="K5240">
        <f t="shared" ca="1" si="438"/>
        <v>0</v>
      </c>
      <c r="L5240">
        <f t="shared" si="439"/>
        <v>5234</v>
      </c>
      <c r="M5240" s="71">
        <f t="shared" ca="1" si="440"/>
        <v>2.9656387614128832</v>
      </c>
    </row>
    <row r="5241" spans="1:13" x14ac:dyDescent="0.25">
      <c r="A5241" s="2">
        <v>5235</v>
      </c>
      <c r="B5241" s="11">
        <f t="shared" ca="1" si="436"/>
        <v>1</v>
      </c>
      <c r="C5241" s="26">
        <f t="shared" ca="1" si="435"/>
        <v>0.55204001435189598</v>
      </c>
      <c r="J5241">
        <f t="shared" ca="1" si="437"/>
        <v>0</v>
      </c>
      <c r="K5241">
        <f t="shared" ca="1" si="438"/>
        <v>0</v>
      </c>
      <c r="L5241">
        <f t="shared" si="439"/>
        <v>5235</v>
      </c>
      <c r="M5241" s="71">
        <f t="shared" ca="1" si="440"/>
        <v>4.3012219069147104</v>
      </c>
    </row>
    <row r="5242" spans="1:13" x14ac:dyDescent="0.25">
      <c r="A5242" s="2">
        <v>5236</v>
      </c>
      <c r="B5242" s="11">
        <f t="shared" ca="1" si="436"/>
        <v>0</v>
      </c>
      <c r="C5242" s="26">
        <f t="shared" ca="1" si="435"/>
        <v>0.97761976987196564</v>
      </c>
      <c r="J5242">
        <f t="shared" ca="1" si="437"/>
        <v>0</v>
      </c>
      <c r="K5242">
        <f t="shared" ca="1" si="438"/>
        <v>0</v>
      </c>
      <c r="L5242">
        <f t="shared" si="439"/>
        <v>5236</v>
      </c>
      <c r="M5242" s="71">
        <f t="shared" ca="1" si="440"/>
        <v>0</v>
      </c>
    </row>
    <row r="5243" spans="1:13" x14ac:dyDescent="0.25">
      <c r="A5243" s="2">
        <v>5237</v>
      </c>
      <c r="B5243" s="11">
        <f t="shared" ca="1" si="436"/>
        <v>1</v>
      </c>
      <c r="C5243" s="26">
        <f t="shared" ca="1" si="435"/>
        <v>0.47193835234036463</v>
      </c>
      <c r="J5243">
        <f t="shared" ca="1" si="437"/>
        <v>0</v>
      </c>
      <c r="K5243">
        <f t="shared" ca="1" si="438"/>
        <v>0</v>
      </c>
      <c r="L5243">
        <f t="shared" si="439"/>
        <v>5237</v>
      </c>
      <c r="M5243" s="71">
        <f t="shared" ca="1" si="440"/>
        <v>3.1281595595733149</v>
      </c>
    </row>
    <row r="5244" spans="1:13" x14ac:dyDescent="0.25">
      <c r="A5244" s="2">
        <v>5238</v>
      </c>
      <c r="B5244" s="11">
        <f t="shared" ca="1" si="436"/>
        <v>0</v>
      </c>
      <c r="C5244" s="26">
        <f t="shared" ca="1" si="435"/>
        <v>0.86903282022357164</v>
      </c>
      <c r="J5244">
        <f t="shared" ca="1" si="437"/>
        <v>0</v>
      </c>
      <c r="K5244">
        <f t="shared" ca="1" si="438"/>
        <v>1</v>
      </c>
      <c r="L5244">
        <f t="shared" si="439"/>
        <v>5238</v>
      </c>
      <c r="M5244" s="71">
        <f t="shared" ca="1" si="440"/>
        <v>0</v>
      </c>
    </row>
    <row r="5245" spans="1:13" x14ac:dyDescent="0.25">
      <c r="A5245" s="2">
        <v>5239</v>
      </c>
      <c r="B5245" s="11">
        <f t="shared" ca="1" si="436"/>
        <v>0</v>
      </c>
      <c r="C5245" s="26">
        <f t="shared" ca="1" si="435"/>
        <v>0.91762346733207567</v>
      </c>
      <c r="J5245">
        <f t="shared" ca="1" si="437"/>
        <v>0</v>
      </c>
      <c r="K5245">
        <f t="shared" ca="1" si="438"/>
        <v>1</v>
      </c>
      <c r="L5245">
        <f t="shared" si="439"/>
        <v>5239</v>
      </c>
      <c r="M5245" s="71">
        <f t="shared" ca="1" si="440"/>
        <v>0</v>
      </c>
    </row>
    <row r="5246" spans="1:13" x14ac:dyDescent="0.25">
      <c r="A5246" s="2">
        <v>5240</v>
      </c>
      <c r="B5246" s="11">
        <f t="shared" ca="1" si="436"/>
        <v>0</v>
      </c>
      <c r="C5246" s="26">
        <f t="shared" ca="1" si="435"/>
        <v>0.8600706988006287</v>
      </c>
      <c r="J5246">
        <f t="shared" ca="1" si="437"/>
        <v>0</v>
      </c>
      <c r="K5246">
        <f t="shared" ca="1" si="438"/>
        <v>0</v>
      </c>
      <c r="L5246">
        <f t="shared" si="439"/>
        <v>5240</v>
      </c>
      <c r="M5246" s="71">
        <f t="shared" ca="1" si="440"/>
        <v>0</v>
      </c>
    </row>
    <row r="5247" spans="1:13" x14ac:dyDescent="0.25">
      <c r="A5247" s="2">
        <v>5241</v>
      </c>
      <c r="B5247" s="11">
        <f t="shared" ca="1" si="436"/>
        <v>1</v>
      </c>
      <c r="C5247" s="26">
        <f t="shared" ca="1" si="435"/>
        <v>0.52515005097607415</v>
      </c>
      <c r="J5247">
        <f t="shared" ca="1" si="437"/>
        <v>1</v>
      </c>
      <c r="K5247">
        <f t="shared" ca="1" si="438"/>
        <v>0</v>
      </c>
      <c r="L5247">
        <f t="shared" si="439"/>
        <v>5241</v>
      </c>
      <c r="M5247" s="71">
        <f t="shared" ca="1" si="440"/>
        <v>1.7797278215242023</v>
      </c>
    </row>
    <row r="5248" spans="1:13" x14ac:dyDescent="0.25">
      <c r="A5248" s="2">
        <v>5242</v>
      </c>
      <c r="B5248" s="11">
        <f t="shared" ca="1" si="436"/>
        <v>1</v>
      </c>
      <c r="C5248" s="26">
        <f t="shared" ca="1" si="435"/>
        <v>0.47338337074087655</v>
      </c>
      <c r="J5248">
        <f t="shared" ca="1" si="437"/>
        <v>1</v>
      </c>
      <c r="K5248">
        <f t="shared" ca="1" si="438"/>
        <v>0</v>
      </c>
      <c r="L5248">
        <f t="shared" si="439"/>
        <v>5242</v>
      </c>
      <c r="M5248" s="71">
        <f t="shared" ca="1" si="440"/>
        <v>0.44417317639744103</v>
      </c>
    </row>
    <row r="5249" spans="1:13" x14ac:dyDescent="0.25">
      <c r="A5249" s="2">
        <v>5243</v>
      </c>
      <c r="B5249" s="11">
        <f t="shared" ca="1" si="436"/>
        <v>1</v>
      </c>
      <c r="C5249" s="26">
        <f t="shared" ca="1" si="435"/>
        <v>0.2382226312213408</v>
      </c>
      <c r="J5249">
        <f t="shared" ca="1" si="437"/>
        <v>1</v>
      </c>
      <c r="K5249">
        <f t="shared" ca="1" si="438"/>
        <v>0</v>
      </c>
      <c r="L5249">
        <f t="shared" si="439"/>
        <v>5243</v>
      </c>
      <c r="M5249" s="71">
        <f t="shared" ca="1" si="440"/>
        <v>2.0515174352093473</v>
      </c>
    </row>
    <row r="5250" spans="1:13" x14ac:dyDescent="0.25">
      <c r="A5250" s="2">
        <v>5244</v>
      </c>
      <c r="B5250" s="11">
        <f t="shared" ca="1" si="436"/>
        <v>1</v>
      </c>
      <c r="C5250" s="26">
        <f t="shared" ca="1" si="435"/>
        <v>0.26480800892931033</v>
      </c>
      <c r="J5250">
        <f t="shared" ca="1" si="437"/>
        <v>1</v>
      </c>
      <c r="K5250">
        <f t="shared" ca="1" si="438"/>
        <v>0</v>
      </c>
      <c r="L5250">
        <f t="shared" si="439"/>
        <v>5244</v>
      </c>
      <c r="M5250" s="71">
        <f t="shared" ca="1" si="440"/>
        <v>13.005493306313035</v>
      </c>
    </row>
    <row r="5251" spans="1:13" x14ac:dyDescent="0.25">
      <c r="A5251" s="2">
        <v>5245</v>
      </c>
      <c r="B5251" s="11">
        <f t="shared" ca="1" si="436"/>
        <v>1</v>
      </c>
      <c r="C5251" s="26">
        <f t="shared" ca="1" si="435"/>
        <v>0.32275153942221646</v>
      </c>
      <c r="J5251">
        <f t="shared" ca="1" si="437"/>
        <v>0</v>
      </c>
      <c r="K5251">
        <f t="shared" ca="1" si="438"/>
        <v>0</v>
      </c>
      <c r="L5251">
        <f t="shared" si="439"/>
        <v>5245</v>
      </c>
      <c r="M5251" s="71">
        <f t="shared" ca="1" si="440"/>
        <v>7.0143848225886662</v>
      </c>
    </row>
    <row r="5252" spans="1:13" x14ac:dyDescent="0.25">
      <c r="A5252" s="2">
        <v>5246</v>
      </c>
      <c r="B5252" s="11">
        <f t="shared" ca="1" si="436"/>
        <v>0</v>
      </c>
      <c r="C5252" s="26">
        <f t="shared" ca="1" si="435"/>
        <v>0.93962302059865022</v>
      </c>
      <c r="J5252">
        <f t="shared" ca="1" si="437"/>
        <v>0</v>
      </c>
      <c r="K5252">
        <f t="shared" ca="1" si="438"/>
        <v>1</v>
      </c>
      <c r="L5252">
        <f t="shared" si="439"/>
        <v>5246</v>
      </c>
      <c r="M5252" s="71">
        <f t="shared" ca="1" si="440"/>
        <v>0</v>
      </c>
    </row>
    <row r="5253" spans="1:13" x14ac:dyDescent="0.25">
      <c r="A5253" s="2">
        <v>5247</v>
      </c>
      <c r="B5253" s="11">
        <f t="shared" ca="1" si="436"/>
        <v>0</v>
      </c>
      <c r="C5253" s="26">
        <f t="shared" ca="1" si="435"/>
        <v>0.95799935375393941</v>
      </c>
      <c r="J5253">
        <f t="shared" ca="1" si="437"/>
        <v>0</v>
      </c>
      <c r="K5253">
        <f t="shared" ca="1" si="438"/>
        <v>0</v>
      </c>
      <c r="L5253">
        <f t="shared" si="439"/>
        <v>5247</v>
      </c>
      <c r="M5253" s="71">
        <f t="shared" ca="1" si="440"/>
        <v>0</v>
      </c>
    </row>
    <row r="5254" spans="1:13" x14ac:dyDescent="0.25">
      <c r="A5254" s="2">
        <v>5248</v>
      </c>
      <c r="B5254" s="11">
        <f t="shared" ca="1" si="436"/>
        <v>1</v>
      </c>
      <c r="C5254" s="26">
        <f t="shared" ca="1" si="435"/>
        <v>0.37209283219761924</v>
      </c>
      <c r="J5254">
        <f t="shared" ca="1" si="437"/>
        <v>1</v>
      </c>
      <c r="K5254">
        <f t="shared" ca="1" si="438"/>
        <v>0</v>
      </c>
      <c r="L5254">
        <f t="shared" si="439"/>
        <v>5248</v>
      </c>
      <c r="M5254" s="71">
        <f t="shared" ca="1" si="440"/>
        <v>1.6090307700140529</v>
      </c>
    </row>
    <row r="5255" spans="1:13" x14ac:dyDescent="0.25">
      <c r="A5255" s="2">
        <v>5249</v>
      </c>
      <c r="B5255" s="11">
        <f t="shared" ca="1" si="436"/>
        <v>1</v>
      </c>
      <c r="C5255" s="26">
        <f t="shared" ca="1" si="435"/>
        <v>0.41294851691024193</v>
      </c>
      <c r="J5255">
        <f t="shared" ca="1" si="437"/>
        <v>1</v>
      </c>
      <c r="K5255">
        <f t="shared" ca="1" si="438"/>
        <v>0</v>
      </c>
      <c r="L5255">
        <f t="shared" si="439"/>
        <v>5249</v>
      </c>
      <c r="M5255" s="71">
        <f t="shared" ca="1" si="440"/>
        <v>1.8491805632935228</v>
      </c>
    </row>
    <row r="5256" spans="1:13" x14ac:dyDescent="0.25">
      <c r="A5256" s="2">
        <v>5250</v>
      </c>
      <c r="B5256" s="11">
        <f t="shared" ca="1" si="436"/>
        <v>1</v>
      </c>
      <c r="C5256" s="26">
        <f t="shared" ref="C5256:C5319" ca="1" si="441">RAND()</f>
        <v>0.43790654564036868</v>
      </c>
      <c r="J5256">
        <f t="shared" ca="1" si="437"/>
        <v>1</v>
      </c>
      <c r="K5256">
        <f t="shared" ca="1" si="438"/>
        <v>0</v>
      </c>
      <c r="L5256">
        <f t="shared" si="439"/>
        <v>5250</v>
      </c>
      <c r="M5256" s="71">
        <f t="shared" ca="1" si="440"/>
        <v>5.0298951981632039</v>
      </c>
    </row>
    <row r="5257" spans="1:13" x14ac:dyDescent="0.25">
      <c r="A5257" s="2">
        <v>5251</v>
      </c>
      <c r="B5257" s="11">
        <f t="shared" ref="B5257:B5320" ca="1" si="442">IF(B5256&gt;0,IF(C5257&lt;pww,1,0),IF(C5257&lt;pdw,1,0))</f>
        <v>1</v>
      </c>
      <c r="C5257" s="26">
        <f t="shared" ca="1" si="441"/>
        <v>0.35367038356079372</v>
      </c>
      <c r="J5257">
        <f t="shared" ca="1" si="437"/>
        <v>1</v>
      </c>
      <c r="K5257">
        <f t="shared" ca="1" si="438"/>
        <v>0</v>
      </c>
      <c r="L5257">
        <f t="shared" si="439"/>
        <v>5251</v>
      </c>
      <c r="M5257" s="71">
        <f t="shared" ca="1" si="440"/>
        <v>7.0069440003048395</v>
      </c>
    </row>
    <row r="5258" spans="1:13" x14ac:dyDescent="0.25">
      <c r="A5258" s="2">
        <v>5252</v>
      </c>
      <c r="B5258" s="11">
        <f t="shared" ca="1" si="442"/>
        <v>1</v>
      </c>
      <c r="C5258" s="26">
        <f t="shared" ca="1" si="441"/>
        <v>0.35436773232277663</v>
      </c>
      <c r="J5258">
        <f t="shared" ref="J5258:J5321" ca="1" si="443">IF(AND(B5258,B5259),1,0)</f>
        <v>1</v>
      </c>
      <c r="K5258">
        <f t="shared" ref="K5258:K5321" ca="1" si="444">IF(AND(NOT(B5258),NOT(B5259)),1,0)</f>
        <v>0</v>
      </c>
      <c r="L5258">
        <f t="shared" ref="L5258:L5321" si="445">L5257+1</f>
        <v>5252</v>
      </c>
      <c r="M5258" s="71">
        <f t="shared" ref="M5258:M5321" ca="1" si="446">IF(B5258&gt;0,-LN(1-(RAND()))/lambda,0)</f>
        <v>0.99219856888743641</v>
      </c>
    </row>
    <row r="5259" spans="1:13" x14ac:dyDescent="0.25">
      <c r="A5259" s="2">
        <v>5253</v>
      </c>
      <c r="B5259" s="11">
        <f t="shared" ca="1" si="442"/>
        <v>1</v>
      </c>
      <c r="C5259" s="26">
        <f t="shared" ca="1" si="441"/>
        <v>0.40131945865889229</v>
      </c>
      <c r="J5259">
        <f t="shared" ca="1" si="443"/>
        <v>1</v>
      </c>
      <c r="K5259">
        <f t="shared" ca="1" si="444"/>
        <v>0</v>
      </c>
      <c r="L5259">
        <f t="shared" si="445"/>
        <v>5253</v>
      </c>
      <c r="M5259" s="71">
        <f t="shared" ca="1" si="446"/>
        <v>0.33174787737766376</v>
      </c>
    </row>
    <row r="5260" spans="1:13" x14ac:dyDescent="0.25">
      <c r="A5260" s="2">
        <v>5254</v>
      </c>
      <c r="B5260" s="11">
        <f t="shared" ca="1" si="442"/>
        <v>1</v>
      </c>
      <c r="C5260" s="26">
        <f t="shared" ca="1" si="441"/>
        <v>0.45151067714338811</v>
      </c>
      <c r="J5260">
        <f t="shared" ca="1" si="443"/>
        <v>1</v>
      </c>
      <c r="K5260">
        <f t="shared" ca="1" si="444"/>
        <v>0</v>
      </c>
      <c r="L5260">
        <f t="shared" si="445"/>
        <v>5254</v>
      </c>
      <c r="M5260" s="71">
        <f t="shared" ca="1" si="446"/>
        <v>2.3325787179413431</v>
      </c>
    </row>
    <row r="5261" spans="1:13" x14ac:dyDescent="0.25">
      <c r="A5261" s="2">
        <v>5255</v>
      </c>
      <c r="B5261" s="11">
        <f t="shared" ca="1" si="442"/>
        <v>1</v>
      </c>
      <c r="C5261" s="26">
        <f t="shared" ca="1" si="441"/>
        <v>0.16660381748642339</v>
      </c>
      <c r="J5261">
        <f t="shared" ca="1" si="443"/>
        <v>0</v>
      </c>
      <c r="K5261">
        <f t="shared" ca="1" si="444"/>
        <v>0</v>
      </c>
      <c r="L5261">
        <f t="shared" si="445"/>
        <v>5255</v>
      </c>
      <c r="M5261" s="71">
        <f t="shared" ca="1" si="446"/>
        <v>13.973752987895464</v>
      </c>
    </row>
    <row r="5262" spans="1:13" x14ac:dyDescent="0.25">
      <c r="A5262" s="2">
        <v>5256</v>
      </c>
      <c r="B5262" s="11">
        <f t="shared" ca="1" si="442"/>
        <v>0</v>
      </c>
      <c r="C5262" s="26">
        <f t="shared" ca="1" si="441"/>
        <v>0.99708919548476271</v>
      </c>
      <c r="J5262">
        <f t="shared" ca="1" si="443"/>
        <v>0</v>
      </c>
      <c r="K5262">
        <f t="shared" ca="1" si="444"/>
        <v>1</v>
      </c>
      <c r="L5262">
        <f t="shared" si="445"/>
        <v>5256</v>
      </c>
      <c r="M5262" s="71">
        <f t="shared" ca="1" si="446"/>
        <v>0</v>
      </c>
    </row>
    <row r="5263" spans="1:13" x14ac:dyDescent="0.25">
      <c r="A5263" s="2">
        <v>5257</v>
      </c>
      <c r="B5263" s="11">
        <f t="shared" ca="1" si="442"/>
        <v>0</v>
      </c>
      <c r="C5263" s="26">
        <f t="shared" ca="1" si="441"/>
        <v>0.84109612917256571</v>
      </c>
      <c r="J5263">
        <f t="shared" ca="1" si="443"/>
        <v>0</v>
      </c>
      <c r="K5263">
        <f t="shared" ca="1" si="444"/>
        <v>1</v>
      </c>
      <c r="L5263">
        <f t="shared" si="445"/>
        <v>5257</v>
      </c>
      <c r="M5263" s="71">
        <f t="shared" ca="1" si="446"/>
        <v>0</v>
      </c>
    </row>
    <row r="5264" spans="1:13" x14ac:dyDescent="0.25">
      <c r="A5264" s="2">
        <v>5258</v>
      </c>
      <c r="B5264" s="11">
        <f t="shared" ca="1" si="442"/>
        <v>0</v>
      </c>
      <c r="C5264" s="26">
        <f t="shared" ca="1" si="441"/>
        <v>0.81782680315764378</v>
      </c>
      <c r="J5264">
        <f t="shared" ca="1" si="443"/>
        <v>0</v>
      </c>
      <c r="K5264">
        <f t="shared" ca="1" si="444"/>
        <v>0</v>
      </c>
      <c r="L5264">
        <f t="shared" si="445"/>
        <v>5258</v>
      </c>
      <c r="M5264" s="71">
        <f t="shared" ca="1" si="446"/>
        <v>0</v>
      </c>
    </row>
    <row r="5265" spans="1:13" x14ac:dyDescent="0.25">
      <c r="A5265" s="2">
        <v>5259</v>
      </c>
      <c r="B5265" s="11">
        <f t="shared" ca="1" si="442"/>
        <v>1</v>
      </c>
      <c r="C5265" s="26">
        <f t="shared" ca="1" si="441"/>
        <v>8.2387216672137997E-2</v>
      </c>
      <c r="J5265">
        <f t="shared" ca="1" si="443"/>
        <v>1</v>
      </c>
      <c r="K5265">
        <f t="shared" ca="1" si="444"/>
        <v>0</v>
      </c>
      <c r="L5265">
        <f t="shared" si="445"/>
        <v>5259</v>
      </c>
      <c r="M5265" s="71">
        <f t="shared" ca="1" si="446"/>
        <v>4.3138884559332853</v>
      </c>
    </row>
    <row r="5266" spans="1:13" x14ac:dyDescent="0.25">
      <c r="A5266" s="2">
        <v>5260</v>
      </c>
      <c r="B5266" s="11">
        <f t="shared" ca="1" si="442"/>
        <v>1</v>
      </c>
      <c r="C5266" s="26">
        <f t="shared" ca="1" si="441"/>
        <v>0.32635049191302634</v>
      </c>
      <c r="J5266">
        <f t="shared" ca="1" si="443"/>
        <v>1</v>
      </c>
      <c r="K5266">
        <f t="shared" ca="1" si="444"/>
        <v>0</v>
      </c>
      <c r="L5266">
        <f t="shared" si="445"/>
        <v>5260</v>
      </c>
      <c r="M5266" s="71">
        <f t="shared" ca="1" si="446"/>
        <v>2.021729840568204</v>
      </c>
    </row>
    <row r="5267" spans="1:13" x14ac:dyDescent="0.25">
      <c r="A5267" s="2">
        <v>5261</v>
      </c>
      <c r="B5267" s="11">
        <f t="shared" ca="1" si="442"/>
        <v>1</v>
      </c>
      <c r="C5267" s="26">
        <f t="shared" ca="1" si="441"/>
        <v>0.64241198358235563</v>
      </c>
      <c r="J5267">
        <f t="shared" ca="1" si="443"/>
        <v>1</v>
      </c>
      <c r="K5267">
        <f t="shared" ca="1" si="444"/>
        <v>0</v>
      </c>
      <c r="L5267">
        <f t="shared" si="445"/>
        <v>5261</v>
      </c>
      <c r="M5267" s="71">
        <f t="shared" ca="1" si="446"/>
        <v>6.1865309699619981</v>
      </c>
    </row>
    <row r="5268" spans="1:13" x14ac:dyDescent="0.25">
      <c r="A5268" s="2">
        <v>5262</v>
      </c>
      <c r="B5268" s="11">
        <f t="shared" ca="1" si="442"/>
        <v>1</v>
      </c>
      <c r="C5268" s="26">
        <f t="shared" ca="1" si="441"/>
        <v>0.55194162910593114</v>
      </c>
      <c r="J5268">
        <f t="shared" ca="1" si="443"/>
        <v>1</v>
      </c>
      <c r="K5268">
        <f t="shared" ca="1" si="444"/>
        <v>0</v>
      </c>
      <c r="L5268">
        <f t="shared" si="445"/>
        <v>5262</v>
      </c>
      <c r="M5268" s="71">
        <f t="shared" ca="1" si="446"/>
        <v>2.2029256042159582</v>
      </c>
    </row>
    <row r="5269" spans="1:13" x14ac:dyDescent="0.25">
      <c r="A5269" s="2">
        <v>5263</v>
      </c>
      <c r="B5269" s="11">
        <f t="shared" ca="1" si="442"/>
        <v>1</v>
      </c>
      <c r="C5269" s="26">
        <f t="shared" ca="1" si="441"/>
        <v>0.1251803368843335</v>
      </c>
      <c r="J5269">
        <f t="shared" ca="1" si="443"/>
        <v>1</v>
      </c>
      <c r="K5269">
        <f t="shared" ca="1" si="444"/>
        <v>0</v>
      </c>
      <c r="L5269">
        <f t="shared" si="445"/>
        <v>5263</v>
      </c>
      <c r="M5269" s="71">
        <f t="shared" ca="1" si="446"/>
        <v>3.3746371614408952</v>
      </c>
    </row>
    <row r="5270" spans="1:13" x14ac:dyDescent="0.25">
      <c r="A5270" s="2">
        <v>5264</v>
      </c>
      <c r="B5270" s="11">
        <f t="shared" ca="1" si="442"/>
        <v>1</v>
      </c>
      <c r="C5270" s="26">
        <f t="shared" ca="1" si="441"/>
        <v>8.5109361293635111E-2</v>
      </c>
      <c r="J5270">
        <f t="shared" ca="1" si="443"/>
        <v>1</v>
      </c>
      <c r="K5270">
        <f t="shared" ca="1" si="444"/>
        <v>0</v>
      </c>
      <c r="L5270">
        <f t="shared" si="445"/>
        <v>5264</v>
      </c>
      <c r="M5270" s="71">
        <f t="shared" ca="1" si="446"/>
        <v>4.1752837266900462</v>
      </c>
    </row>
    <row r="5271" spans="1:13" x14ac:dyDescent="0.25">
      <c r="A5271" s="2">
        <v>5265</v>
      </c>
      <c r="B5271" s="11">
        <f t="shared" ca="1" si="442"/>
        <v>1</v>
      </c>
      <c r="C5271" s="26">
        <f t="shared" ca="1" si="441"/>
        <v>0.64741376619988444</v>
      </c>
      <c r="J5271">
        <f t="shared" ca="1" si="443"/>
        <v>1</v>
      </c>
      <c r="K5271">
        <f t="shared" ca="1" si="444"/>
        <v>0</v>
      </c>
      <c r="L5271">
        <f t="shared" si="445"/>
        <v>5265</v>
      </c>
      <c r="M5271" s="71">
        <f t="shared" ca="1" si="446"/>
        <v>2.7477663478149217</v>
      </c>
    </row>
    <row r="5272" spans="1:13" x14ac:dyDescent="0.25">
      <c r="A5272" s="2">
        <v>5266</v>
      </c>
      <c r="B5272" s="11">
        <f t="shared" ca="1" si="442"/>
        <v>1</v>
      </c>
      <c r="C5272" s="26">
        <f t="shared" ca="1" si="441"/>
        <v>0.79096421563161956</v>
      </c>
      <c r="J5272">
        <f t="shared" ca="1" si="443"/>
        <v>0</v>
      </c>
      <c r="K5272">
        <f t="shared" ca="1" si="444"/>
        <v>0</v>
      </c>
      <c r="L5272">
        <f t="shared" si="445"/>
        <v>5266</v>
      </c>
      <c r="M5272" s="71">
        <f t="shared" ca="1" si="446"/>
        <v>15.336963609584807</v>
      </c>
    </row>
    <row r="5273" spans="1:13" x14ac:dyDescent="0.25">
      <c r="A5273" s="2">
        <v>5267</v>
      </c>
      <c r="B5273" s="11">
        <f t="shared" ca="1" si="442"/>
        <v>0</v>
      </c>
      <c r="C5273" s="26">
        <f t="shared" ca="1" si="441"/>
        <v>0.84933516255986452</v>
      </c>
      <c r="J5273">
        <f t="shared" ca="1" si="443"/>
        <v>0</v>
      </c>
      <c r="K5273">
        <f t="shared" ca="1" si="444"/>
        <v>0</v>
      </c>
      <c r="L5273">
        <f t="shared" si="445"/>
        <v>5267</v>
      </c>
      <c r="M5273" s="71">
        <f t="shared" ca="1" si="446"/>
        <v>0</v>
      </c>
    </row>
    <row r="5274" spans="1:13" x14ac:dyDescent="0.25">
      <c r="A5274" s="2">
        <v>5268</v>
      </c>
      <c r="B5274" s="11">
        <f t="shared" ca="1" si="442"/>
        <v>1</v>
      </c>
      <c r="C5274" s="26">
        <f t="shared" ca="1" si="441"/>
        <v>0.60728676737144349</v>
      </c>
      <c r="J5274">
        <f t="shared" ca="1" si="443"/>
        <v>1</v>
      </c>
      <c r="K5274">
        <f t="shared" ca="1" si="444"/>
        <v>0</v>
      </c>
      <c r="L5274">
        <f t="shared" si="445"/>
        <v>5268</v>
      </c>
      <c r="M5274" s="71">
        <f t="shared" ca="1" si="446"/>
        <v>2.0430542241211018</v>
      </c>
    </row>
    <row r="5275" spans="1:13" x14ac:dyDescent="0.25">
      <c r="A5275" s="2">
        <v>5269</v>
      </c>
      <c r="B5275" s="11">
        <f t="shared" ca="1" si="442"/>
        <v>1</v>
      </c>
      <c r="C5275" s="26">
        <f t="shared" ca="1" si="441"/>
        <v>0.27823201021238164</v>
      </c>
      <c r="J5275">
        <f t="shared" ca="1" si="443"/>
        <v>0</v>
      </c>
      <c r="K5275">
        <f t="shared" ca="1" si="444"/>
        <v>0</v>
      </c>
      <c r="L5275">
        <f t="shared" si="445"/>
        <v>5269</v>
      </c>
      <c r="M5275" s="71">
        <f t="shared" ca="1" si="446"/>
        <v>3.6164684451292017</v>
      </c>
    </row>
    <row r="5276" spans="1:13" x14ac:dyDescent="0.25">
      <c r="A5276" s="2">
        <v>5270</v>
      </c>
      <c r="B5276" s="11">
        <f t="shared" ca="1" si="442"/>
        <v>0</v>
      </c>
      <c r="C5276" s="26">
        <f t="shared" ca="1" si="441"/>
        <v>0.80546101651467183</v>
      </c>
      <c r="J5276">
        <f t="shared" ca="1" si="443"/>
        <v>0</v>
      </c>
      <c r="K5276">
        <f t="shared" ca="1" si="444"/>
        <v>0</v>
      </c>
      <c r="L5276">
        <f t="shared" si="445"/>
        <v>5270</v>
      </c>
      <c r="M5276" s="71">
        <f t="shared" ca="1" si="446"/>
        <v>0</v>
      </c>
    </row>
    <row r="5277" spans="1:13" x14ac:dyDescent="0.25">
      <c r="A5277" s="2">
        <v>5271</v>
      </c>
      <c r="B5277" s="11">
        <f t="shared" ca="1" si="442"/>
        <v>1</v>
      </c>
      <c r="C5277" s="26">
        <f t="shared" ca="1" si="441"/>
        <v>0.49370704520566577</v>
      </c>
      <c r="J5277">
        <f t="shared" ca="1" si="443"/>
        <v>1</v>
      </c>
      <c r="K5277">
        <f t="shared" ca="1" si="444"/>
        <v>0</v>
      </c>
      <c r="L5277">
        <f t="shared" si="445"/>
        <v>5271</v>
      </c>
      <c r="M5277" s="71">
        <f t="shared" ca="1" si="446"/>
        <v>0.22777230430670298</v>
      </c>
    </row>
    <row r="5278" spans="1:13" x14ac:dyDescent="0.25">
      <c r="A5278" s="2">
        <v>5272</v>
      </c>
      <c r="B5278" s="11">
        <f t="shared" ca="1" si="442"/>
        <v>1</v>
      </c>
      <c r="C5278" s="26">
        <f t="shared" ca="1" si="441"/>
        <v>0.43111423903045898</v>
      </c>
      <c r="J5278">
        <f t="shared" ca="1" si="443"/>
        <v>1</v>
      </c>
      <c r="K5278">
        <f t="shared" ca="1" si="444"/>
        <v>0</v>
      </c>
      <c r="L5278">
        <f t="shared" si="445"/>
        <v>5272</v>
      </c>
      <c r="M5278" s="71">
        <f t="shared" ca="1" si="446"/>
        <v>0.16698213195331041</v>
      </c>
    </row>
    <row r="5279" spans="1:13" x14ac:dyDescent="0.25">
      <c r="A5279" s="2">
        <v>5273</v>
      </c>
      <c r="B5279" s="11">
        <f t="shared" ca="1" si="442"/>
        <v>1</v>
      </c>
      <c r="C5279" s="26">
        <f t="shared" ca="1" si="441"/>
        <v>8.0530271460102942E-2</v>
      </c>
      <c r="J5279">
        <f t="shared" ca="1" si="443"/>
        <v>1</v>
      </c>
      <c r="K5279">
        <f t="shared" ca="1" si="444"/>
        <v>0</v>
      </c>
      <c r="L5279">
        <f t="shared" si="445"/>
        <v>5273</v>
      </c>
      <c r="M5279" s="71">
        <f t="shared" ca="1" si="446"/>
        <v>7.4232356331525162</v>
      </c>
    </row>
    <row r="5280" spans="1:13" x14ac:dyDescent="0.25">
      <c r="A5280" s="2">
        <v>5274</v>
      </c>
      <c r="B5280" s="11">
        <f t="shared" ca="1" si="442"/>
        <v>1</v>
      </c>
      <c r="C5280" s="26">
        <f t="shared" ca="1" si="441"/>
        <v>1.5278124940372395E-2</v>
      </c>
      <c r="J5280">
        <f t="shared" ca="1" si="443"/>
        <v>1</v>
      </c>
      <c r="K5280">
        <f t="shared" ca="1" si="444"/>
        <v>0</v>
      </c>
      <c r="L5280">
        <f t="shared" si="445"/>
        <v>5274</v>
      </c>
      <c r="M5280" s="71">
        <f t="shared" ca="1" si="446"/>
        <v>5.7037060435746509</v>
      </c>
    </row>
    <row r="5281" spans="1:13" x14ac:dyDescent="0.25">
      <c r="A5281" s="2">
        <v>5275</v>
      </c>
      <c r="B5281" s="11">
        <f t="shared" ca="1" si="442"/>
        <v>1</v>
      </c>
      <c r="C5281" s="26">
        <f t="shared" ca="1" si="441"/>
        <v>8.1684640289935939E-2</v>
      </c>
      <c r="J5281">
        <f t="shared" ca="1" si="443"/>
        <v>0</v>
      </c>
      <c r="K5281">
        <f t="shared" ca="1" si="444"/>
        <v>0</v>
      </c>
      <c r="L5281">
        <f t="shared" si="445"/>
        <v>5275</v>
      </c>
      <c r="M5281" s="71">
        <f t="shared" ca="1" si="446"/>
        <v>5.4013971825028362</v>
      </c>
    </row>
    <row r="5282" spans="1:13" x14ac:dyDescent="0.25">
      <c r="A5282" s="2">
        <v>5276</v>
      </c>
      <c r="B5282" s="11">
        <f t="shared" ca="1" si="442"/>
        <v>0</v>
      </c>
      <c r="C5282" s="26">
        <f t="shared" ca="1" si="441"/>
        <v>0.88054051221363505</v>
      </c>
      <c r="J5282">
        <f t="shared" ca="1" si="443"/>
        <v>0</v>
      </c>
      <c r="K5282">
        <f t="shared" ca="1" si="444"/>
        <v>0</v>
      </c>
      <c r="L5282">
        <f t="shared" si="445"/>
        <v>5276</v>
      </c>
      <c r="M5282" s="71">
        <f t="shared" ca="1" si="446"/>
        <v>0</v>
      </c>
    </row>
    <row r="5283" spans="1:13" x14ac:dyDescent="0.25">
      <c r="A5283" s="2">
        <v>5277</v>
      </c>
      <c r="B5283" s="11">
        <f t="shared" ca="1" si="442"/>
        <v>1</v>
      </c>
      <c r="C5283" s="26">
        <f t="shared" ca="1" si="441"/>
        <v>0.57643511278820381</v>
      </c>
      <c r="J5283">
        <f t="shared" ca="1" si="443"/>
        <v>1</v>
      </c>
      <c r="K5283">
        <f t="shared" ca="1" si="444"/>
        <v>0</v>
      </c>
      <c r="L5283">
        <f t="shared" si="445"/>
        <v>5277</v>
      </c>
      <c r="M5283" s="71">
        <f t="shared" ca="1" si="446"/>
        <v>3.3093090296510832</v>
      </c>
    </row>
    <row r="5284" spans="1:13" x14ac:dyDescent="0.25">
      <c r="A5284" s="2">
        <v>5278</v>
      </c>
      <c r="B5284" s="11">
        <f t="shared" ca="1" si="442"/>
        <v>1</v>
      </c>
      <c r="C5284" s="26">
        <f t="shared" ca="1" si="441"/>
        <v>0.43723509605882105</v>
      </c>
      <c r="J5284">
        <f t="shared" ca="1" si="443"/>
        <v>0</v>
      </c>
      <c r="K5284">
        <f t="shared" ca="1" si="444"/>
        <v>0</v>
      </c>
      <c r="L5284">
        <f t="shared" si="445"/>
        <v>5278</v>
      </c>
      <c r="M5284" s="71">
        <f t="shared" ca="1" si="446"/>
        <v>2.6805937630998962</v>
      </c>
    </row>
    <row r="5285" spans="1:13" x14ac:dyDescent="0.25">
      <c r="A5285" s="2">
        <v>5279</v>
      </c>
      <c r="B5285" s="11">
        <f t="shared" ca="1" si="442"/>
        <v>0</v>
      </c>
      <c r="C5285" s="26">
        <f t="shared" ca="1" si="441"/>
        <v>0.8469696168491605</v>
      </c>
      <c r="J5285">
        <f t="shared" ca="1" si="443"/>
        <v>0</v>
      </c>
      <c r="K5285">
        <f t="shared" ca="1" si="444"/>
        <v>1</v>
      </c>
      <c r="L5285">
        <f t="shared" si="445"/>
        <v>5279</v>
      </c>
      <c r="M5285" s="71">
        <f t="shared" ca="1" si="446"/>
        <v>0</v>
      </c>
    </row>
    <row r="5286" spans="1:13" x14ac:dyDescent="0.25">
      <c r="A5286" s="2">
        <v>5280</v>
      </c>
      <c r="B5286" s="11">
        <f t="shared" ca="1" si="442"/>
        <v>0</v>
      </c>
      <c r="C5286" s="26">
        <f t="shared" ca="1" si="441"/>
        <v>0.80150810820557261</v>
      </c>
      <c r="J5286">
        <f t="shared" ca="1" si="443"/>
        <v>0</v>
      </c>
      <c r="K5286">
        <f t="shared" ca="1" si="444"/>
        <v>1</v>
      </c>
      <c r="L5286">
        <f t="shared" si="445"/>
        <v>5280</v>
      </c>
      <c r="M5286" s="71">
        <f t="shared" ca="1" si="446"/>
        <v>0</v>
      </c>
    </row>
    <row r="5287" spans="1:13" x14ac:dyDescent="0.25">
      <c r="A5287" s="2">
        <v>5281</v>
      </c>
      <c r="B5287" s="11">
        <f t="shared" ca="1" si="442"/>
        <v>0</v>
      </c>
      <c r="C5287" s="26">
        <f t="shared" ca="1" si="441"/>
        <v>0.74505070020888264</v>
      </c>
      <c r="J5287">
        <f t="shared" ca="1" si="443"/>
        <v>0</v>
      </c>
      <c r="K5287">
        <f t="shared" ca="1" si="444"/>
        <v>1</v>
      </c>
      <c r="L5287">
        <f t="shared" si="445"/>
        <v>5281</v>
      </c>
      <c r="M5287" s="71">
        <f t="shared" ca="1" si="446"/>
        <v>0</v>
      </c>
    </row>
    <row r="5288" spans="1:13" x14ac:dyDescent="0.25">
      <c r="A5288" s="2">
        <v>5282</v>
      </c>
      <c r="B5288" s="11">
        <f t="shared" ca="1" si="442"/>
        <v>0</v>
      </c>
      <c r="C5288" s="26">
        <f t="shared" ca="1" si="441"/>
        <v>0.74366685451792147</v>
      </c>
      <c r="J5288">
        <f t="shared" ca="1" si="443"/>
        <v>0</v>
      </c>
      <c r="K5288">
        <f t="shared" ca="1" si="444"/>
        <v>0</v>
      </c>
      <c r="L5288">
        <f t="shared" si="445"/>
        <v>5282</v>
      </c>
      <c r="M5288" s="71">
        <f t="shared" ca="1" si="446"/>
        <v>0</v>
      </c>
    </row>
    <row r="5289" spans="1:13" x14ac:dyDescent="0.25">
      <c r="A5289" s="2">
        <v>5283</v>
      </c>
      <c r="B5289" s="11">
        <f t="shared" ca="1" si="442"/>
        <v>1</v>
      </c>
      <c r="C5289" s="26">
        <f t="shared" ca="1" si="441"/>
        <v>0.49748609208738381</v>
      </c>
      <c r="J5289">
        <f t="shared" ca="1" si="443"/>
        <v>0</v>
      </c>
      <c r="K5289">
        <f t="shared" ca="1" si="444"/>
        <v>0</v>
      </c>
      <c r="L5289">
        <f t="shared" si="445"/>
        <v>5283</v>
      </c>
      <c r="M5289" s="71">
        <f t="shared" ca="1" si="446"/>
        <v>7.3143504858083457</v>
      </c>
    </row>
    <row r="5290" spans="1:13" x14ac:dyDescent="0.25">
      <c r="A5290" s="2">
        <v>5284</v>
      </c>
      <c r="B5290" s="11">
        <f t="shared" ca="1" si="442"/>
        <v>0</v>
      </c>
      <c r="C5290" s="26">
        <f t="shared" ca="1" si="441"/>
        <v>0.99194842728446375</v>
      </c>
      <c r="J5290">
        <f t="shared" ca="1" si="443"/>
        <v>0</v>
      </c>
      <c r="K5290">
        <f t="shared" ca="1" si="444"/>
        <v>1</v>
      </c>
      <c r="L5290">
        <f t="shared" si="445"/>
        <v>5284</v>
      </c>
      <c r="M5290" s="71">
        <f t="shared" ca="1" si="446"/>
        <v>0</v>
      </c>
    </row>
    <row r="5291" spans="1:13" x14ac:dyDescent="0.25">
      <c r="A5291" s="2">
        <v>5285</v>
      </c>
      <c r="B5291" s="11">
        <f t="shared" ca="1" si="442"/>
        <v>0</v>
      </c>
      <c r="C5291" s="26">
        <f t="shared" ca="1" si="441"/>
        <v>0.8914207411426408</v>
      </c>
      <c r="J5291">
        <f t="shared" ca="1" si="443"/>
        <v>0</v>
      </c>
      <c r="K5291">
        <f t="shared" ca="1" si="444"/>
        <v>1</v>
      </c>
      <c r="L5291">
        <f t="shared" si="445"/>
        <v>5285</v>
      </c>
      <c r="M5291" s="71">
        <f t="shared" ca="1" si="446"/>
        <v>0</v>
      </c>
    </row>
    <row r="5292" spans="1:13" x14ac:dyDescent="0.25">
      <c r="A5292" s="2">
        <v>5286</v>
      </c>
      <c r="B5292" s="11">
        <f t="shared" ca="1" si="442"/>
        <v>0</v>
      </c>
      <c r="C5292" s="26">
        <f t="shared" ca="1" si="441"/>
        <v>0.90933620181181396</v>
      </c>
      <c r="J5292">
        <f t="shared" ca="1" si="443"/>
        <v>0</v>
      </c>
      <c r="K5292">
        <f t="shared" ca="1" si="444"/>
        <v>0</v>
      </c>
      <c r="L5292">
        <f t="shared" si="445"/>
        <v>5286</v>
      </c>
      <c r="M5292" s="71">
        <f t="shared" ca="1" si="446"/>
        <v>0</v>
      </c>
    </row>
    <row r="5293" spans="1:13" x14ac:dyDescent="0.25">
      <c r="A5293" s="2">
        <v>5287</v>
      </c>
      <c r="B5293" s="11">
        <f t="shared" ca="1" si="442"/>
        <v>1</v>
      </c>
      <c r="C5293" s="26">
        <f t="shared" ca="1" si="441"/>
        <v>5.342856202671431E-2</v>
      </c>
      <c r="J5293">
        <f t="shared" ca="1" si="443"/>
        <v>1</v>
      </c>
      <c r="K5293">
        <f t="shared" ca="1" si="444"/>
        <v>0</v>
      </c>
      <c r="L5293">
        <f t="shared" si="445"/>
        <v>5287</v>
      </c>
      <c r="M5293" s="71">
        <f t="shared" ca="1" si="446"/>
        <v>3.6250293136202378</v>
      </c>
    </row>
    <row r="5294" spans="1:13" x14ac:dyDescent="0.25">
      <c r="A5294" s="2">
        <v>5288</v>
      </c>
      <c r="B5294" s="11">
        <f t="shared" ca="1" si="442"/>
        <v>1</v>
      </c>
      <c r="C5294" s="26">
        <f t="shared" ca="1" si="441"/>
        <v>0.35374544285571097</v>
      </c>
      <c r="J5294">
        <f t="shared" ca="1" si="443"/>
        <v>1</v>
      </c>
      <c r="K5294">
        <f t="shared" ca="1" si="444"/>
        <v>0</v>
      </c>
      <c r="L5294">
        <f t="shared" si="445"/>
        <v>5288</v>
      </c>
      <c r="M5294" s="71">
        <f t="shared" ca="1" si="446"/>
        <v>2.3888024010479705</v>
      </c>
    </row>
    <row r="5295" spans="1:13" x14ac:dyDescent="0.25">
      <c r="A5295" s="2">
        <v>5289</v>
      </c>
      <c r="B5295" s="11">
        <f t="shared" ca="1" si="442"/>
        <v>1</v>
      </c>
      <c r="C5295" s="26">
        <f t="shared" ca="1" si="441"/>
        <v>0.67333624510868484</v>
      </c>
      <c r="J5295">
        <f t="shared" ca="1" si="443"/>
        <v>1</v>
      </c>
      <c r="K5295">
        <f t="shared" ca="1" si="444"/>
        <v>0</v>
      </c>
      <c r="L5295">
        <f t="shared" si="445"/>
        <v>5289</v>
      </c>
      <c r="M5295" s="71">
        <f t="shared" ca="1" si="446"/>
        <v>5.3437555991765588</v>
      </c>
    </row>
    <row r="5296" spans="1:13" x14ac:dyDescent="0.25">
      <c r="A5296" s="2">
        <v>5290</v>
      </c>
      <c r="B5296" s="11">
        <f t="shared" ca="1" si="442"/>
        <v>1</v>
      </c>
      <c r="C5296" s="26">
        <f t="shared" ca="1" si="441"/>
        <v>0.52926117670731632</v>
      </c>
      <c r="J5296">
        <f t="shared" ca="1" si="443"/>
        <v>1</v>
      </c>
      <c r="K5296">
        <f t="shared" ca="1" si="444"/>
        <v>0</v>
      </c>
      <c r="L5296">
        <f t="shared" si="445"/>
        <v>5290</v>
      </c>
      <c r="M5296" s="71">
        <f t="shared" ca="1" si="446"/>
        <v>0.82501876702477861</v>
      </c>
    </row>
    <row r="5297" spans="1:13" x14ac:dyDescent="0.25">
      <c r="A5297" s="2">
        <v>5291</v>
      </c>
      <c r="B5297" s="11">
        <f t="shared" ca="1" si="442"/>
        <v>1</v>
      </c>
      <c r="C5297" s="26">
        <f t="shared" ca="1" si="441"/>
        <v>0.30276956162624535</v>
      </c>
      <c r="J5297">
        <f t="shared" ca="1" si="443"/>
        <v>1</v>
      </c>
      <c r="K5297">
        <f t="shared" ca="1" si="444"/>
        <v>0</v>
      </c>
      <c r="L5297">
        <f t="shared" si="445"/>
        <v>5291</v>
      </c>
      <c r="M5297" s="71">
        <f t="shared" ca="1" si="446"/>
        <v>1.2148017850279638</v>
      </c>
    </row>
    <row r="5298" spans="1:13" x14ac:dyDescent="0.25">
      <c r="A5298" s="2">
        <v>5292</v>
      </c>
      <c r="B5298" s="11">
        <f t="shared" ca="1" si="442"/>
        <v>1</v>
      </c>
      <c r="C5298" s="26">
        <f t="shared" ca="1" si="441"/>
        <v>6.5886659950868176E-2</v>
      </c>
      <c r="J5298">
        <f t="shared" ca="1" si="443"/>
        <v>1</v>
      </c>
      <c r="K5298">
        <f t="shared" ca="1" si="444"/>
        <v>0</v>
      </c>
      <c r="L5298">
        <f t="shared" si="445"/>
        <v>5292</v>
      </c>
      <c r="M5298" s="71">
        <f t="shared" ca="1" si="446"/>
        <v>4.5365910241819654</v>
      </c>
    </row>
    <row r="5299" spans="1:13" x14ac:dyDescent="0.25">
      <c r="A5299" s="2">
        <v>5293</v>
      </c>
      <c r="B5299" s="11">
        <f t="shared" ca="1" si="442"/>
        <v>1</v>
      </c>
      <c r="C5299" s="26">
        <f t="shared" ca="1" si="441"/>
        <v>0.61799995255962814</v>
      </c>
      <c r="J5299">
        <f t="shared" ca="1" si="443"/>
        <v>1</v>
      </c>
      <c r="K5299">
        <f t="shared" ca="1" si="444"/>
        <v>0</v>
      </c>
      <c r="L5299">
        <f t="shared" si="445"/>
        <v>5293</v>
      </c>
      <c r="M5299" s="71">
        <f t="shared" ca="1" si="446"/>
        <v>2.3346166041417664</v>
      </c>
    </row>
    <row r="5300" spans="1:13" x14ac:dyDescent="0.25">
      <c r="A5300" s="2">
        <v>5294</v>
      </c>
      <c r="B5300" s="11">
        <f t="shared" ca="1" si="442"/>
        <v>1</v>
      </c>
      <c r="C5300" s="26">
        <f t="shared" ca="1" si="441"/>
        <v>0.76933118992371241</v>
      </c>
      <c r="J5300">
        <f t="shared" ca="1" si="443"/>
        <v>1</v>
      </c>
      <c r="K5300">
        <f t="shared" ca="1" si="444"/>
        <v>0</v>
      </c>
      <c r="L5300">
        <f t="shared" si="445"/>
        <v>5294</v>
      </c>
      <c r="M5300" s="71">
        <f t="shared" ca="1" si="446"/>
        <v>2.6592958341797059</v>
      </c>
    </row>
    <row r="5301" spans="1:13" x14ac:dyDescent="0.25">
      <c r="A5301" s="2">
        <v>5295</v>
      </c>
      <c r="B5301" s="11">
        <f t="shared" ca="1" si="442"/>
        <v>1</v>
      </c>
      <c r="C5301" s="26">
        <f t="shared" ca="1" si="441"/>
        <v>0.500670373050767</v>
      </c>
      <c r="J5301">
        <f t="shared" ca="1" si="443"/>
        <v>1</v>
      </c>
      <c r="K5301">
        <f t="shared" ca="1" si="444"/>
        <v>0</v>
      </c>
      <c r="L5301">
        <f t="shared" si="445"/>
        <v>5295</v>
      </c>
      <c r="M5301" s="71">
        <f t="shared" ca="1" si="446"/>
        <v>5.4217158482057473</v>
      </c>
    </row>
    <row r="5302" spans="1:13" x14ac:dyDescent="0.25">
      <c r="A5302" s="2">
        <v>5296</v>
      </c>
      <c r="B5302" s="11">
        <f t="shared" ca="1" si="442"/>
        <v>1</v>
      </c>
      <c r="C5302" s="26">
        <f t="shared" ca="1" si="441"/>
        <v>0.30319169988028027</v>
      </c>
      <c r="J5302">
        <f t="shared" ca="1" si="443"/>
        <v>1</v>
      </c>
      <c r="K5302">
        <f t="shared" ca="1" si="444"/>
        <v>0</v>
      </c>
      <c r="L5302">
        <f t="shared" si="445"/>
        <v>5296</v>
      </c>
      <c r="M5302" s="71">
        <f t="shared" ca="1" si="446"/>
        <v>1.3052720038440644</v>
      </c>
    </row>
    <row r="5303" spans="1:13" x14ac:dyDescent="0.25">
      <c r="A5303" s="2">
        <v>5297</v>
      </c>
      <c r="B5303" s="11">
        <f t="shared" ca="1" si="442"/>
        <v>1</v>
      </c>
      <c r="C5303" s="26">
        <f t="shared" ca="1" si="441"/>
        <v>0.39525709894945982</v>
      </c>
      <c r="J5303">
        <f t="shared" ca="1" si="443"/>
        <v>1</v>
      </c>
      <c r="K5303">
        <f t="shared" ca="1" si="444"/>
        <v>0</v>
      </c>
      <c r="L5303">
        <f t="shared" si="445"/>
        <v>5297</v>
      </c>
      <c r="M5303" s="71">
        <f t="shared" ca="1" si="446"/>
        <v>1.899695962583962</v>
      </c>
    </row>
    <row r="5304" spans="1:13" x14ac:dyDescent="0.25">
      <c r="A5304" s="2">
        <v>5298</v>
      </c>
      <c r="B5304" s="11">
        <f t="shared" ca="1" si="442"/>
        <v>1</v>
      </c>
      <c r="C5304" s="26">
        <f t="shared" ca="1" si="441"/>
        <v>0.29301542405815184</v>
      </c>
      <c r="J5304">
        <f t="shared" ca="1" si="443"/>
        <v>1</v>
      </c>
      <c r="K5304">
        <f t="shared" ca="1" si="444"/>
        <v>0</v>
      </c>
      <c r="L5304">
        <f t="shared" si="445"/>
        <v>5298</v>
      </c>
      <c r="M5304" s="71">
        <f t="shared" ca="1" si="446"/>
        <v>0.11523978267177726</v>
      </c>
    </row>
    <row r="5305" spans="1:13" x14ac:dyDescent="0.25">
      <c r="A5305" s="2">
        <v>5299</v>
      </c>
      <c r="B5305" s="11">
        <f t="shared" ca="1" si="442"/>
        <v>1</v>
      </c>
      <c r="C5305" s="26">
        <f t="shared" ca="1" si="441"/>
        <v>0.60641330613164823</v>
      </c>
      <c r="J5305">
        <f t="shared" ca="1" si="443"/>
        <v>1</v>
      </c>
      <c r="K5305">
        <f t="shared" ca="1" si="444"/>
        <v>0</v>
      </c>
      <c r="L5305">
        <f t="shared" si="445"/>
        <v>5299</v>
      </c>
      <c r="M5305" s="71">
        <f t="shared" ca="1" si="446"/>
        <v>5.7707482653622613</v>
      </c>
    </row>
    <row r="5306" spans="1:13" x14ac:dyDescent="0.25">
      <c r="A5306" s="2">
        <v>5300</v>
      </c>
      <c r="B5306" s="11">
        <f t="shared" ca="1" si="442"/>
        <v>1</v>
      </c>
      <c r="C5306" s="26">
        <f t="shared" ca="1" si="441"/>
        <v>6.2396366162150052E-2</v>
      </c>
      <c r="J5306">
        <f t="shared" ca="1" si="443"/>
        <v>1</v>
      </c>
      <c r="K5306">
        <f t="shared" ca="1" si="444"/>
        <v>0</v>
      </c>
      <c r="L5306">
        <f t="shared" si="445"/>
        <v>5300</v>
      </c>
      <c r="M5306" s="71">
        <f t="shared" ca="1" si="446"/>
        <v>2.8114259842339901</v>
      </c>
    </row>
    <row r="5307" spans="1:13" x14ac:dyDescent="0.25">
      <c r="A5307" s="2">
        <v>5301</v>
      </c>
      <c r="B5307" s="11">
        <f t="shared" ca="1" si="442"/>
        <v>1</v>
      </c>
      <c r="C5307" s="26">
        <f t="shared" ca="1" si="441"/>
        <v>0.62427179295043189</v>
      </c>
      <c r="J5307">
        <f t="shared" ca="1" si="443"/>
        <v>1</v>
      </c>
      <c r="K5307">
        <f t="shared" ca="1" si="444"/>
        <v>0</v>
      </c>
      <c r="L5307">
        <f t="shared" si="445"/>
        <v>5301</v>
      </c>
      <c r="M5307" s="71">
        <f t="shared" ca="1" si="446"/>
        <v>11.933554996406475</v>
      </c>
    </row>
    <row r="5308" spans="1:13" x14ac:dyDescent="0.25">
      <c r="A5308" s="2">
        <v>5302</v>
      </c>
      <c r="B5308" s="11">
        <f t="shared" ca="1" si="442"/>
        <v>1</v>
      </c>
      <c r="C5308" s="26">
        <f t="shared" ca="1" si="441"/>
        <v>0.14914666027836343</v>
      </c>
      <c r="J5308">
        <f t="shared" ca="1" si="443"/>
        <v>0</v>
      </c>
      <c r="K5308">
        <f t="shared" ca="1" si="444"/>
        <v>0</v>
      </c>
      <c r="L5308">
        <f t="shared" si="445"/>
        <v>5302</v>
      </c>
      <c r="M5308" s="71">
        <f t="shared" ca="1" si="446"/>
        <v>8.5218080443346604</v>
      </c>
    </row>
    <row r="5309" spans="1:13" x14ac:dyDescent="0.25">
      <c r="A5309" s="2">
        <v>5303</v>
      </c>
      <c r="B5309" s="11">
        <f t="shared" ca="1" si="442"/>
        <v>0</v>
      </c>
      <c r="C5309" s="26">
        <f t="shared" ca="1" si="441"/>
        <v>0.94842890791011636</v>
      </c>
      <c r="J5309">
        <f t="shared" ca="1" si="443"/>
        <v>0</v>
      </c>
      <c r="K5309">
        <f t="shared" ca="1" si="444"/>
        <v>0</v>
      </c>
      <c r="L5309">
        <f t="shared" si="445"/>
        <v>5303</v>
      </c>
      <c r="M5309" s="71">
        <f t="shared" ca="1" si="446"/>
        <v>0</v>
      </c>
    </row>
    <row r="5310" spans="1:13" x14ac:dyDescent="0.25">
      <c r="A5310" s="2">
        <v>5304</v>
      </c>
      <c r="B5310" s="11">
        <f t="shared" ca="1" si="442"/>
        <v>1</v>
      </c>
      <c r="C5310" s="26">
        <f t="shared" ca="1" si="441"/>
        <v>0.22369451370640669</v>
      </c>
      <c r="J5310">
        <f t="shared" ca="1" si="443"/>
        <v>0</v>
      </c>
      <c r="K5310">
        <f t="shared" ca="1" si="444"/>
        <v>0</v>
      </c>
      <c r="L5310">
        <f t="shared" si="445"/>
        <v>5304</v>
      </c>
      <c r="M5310" s="71">
        <f t="shared" ca="1" si="446"/>
        <v>2.4824315788100875</v>
      </c>
    </row>
    <row r="5311" spans="1:13" x14ac:dyDescent="0.25">
      <c r="A5311" s="2">
        <v>5305</v>
      </c>
      <c r="B5311" s="11">
        <f t="shared" ca="1" si="442"/>
        <v>0</v>
      </c>
      <c r="C5311" s="26">
        <f t="shared" ca="1" si="441"/>
        <v>0.89023976185692977</v>
      </c>
      <c r="J5311">
        <f t="shared" ca="1" si="443"/>
        <v>0</v>
      </c>
      <c r="K5311">
        <f t="shared" ca="1" si="444"/>
        <v>1</v>
      </c>
      <c r="L5311">
        <f t="shared" si="445"/>
        <v>5305</v>
      </c>
      <c r="M5311" s="71">
        <f t="shared" ca="1" si="446"/>
        <v>0</v>
      </c>
    </row>
    <row r="5312" spans="1:13" x14ac:dyDescent="0.25">
      <c r="A5312" s="2">
        <v>5306</v>
      </c>
      <c r="B5312" s="11">
        <f t="shared" ca="1" si="442"/>
        <v>0</v>
      </c>
      <c r="C5312" s="26">
        <f t="shared" ca="1" si="441"/>
        <v>0.81867361649910098</v>
      </c>
      <c r="J5312">
        <f t="shared" ca="1" si="443"/>
        <v>0</v>
      </c>
      <c r="K5312">
        <f t="shared" ca="1" si="444"/>
        <v>0</v>
      </c>
      <c r="L5312">
        <f t="shared" si="445"/>
        <v>5306</v>
      </c>
      <c r="M5312" s="71">
        <f t="shared" ca="1" si="446"/>
        <v>0</v>
      </c>
    </row>
    <row r="5313" spans="1:13" x14ac:dyDescent="0.25">
      <c r="A5313" s="2">
        <v>5307</v>
      </c>
      <c r="B5313" s="11">
        <f t="shared" ca="1" si="442"/>
        <v>1</v>
      </c>
      <c r="C5313" s="26">
        <f t="shared" ca="1" si="441"/>
        <v>0.49794433219548828</v>
      </c>
      <c r="J5313">
        <f t="shared" ca="1" si="443"/>
        <v>0</v>
      </c>
      <c r="K5313">
        <f t="shared" ca="1" si="444"/>
        <v>0</v>
      </c>
      <c r="L5313">
        <f t="shared" si="445"/>
        <v>5307</v>
      </c>
      <c r="M5313" s="71">
        <f t="shared" ca="1" si="446"/>
        <v>6.8302919802067192</v>
      </c>
    </row>
    <row r="5314" spans="1:13" x14ac:dyDescent="0.25">
      <c r="A5314" s="2">
        <v>5308</v>
      </c>
      <c r="B5314" s="11">
        <f t="shared" ca="1" si="442"/>
        <v>0</v>
      </c>
      <c r="C5314" s="26">
        <f t="shared" ca="1" si="441"/>
        <v>0.84728482326638543</v>
      </c>
      <c r="J5314">
        <f t="shared" ca="1" si="443"/>
        <v>0</v>
      </c>
      <c r="K5314">
        <f t="shared" ca="1" si="444"/>
        <v>0</v>
      </c>
      <c r="L5314">
        <f t="shared" si="445"/>
        <v>5308</v>
      </c>
      <c r="M5314" s="71">
        <f t="shared" ca="1" si="446"/>
        <v>0</v>
      </c>
    </row>
    <row r="5315" spans="1:13" x14ac:dyDescent="0.25">
      <c r="A5315" s="2">
        <v>5309</v>
      </c>
      <c r="B5315" s="11">
        <f t="shared" ca="1" si="442"/>
        <v>1</v>
      </c>
      <c r="C5315" s="26">
        <f t="shared" ca="1" si="441"/>
        <v>0.12610710655682178</v>
      </c>
      <c r="J5315">
        <f t="shared" ca="1" si="443"/>
        <v>0</v>
      </c>
      <c r="K5315">
        <f t="shared" ca="1" si="444"/>
        <v>0</v>
      </c>
      <c r="L5315">
        <f t="shared" si="445"/>
        <v>5309</v>
      </c>
      <c r="M5315" s="71">
        <f t="shared" ca="1" si="446"/>
        <v>5.7756544208870775</v>
      </c>
    </row>
    <row r="5316" spans="1:13" x14ac:dyDescent="0.25">
      <c r="A5316" s="2">
        <v>5310</v>
      </c>
      <c r="B5316" s="11">
        <f t="shared" ca="1" si="442"/>
        <v>0</v>
      </c>
      <c r="C5316" s="26">
        <f t="shared" ca="1" si="441"/>
        <v>0.96516572752802643</v>
      </c>
      <c r="J5316">
        <f t="shared" ca="1" si="443"/>
        <v>0</v>
      </c>
      <c r="K5316">
        <f t="shared" ca="1" si="444"/>
        <v>0</v>
      </c>
      <c r="L5316">
        <f t="shared" si="445"/>
        <v>5310</v>
      </c>
      <c r="M5316" s="71">
        <f t="shared" ca="1" si="446"/>
        <v>0</v>
      </c>
    </row>
    <row r="5317" spans="1:13" x14ac:dyDescent="0.25">
      <c r="A5317" s="2">
        <v>5311</v>
      </c>
      <c r="B5317" s="11">
        <f t="shared" ca="1" si="442"/>
        <v>1</v>
      </c>
      <c r="C5317" s="26">
        <f t="shared" ca="1" si="441"/>
        <v>1.3856717831459031E-2</v>
      </c>
      <c r="J5317">
        <f t="shared" ca="1" si="443"/>
        <v>1</v>
      </c>
      <c r="K5317">
        <f t="shared" ca="1" si="444"/>
        <v>0</v>
      </c>
      <c r="L5317">
        <f t="shared" si="445"/>
        <v>5311</v>
      </c>
      <c r="M5317" s="71">
        <f t="shared" ca="1" si="446"/>
        <v>1.1303624443499753</v>
      </c>
    </row>
    <row r="5318" spans="1:13" x14ac:dyDescent="0.25">
      <c r="A5318" s="2">
        <v>5312</v>
      </c>
      <c r="B5318" s="11">
        <f t="shared" ca="1" si="442"/>
        <v>1</v>
      </c>
      <c r="C5318" s="26">
        <f t="shared" ca="1" si="441"/>
        <v>0.65553206333675085</v>
      </c>
      <c r="J5318">
        <f t="shared" ca="1" si="443"/>
        <v>0</v>
      </c>
      <c r="K5318">
        <f t="shared" ca="1" si="444"/>
        <v>0</v>
      </c>
      <c r="L5318">
        <f t="shared" si="445"/>
        <v>5312</v>
      </c>
      <c r="M5318" s="71">
        <f t="shared" ca="1" si="446"/>
        <v>8.946947956407806</v>
      </c>
    </row>
    <row r="5319" spans="1:13" x14ac:dyDescent="0.25">
      <c r="A5319" s="2">
        <v>5313</v>
      </c>
      <c r="B5319" s="11">
        <f t="shared" ca="1" si="442"/>
        <v>0</v>
      </c>
      <c r="C5319" s="26">
        <f t="shared" ca="1" si="441"/>
        <v>0.85606530636045852</v>
      </c>
      <c r="J5319">
        <f t="shared" ca="1" si="443"/>
        <v>0</v>
      </c>
      <c r="K5319">
        <f t="shared" ca="1" si="444"/>
        <v>0</v>
      </c>
      <c r="L5319">
        <f t="shared" si="445"/>
        <v>5313</v>
      </c>
      <c r="M5319" s="71">
        <f t="shared" ca="1" si="446"/>
        <v>0</v>
      </c>
    </row>
    <row r="5320" spans="1:13" x14ac:dyDescent="0.25">
      <c r="A5320" s="2">
        <v>5314</v>
      </c>
      <c r="B5320" s="11">
        <f t="shared" ca="1" si="442"/>
        <v>1</v>
      </c>
      <c r="C5320" s="26">
        <f t="shared" ref="C5320:C5383" ca="1" si="447">RAND()</f>
        <v>0.41367215376280686</v>
      </c>
      <c r="J5320">
        <f t="shared" ca="1" si="443"/>
        <v>1</v>
      </c>
      <c r="K5320">
        <f t="shared" ca="1" si="444"/>
        <v>0</v>
      </c>
      <c r="L5320">
        <f t="shared" si="445"/>
        <v>5314</v>
      </c>
      <c r="M5320" s="71">
        <f t="shared" ca="1" si="446"/>
        <v>1.1865118006454336</v>
      </c>
    </row>
    <row r="5321" spans="1:13" x14ac:dyDescent="0.25">
      <c r="A5321" s="2">
        <v>5315</v>
      </c>
      <c r="B5321" s="11">
        <f t="shared" ref="B5321:B5384" ca="1" si="448">IF(B5320&gt;0,IF(C5321&lt;pww,1,0),IF(C5321&lt;pdw,1,0))</f>
        <v>1</v>
      </c>
      <c r="C5321" s="26">
        <f t="shared" ca="1" si="447"/>
        <v>0.33726368339934165</v>
      </c>
      <c r="J5321">
        <f t="shared" ca="1" si="443"/>
        <v>1</v>
      </c>
      <c r="K5321">
        <f t="shared" ca="1" si="444"/>
        <v>0</v>
      </c>
      <c r="L5321">
        <f t="shared" si="445"/>
        <v>5315</v>
      </c>
      <c r="M5321" s="71">
        <f t="shared" ca="1" si="446"/>
        <v>5.4342742389258936</v>
      </c>
    </row>
    <row r="5322" spans="1:13" x14ac:dyDescent="0.25">
      <c r="A5322" s="2">
        <v>5316</v>
      </c>
      <c r="B5322" s="11">
        <f t="shared" ca="1" si="448"/>
        <v>1</v>
      </c>
      <c r="C5322" s="26">
        <f t="shared" ca="1" si="447"/>
        <v>0.64420843207055278</v>
      </c>
      <c r="J5322">
        <f t="shared" ref="J5322:J5385" ca="1" si="449">IF(AND(B5322,B5323),1,0)</f>
        <v>0</v>
      </c>
      <c r="K5322">
        <f t="shared" ref="K5322:K5385" ca="1" si="450">IF(AND(NOT(B5322),NOT(B5323)),1,0)</f>
        <v>0</v>
      </c>
      <c r="L5322">
        <f t="shared" ref="L5322:L5385" si="451">L5321+1</f>
        <v>5316</v>
      </c>
      <c r="M5322" s="71">
        <f t="shared" ref="M5322:M5385" ca="1" si="452">IF(B5322&gt;0,-LN(1-(RAND()))/lambda,0)</f>
        <v>8.7031156082797008</v>
      </c>
    </row>
    <row r="5323" spans="1:13" x14ac:dyDescent="0.25">
      <c r="A5323" s="2">
        <v>5317</v>
      </c>
      <c r="B5323" s="11">
        <f t="shared" ca="1" si="448"/>
        <v>0</v>
      </c>
      <c r="C5323" s="26">
        <f t="shared" ca="1" si="447"/>
        <v>0.81092917923764096</v>
      </c>
      <c r="J5323">
        <f t="shared" ca="1" si="449"/>
        <v>0</v>
      </c>
      <c r="K5323">
        <f t="shared" ca="1" si="450"/>
        <v>1</v>
      </c>
      <c r="L5323">
        <f t="shared" si="451"/>
        <v>5317</v>
      </c>
      <c r="M5323" s="71">
        <f t="shared" ca="1" si="452"/>
        <v>0</v>
      </c>
    </row>
    <row r="5324" spans="1:13" x14ac:dyDescent="0.25">
      <c r="A5324" s="2">
        <v>5318</v>
      </c>
      <c r="B5324" s="11">
        <f t="shared" ca="1" si="448"/>
        <v>0</v>
      </c>
      <c r="C5324" s="26">
        <f t="shared" ca="1" si="447"/>
        <v>0.90707726419585899</v>
      </c>
      <c r="J5324">
        <f t="shared" ca="1" si="449"/>
        <v>0</v>
      </c>
      <c r="K5324">
        <f t="shared" ca="1" si="450"/>
        <v>0</v>
      </c>
      <c r="L5324">
        <f t="shared" si="451"/>
        <v>5318</v>
      </c>
      <c r="M5324" s="71">
        <f t="shared" ca="1" si="452"/>
        <v>0</v>
      </c>
    </row>
    <row r="5325" spans="1:13" x14ac:dyDescent="0.25">
      <c r="A5325" s="2">
        <v>5319</v>
      </c>
      <c r="B5325" s="11">
        <f t="shared" ca="1" si="448"/>
        <v>1</v>
      </c>
      <c r="C5325" s="26">
        <f t="shared" ca="1" si="447"/>
        <v>0.22488471734465032</v>
      </c>
      <c r="J5325">
        <f t="shared" ca="1" si="449"/>
        <v>1</v>
      </c>
      <c r="K5325">
        <f t="shared" ca="1" si="450"/>
        <v>0</v>
      </c>
      <c r="L5325">
        <f t="shared" si="451"/>
        <v>5319</v>
      </c>
      <c r="M5325" s="71">
        <f t="shared" ca="1" si="452"/>
        <v>1.428992262492599</v>
      </c>
    </row>
    <row r="5326" spans="1:13" x14ac:dyDescent="0.25">
      <c r="A5326" s="2">
        <v>5320</v>
      </c>
      <c r="B5326" s="11">
        <f t="shared" ca="1" si="448"/>
        <v>1</v>
      </c>
      <c r="C5326" s="26">
        <f t="shared" ca="1" si="447"/>
        <v>8.2889510140671696E-2</v>
      </c>
      <c r="J5326">
        <f t="shared" ca="1" si="449"/>
        <v>1</v>
      </c>
      <c r="K5326">
        <f t="shared" ca="1" si="450"/>
        <v>0</v>
      </c>
      <c r="L5326">
        <f t="shared" si="451"/>
        <v>5320</v>
      </c>
      <c r="M5326" s="71">
        <f t="shared" ca="1" si="452"/>
        <v>9.247321795787542</v>
      </c>
    </row>
    <row r="5327" spans="1:13" x14ac:dyDescent="0.25">
      <c r="A5327" s="2">
        <v>5321</v>
      </c>
      <c r="B5327" s="11">
        <f t="shared" ca="1" si="448"/>
        <v>1</v>
      </c>
      <c r="C5327" s="26">
        <f t="shared" ca="1" si="447"/>
        <v>0.27499960926173028</v>
      </c>
      <c r="J5327">
        <f t="shared" ca="1" si="449"/>
        <v>1</v>
      </c>
      <c r="K5327">
        <f t="shared" ca="1" si="450"/>
        <v>0</v>
      </c>
      <c r="L5327">
        <f t="shared" si="451"/>
        <v>5321</v>
      </c>
      <c r="M5327" s="71">
        <f t="shared" ca="1" si="452"/>
        <v>8.791405381915661</v>
      </c>
    </row>
    <row r="5328" spans="1:13" x14ac:dyDescent="0.25">
      <c r="A5328" s="2">
        <v>5322</v>
      </c>
      <c r="B5328" s="11">
        <f t="shared" ca="1" si="448"/>
        <v>1</v>
      </c>
      <c r="C5328" s="26">
        <f t="shared" ca="1" si="447"/>
        <v>0.65331180972005376</v>
      </c>
      <c r="J5328">
        <f t="shared" ca="1" si="449"/>
        <v>1</v>
      </c>
      <c r="K5328">
        <f t="shared" ca="1" si="450"/>
        <v>0</v>
      </c>
      <c r="L5328">
        <f t="shared" si="451"/>
        <v>5322</v>
      </c>
      <c r="M5328" s="71">
        <f t="shared" ca="1" si="452"/>
        <v>3.353827856907404</v>
      </c>
    </row>
    <row r="5329" spans="1:13" x14ac:dyDescent="0.25">
      <c r="A5329" s="2">
        <v>5323</v>
      </c>
      <c r="B5329" s="11">
        <f t="shared" ca="1" si="448"/>
        <v>1</v>
      </c>
      <c r="C5329" s="26">
        <f t="shared" ca="1" si="447"/>
        <v>0.56850028437680644</v>
      </c>
      <c r="J5329">
        <f t="shared" ca="1" si="449"/>
        <v>0</v>
      </c>
      <c r="K5329">
        <f t="shared" ca="1" si="450"/>
        <v>0</v>
      </c>
      <c r="L5329">
        <f t="shared" si="451"/>
        <v>5323</v>
      </c>
      <c r="M5329" s="71">
        <f t="shared" ca="1" si="452"/>
        <v>3.7062134243732276</v>
      </c>
    </row>
    <row r="5330" spans="1:13" x14ac:dyDescent="0.25">
      <c r="A5330" s="2">
        <v>5324</v>
      </c>
      <c r="B5330" s="11">
        <f t="shared" ca="1" si="448"/>
        <v>0</v>
      </c>
      <c r="C5330" s="26">
        <f t="shared" ca="1" si="447"/>
        <v>0.83124977221184138</v>
      </c>
      <c r="J5330">
        <f t="shared" ca="1" si="449"/>
        <v>0</v>
      </c>
      <c r="K5330">
        <f t="shared" ca="1" si="450"/>
        <v>0</v>
      </c>
      <c r="L5330">
        <f t="shared" si="451"/>
        <v>5324</v>
      </c>
      <c r="M5330" s="71">
        <f t="shared" ca="1" si="452"/>
        <v>0</v>
      </c>
    </row>
    <row r="5331" spans="1:13" x14ac:dyDescent="0.25">
      <c r="A5331" s="2">
        <v>5325</v>
      </c>
      <c r="B5331" s="11">
        <f t="shared" ca="1" si="448"/>
        <v>1</v>
      </c>
      <c r="C5331" s="26">
        <f t="shared" ca="1" si="447"/>
        <v>0.41326649636611779</v>
      </c>
      <c r="J5331">
        <f t="shared" ca="1" si="449"/>
        <v>1</v>
      </c>
      <c r="K5331">
        <f t="shared" ca="1" si="450"/>
        <v>0</v>
      </c>
      <c r="L5331">
        <f t="shared" si="451"/>
        <v>5325</v>
      </c>
      <c r="M5331" s="71">
        <f t="shared" ca="1" si="452"/>
        <v>5.6227631552524446</v>
      </c>
    </row>
    <row r="5332" spans="1:13" x14ac:dyDescent="0.25">
      <c r="A5332" s="2">
        <v>5326</v>
      </c>
      <c r="B5332" s="11">
        <f t="shared" ca="1" si="448"/>
        <v>1</v>
      </c>
      <c r="C5332" s="26">
        <f t="shared" ca="1" si="447"/>
        <v>2.1869807272263841E-2</v>
      </c>
      <c r="J5332">
        <f t="shared" ca="1" si="449"/>
        <v>1</v>
      </c>
      <c r="K5332">
        <f t="shared" ca="1" si="450"/>
        <v>0</v>
      </c>
      <c r="L5332">
        <f t="shared" si="451"/>
        <v>5326</v>
      </c>
      <c r="M5332" s="71">
        <f t="shared" ca="1" si="452"/>
        <v>0.23994882392896258</v>
      </c>
    </row>
    <row r="5333" spans="1:13" x14ac:dyDescent="0.25">
      <c r="A5333" s="2">
        <v>5327</v>
      </c>
      <c r="B5333" s="11">
        <f t="shared" ca="1" si="448"/>
        <v>1</v>
      </c>
      <c r="C5333" s="26">
        <f t="shared" ca="1" si="447"/>
        <v>0.47833510748511743</v>
      </c>
      <c r="J5333">
        <f t="shared" ca="1" si="449"/>
        <v>1</v>
      </c>
      <c r="K5333">
        <f t="shared" ca="1" si="450"/>
        <v>0</v>
      </c>
      <c r="L5333">
        <f t="shared" si="451"/>
        <v>5327</v>
      </c>
      <c r="M5333" s="71">
        <f t="shared" ca="1" si="452"/>
        <v>7.1361533480732451</v>
      </c>
    </row>
    <row r="5334" spans="1:13" x14ac:dyDescent="0.25">
      <c r="A5334" s="2">
        <v>5328</v>
      </c>
      <c r="B5334" s="11">
        <f t="shared" ca="1" si="448"/>
        <v>1</v>
      </c>
      <c r="C5334" s="26">
        <f t="shared" ca="1" si="447"/>
        <v>0.68002256936734407</v>
      </c>
      <c r="J5334">
        <f t="shared" ca="1" si="449"/>
        <v>1</v>
      </c>
      <c r="K5334">
        <f t="shared" ca="1" si="450"/>
        <v>0</v>
      </c>
      <c r="L5334">
        <f t="shared" si="451"/>
        <v>5328</v>
      </c>
      <c r="M5334" s="71">
        <f t="shared" ca="1" si="452"/>
        <v>1.9850650046515235</v>
      </c>
    </row>
    <row r="5335" spans="1:13" x14ac:dyDescent="0.25">
      <c r="A5335" s="2">
        <v>5329</v>
      </c>
      <c r="B5335" s="11">
        <f t="shared" ca="1" si="448"/>
        <v>1</v>
      </c>
      <c r="C5335" s="26">
        <f t="shared" ca="1" si="447"/>
        <v>0.13439117983061355</v>
      </c>
      <c r="J5335">
        <f t="shared" ca="1" si="449"/>
        <v>1</v>
      </c>
      <c r="K5335">
        <f t="shared" ca="1" si="450"/>
        <v>0</v>
      </c>
      <c r="L5335">
        <f t="shared" si="451"/>
        <v>5329</v>
      </c>
      <c r="M5335" s="71">
        <f t="shared" ca="1" si="452"/>
        <v>2.3957976194415012</v>
      </c>
    </row>
    <row r="5336" spans="1:13" x14ac:dyDescent="0.25">
      <c r="A5336" s="2">
        <v>5330</v>
      </c>
      <c r="B5336" s="11">
        <f t="shared" ca="1" si="448"/>
        <v>1</v>
      </c>
      <c r="C5336" s="26">
        <f t="shared" ca="1" si="447"/>
        <v>0.40665879938959049</v>
      </c>
      <c r="J5336">
        <f t="shared" ca="1" si="449"/>
        <v>1</v>
      </c>
      <c r="K5336">
        <f t="shared" ca="1" si="450"/>
        <v>0</v>
      </c>
      <c r="L5336">
        <f t="shared" si="451"/>
        <v>5330</v>
      </c>
      <c r="M5336" s="71">
        <f t="shared" ca="1" si="452"/>
        <v>13.125088154460338</v>
      </c>
    </row>
    <row r="5337" spans="1:13" x14ac:dyDescent="0.25">
      <c r="A5337" s="2">
        <v>5331</v>
      </c>
      <c r="B5337" s="11">
        <f t="shared" ca="1" si="448"/>
        <v>1</v>
      </c>
      <c r="C5337" s="26">
        <f t="shared" ca="1" si="447"/>
        <v>0.74588188434982017</v>
      </c>
      <c r="J5337">
        <f t="shared" ca="1" si="449"/>
        <v>1</v>
      </c>
      <c r="K5337">
        <f t="shared" ca="1" si="450"/>
        <v>0</v>
      </c>
      <c r="L5337">
        <f t="shared" si="451"/>
        <v>5331</v>
      </c>
      <c r="M5337" s="71">
        <f t="shared" ca="1" si="452"/>
        <v>2.8262279757630919</v>
      </c>
    </row>
    <row r="5338" spans="1:13" x14ac:dyDescent="0.25">
      <c r="A5338" s="2">
        <v>5332</v>
      </c>
      <c r="B5338" s="11">
        <f t="shared" ca="1" si="448"/>
        <v>1</v>
      </c>
      <c r="C5338" s="26">
        <f t="shared" ca="1" si="447"/>
        <v>0.57301267979988801</v>
      </c>
      <c r="J5338">
        <f t="shared" ca="1" si="449"/>
        <v>1</v>
      </c>
      <c r="K5338">
        <f t="shared" ca="1" si="450"/>
        <v>0</v>
      </c>
      <c r="L5338">
        <f t="shared" si="451"/>
        <v>5332</v>
      </c>
      <c r="M5338" s="71">
        <f t="shared" ca="1" si="452"/>
        <v>4.2529828769205578</v>
      </c>
    </row>
    <row r="5339" spans="1:13" x14ac:dyDescent="0.25">
      <c r="A5339" s="2">
        <v>5333</v>
      </c>
      <c r="B5339" s="11">
        <f t="shared" ca="1" si="448"/>
        <v>1</v>
      </c>
      <c r="C5339" s="26">
        <f t="shared" ca="1" si="447"/>
        <v>0.60407525945249052</v>
      </c>
      <c r="J5339">
        <f t="shared" ca="1" si="449"/>
        <v>1</v>
      </c>
      <c r="K5339">
        <f t="shared" ca="1" si="450"/>
        <v>0</v>
      </c>
      <c r="L5339">
        <f t="shared" si="451"/>
        <v>5333</v>
      </c>
      <c r="M5339" s="71">
        <f t="shared" ca="1" si="452"/>
        <v>7.8620256743540375</v>
      </c>
    </row>
    <row r="5340" spans="1:13" x14ac:dyDescent="0.25">
      <c r="A5340" s="2">
        <v>5334</v>
      </c>
      <c r="B5340" s="11">
        <f t="shared" ca="1" si="448"/>
        <v>1</v>
      </c>
      <c r="C5340" s="26">
        <f t="shared" ca="1" si="447"/>
        <v>0.62637490502317728</v>
      </c>
      <c r="J5340">
        <f t="shared" ca="1" si="449"/>
        <v>0</v>
      </c>
      <c r="K5340">
        <f t="shared" ca="1" si="450"/>
        <v>0</v>
      </c>
      <c r="L5340">
        <f t="shared" si="451"/>
        <v>5334</v>
      </c>
      <c r="M5340" s="71">
        <f t="shared" ca="1" si="452"/>
        <v>0.87865255861020553</v>
      </c>
    </row>
    <row r="5341" spans="1:13" x14ac:dyDescent="0.25">
      <c r="A5341" s="2">
        <v>5335</v>
      </c>
      <c r="B5341" s="11">
        <f t="shared" ca="1" si="448"/>
        <v>0</v>
      </c>
      <c r="C5341" s="26">
        <f t="shared" ca="1" si="447"/>
        <v>0.86912381259915417</v>
      </c>
      <c r="J5341">
        <f t="shared" ca="1" si="449"/>
        <v>0</v>
      </c>
      <c r="K5341">
        <f t="shared" ca="1" si="450"/>
        <v>0</v>
      </c>
      <c r="L5341">
        <f t="shared" si="451"/>
        <v>5335</v>
      </c>
      <c r="M5341" s="71">
        <f t="shared" ca="1" si="452"/>
        <v>0</v>
      </c>
    </row>
    <row r="5342" spans="1:13" x14ac:dyDescent="0.25">
      <c r="A5342" s="2">
        <v>5336</v>
      </c>
      <c r="B5342" s="11">
        <f t="shared" ca="1" si="448"/>
        <v>1</v>
      </c>
      <c r="C5342" s="26">
        <f t="shared" ca="1" si="447"/>
        <v>0.58244731548781359</v>
      </c>
      <c r="J5342">
        <f t="shared" ca="1" si="449"/>
        <v>1</v>
      </c>
      <c r="K5342">
        <f t="shared" ca="1" si="450"/>
        <v>0</v>
      </c>
      <c r="L5342">
        <f t="shared" si="451"/>
        <v>5336</v>
      </c>
      <c r="M5342" s="71">
        <f t="shared" ca="1" si="452"/>
        <v>1.3684951013459454</v>
      </c>
    </row>
    <row r="5343" spans="1:13" x14ac:dyDescent="0.25">
      <c r="A5343" s="2">
        <v>5337</v>
      </c>
      <c r="B5343" s="11">
        <f t="shared" ca="1" si="448"/>
        <v>1</v>
      </c>
      <c r="C5343" s="26">
        <f t="shared" ca="1" si="447"/>
        <v>0.72692040452348772</v>
      </c>
      <c r="J5343">
        <f t="shared" ca="1" si="449"/>
        <v>1</v>
      </c>
      <c r="K5343">
        <f t="shared" ca="1" si="450"/>
        <v>0</v>
      </c>
      <c r="L5343">
        <f t="shared" si="451"/>
        <v>5337</v>
      </c>
      <c r="M5343" s="71">
        <f t="shared" ca="1" si="452"/>
        <v>2.2165226782273151</v>
      </c>
    </row>
    <row r="5344" spans="1:13" x14ac:dyDescent="0.25">
      <c r="A5344" s="2">
        <v>5338</v>
      </c>
      <c r="B5344" s="11">
        <f t="shared" ca="1" si="448"/>
        <v>1</v>
      </c>
      <c r="C5344" s="26">
        <f t="shared" ca="1" si="447"/>
        <v>0.33636641016578883</v>
      </c>
      <c r="J5344">
        <f t="shared" ca="1" si="449"/>
        <v>1</v>
      </c>
      <c r="K5344">
        <f t="shared" ca="1" si="450"/>
        <v>0</v>
      </c>
      <c r="L5344">
        <f t="shared" si="451"/>
        <v>5338</v>
      </c>
      <c r="M5344" s="71">
        <f t="shared" ca="1" si="452"/>
        <v>1.2940739591154369</v>
      </c>
    </row>
    <row r="5345" spans="1:13" x14ac:dyDescent="0.25">
      <c r="A5345" s="2">
        <v>5339</v>
      </c>
      <c r="B5345" s="11">
        <f t="shared" ca="1" si="448"/>
        <v>1</v>
      </c>
      <c r="C5345" s="26">
        <f t="shared" ca="1" si="447"/>
        <v>0.73935109505454377</v>
      </c>
      <c r="J5345">
        <f t="shared" ca="1" si="449"/>
        <v>1</v>
      </c>
      <c r="K5345">
        <f t="shared" ca="1" si="450"/>
        <v>0</v>
      </c>
      <c r="L5345">
        <f t="shared" si="451"/>
        <v>5339</v>
      </c>
      <c r="M5345" s="71">
        <f t="shared" ca="1" si="452"/>
        <v>20.507153214453048</v>
      </c>
    </row>
    <row r="5346" spans="1:13" x14ac:dyDescent="0.25">
      <c r="A5346" s="2">
        <v>5340</v>
      </c>
      <c r="B5346" s="11">
        <f t="shared" ca="1" si="448"/>
        <v>1</v>
      </c>
      <c r="C5346" s="26">
        <f t="shared" ca="1" si="447"/>
        <v>0.47755376474590117</v>
      </c>
      <c r="J5346">
        <f t="shared" ca="1" si="449"/>
        <v>1</v>
      </c>
      <c r="K5346">
        <f t="shared" ca="1" si="450"/>
        <v>0</v>
      </c>
      <c r="L5346">
        <f t="shared" si="451"/>
        <v>5340</v>
      </c>
      <c r="M5346" s="71">
        <f t="shared" ca="1" si="452"/>
        <v>2.3760624554586687</v>
      </c>
    </row>
    <row r="5347" spans="1:13" x14ac:dyDescent="0.25">
      <c r="A5347" s="2">
        <v>5341</v>
      </c>
      <c r="B5347" s="11">
        <f t="shared" ca="1" si="448"/>
        <v>1</v>
      </c>
      <c r="C5347" s="26">
        <f t="shared" ca="1" si="447"/>
        <v>0.29617631961692703</v>
      </c>
      <c r="J5347">
        <f t="shared" ca="1" si="449"/>
        <v>0</v>
      </c>
      <c r="K5347">
        <f t="shared" ca="1" si="450"/>
        <v>0</v>
      </c>
      <c r="L5347">
        <f t="shared" si="451"/>
        <v>5341</v>
      </c>
      <c r="M5347" s="71">
        <f t="shared" ca="1" si="452"/>
        <v>0.4136198017424052</v>
      </c>
    </row>
    <row r="5348" spans="1:13" x14ac:dyDescent="0.25">
      <c r="A5348" s="2">
        <v>5342</v>
      </c>
      <c r="B5348" s="11">
        <f t="shared" ca="1" si="448"/>
        <v>0</v>
      </c>
      <c r="C5348" s="26">
        <f t="shared" ca="1" si="447"/>
        <v>0.95623238630019358</v>
      </c>
      <c r="J5348">
        <f t="shared" ca="1" si="449"/>
        <v>0</v>
      </c>
      <c r="K5348">
        <f t="shared" ca="1" si="450"/>
        <v>0</v>
      </c>
      <c r="L5348">
        <f t="shared" si="451"/>
        <v>5342</v>
      </c>
      <c r="M5348" s="71">
        <f t="shared" ca="1" si="452"/>
        <v>0</v>
      </c>
    </row>
    <row r="5349" spans="1:13" x14ac:dyDescent="0.25">
      <c r="A5349" s="2">
        <v>5343</v>
      </c>
      <c r="B5349" s="11">
        <f t="shared" ca="1" si="448"/>
        <v>1</v>
      </c>
      <c r="C5349" s="26">
        <f t="shared" ca="1" si="447"/>
        <v>9.9754961615530768E-2</v>
      </c>
      <c r="J5349">
        <f t="shared" ca="1" si="449"/>
        <v>1</v>
      </c>
      <c r="K5349">
        <f t="shared" ca="1" si="450"/>
        <v>0</v>
      </c>
      <c r="L5349">
        <f t="shared" si="451"/>
        <v>5343</v>
      </c>
      <c r="M5349" s="71">
        <f t="shared" ca="1" si="452"/>
        <v>2.5010182217592054</v>
      </c>
    </row>
    <row r="5350" spans="1:13" x14ac:dyDescent="0.25">
      <c r="A5350" s="2">
        <v>5344</v>
      </c>
      <c r="B5350" s="11">
        <f t="shared" ca="1" si="448"/>
        <v>1</v>
      </c>
      <c r="C5350" s="26">
        <f t="shared" ca="1" si="447"/>
        <v>0.19655043216362644</v>
      </c>
      <c r="J5350">
        <f t="shared" ca="1" si="449"/>
        <v>0</v>
      </c>
      <c r="K5350">
        <f t="shared" ca="1" si="450"/>
        <v>0</v>
      </c>
      <c r="L5350">
        <f t="shared" si="451"/>
        <v>5344</v>
      </c>
      <c r="M5350" s="71">
        <f t="shared" ca="1" si="452"/>
        <v>3.2252018555870361</v>
      </c>
    </row>
    <row r="5351" spans="1:13" x14ac:dyDescent="0.25">
      <c r="A5351" s="2">
        <v>5345</v>
      </c>
      <c r="B5351" s="11">
        <f t="shared" ca="1" si="448"/>
        <v>0</v>
      </c>
      <c r="C5351" s="26">
        <f t="shared" ca="1" si="447"/>
        <v>0.95778037678807348</v>
      </c>
      <c r="J5351">
        <f t="shared" ca="1" si="449"/>
        <v>0</v>
      </c>
      <c r="K5351">
        <f t="shared" ca="1" si="450"/>
        <v>0</v>
      </c>
      <c r="L5351">
        <f t="shared" si="451"/>
        <v>5345</v>
      </c>
      <c r="M5351" s="71">
        <f t="shared" ca="1" si="452"/>
        <v>0</v>
      </c>
    </row>
    <row r="5352" spans="1:13" x14ac:dyDescent="0.25">
      <c r="A5352" s="2">
        <v>5346</v>
      </c>
      <c r="B5352" s="11">
        <f t="shared" ca="1" si="448"/>
        <v>1</v>
      </c>
      <c r="C5352" s="26">
        <f t="shared" ca="1" si="447"/>
        <v>0.1027892857858711</v>
      </c>
      <c r="J5352">
        <f t="shared" ca="1" si="449"/>
        <v>1</v>
      </c>
      <c r="K5352">
        <f t="shared" ca="1" si="450"/>
        <v>0</v>
      </c>
      <c r="L5352">
        <f t="shared" si="451"/>
        <v>5346</v>
      </c>
      <c r="M5352" s="71">
        <f t="shared" ca="1" si="452"/>
        <v>3.7087856684381068E-2</v>
      </c>
    </row>
    <row r="5353" spans="1:13" x14ac:dyDescent="0.25">
      <c r="A5353" s="2">
        <v>5347</v>
      </c>
      <c r="B5353" s="11">
        <f t="shared" ca="1" si="448"/>
        <v>1</v>
      </c>
      <c r="C5353" s="26">
        <f t="shared" ca="1" si="447"/>
        <v>0.77491404393348506</v>
      </c>
      <c r="J5353">
        <f t="shared" ca="1" si="449"/>
        <v>1</v>
      </c>
      <c r="K5353">
        <f t="shared" ca="1" si="450"/>
        <v>0</v>
      </c>
      <c r="L5353">
        <f t="shared" si="451"/>
        <v>5347</v>
      </c>
      <c r="M5353" s="71">
        <f t="shared" ca="1" si="452"/>
        <v>0.76309423220633099</v>
      </c>
    </row>
    <row r="5354" spans="1:13" x14ac:dyDescent="0.25">
      <c r="A5354" s="2">
        <v>5348</v>
      </c>
      <c r="B5354" s="11">
        <f t="shared" ca="1" si="448"/>
        <v>1</v>
      </c>
      <c r="C5354" s="26">
        <f t="shared" ca="1" si="447"/>
        <v>0.74341002814544532</v>
      </c>
      <c r="J5354">
        <f t="shared" ca="1" si="449"/>
        <v>1</v>
      </c>
      <c r="K5354">
        <f t="shared" ca="1" si="450"/>
        <v>0</v>
      </c>
      <c r="L5354">
        <f t="shared" si="451"/>
        <v>5348</v>
      </c>
      <c r="M5354" s="71">
        <f t="shared" ca="1" si="452"/>
        <v>2.5897954259437244</v>
      </c>
    </row>
    <row r="5355" spans="1:13" x14ac:dyDescent="0.25">
      <c r="A5355" s="2">
        <v>5349</v>
      </c>
      <c r="B5355" s="11">
        <f t="shared" ca="1" si="448"/>
        <v>1</v>
      </c>
      <c r="C5355" s="26">
        <f t="shared" ca="1" si="447"/>
        <v>0.24885261543699544</v>
      </c>
      <c r="J5355">
        <f t="shared" ca="1" si="449"/>
        <v>1</v>
      </c>
      <c r="K5355">
        <f t="shared" ca="1" si="450"/>
        <v>0</v>
      </c>
      <c r="L5355">
        <f t="shared" si="451"/>
        <v>5349</v>
      </c>
      <c r="M5355" s="71">
        <f t="shared" ca="1" si="452"/>
        <v>2.1109868319766663</v>
      </c>
    </row>
    <row r="5356" spans="1:13" x14ac:dyDescent="0.25">
      <c r="A5356" s="2">
        <v>5350</v>
      </c>
      <c r="B5356" s="11">
        <f t="shared" ca="1" si="448"/>
        <v>1</v>
      </c>
      <c r="C5356" s="26">
        <f t="shared" ca="1" si="447"/>
        <v>0.767148231892262</v>
      </c>
      <c r="J5356">
        <f t="shared" ca="1" si="449"/>
        <v>1</v>
      </c>
      <c r="K5356">
        <f t="shared" ca="1" si="450"/>
        <v>0</v>
      </c>
      <c r="L5356">
        <f t="shared" si="451"/>
        <v>5350</v>
      </c>
      <c r="M5356" s="71">
        <f t="shared" ca="1" si="452"/>
        <v>3.6581038215248443</v>
      </c>
    </row>
    <row r="5357" spans="1:13" x14ac:dyDescent="0.25">
      <c r="A5357" s="2">
        <v>5351</v>
      </c>
      <c r="B5357" s="11">
        <f t="shared" ca="1" si="448"/>
        <v>1</v>
      </c>
      <c r="C5357" s="26">
        <f t="shared" ca="1" si="447"/>
        <v>0.60780374625376044</v>
      </c>
      <c r="J5357">
        <f t="shared" ca="1" si="449"/>
        <v>1</v>
      </c>
      <c r="K5357">
        <f t="shared" ca="1" si="450"/>
        <v>0</v>
      </c>
      <c r="L5357">
        <f t="shared" si="451"/>
        <v>5351</v>
      </c>
      <c r="M5357" s="71">
        <f t="shared" ca="1" si="452"/>
        <v>5.2795688798117011</v>
      </c>
    </row>
    <row r="5358" spans="1:13" x14ac:dyDescent="0.25">
      <c r="A5358" s="2">
        <v>5352</v>
      </c>
      <c r="B5358" s="11">
        <f t="shared" ca="1" si="448"/>
        <v>1</v>
      </c>
      <c r="C5358" s="26">
        <f t="shared" ca="1" si="447"/>
        <v>0.5271995806490235</v>
      </c>
      <c r="J5358">
        <f t="shared" ca="1" si="449"/>
        <v>0</v>
      </c>
      <c r="K5358">
        <f t="shared" ca="1" si="450"/>
        <v>0</v>
      </c>
      <c r="L5358">
        <f t="shared" si="451"/>
        <v>5352</v>
      </c>
      <c r="M5358" s="71">
        <f t="shared" ca="1" si="452"/>
        <v>2.4922731787809203</v>
      </c>
    </row>
    <row r="5359" spans="1:13" x14ac:dyDescent="0.25">
      <c r="A5359" s="2">
        <v>5353</v>
      </c>
      <c r="B5359" s="11">
        <f t="shared" ca="1" si="448"/>
        <v>0</v>
      </c>
      <c r="C5359" s="26">
        <f t="shared" ca="1" si="447"/>
        <v>0.80100741562492483</v>
      </c>
      <c r="J5359">
        <f t="shared" ca="1" si="449"/>
        <v>0</v>
      </c>
      <c r="K5359">
        <f t="shared" ca="1" si="450"/>
        <v>0</v>
      </c>
      <c r="L5359">
        <f t="shared" si="451"/>
        <v>5353</v>
      </c>
      <c r="M5359" s="71">
        <f t="shared" ca="1" si="452"/>
        <v>0</v>
      </c>
    </row>
    <row r="5360" spans="1:13" x14ac:dyDescent="0.25">
      <c r="A5360" s="2">
        <v>5354</v>
      </c>
      <c r="B5360" s="11">
        <f t="shared" ca="1" si="448"/>
        <v>1</v>
      </c>
      <c r="C5360" s="26">
        <f t="shared" ca="1" si="447"/>
        <v>0.18373650938593822</v>
      </c>
      <c r="J5360">
        <f t="shared" ca="1" si="449"/>
        <v>0</v>
      </c>
      <c r="K5360">
        <f t="shared" ca="1" si="450"/>
        <v>0</v>
      </c>
      <c r="L5360">
        <f t="shared" si="451"/>
        <v>5354</v>
      </c>
      <c r="M5360" s="71">
        <f t="shared" ca="1" si="452"/>
        <v>7.3212977176132998</v>
      </c>
    </row>
    <row r="5361" spans="1:13" x14ac:dyDescent="0.25">
      <c r="A5361" s="2">
        <v>5355</v>
      </c>
      <c r="B5361" s="11">
        <f t="shared" ca="1" si="448"/>
        <v>0</v>
      </c>
      <c r="C5361" s="26">
        <f t="shared" ca="1" si="447"/>
        <v>0.9870800352676079</v>
      </c>
      <c r="J5361">
        <f t="shared" ca="1" si="449"/>
        <v>0</v>
      </c>
      <c r="K5361">
        <f t="shared" ca="1" si="450"/>
        <v>1</v>
      </c>
      <c r="L5361">
        <f t="shared" si="451"/>
        <v>5355</v>
      </c>
      <c r="M5361" s="71">
        <f t="shared" ca="1" si="452"/>
        <v>0</v>
      </c>
    </row>
    <row r="5362" spans="1:13" x14ac:dyDescent="0.25">
      <c r="A5362" s="2">
        <v>5356</v>
      </c>
      <c r="B5362" s="11">
        <f t="shared" ca="1" si="448"/>
        <v>0</v>
      </c>
      <c r="C5362" s="26">
        <f t="shared" ca="1" si="447"/>
        <v>0.9990795721158241</v>
      </c>
      <c r="J5362">
        <f t="shared" ca="1" si="449"/>
        <v>0</v>
      </c>
      <c r="K5362">
        <f t="shared" ca="1" si="450"/>
        <v>0</v>
      </c>
      <c r="L5362">
        <f t="shared" si="451"/>
        <v>5356</v>
      </c>
      <c r="M5362" s="71">
        <f t="shared" ca="1" si="452"/>
        <v>0</v>
      </c>
    </row>
    <row r="5363" spans="1:13" x14ac:dyDescent="0.25">
      <c r="A5363" s="2">
        <v>5357</v>
      </c>
      <c r="B5363" s="11">
        <f t="shared" ca="1" si="448"/>
        <v>1</v>
      </c>
      <c r="C5363" s="26">
        <f t="shared" ca="1" si="447"/>
        <v>0.35417127348078525</v>
      </c>
      <c r="J5363">
        <f t="shared" ca="1" si="449"/>
        <v>1</v>
      </c>
      <c r="K5363">
        <f t="shared" ca="1" si="450"/>
        <v>0</v>
      </c>
      <c r="L5363">
        <f t="shared" si="451"/>
        <v>5357</v>
      </c>
      <c r="M5363" s="71">
        <f t="shared" ca="1" si="452"/>
        <v>6.5926049533879407</v>
      </c>
    </row>
    <row r="5364" spans="1:13" x14ac:dyDescent="0.25">
      <c r="A5364" s="2">
        <v>5358</v>
      </c>
      <c r="B5364" s="11">
        <f t="shared" ca="1" si="448"/>
        <v>1</v>
      </c>
      <c r="C5364" s="26">
        <f t="shared" ca="1" si="447"/>
        <v>0.64271454208076129</v>
      </c>
      <c r="J5364">
        <f t="shared" ca="1" si="449"/>
        <v>1</v>
      </c>
      <c r="K5364">
        <f t="shared" ca="1" si="450"/>
        <v>0</v>
      </c>
      <c r="L5364">
        <f t="shared" si="451"/>
        <v>5358</v>
      </c>
      <c r="M5364" s="71">
        <f t="shared" ca="1" si="452"/>
        <v>0.7798826110119339</v>
      </c>
    </row>
    <row r="5365" spans="1:13" x14ac:dyDescent="0.25">
      <c r="A5365" s="2">
        <v>5359</v>
      </c>
      <c r="B5365" s="11">
        <f t="shared" ca="1" si="448"/>
        <v>1</v>
      </c>
      <c r="C5365" s="26">
        <f t="shared" ca="1" si="447"/>
        <v>0.59904157809079672</v>
      </c>
      <c r="J5365">
        <f t="shared" ca="1" si="449"/>
        <v>1</v>
      </c>
      <c r="K5365">
        <f t="shared" ca="1" si="450"/>
        <v>0</v>
      </c>
      <c r="L5365">
        <f t="shared" si="451"/>
        <v>5359</v>
      </c>
      <c r="M5365" s="71">
        <f t="shared" ca="1" si="452"/>
        <v>3.5599662637362455</v>
      </c>
    </row>
    <row r="5366" spans="1:13" x14ac:dyDescent="0.25">
      <c r="A5366" s="2">
        <v>5360</v>
      </c>
      <c r="B5366" s="11">
        <f t="shared" ca="1" si="448"/>
        <v>1</v>
      </c>
      <c r="C5366" s="26">
        <f t="shared" ca="1" si="447"/>
        <v>0.40869826798260378</v>
      </c>
      <c r="J5366">
        <f t="shared" ca="1" si="449"/>
        <v>1</v>
      </c>
      <c r="K5366">
        <f t="shared" ca="1" si="450"/>
        <v>0</v>
      </c>
      <c r="L5366">
        <f t="shared" si="451"/>
        <v>5360</v>
      </c>
      <c r="M5366" s="71">
        <f t="shared" ca="1" si="452"/>
        <v>3.4131949100825016</v>
      </c>
    </row>
    <row r="5367" spans="1:13" x14ac:dyDescent="0.25">
      <c r="A5367" s="2">
        <v>5361</v>
      </c>
      <c r="B5367" s="11">
        <f t="shared" ca="1" si="448"/>
        <v>1</v>
      </c>
      <c r="C5367" s="26">
        <f t="shared" ca="1" si="447"/>
        <v>0.74012883075219049</v>
      </c>
      <c r="J5367">
        <f t="shared" ca="1" si="449"/>
        <v>1</v>
      </c>
      <c r="K5367">
        <f t="shared" ca="1" si="450"/>
        <v>0</v>
      </c>
      <c r="L5367">
        <f t="shared" si="451"/>
        <v>5361</v>
      </c>
      <c r="M5367" s="71">
        <f t="shared" ca="1" si="452"/>
        <v>1.6783590457997442</v>
      </c>
    </row>
    <row r="5368" spans="1:13" x14ac:dyDescent="0.25">
      <c r="A5368" s="2">
        <v>5362</v>
      </c>
      <c r="B5368" s="11">
        <f t="shared" ca="1" si="448"/>
        <v>1</v>
      </c>
      <c r="C5368" s="26">
        <f t="shared" ca="1" si="447"/>
        <v>0.11050743424478715</v>
      </c>
      <c r="J5368">
        <f t="shared" ca="1" si="449"/>
        <v>0</v>
      </c>
      <c r="K5368">
        <f t="shared" ca="1" si="450"/>
        <v>0</v>
      </c>
      <c r="L5368">
        <f t="shared" si="451"/>
        <v>5362</v>
      </c>
      <c r="M5368" s="71">
        <f t="shared" ca="1" si="452"/>
        <v>6.2716515940878805</v>
      </c>
    </row>
    <row r="5369" spans="1:13" x14ac:dyDescent="0.25">
      <c r="A5369" s="2">
        <v>5363</v>
      </c>
      <c r="B5369" s="11">
        <f t="shared" ca="1" si="448"/>
        <v>0</v>
      </c>
      <c r="C5369" s="26">
        <f t="shared" ca="1" si="447"/>
        <v>0.87499521309425743</v>
      </c>
      <c r="J5369">
        <f t="shared" ca="1" si="449"/>
        <v>0</v>
      </c>
      <c r="K5369">
        <f t="shared" ca="1" si="450"/>
        <v>1</v>
      </c>
      <c r="L5369">
        <f t="shared" si="451"/>
        <v>5363</v>
      </c>
      <c r="M5369" s="71">
        <f t="shared" ca="1" si="452"/>
        <v>0</v>
      </c>
    </row>
    <row r="5370" spans="1:13" x14ac:dyDescent="0.25">
      <c r="A5370" s="2">
        <v>5364</v>
      </c>
      <c r="B5370" s="11">
        <f t="shared" ca="1" si="448"/>
        <v>0</v>
      </c>
      <c r="C5370" s="26">
        <f t="shared" ca="1" si="447"/>
        <v>0.85064139080530843</v>
      </c>
      <c r="J5370">
        <f t="shared" ca="1" si="449"/>
        <v>0</v>
      </c>
      <c r="K5370">
        <f t="shared" ca="1" si="450"/>
        <v>1</v>
      </c>
      <c r="L5370">
        <f t="shared" si="451"/>
        <v>5364</v>
      </c>
      <c r="M5370" s="71">
        <f t="shared" ca="1" si="452"/>
        <v>0</v>
      </c>
    </row>
    <row r="5371" spans="1:13" x14ac:dyDescent="0.25">
      <c r="A5371" s="2">
        <v>5365</v>
      </c>
      <c r="B5371" s="11">
        <f t="shared" ca="1" si="448"/>
        <v>0</v>
      </c>
      <c r="C5371" s="26">
        <f t="shared" ca="1" si="447"/>
        <v>0.86293427752782359</v>
      </c>
      <c r="J5371">
        <f t="shared" ca="1" si="449"/>
        <v>0</v>
      </c>
      <c r="K5371">
        <f t="shared" ca="1" si="450"/>
        <v>1</v>
      </c>
      <c r="L5371">
        <f t="shared" si="451"/>
        <v>5365</v>
      </c>
      <c r="M5371" s="71">
        <f t="shared" ca="1" si="452"/>
        <v>0</v>
      </c>
    </row>
    <row r="5372" spans="1:13" x14ac:dyDescent="0.25">
      <c r="A5372" s="2">
        <v>5366</v>
      </c>
      <c r="B5372" s="11">
        <f t="shared" ca="1" si="448"/>
        <v>0</v>
      </c>
      <c r="C5372" s="26">
        <f t="shared" ca="1" si="447"/>
        <v>0.78724135371003268</v>
      </c>
      <c r="J5372">
        <f t="shared" ca="1" si="449"/>
        <v>0</v>
      </c>
      <c r="K5372">
        <f t="shared" ca="1" si="450"/>
        <v>0</v>
      </c>
      <c r="L5372">
        <f t="shared" si="451"/>
        <v>5366</v>
      </c>
      <c r="M5372" s="71">
        <f t="shared" ca="1" si="452"/>
        <v>0</v>
      </c>
    </row>
    <row r="5373" spans="1:13" x14ac:dyDescent="0.25">
      <c r="A5373" s="2">
        <v>5367</v>
      </c>
      <c r="B5373" s="11">
        <f t="shared" ca="1" si="448"/>
        <v>1</v>
      </c>
      <c r="C5373" s="26">
        <f t="shared" ca="1" si="447"/>
        <v>0.32382650616902131</v>
      </c>
      <c r="J5373">
        <f t="shared" ca="1" si="449"/>
        <v>1</v>
      </c>
      <c r="K5373">
        <f t="shared" ca="1" si="450"/>
        <v>0</v>
      </c>
      <c r="L5373">
        <f t="shared" si="451"/>
        <v>5367</v>
      </c>
      <c r="M5373" s="71">
        <f t="shared" ca="1" si="452"/>
        <v>4.4862220113508844</v>
      </c>
    </row>
    <row r="5374" spans="1:13" x14ac:dyDescent="0.25">
      <c r="A5374" s="2">
        <v>5368</v>
      </c>
      <c r="B5374" s="11">
        <f t="shared" ca="1" si="448"/>
        <v>1</v>
      </c>
      <c r="C5374" s="26">
        <f t="shared" ca="1" si="447"/>
        <v>0.39098578840804465</v>
      </c>
      <c r="J5374">
        <f t="shared" ca="1" si="449"/>
        <v>0</v>
      </c>
      <c r="K5374">
        <f t="shared" ca="1" si="450"/>
        <v>0</v>
      </c>
      <c r="L5374">
        <f t="shared" si="451"/>
        <v>5368</v>
      </c>
      <c r="M5374" s="71">
        <f t="shared" ca="1" si="452"/>
        <v>2.2330779462713939</v>
      </c>
    </row>
    <row r="5375" spans="1:13" x14ac:dyDescent="0.25">
      <c r="A5375" s="2">
        <v>5369</v>
      </c>
      <c r="B5375" s="11">
        <f t="shared" ca="1" si="448"/>
        <v>0</v>
      </c>
      <c r="C5375" s="26">
        <f t="shared" ca="1" si="447"/>
        <v>0.88077751639582946</v>
      </c>
      <c r="J5375">
        <f t="shared" ca="1" si="449"/>
        <v>0</v>
      </c>
      <c r="K5375">
        <f t="shared" ca="1" si="450"/>
        <v>0</v>
      </c>
      <c r="L5375">
        <f t="shared" si="451"/>
        <v>5369</v>
      </c>
      <c r="M5375" s="71">
        <f t="shared" ca="1" si="452"/>
        <v>0</v>
      </c>
    </row>
    <row r="5376" spans="1:13" x14ac:dyDescent="0.25">
      <c r="A5376" s="2">
        <v>5370</v>
      </c>
      <c r="B5376" s="11">
        <f t="shared" ca="1" si="448"/>
        <v>1</v>
      </c>
      <c r="C5376" s="26">
        <f t="shared" ca="1" si="447"/>
        <v>0.28050711010989593</v>
      </c>
      <c r="J5376">
        <f t="shared" ca="1" si="449"/>
        <v>1</v>
      </c>
      <c r="K5376">
        <f t="shared" ca="1" si="450"/>
        <v>0</v>
      </c>
      <c r="L5376">
        <f t="shared" si="451"/>
        <v>5370</v>
      </c>
      <c r="M5376" s="71">
        <f t="shared" ca="1" si="452"/>
        <v>0.47235277906036854</v>
      </c>
    </row>
    <row r="5377" spans="1:13" x14ac:dyDescent="0.25">
      <c r="A5377" s="2">
        <v>5371</v>
      </c>
      <c r="B5377" s="11">
        <f t="shared" ca="1" si="448"/>
        <v>1</v>
      </c>
      <c r="C5377" s="26">
        <f t="shared" ca="1" si="447"/>
        <v>0.49977136876390893</v>
      </c>
      <c r="J5377">
        <f t="shared" ca="1" si="449"/>
        <v>1</v>
      </c>
      <c r="K5377">
        <f t="shared" ca="1" si="450"/>
        <v>0</v>
      </c>
      <c r="L5377">
        <f t="shared" si="451"/>
        <v>5371</v>
      </c>
      <c r="M5377" s="71">
        <f t="shared" ca="1" si="452"/>
        <v>6.0602928242511576</v>
      </c>
    </row>
    <row r="5378" spans="1:13" x14ac:dyDescent="0.25">
      <c r="A5378" s="2">
        <v>5372</v>
      </c>
      <c r="B5378" s="11">
        <f t="shared" ca="1" si="448"/>
        <v>1</v>
      </c>
      <c r="C5378" s="26">
        <f t="shared" ca="1" si="447"/>
        <v>0.10147994969875607</v>
      </c>
      <c r="J5378">
        <f t="shared" ca="1" si="449"/>
        <v>1</v>
      </c>
      <c r="K5378">
        <f t="shared" ca="1" si="450"/>
        <v>0</v>
      </c>
      <c r="L5378">
        <f t="shared" si="451"/>
        <v>5372</v>
      </c>
      <c r="M5378" s="71">
        <f t="shared" ca="1" si="452"/>
        <v>5.440872663655167</v>
      </c>
    </row>
    <row r="5379" spans="1:13" x14ac:dyDescent="0.25">
      <c r="A5379" s="2">
        <v>5373</v>
      </c>
      <c r="B5379" s="11">
        <f t="shared" ca="1" si="448"/>
        <v>1</v>
      </c>
      <c r="C5379" s="26">
        <f t="shared" ca="1" si="447"/>
        <v>0.53963192124109394</v>
      </c>
      <c r="J5379">
        <f t="shared" ca="1" si="449"/>
        <v>0</v>
      </c>
      <c r="K5379">
        <f t="shared" ca="1" si="450"/>
        <v>0</v>
      </c>
      <c r="L5379">
        <f t="shared" si="451"/>
        <v>5373</v>
      </c>
      <c r="M5379" s="71">
        <f t="shared" ca="1" si="452"/>
        <v>2.7751436547171986</v>
      </c>
    </row>
    <row r="5380" spans="1:13" x14ac:dyDescent="0.25">
      <c r="A5380" s="2">
        <v>5374</v>
      </c>
      <c r="B5380" s="11">
        <f t="shared" ca="1" si="448"/>
        <v>0</v>
      </c>
      <c r="C5380" s="26">
        <f t="shared" ca="1" si="447"/>
        <v>0.8604029744577969</v>
      </c>
      <c r="J5380">
        <f t="shared" ca="1" si="449"/>
        <v>0</v>
      </c>
      <c r="K5380">
        <f t="shared" ca="1" si="450"/>
        <v>0</v>
      </c>
      <c r="L5380">
        <f t="shared" si="451"/>
        <v>5374</v>
      </c>
      <c r="M5380" s="71">
        <f t="shared" ca="1" si="452"/>
        <v>0</v>
      </c>
    </row>
    <row r="5381" spans="1:13" x14ac:dyDescent="0.25">
      <c r="A5381" s="2">
        <v>5375</v>
      </c>
      <c r="B5381" s="11">
        <f t="shared" ca="1" si="448"/>
        <v>1</v>
      </c>
      <c r="C5381" s="26">
        <f t="shared" ca="1" si="447"/>
        <v>0.63342814530457936</v>
      </c>
      <c r="J5381">
        <f t="shared" ca="1" si="449"/>
        <v>0</v>
      </c>
      <c r="K5381">
        <f t="shared" ca="1" si="450"/>
        <v>0</v>
      </c>
      <c r="L5381">
        <f t="shared" si="451"/>
        <v>5375</v>
      </c>
      <c r="M5381" s="71">
        <f t="shared" ca="1" si="452"/>
        <v>3.7570159474196752</v>
      </c>
    </row>
    <row r="5382" spans="1:13" x14ac:dyDescent="0.25">
      <c r="A5382" s="2">
        <v>5376</v>
      </c>
      <c r="B5382" s="11">
        <f t="shared" ca="1" si="448"/>
        <v>0</v>
      </c>
      <c r="C5382" s="26">
        <f t="shared" ca="1" si="447"/>
        <v>0.81782969826494345</v>
      </c>
      <c r="J5382">
        <f t="shared" ca="1" si="449"/>
        <v>0</v>
      </c>
      <c r="K5382">
        <f t="shared" ca="1" si="450"/>
        <v>0</v>
      </c>
      <c r="L5382">
        <f t="shared" si="451"/>
        <v>5376</v>
      </c>
      <c r="M5382" s="71">
        <f t="shared" ca="1" si="452"/>
        <v>0</v>
      </c>
    </row>
    <row r="5383" spans="1:13" x14ac:dyDescent="0.25">
      <c r="A5383" s="2">
        <v>5377</v>
      </c>
      <c r="B5383" s="11">
        <f t="shared" ca="1" si="448"/>
        <v>1</v>
      </c>
      <c r="C5383" s="26">
        <f t="shared" ca="1" si="447"/>
        <v>0.22585331174909784</v>
      </c>
      <c r="J5383">
        <f t="shared" ca="1" si="449"/>
        <v>1</v>
      </c>
      <c r="K5383">
        <f t="shared" ca="1" si="450"/>
        <v>0</v>
      </c>
      <c r="L5383">
        <f t="shared" si="451"/>
        <v>5377</v>
      </c>
      <c r="M5383" s="71">
        <f t="shared" ca="1" si="452"/>
        <v>1.1354798846521585</v>
      </c>
    </row>
    <row r="5384" spans="1:13" x14ac:dyDescent="0.25">
      <c r="A5384" s="2">
        <v>5378</v>
      </c>
      <c r="B5384" s="11">
        <f t="shared" ca="1" si="448"/>
        <v>1</v>
      </c>
      <c r="C5384" s="26">
        <f t="shared" ref="C5384:C5447" ca="1" si="453">RAND()</f>
        <v>0.22889756354109725</v>
      </c>
      <c r="J5384">
        <f t="shared" ca="1" si="449"/>
        <v>1</v>
      </c>
      <c r="K5384">
        <f t="shared" ca="1" si="450"/>
        <v>0</v>
      </c>
      <c r="L5384">
        <f t="shared" si="451"/>
        <v>5378</v>
      </c>
      <c r="M5384" s="71">
        <f t="shared" ca="1" si="452"/>
        <v>2.808088980029956</v>
      </c>
    </row>
    <row r="5385" spans="1:13" x14ac:dyDescent="0.25">
      <c r="A5385" s="2">
        <v>5379</v>
      </c>
      <c r="B5385" s="11">
        <f t="shared" ref="B5385:B5448" ca="1" si="454">IF(B5384&gt;0,IF(C5385&lt;pww,1,0),IF(C5385&lt;pdw,1,0))</f>
        <v>1</v>
      </c>
      <c r="C5385" s="26">
        <f t="shared" ca="1" si="453"/>
        <v>0.51116151505128038</v>
      </c>
      <c r="J5385">
        <f t="shared" ca="1" si="449"/>
        <v>0</v>
      </c>
      <c r="K5385">
        <f t="shared" ca="1" si="450"/>
        <v>0</v>
      </c>
      <c r="L5385">
        <f t="shared" si="451"/>
        <v>5379</v>
      </c>
      <c r="M5385" s="71">
        <f t="shared" ca="1" si="452"/>
        <v>14.577867127360784</v>
      </c>
    </row>
    <row r="5386" spans="1:13" x14ac:dyDescent="0.25">
      <c r="A5386" s="2">
        <v>5380</v>
      </c>
      <c r="B5386" s="11">
        <f t="shared" ca="1" si="454"/>
        <v>0</v>
      </c>
      <c r="C5386" s="26">
        <f t="shared" ca="1" si="453"/>
        <v>0.86828237502109029</v>
      </c>
      <c r="J5386">
        <f t="shared" ref="J5386:J5449" ca="1" si="455">IF(AND(B5386,B5387),1,0)</f>
        <v>0</v>
      </c>
      <c r="K5386">
        <f t="shared" ref="K5386:K5449" ca="1" si="456">IF(AND(NOT(B5386),NOT(B5387)),1,0)</f>
        <v>0</v>
      </c>
      <c r="L5386">
        <f t="shared" ref="L5386:L5449" si="457">L5385+1</f>
        <v>5380</v>
      </c>
      <c r="M5386" s="71">
        <f t="shared" ref="M5386:M5449" ca="1" si="458">IF(B5386&gt;0,-LN(1-(RAND()))/lambda,0)</f>
        <v>0</v>
      </c>
    </row>
    <row r="5387" spans="1:13" x14ac:dyDescent="0.25">
      <c r="A5387" s="2">
        <v>5381</v>
      </c>
      <c r="B5387" s="11">
        <f t="shared" ca="1" si="454"/>
        <v>1</v>
      </c>
      <c r="C5387" s="26">
        <f t="shared" ca="1" si="453"/>
        <v>0.14346602282900112</v>
      </c>
      <c r="J5387">
        <f t="shared" ca="1" si="455"/>
        <v>1</v>
      </c>
      <c r="K5387">
        <f t="shared" ca="1" si="456"/>
        <v>0</v>
      </c>
      <c r="L5387">
        <f t="shared" si="457"/>
        <v>5381</v>
      </c>
      <c r="M5387" s="71">
        <f t="shared" ca="1" si="458"/>
        <v>0.66451998929836775</v>
      </c>
    </row>
    <row r="5388" spans="1:13" x14ac:dyDescent="0.25">
      <c r="A5388" s="2">
        <v>5382</v>
      </c>
      <c r="B5388" s="11">
        <f t="shared" ca="1" si="454"/>
        <v>1</v>
      </c>
      <c r="C5388" s="26">
        <f t="shared" ca="1" si="453"/>
        <v>0.65554511548788863</v>
      </c>
      <c r="J5388">
        <f t="shared" ca="1" si="455"/>
        <v>0</v>
      </c>
      <c r="K5388">
        <f t="shared" ca="1" si="456"/>
        <v>0</v>
      </c>
      <c r="L5388">
        <f t="shared" si="457"/>
        <v>5382</v>
      </c>
      <c r="M5388" s="71">
        <f t="shared" ca="1" si="458"/>
        <v>0.84377873749172894</v>
      </c>
    </row>
    <row r="5389" spans="1:13" x14ac:dyDescent="0.25">
      <c r="A5389" s="2">
        <v>5383</v>
      </c>
      <c r="B5389" s="11">
        <f t="shared" ca="1" si="454"/>
        <v>0</v>
      </c>
      <c r="C5389" s="26">
        <f t="shared" ca="1" si="453"/>
        <v>0.8574012075756684</v>
      </c>
      <c r="J5389">
        <f t="shared" ca="1" si="455"/>
        <v>0</v>
      </c>
      <c r="K5389">
        <f t="shared" ca="1" si="456"/>
        <v>0</v>
      </c>
      <c r="L5389">
        <f t="shared" si="457"/>
        <v>5383</v>
      </c>
      <c r="M5389" s="71">
        <f t="shared" ca="1" si="458"/>
        <v>0</v>
      </c>
    </row>
    <row r="5390" spans="1:13" x14ac:dyDescent="0.25">
      <c r="A5390" s="2">
        <v>5384</v>
      </c>
      <c r="B5390" s="11">
        <f t="shared" ca="1" si="454"/>
        <v>1</v>
      </c>
      <c r="C5390" s="26">
        <f t="shared" ca="1" si="453"/>
        <v>0.23212206742191377</v>
      </c>
      <c r="J5390">
        <f t="shared" ca="1" si="455"/>
        <v>0</v>
      </c>
      <c r="K5390">
        <f t="shared" ca="1" si="456"/>
        <v>0</v>
      </c>
      <c r="L5390">
        <f t="shared" si="457"/>
        <v>5384</v>
      </c>
      <c r="M5390" s="71">
        <f t="shared" ca="1" si="458"/>
        <v>0.44639840183589535</v>
      </c>
    </row>
    <row r="5391" spans="1:13" x14ac:dyDescent="0.25">
      <c r="A5391" s="2">
        <v>5385</v>
      </c>
      <c r="B5391" s="11">
        <f t="shared" ca="1" si="454"/>
        <v>0</v>
      </c>
      <c r="C5391" s="26">
        <f t="shared" ca="1" si="453"/>
        <v>0.87673062538789759</v>
      </c>
      <c r="J5391">
        <f t="shared" ca="1" si="455"/>
        <v>0</v>
      </c>
      <c r="K5391">
        <f t="shared" ca="1" si="456"/>
        <v>0</v>
      </c>
      <c r="L5391">
        <f t="shared" si="457"/>
        <v>5385</v>
      </c>
      <c r="M5391" s="71">
        <f t="shared" ca="1" si="458"/>
        <v>0</v>
      </c>
    </row>
    <row r="5392" spans="1:13" x14ac:dyDescent="0.25">
      <c r="A5392" s="2">
        <v>5386</v>
      </c>
      <c r="B5392" s="11">
        <f t="shared" ca="1" si="454"/>
        <v>1</v>
      </c>
      <c r="C5392" s="26">
        <f t="shared" ca="1" si="453"/>
        <v>6.0427504841455981E-3</v>
      </c>
      <c r="J5392">
        <f t="shared" ca="1" si="455"/>
        <v>1</v>
      </c>
      <c r="K5392">
        <f t="shared" ca="1" si="456"/>
        <v>0</v>
      </c>
      <c r="L5392">
        <f t="shared" si="457"/>
        <v>5386</v>
      </c>
      <c r="M5392" s="71">
        <f t="shared" ca="1" si="458"/>
        <v>16.38391243992665</v>
      </c>
    </row>
    <row r="5393" spans="1:13" x14ac:dyDescent="0.25">
      <c r="A5393" s="2">
        <v>5387</v>
      </c>
      <c r="B5393" s="11">
        <f t="shared" ca="1" si="454"/>
        <v>1</v>
      </c>
      <c r="C5393" s="26">
        <f t="shared" ca="1" si="453"/>
        <v>0.58438505231808024</v>
      </c>
      <c r="J5393">
        <f t="shared" ca="1" si="455"/>
        <v>1</v>
      </c>
      <c r="K5393">
        <f t="shared" ca="1" si="456"/>
        <v>0</v>
      </c>
      <c r="L5393">
        <f t="shared" si="457"/>
        <v>5387</v>
      </c>
      <c r="M5393" s="71">
        <f t="shared" ca="1" si="458"/>
        <v>1.3407723871666655</v>
      </c>
    </row>
    <row r="5394" spans="1:13" x14ac:dyDescent="0.25">
      <c r="A5394" s="2">
        <v>5388</v>
      </c>
      <c r="B5394" s="11">
        <f t="shared" ca="1" si="454"/>
        <v>1</v>
      </c>
      <c r="C5394" s="26">
        <f t="shared" ca="1" si="453"/>
        <v>0.79982161475342495</v>
      </c>
      <c r="J5394">
        <f t="shared" ca="1" si="455"/>
        <v>1</v>
      </c>
      <c r="K5394">
        <f t="shared" ca="1" si="456"/>
        <v>0</v>
      </c>
      <c r="L5394">
        <f t="shared" si="457"/>
        <v>5388</v>
      </c>
      <c r="M5394" s="71">
        <f t="shared" ca="1" si="458"/>
        <v>4.306073345470339</v>
      </c>
    </row>
    <row r="5395" spans="1:13" x14ac:dyDescent="0.25">
      <c r="A5395" s="2">
        <v>5389</v>
      </c>
      <c r="B5395" s="11">
        <f t="shared" ca="1" si="454"/>
        <v>1</v>
      </c>
      <c r="C5395" s="26">
        <f t="shared" ca="1" si="453"/>
        <v>0.66324812981514958</v>
      </c>
      <c r="J5395">
        <f t="shared" ca="1" si="455"/>
        <v>0</v>
      </c>
      <c r="K5395">
        <f t="shared" ca="1" si="456"/>
        <v>0</v>
      </c>
      <c r="L5395">
        <f t="shared" si="457"/>
        <v>5389</v>
      </c>
      <c r="M5395" s="71">
        <f t="shared" ca="1" si="458"/>
        <v>1.2871648854353657</v>
      </c>
    </row>
    <row r="5396" spans="1:13" x14ac:dyDescent="0.25">
      <c r="A5396" s="2">
        <v>5390</v>
      </c>
      <c r="B5396" s="11">
        <f t="shared" ca="1" si="454"/>
        <v>0</v>
      </c>
      <c r="C5396" s="26">
        <f t="shared" ca="1" si="453"/>
        <v>0.92067073942978295</v>
      </c>
      <c r="J5396">
        <f t="shared" ca="1" si="455"/>
        <v>0</v>
      </c>
      <c r="K5396">
        <f t="shared" ca="1" si="456"/>
        <v>0</v>
      </c>
      <c r="L5396">
        <f t="shared" si="457"/>
        <v>5390</v>
      </c>
      <c r="M5396" s="71">
        <f t="shared" ca="1" si="458"/>
        <v>0</v>
      </c>
    </row>
    <row r="5397" spans="1:13" x14ac:dyDescent="0.25">
      <c r="A5397" s="2">
        <v>5391</v>
      </c>
      <c r="B5397" s="11">
        <f t="shared" ca="1" si="454"/>
        <v>1</v>
      </c>
      <c r="C5397" s="26">
        <f t="shared" ca="1" si="453"/>
        <v>6.6173829610446044E-2</v>
      </c>
      <c r="J5397">
        <f t="shared" ca="1" si="455"/>
        <v>1</v>
      </c>
      <c r="K5397">
        <f t="shared" ca="1" si="456"/>
        <v>0</v>
      </c>
      <c r="L5397">
        <f t="shared" si="457"/>
        <v>5391</v>
      </c>
      <c r="M5397" s="71">
        <f t="shared" ca="1" si="458"/>
        <v>0.79165834717325478</v>
      </c>
    </row>
    <row r="5398" spans="1:13" x14ac:dyDescent="0.25">
      <c r="A5398" s="2">
        <v>5392</v>
      </c>
      <c r="B5398" s="11">
        <f t="shared" ca="1" si="454"/>
        <v>1</v>
      </c>
      <c r="C5398" s="26">
        <f t="shared" ca="1" si="453"/>
        <v>0.61316194818932213</v>
      </c>
      <c r="J5398">
        <f t="shared" ca="1" si="455"/>
        <v>1</v>
      </c>
      <c r="K5398">
        <f t="shared" ca="1" si="456"/>
        <v>0</v>
      </c>
      <c r="L5398">
        <f t="shared" si="457"/>
        <v>5392</v>
      </c>
      <c r="M5398" s="71">
        <f t="shared" ca="1" si="458"/>
        <v>1.1490392885572904</v>
      </c>
    </row>
    <row r="5399" spans="1:13" x14ac:dyDescent="0.25">
      <c r="A5399" s="2">
        <v>5393</v>
      </c>
      <c r="B5399" s="11">
        <f t="shared" ca="1" si="454"/>
        <v>1</v>
      </c>
      <c r="C5399" s="26">
        <f t="shared" ca="1" si="453"/>
        <v>0.68127566494776581</v>
      </c>
      <c r="J5399">
        <f t="shared" ca="1" si="455"/>
        <v>0</v>
      </c>
      <c r="K5399">
        <f t="shared" ca="1" si="456"/>
        <v>0</v>
      </c>
      <c r="L5399">
        <f t="shared" si="457"/>
        <v>5393</v>
      </c>
      <c r="M5399" s="71">
        <f t="shared" ca="1" si="458"/>
        <v>14.050956284064066</v>
      </c>
    </row>
    <row r="5400" spans="1:13" x14ac:dyDescent="0.25">
      <c r="A5400" s="2">
        <v>5394</v>
      </c>
      <c r="B5400" s="11">
        <f t="shared" ca="1" si="454"/>
        <v>0</v>
      </c>
      <c r="C5400" s="26">
        <f t="shared" ca="1" si="453"/>
        <v>0.9122781623162709</v>
      </c>
      <c r="J5400">
        <f t="shared" ca="1" si="455"/>
        <v>0</v>
      </c>
      <c r="K5400">
        <f t="shared" ca="1" si="456"/>
        <v>1</v>
      </c>
      <c r="L5400">
        <f t="shared" si="457"/>
        <v>5394</v>
      </c>
      <c r="M5400" s="71">
        <f t="shared" ca="1" si="458"/>
        <v>0</v>
      </c>
    </row>
    <row r="5401" spans="1:13" x14ac:dyDescent="0.25">
      <c r="A5401" s="2">
        <v>5395</v>
      </c>
      <c r="B5401" s="11">
        <f t="shared" ca="1" si="454"/>
        <v>0</v>
      </c>
      <c r="C5401" s="26">
        <f t="shared" ca="1" si="453"/>
        <v>0.72274930345337407</v>
      </c>
      <c r="J5401">
        <f t="shared" ca="1" si="455"/>
        <v>0</v>
      </c>
      <c r="K5401">
        <f t="shared" ca="1" si="456"/>
        <v>0</v>
      </c>
      <c r="L5401">
        <f t="shared" si="457"/>
        <v>5395</v>
      </c>
      <c r="M5401" s="71">
        <f t="shared" ca="1" si="458"/>
        <v>0</v>
      </c>
    </row>
    <row r="5402" spans="1:13" x14ac:dyDescent="0.25">
      <c r="A5402" s="2">
        <v>5396</v>
      </c>
      <c r="B5402" s="11">
        <f t="shared" ca="1" si="454"/>
        <v>1</v>
      </c>
      <c r="C5402" s="26">
        <f t="shared" ca="1" si="453"/>
        <v>0.30743778372643837</v>
      </c>
      <c r="J5402">
        <f t="shared" ca="1" si="455"/>
        <v>1</v>
      </c>
      <c r="K5402">
        <f t="shared" ca="1" si="456"/>
        <v>0</v>
      </c>
      <c r="L5402">
        <f t="shared" si="457"/>
        <v>5396</v>
      </c>
      <c r="M5402" s="71">
        <f t="shared" ca="1" si="458"/>
        <v>3.9233195584641027</v>
      </c>
    </row>
    <row r="5403" spans="1:13" x14ac:dyDescent="0.25">
      <c r="A5403" s="2">
        <v>5397</v>
      </c>
      <c r="B5403" s="11">
        <f t="shared" ca="1" si="454"/>
        <v>1</v>
      </c>
      <c r="C5403" s="26">
        <f t="shared" ca="1" si="453"/>
        <v>0.74022614606098436</v>
      </c>
      <c r="J5403">
        <f t="shared" ca="1" si="455"/>
        <v>1</v>
      </c>
      <c r="K5403">
        <f t="shared" ca="1" si="456"/>
        <v>0</v>
      </c>
      <c r="L5403">
        <f t="shared" si="457"/>
        <v>5397</v>
      </c>
      <c r="M5403" s="71">
        <f t="shared" ca="1" si="458"/>
        <v>0.19645468003658861</v>
      </c>
    </row>
    <row r="5404" spans="1:13" x14ac:dyDescent="0.25">
      <c r="A5404" s="2">
        <v>5398</v>
      </c>
      <c r="B5404" s="11">
        <f t="shared" ca="1" si="454"/>
        <v>1</v>
      </c>
      <c r="C5404" s="26">
        <f t="shared" ca="1" si="453"/>
        <v>0.73156261917463528</v>
      </c>
      <c r="J5404">
        <f t="shared" ca="1" si="455"/>
        <v>0</v>
      </c>
      <c r="K5404">
        <f t="shared" ca="1" si="456"/>
        <v>0</v>
      </c>
      <c r="L5404">
        <f t="shared" si="457"/>
        <v>5398</v>
      </c>
      <c r="M5404" s="71">
        <f t="shared" ca="1" si="458"/>
        <v>3.6847146996131097</v>
      </c>
    </row>
    <row r="5405" spans="1:13" x14ac:dyDescent="0.25">
      <c r="A5405" s="2">
        <v>5399</v>
      </c>
      <c r="B5405" s="11">
        <f t="shared" ca="1" si="454"/>
        <v>0</v>
      </c>
      <c r="C5405" s="26">
        <f t="shared" ca="1" si="453"/>
        <v>0.97537281220757843</v>
      </c>
      <c r="J5405">
        <f t="shared" ca="1" si="455"/>
        <v>0</v>
      </c>
      <c r="K5405">
        <f t="shared" ca="1" si="456"/>
        <v>1</v>
      </c>
      <c r="L5405">
        <f t="shared" si="457"/>
        <v>5399</v>
      </c>
      <c r="M5405" s="71">
        <f t="shared" ca="1" si="458"/>
        <v>0</v>
      </c>
    </row>
    <row r="5406" spans="1:13" x14ac:dyDescent="0.25">
      <c r="A5406" s="2">
        <v>5400</v>
      </c>
      <c r="B5406" s="11">
        <f t="shared" ca="1" si="454"/>
        <v>0</v>
      </c>
      <c r="C5406" s="26">
        <f t="shared" ca="1" si="453"/>
        <v>0.77267708172349203</v>
      </c>
      <c r="J5406">
        <f t="shared" ca="1" si="455"/>
        <v>0</v>
      </c>
      <c r="K5406">
        <f t="shared" ca="1" si="456"/>
        <v>0</v>
      </c>
      <c r="L5406">
        <f t="shared" si="457"/>
        <v>5400</v>
      </c>
      <c r="M5406" s="71">
        <f t="shared" ca="1" si="458"/>
        <v>0</v>
      </c>
    </row>
    <row r="5407" spans="1:13" x14ac:dyDescent="0.25">
      <c r="A5407" s="2">
        <v>5401</v>
      </c>
      <c r="B5407" s="11">
        <f t="shared" ca="1" si="454"/>
        <v>1</v>
      </c>
      <c r="C5407" s="26">
        <f t="shared" ca="1" si="453"/>
        <v>0.39818770015071525</v>
      </c>
      <c r="J5407">
        <f t="shared" ca="1" si="455"/>
        <v>1</v>
      </c>
      <c r="K5407">
        <f t="shared" ca="1" si="456"/>
        <v>0</v>
      </c>
      <c r="L5407">
        <f t="shared" si="457"/>
        <v>5401</v>
      </c>
      <c r="M5407" s="71">
        <f t="shared" ca="1" si="458"/>
        <v>7.0718671751661342</v>
      </c>
    </row>
    <row r="5408" spans="1:13" x14ac:dyDescent="0.25">
      <c r="A5408" s="2">
        <v>5402</v>
      </c>
      <c r="B5408" s="11">
        <f t="shared" ca="1" si="454"/>
        <v>1</v>
      </c>
      <c r="C5408" s="26">
        <f t="shared" ca="1" si="453"/>
        <v>0.49142658567980224</v>
      </c>
      <c r="J5408">
        <f t="shared" ca="1" si="455"/>
        <v>1</v>
      </c>
      <c r="K5408">
        <f t="shared" ca="1" si="456"/>
        <v>0</v>
      </c>
      <c r="L5408">
        <f t="shared" si="457"/>
        <v>5402</v>
      </c>
      <c r="M5408" s="71">
        <f t="shared" ca="1" si="458"/>
        <v>1.6187905746855114</v>
      </c>
    </row>
    <row r="5409" spans="1:13" x14ac:dyDescent="0.25">
      <c r="A5409" s="2">
        <v>5403</v>
      </c>
      <c r="B5409" s="11">
        <f t="shared" ca="1" si="454"/>
        <v>1</v>
      </c>
      <c r="C5409" s="26">
        <f t="shared" ca="1" si="453"/>
        <v>0.58537909535950672</v>
      </c>
      <c r="J5409">
        <f t="shared" ca="1" si="455"/>
        <v>1</v>
      </c>
      <c r="K5409">
        <f t="shared" ca="1" si="456"/>
        <v>0</v>
      </c>
      <c r="L5409">
        <f t="shared" si="457"/>
        <v>5403</v>
      </c>
      <c r="M5409" s="71">
        <f t="shared" ca="1" si="458"/>
        <v>0.92558549798390244</v>
      </c>
    </row>
    <row r="5410" spans="1:13" x14ac:dyDescent="0.25">
      <c r="A5410" s="2">
        <v>5404</v>
      </c>
      <c r="B5410" s="11">
        <f t="shared" ca="1" si="454"/>
        <v>1</v>
      </c>
      <c r="C5410" s="26">
        <f t="shared" ca="1" si="453"/>
        <v>0.65125921974262646</v>
      </c>
      <c r="J5410">
        <f t="shared" ca="1" si="455"/>
        <v>1</v>
      </c>
      <c r="K5410">
        <f t="shared" ca="1" si="456"/>
        <v>0</v>
      </c>
      <c r="L5410">
        <f t="shared" si="457"/>
        <v>5404</v>
      </c>
      <c r="M5410" s="71">
        <f t="shared" ca="1" si="458"/>
        <v>0.37963182579816124</v>
      </c>
    </row>
    <row r="5411" spans="1:13" x14ac:dyDescent="0.25">
      <c r="A5411" s="2">
        <v>5405</v>
      </c>
      <c r="B5411" s="11">
        <f t="shared" ca="1" si="454"/>
        <v>1</v>
      </c>
      <c r="C5411" s="26">
        <f t="shared" ca="1" si="453"/>
        <v>1.0223616968575433E-3</v>
      </c>
      <c r="J5411">
        <f t="shared" ca="1" si="455"/>
        <v>0</v>
      </c>
      <c r="K5411">
        <f t="shared" ca="1" si="456"/>
        <v>0</v>
      </c>
      <c r="L5411">
        <f t="shared" si="457"/>
        <v>5405</v>
      </c>
      <c r="M5411" s="71">
        <f t="shared" ca="1" si="458"/>
        <v>3.7004185466647863</v>
      </c>
    </row>
    <row r="5412" spans="1:13" x14ac:dyDescent="0.25">
      <c r="A5412" s="2">
        <v>5406</v>
      </c>
      <c r="B5412" s="11">
        <f t="shared" ca="1" si="454"/>
        <v>0</v>
      </c>
      <c r="C5412" s="26">
        <f t="shared" ca="1" si="453"/>
        <v>0.95934479427029973</v>
      </c>
      <c r="J5412">
        <f t="shared" ca="1" si="455"/>
        <v>0</v>
      </c>
      <c r="K5412">
        <f t="shared" ca="1" si="456"/>
        <v>1</v>
      </c>
      <c r="L5412">
        <f t="shared" si="457"/>
        <v>5406</v>
      </c>
      <c r="M5412" s="71">
        <f t="shared" ca="1" si="458"/>
        <v>0</v>
      </c>
    </row>
    <row r="5413" spans="1:13" x14ac:dyDescent="0.25">
      <c r="A5413" s="2">
        <v>5407</v>
      </c>
      <c r="B5413" s="11">
        <f t="shared" ca="1" si="454"/>
        <v>0</v>
      </c>
      <c r="C5413" s="26">
        <f t="shared" ca="1" si="453"/>
        <v>0.93516734883187658</v>
      </c>
      <c r="J5413">
        <f t="shared" ca="1" si="455"/>
        <v>0</v>
      </c>
      <c r="K5413">
        <f t="shared" ca="1" si="456"/>
        <v>0</v>
      </c>
      <c r="L5413">
        <f t="shared" si="457"/>
        <v>5407</v>
      </c>
      <c r="M5413" s="71">
        <f t="shared" ca="1" si="458"/>
        <v>0</v>
      </c>
    </row>
    <row r="5414" spans="1:13" x14ac:dyDescent="0.25">
      <c r="A5414" s="2">
        <v>5408</v>
      </c>
      <c r="B5414" s="11">
        <f t="shared" ca="1" si="454"/>
        <v>1</v>
      </c>
      <c r="C5414" s="26">
        <f t="shared" ca="1" si="453"/>
        <v>0.57684673918177432</v>
      </c>
      <c r="J5414">
        <f t="shared" ca="1" si="455"/>
        <v>1</v>
      </c>
      <c r="K5414">
        <f t="shared" ca="1" si="456"/>
        <v>0</v>
      </c>
      <c r="L5414">
        <f t="shared" si="457"/>
        <v>5408</v>
      </c>
      <c r="M5414" s="71">
        <f t="shared" ca="1" si="458"/>
        <v>2.6860093647916359</v>
      </c>
    </row>
    <row r="5415" spans="1:13" x14ac:dyDescent="0.25">
      <c r="A5415" s="2">
        <v>5409</v>
      </c>
      <c r="B5415" s="11">
        <f t="shared" ca="1" si="454"/>
        <v>1</v>
      </c>
      <c r="C5415" s="26">
        <f t="shared" ca="1" si="453"/>
        <v>0.23774121735565923</v>
      </c>
      <c r="J5415">
        <f t="shared" ca="1" si="455"/>
        <v>1</v>
      </c>
      <c r="K5415">
        <f t="shared" ca="1" si="456"/>
        <v>0</v>
      </c>
      <c r="L5415">
        <f t="shared" si="457"/>
        <v>5409</v>
      </c>
      <c r="M5415" s="71">
        <f t="shared" ca="1" si="458"/>
        <v>0.36665869595111328</v>
      </c>
    </row>
    <row r="5416" spans="1:13" x14ac:dyDescent="0.25">
      <c r="A5416" s="2">
        <v>5410</v>
      </c>
      <c r="B5416" s="11">
        <f t="shared" ca="1" si="454"/>
        <v>1</v>
      </c>
      <c r="C5416" s="26">
        <f t="shared" ca="1" si="453"/>
        <v>0.499046568049339</v>
      </c>
      <c r="J5416">
        <f t="shared" ca="1" si="455"/>
        <v>0</v>
      </c>
      <c r="K5416">
        <f t="shared" ca="1" si="456"/>
        <v>0</v>
      </c>
      <c r="L5416">
        <f t="shared" si="457"/>
        <v>5410</v>
      </c>
      <c r="M5416" s="71">
        <f t="shared" ca="1" si="458"/>
        <v>3.6808516716649864</v>
      </c>
    </row>
    <row r="5417" spans="1:13" x14ac:dyDescent="0.25">
      <c r="A5417" s="2">
        <v>5411</v>
      </c>
      <c r="B5417" s="11">
        <f t="shared" ca="1" si="454"/>
        <v>0</v>
      </c>
      <c r="C5417" s="26">
        <f t="shared" ca="1" si="453"/>
        <v>0.95520091843685828</v>
      </c>
      <c r="J5417">
        <f t="shared" ca="1" si="455"/>
        <v>0</v>
      </c>
      <c r="K5417">
        <f t="shared" ca="1" si="456"/>
        <v>1</v>
      </c>
      <c r="L5417">
        <f t="shared" si="457"/>
        <v>5411</v>
      </c>
      <c r="M5417" s="71">
        <f t="shared" ca="1" si="458"/>
        <v>0</v>
      </c>
    </row>
    <row r="5418" spans="1:13" x14ac:dyDescent="0.25">
      <c r="A5418" s="2">
        <v>5412</v>
      </c>
      <c r="B5418" s="11">
        <f t="shared" ca="1" si="454"/>
        <v>0</v>
      </c>
      <c r="C5418" s="26">
        <f t="shared" ca="1" si="453"/>
        <v>0.98725607067274268</v>
      </c>
      <c r="J5418">
        <f t="shared" ca="1" si="455"/>
        <v>0</v>
      </c>
      <c r="K5418">
        <f t="shared" ca="1" si="456"/>
        <v>0</v>
      </c>
      <c r="L5418">
        <f t="shared" si="457"/>
        <v>5412</v>
      </c>
      <c r="M5418" s="71">
        <f t="shared" ca="1" si="458"/>
        <v>0</v>
      </c>
    </row>
    <row r="5419" spans="1:13" x14ac:dyDescent="0.25">
      <c r="A5419" s="2">
        <v>5413</v>
      </c>
      <c r="B5419" s="11">
        <f t="shared" ca="1" si="454"/>
        <v>1</v>
      </c>
      <c r="C5419" s="26">
        <f t="shared" ca="1" si="453"/>
        <v>0.42896708302748643</v>
      </c>
      <c r="J5419">
        <f t="shared" ca="1" si="455"/>
        <v>1</v>
      </c>
      <c r="K5419">
        <f t="shared" ca="1" si="456"/>
        <v>0</v>
      </c>
      <c r="L5419">
        <f t="shared" si="457"/>
        <v>5413</v>
      </c>
      <c r="M5419" s="71">
        <f t="shared" ca="1" si="458"/>
        <v>0.43734451375749406</v>
      </c>
    </row>
    <row r="5420" spans="1:13" x14ac:dyDescent="0.25">
      <c r="A5420" s="2">
        <v>5414</v>
      </c>
      <c r="B5420" s="11">
        <f t="shared" ca="1" si="454"/>
        <v>1</v>
      </c>
      <c r="C5420" s="26">
        <f t="shared" ca="1" si="453"/>
        <v>0.35270029389475799</v>
      </c>
      <c r="J5420">
        <f t="shared" ca="1" si="455"/>
        <v>1</v>
      </c>
      <c r="K5420">
        <f t="shared" ca="1" si="456"/>
        <v>0</v>
      </c>
      <c r="L5420">
        <f t="shared" si="457"/>
        <v>5414</v>
      </c>
      <c r="M5420" s="71">
        <f t="shared" ca="1" si="458"/>
        <v>2.509632863096499</v>
      </c>
    </row>
    <row r="5421" spans="1:13" x14ac:dyDescent="0.25">
      <c r="A5421" s="2">
        <v>5415</v>
      </c>
      <c r="B5421" s="11">
        <f t="shared" ca="1" si="454"/>
        <v>1</v>
      </c>
      <c r="C5421" s="26">
        <f t="shared" ca="1" si="453"/>
        <v>0.3594764764685503</v>
      </c>
      <c r="J5421">
        <f t="shared" ca="1" si="455"/>
        <v>1</v>
      </c>
      <c r="K5421">
        <f t="shared" ca="1" si="456"/>
        <v>0</v>
      </c>
      <c r="L5421">
        <f t="shared" si="457"/>
        <v>5415</v>
      </c>
      <c r="M5421" s="71">
        <f t="shared" ca="1" si="458"/>
        <v>0.46641786868443696</v>
      </c>
    </row>
    <row r="5422" spans="1:13" x14ac:dyDescent="0.25">
      <c r="A5422" s="2">
        <v>5416</v>
      </c>
      <c r="B5422" s="11">
        <f t="shared" ca="1" si="454"/>
        <v>1</v>
      </c>
      <c r="C5422" s="26">
        <f t="shared" ca="1" si="453"/>
        <v>0.30405194759007947</v>
      </c>
      <c r="J5422">
        <f t="shared" ca="1" si="455"/>
        <v>1</v>
      </c>
      <c r="K5422">
        <f t="shared" ca="1" si="456"/>
        <v>0</v>
      </c>
      <c r="L5422">
        <f t="shared" si="457"/>
        <v>5416</v>
      </c>
      <c r="M5422" s="71">
        <f t="shared" ca="1" si="458"/>
        <v>4.8756625070515884</v>
      </c>
    </row>
    <row r="5423" spans="1:13" x14ac:dyDescent="0.25">
      <c r="A5423" s="2">
        <v>5417</v>
      </c>
      <c r="B5423" s="11">
        <f t="shared" ca="1" si="454"/>
        <v>1</v>
      </c>
      <c r="C5423" s="26">
        <f t="shared" ca="1" si="453"/>
        <v>0.41758163447162933</v>
      </c>
      <c r="J5423">
        <f t="shared" ca="1" si="455"/>
        <v>1</v>
      </c>
      <c r="K5423">
        <f t="shared" ca="1" si="456"/>
        <v>0</v>
      </c>
      <c r="L5423">
        <f t="shared" si="457"/>
        <v>5417</v>
      </c>
      <c r="M5423" s="71">
        <f t="shared" ca="1" si="458"/>
        <v>4.1805135131359092</v>
      </c>
    </row>
    <row r="5424" spans="1:13" x14ac:dyDescent="0.25">
      <c r="A5424" s="2">
        <v>5418</v>
      </c>
      <c r="B5424" s="11">
        <f t="shared" ca="1" si="454"/>
        <v>1</v>
      </c>
      <c r="C5424" s="26">
        <f t="shared" ca="1" si="453"/>
        <v>0.5807450848289829</v>
      </c>
      <c r="J5424">
        <f t="shared" ca="1" si="455"/>
        <v>1</v>
      </c>
      <c r="K5424">
        <f t="shared" ca="1" si="456"/>
        <v>0</v>
      </c>
      <c r="L5424">
        <f t="shared" si="457"/>
        <v>5418</v>
      </c>
      <c r="M5424" s="71">
        <f t="shared" ca="1" si="458"/>
        <v>4.1489722956513795</v>
      </c>
    </row>
    <row r="5425" spans="1:13" x14ac:dyDescent="0.25">
      <c r="A5425" s="2">
        <v>5419</v>
      </c>
      <c r="B5425" s="11">
        <f t="shared" ca="1" si="454"/>
        <v>1</v>
      </c>
      <c r="C5425" s="26">
        <f t="shared" ca="1" si="453"/>
        <v>0.13653811684719508</v>
      </c>
      <c r="J5425">
        <f t="shared" ca="1" si="455"/>
        <v>1</v>
      </c>
      <c r="K5425">
        <f t="shared" ca="1" si="456"/>
        <v>0</v>
      </c>
      <c r="L5425">
        <f t="shared" si="457"/>
        <v>5419</v>
      </c>
      <c r="M5425" s="71">
        <f t="shared" ca="1" si="458"/>
        <v>0.19796613417698539</v>
      </c>
    </row>
    <row r="5426" spans="1:13" x14ac:dyDescent="0.25">
      <c r="A5426" s="2">
        <v>5420</v>
      </c>
      <c r="B5426" s="11">
        <f t="shared" ca="1" si="454"/>
        <v>1</v>
      </c>
      <c r="C5426" s="26">
        <f t="shared" ca="1" si="453"/>
        <v>2.6584934964209994E-3</v>
      </c>
      <c r="J5426">
        <f t="shared" ca="1" si="455"/>
        <v>1</v>
      </c>
      <c r="K5426">
        <f t="shared" ca="1" si="456"/>
        <v>0</v>
      </c>
      <c r="L5426">
        <f t="shared" si="457"/>
        <v>5420</v>
      </c>
      <c r="M5426" s="71">
        <f t="shared" ca="1" si="458"/>
        <v>2.4910307627341459</v>
      </c>
    </row>
    <row r="5427" spans="1:13" x14ac:dyDescent="0.25">
      <c r="A5427" s="2">
        <v>5421</v>
      </c>
      <c r="B5427" s="11">
        <f t="shared" ca="1" si="454"/>
        <v>1</v>
      </c>
      <c r="C5427" s="26">
        <f t="shared" ca="1" si="453"/>
        <v>0.76377513773151207</v>
      </c>
      <c r="J5427">
        <f t="shared" ca="1" si="455"/>
        <v>1</v>
      </c>
      <c r="K5427">
        <f t="shared" ca="1" si="456"/>
        <v>0</v>
      </c>
      <c r="L5427">
        <f t="shared" si="457"/>
        <v>5421</v>
      </c>
      <c r="M5427" s="71">
        <f t="shared" ca="1" si="458"/>
        <v>14.279252605683316</v>
      </c>
    </row>
    <row r="5428" spans="1:13" x14ac:dyDescent="0.25">
      <c r="A5428" s="2">
        <v>5422</v>
      </c>
      <c r="B5428" s="11">
        <f t="shared" ca="1" si="454"/>
        <v>1</v>
      </c>
      <c r="C5428" s="26">
        <f t="shared" ca="1" si="453"/>
        <v>0.1686522854113065</v>
      </c>
      <c r="J5428">
        <f t="shared" ca="1" si="455"/>
        <v>1</v>
      </c>
      <c r="K5428">
        <f t="shared" ca="1" si="456"/>
        <v>0</v>
      </c>
      <c r="L5428">
        <f t="shared" si="457"/>
        <v>5422</v>
      </c>
      <c r="M5428" s="71">
        <f t="shared" ca="1" si="458"/>
        <v>3.5777604334835402</v>
      </c>
    </row>
    <row r="5429" spans="1:13" x14ac:dyDescent="0.25">
      <c r="A5429" s="2">
        <v>5423</v>
      </c>
      <c r="B5429" s="11">
        <f t="shared" ca="1" si="454"/>
        <v>1</v>
      </c>
      <c r="C5429" s="26">
        <f t="shared" ca="1" si="453"/>
        <v>0.22589844337248488</v>
      </c>
      <c r="J5429">
        <f t="shared" ca="1" si="455"/>
        <v>0</v>
      </c>
      <c r="K5429">
        <f t="shared" ca="1" si="456"/>
        <v>0</v>
      </c>
      <c r="L5429">
        <f t="shared" si="457"/>
        <v>5423</v>
      </c>
      <c r="M5429" s="71">
        <f t="shared" ca="1" si="458"/>
        <v>4.9994076034831485</v>
      </c>
    </row>
    <row r="5430" spans="1:13" x14ac:dyDescent="0.25">
      <c r="A5430" s="2">
        <v>5424</v>
      </c>
      <c r="B5430" s="11">
        <f t="shared" ca="1" si="454"/>
        <v>0</v>
      </c>
      <c r="C5430" s="26">
        <f t="shared" ca="1" si="453"/>
        <v>0.90044024240149356</v>
      </c>
      <c r="J5430">
        <f t="shared" ca="1" si="455"/>
        <v>0</v>
      </c>
      <c r="K5430">
        <f t="shared" ca="1" si="456"/>
        <v>0</v>
      </c>
      <c r="L5430">
        <f t="shared" si="457"/>
        <v>5424</v>
      </c>
      <c r="M5430" s="71">
        <f t="shared" ca="1" si="458"/>
        <v>0</v>
      </c>
    </row>
    <row r="5431" spans="1:13" x14ac:dyDescent="0.25">
      <c r="A5431" s="2">
        <v>5425</v>
      </c>
      <c r="B5431" s="11">
        <f t="shared" ca="1" si="454"/>
        <v>1</v>
      </c>
      <c r="C5431" s="26">
        <f t="shared" ca="1" si="453"/>
        <v>0.1704839277266943</v>
      </c>
      <c r="J5431">
        <f t="shared" ca="1" si="455"/>
        <v>1</v>
      </c>
      <c r="K5431">
        <f t="shared" ca="1" si="456"/>
        <v>0</v>
      </c>
      <c r="L5431">
        <f t="shared" si="457"/>
        <v>5425</v>
      </c>
      <c r="M5431" s="71">
        <f t="shared" ca="1" si="458"/>
        <v>1.9350609894765203</v>
      </c>
    </row>
    <row r="5432" spans="1:13" x14ac:dyDescent="0.25">
      <c r="A5432" s="2">
        <v>5426</v>
      </c>
      <c r="B5432" s="11">
        <f t="shared" ca="1" si="454"/>
        <v>1</v>
      </c>
      <c r="C5432" s="26">
        <f t="shared" ca="1" si="453"/>
        <v>0.73630976684697047</v>
      </c>
      <c r="J5432">
        <f t="shared" ca="1" si="455"/>
        <v>1</v>
      </c>
      <c r="K5432">
        <f t="shared" ca="1" si="456"/>
        <v>0</v>
      </c>
      <c r="L5432">
        <f t="shared" si="457"/>
        <v>5426</v>
      </c>
      <c r="M5432" s="71">
        <f t="shared" ca="1" si="458"/>
        <v>3.096658373477315</v>
      </c>
    </row>
    <row r="5433" spans="1:13" x14ac:dyDescent="0.25">
      <c r="A5433" s="2">
        <v>5427</v>
      </c>
      <c r="B5433" s="11">
        <f t="shared" ca="1" si="454"/>
        <v>1</v>
      </c>
      <c r="C5433" s="26">
        <f t="shared" ca="1" si="453"/>
        <v>0.2049010891591484</v>
      </c>
      <c r="J5433">
        <f t="shared" ca="1" si="455"/>
        <v>0</v>
      </c>
      <c r="K5433">
        <f t="shared" ca="1" si="456"/>
        <v>0</v>
      </c>
      <c r="L5433">
        <f t="shared" si="457"/>
        <v>5427</v>
      </c>
      <c r="M5433" s="71">
        <f t="shared" ca="1" si="458"/>
        <v>8.1603453119894667</v>
      </c>
    </row>
    <row r="5434" spans="1:13" x14ac:dyDescent="0.25">
      <c r="A5434" s="2">
        <v>5428</v>
      </c>
      <c r="B5434" s="11">
        <f t="shared" ca="1" si="454"/>
        <v>0</v>
      </c>
      <c r="C5434" s="26">
        <f t="shared" ca="1" si="453"/>
        <v>0.92413057228485873</v>
      </c>
      <c r="J5434">
        <f t="shared" ca="1" si="455"/>
        <v>0</v>
      </c>
      <c r="K5434">
        <f t="shared" ca="1" si="456"/>
        <v>0</v>
      </c>
      <c r="L5434">
        <f t="shared" si="457"/>
        <v>5428</v>
      </c>
      <c r="M5434" s="71">
        <f t="shared" ca="1" si="458"/>
        <v>0</v>
      </c>
    </row>
    <row r="5435" spans="1:13" x14ac:dyDescent="0.25">
      <c r="A5435" s="2">
        <v>5429</v>
      </c>
      <c r="B5435" s="11">
        <f t="shared" ca="1" si="454"/>
        <v>1</v>
      </c>
      <c r="C5435" s="26">
        <f t="shared" ca="1" si="453"/>
        <v>0.30763033807589146</v>
      </c>
      <c r="J5435">
        <f t="shared" ca="1" si="455"/>
        <v>1</v>
      </c>
      <c r="K5435">
        <f t="shared" ca="1" si="456"/>
        <v>0</v>
      </c>
      <c r="L5435">
        <f t="shared" si="457"/>
        <v>5429</v>
      </c>
      <c r="M5435" s="71">
        <f t="shared" ca="1" si="458"/>
        <v>4.7021559070210674</v>
      </c>
    </row>
    <row r="5436" spans="1:13" x14ac:dyDescent="0.25">
      <c r="A5436" s="2">
        <v>5430</v>
      </c>
      <c r="B5436" s="11">
        <f t="shared" ca="1" si="454"/>
        <v>1</v>
      </c>
      <c r="C5436" s="26">
        <f t="shared" ca="1" si="453"/>
        <v>0.53569361616774125</v>
      </c>
      <c r="J5436">
        <f t="shared" ca="1" si="455"/>
        <v>1</v>
      </c>
      <c r="K5436">
        <f t="shared" ca="1" si="456"/>
        <v>0</v>
      </c>
      <c r="L5436">
        <f t="shared" si="457"/>
        <v>5430</v>
      </c>
      <c r="M5436" s="71">
        <f t="shared" ca="1" si="458"/>
        <v>4.8992434338582296</v>
      </c>
    </row>
    <row r="5437" spans="1:13" x14ac:dyDescent="0.25">
      <c r="A5437" s="2">
        <v>5431</v>
      </c>
      <c r="B5437" s="11">
        <f t="shared" ca="1" si="454"/>
        <v>1</v>
      </c>
      <c r="C5437" s="26">
        <f t="shared" ca="1" si="453"/>
        <v>0.5021657218692519</v>
      </c>
      <c r="J5437">
        <f t="shared" ca="1" si="455"/>
        <v>1</v>
      </c>
      <c r="K5437">
        <f t="shared" ca="1" si="456"/>
        <v>0</v>
      </c>
      <c r="L5437">
        <f t="shared" si="457"/>
        <v>5431</v>
      </c>
      <c r="M5437" s="71">
        <f t="shared" ca="1" si="458"/>
        <v>0.41629015908780082</v>
      </c>
    </row>
    <row r="5438" spans="1:13" x14ac:dyDescent="0.25">
      <c r="A5438" s="2">
        <v>5432</v>
      </c>
      <c r="B5438" s="11">
        <f t="shared" ca="1" si="454"/>
        <v>1</v>
      </c>
      <c r="C5438" s="26">
        <f t="shared" ca="1" si="453"/>
        <v>0.50077750890543471</v>
      </c>
      <c r="J5438">
        <f t="shared" ca="1" si="455"/>
        <v>1</v>
      </c>
      <c r="K5438">
        <f t="shared" ca="1" si="456"/>
        <v>0</v>
      </c>
      <c r="L5438">
        <f t="shared" si="457"/>
        <v>5432</v>
      </c>
      <c r="M5438" s="71">
        <f t="shared" ca="1" si="458"/>
        <v>2.4395619846165286</v>
      </c>
    </row>
    <row r="5439" spans="1:13" x14ac:dyDescent="0.25">
      <c r="A5439" s="2">
        <v>5433</v>
      </c>
      <c r="B5439" s="11">
        <f t="shared" ca="1" si="454"/>
        <v>1</v>
      </c>
      <c r="C5439" s="26">
        <f t="shared" ca="1" si="453"/>
        <v>0.1986482618875669</v>
      </c>
      <c r="J5439">
        <f t="shared" ca="1" si="455"/>
        <v>1</v>
      </c>
      <c r="K5439">
        <f t="shared" ca="1" si="456"/>
        <v>0</v>
      </c>
      <c r="L5439">
        <f t="shared" si="457"/>
        <v>5433</v>
      </c>
      <c r="M5439" s="71">
        <f t="shared" ca="1" si="458"/>
        <v>0.62624260318189395</v>
      </c>
    </row>
    <row r="5440" spans="1:13" x14ac:dyDescent="0.25">
      <c r="A5440" s="2">
        <v>5434</v>
      </c>
      <c r="B5440" s="11">
        <f t="shared" ca="1" si="454"/>
        <v>1</v>
      </c>
      <c r="C5440" s="26">
        <f t="shared" ca="1" si="453"/>
        <v>8.2868682144154771E-2</v>
      </c>
      <c r="J5440">
        <f t="shared" ca="1" si="455"/>
        <v>1</v>
      </c>
      <c r="K5440">
        <f t="shared" ca="1" si="456"/>
        <v>0</v>
      </c>
      <c r="L5440">
        <f t="shared" si="457"/>
        <v>5434</v>
      </c>
      <c r="M5440" s="71">
        <f t="shared" ca="1" si="458"/>
        <v>0.76172509676813194</v>
      </c>
    </row>
    <row r="5441" spans="1:13" x14ac:dyDescent="0.25">
      <c r="A5441" s="2">
        <v>5435</v>
      </c>
      <c r="B5441" s="11">
        <f t="shared" ca="1" si="454"/>
        <v>1</v>
      </c>
      <c r="C5441" s="26">
        <f t="shared" ca="1" si="453"/>
        <v>0.52397646790428409</v>
      </c>
      <c r="J5441">
        <f t="shared" ca="1" si="455"/>
        <v>1</v>
      </c>
      <c r="K5441">
        <f t="shared" ca="1" si="456"/>
        <v>0</v>
      </c>
      <c r="L5441">
        <f t="shared" si="457"/>
        <v>5435</v>
      </c>
      <c r="M5441" s="71">
        <f t="shared" ca="1" si="458"/>
        <v>1.3970485951394609</v>
      </c>
    </row>
    <row r="5442" spans="1:13" x14ac:dyDescent="0.25">
      <c r="A5442" s="2">
        <v>5436</v>
      </c>
      <c r="B5442" s="11">
        <f t="shared" ca="1" si="454"/>
        <v>1</v>
      </c>
      <c r="C5442" s="26">
        <f t="shared" ca="1" si="453"/>
        <v>0.489033582015589</v>
      </c>
      <c r="J5442">
        <f t="shared" ca="1" si="455"/>
        <v>1</v>
      </c>
      <c r="K5442">
        <f t="shared" ca="1" si="456"/>
        <v>0</v>
      </c>
      <c r="L5442">
        <f t="shared" si="457"/>
        <v>5436</v>
      </c>
      <c r="M5442" s="71">
        <f t="shared" ca="1" si="458"/>
        <v>6.0043609840407672E-2</v>
      </c>
    </row>
    <row r="5443" spans="1:13" x14ac:dyDescent="0.25">
      <c r="A5443" s="2">
        <v>5437</v>
      </c>
      <c r="B5443" s="11">
        <f t="shared" ca="1" si="454"/>
        <v>1</v>
      </c>
      <c r="C5443" s="26">
        <f t="shared" ca="1" si="453"/>
        <v>0.33095655665396329</v>
      </c>
      <c r="J5443">
        <f t="shared" ca="1" si="455"/>
        <v>1</v>
      </c>
      <c r="K5443">
        <f t="shared" ca="1" si="456"/>
        <v>0</v>
      </c>
      <c r="L5443">
        <f t="shared" si="457"/>
        <v>5437</v>
      </c>
      <c r="M5443" s="71">
        <f t="shared" ca="1" si="458"/>
        <v>6.5780418342495448</v>
      </c>
    </row>
    <row r="5444" spans="1:13" x14ac:dyDescent="0.25">
      <c r="A5444" s="2">
        <v>5438</v>
      </c>
      <c r="B5444" s="11">
        <f t="shared" ca="1" si="454"/>
        <v>1</v>
      </c>
      <c r="C5444" s="26">
        <f t="shared" ca="1" si="453"/>
        <v>6.3889918992858008E-2</v>
      </c>
      <c r="J5444">
        <f t="shared" ca="1" si="455"/>
        <v>1</v>
      </c>
      <c r="K5444">
        <f t="shared" ca="1" si="456"/>
        <v>0</v>
      </c>
      <c r="L5444">
        <f t="shared" si="457"/>
        <v>5438</v>
      </c>
      <c r="M5444" s="71">
        <f t="shared" ca="1" si="458"/>
        <v>1.5655333414837069</v>
      </c>
    </row>
    <row r="5445" spans="1:13" x14ac:dyDescent="0.25">
      <c r="A5445" s="2">
        <v>5439</v>
      </c>
      <c r="B5445" s="11">
        <f t="shared" ca="1" si="454"/>
        <v>1</v>
      </c>
      <c r="C5445" s="26">
        <f t="shared" ca="1" si="453"/>
        <v>6.2814143611987339E-2</v>
      </c>
      <c r="J5445">
        <f t="shared" ca="1" si="455"/>
        <v>1</v>
      </c>
      <c r="K5445">
        <f t="shared" ca="1" si="456"/>
        <v>0</v>
      </c>
      <c r="L5445">
        <f t="shared" si="457"/>
        <v>5439</v>
      </c>
      <c r="M5445" s="71">
        <f t="shared" ca="1" si="458"/>
        <v>1.3291843733118973</v>
      </c>
    </row>
    <row r="5446" spans="1:13" x14ac:dyDescent="0.25">
      <c r="A5446" s="2">
        <v>5440</v>
      </c>
      <c r="B5446" s="11">
        <f t="shared" ca="1" si="454"/>
        <v>1</v>
      </c>
      <c r="C5446" s="26">
        <f t="shared" ca="1" si="453"/>
        <v>0.13571394824937411</v>
      </c>
      <c r="J5446">
        <f t="shared" ca="1" si="455"/>
        <v>0</v>
      </c>
      <c r="K5446">
        <f t="shared" ca="1" si="456"/>
        <v>0</v>
      </c>
      <c r="L5446">
        <f t="shared" si="457"/>
        <v>5440</v>
      </c>
      <c r="M5446" s="71">
        <f t="shared" ca="1" si="458"/>
        <v>3.363642123858523</v>
      </c>
    </row>
    <row r="5447" spans="1:13" x14ac:dyDescent="0.25">
      <c r="A5447" s="2">
        <v>5441</v>
      </c>
      <c r="B5447" s="11">
        <f t="shared" ca="1" si="454"/>
        <v>0</v>
      </c>
      <c r="C5447" s="26">
        <f t="shared" ca="1" si="453"/>
        <v>0.99508772708819104</v>
      </c>
      <c r="J5447">
        <f t="shared" ca="1" si="455"/>
        <v>0</v>
      </c>
      <c r="K5447">
        <f t="shared" ca="1" si="456"/>
        <v>1</v>
      </c>
      <c r="L5447">
        <f t="shared" si="457"/>
        <v>5441</v>
      </c>
      <c r="M5447" s="71">
        <f t="shared" ca="1" si="458"/>
        <v>0</v>
      </c>
    </row>
    <row r="5448" spans="1:13" x14ac:dyDescent="0.25">
      <c r="A5448" s="2">
        <v>5442</v>
      </c>
      <c r="B5448" s="11">
        <f t="shared" ca="1" si="454"/>
        <v>0</v>
      </c>
      <c r="C5448" s="26">
        <f t="shared" ref="C5448:C5511" ca="1" si="459">RAND()</f>
        <v>0.91289956355136237</v>
      </c>
      <c r="J5448">
        <f t="shared" ca="1" si="455"/>
        <v>0</v>
      </c>
      <c r="K5448">
        <f t="shared" ca="1" si="456"/>
        <v>1</v>
      </c>
      <c r="L5448">
        <f t="shared" si="457"/>
        <v>5442</v>
      </c>
      <c r="M5448" s="71">
        <f t="shared" ca="1" si="458"/>
        <v>0</v>
      </c>
    </row>
    <row r="5449" spans="1:13" x14ac:dyDescent="0.25">
      <c r="A5449" s="2">
        <v>5443</v>
      </c>
      <c r="B5449" s="11">
        <f t="shared" ref="B5449:B5512" ca="1" si="460">IF(B5448&gt;0,IF(C5449&lt;pww,1,0),IF(C5449&lt;pdw,1,0))</f>
        <v>0</v>
      </c>
      <c r="C5449" s="26">
        <f t="shared" ca="1" si="459"/>
        <v>0.82407480104606201</v>
      </c>
      <c r="J5449">
        <f t="shared" ca="1" si="455"/>
        <v>0</v>
      </c>
      <c r="K5449">
        <f t="shared" ca="1" si="456"/>
        <v>0</v>
      </c>
      <c r="L5449">
        <f t="shared" si="457"/>
        <v>5443</v>
      </c>
      <c r="M5449" s="71">
        <f t="shared" ca="1" si="458"/>
        <v>0</v>
      </c>
    </row>
    <row r="5450" spans="1:13" x14ac:dyDescent="0.25">
      <c r="A5450" s="2">
        <v>5444</v>
      </c>
      <c r="B5450" s="11">
        <f t="shared" ca="1" si="460"/>
        <v>1</v>
      </c>
      <c r="C5450" s="26">
        <f t="shared" ca="1" si="459"/>
        <v>0.66702665673623807</v>
      </c>
      <c r="J5450">
        <f t="shared" ref="J5450:J5513" ca="1" si="461">IF(AND(B5450,B5451),1,0)</f>
        <v>1</v>
      </c>
      <c r="K5450">
        <f t="shared" ref="K5450:K5513" ca="1" si="462">IF(AND(NOT(B5450),NOT(B5451)),1,0)</f>
        <v>0</v>
      </c>
      <c r="L5450">
        <f t="shared" ref="L5450:L5513" si="463">L5449+1</f>
        <v>5444</v>
      </c>
      <c r="M5450" s="71">
        <f t="shared" ref="M5450:M5513" ca="1" si="464">IF(B5450&gt;0,-LN(1-(RAND()))/lambda,0)</f>
        <v>0.29537316279230602</v>
      </c>
    </row>
    <row r="5451" spans="1:13" x14ac:dyDescent="0.25">
      <c r="A5451" s="2">
        <v>5445</v>
      </c>
      <c r="B5451" s="11">
        <f t="shared" ca="1" si="460"/>
        <v>1</v>
      </c>
      <c r="C5451" s="26">
        <f t="shared" ca="1" si="459"/>
        <v>0.69291250322923592</v>
      </c>
      <c r="J5451">
        <f t="shared" ca="1" si="461"/>
        <v>1</v>
      </c>
      <c r="K5451">
        <f t="shared" ca="1" si="462"/>
        <v>0</v>
      </c>
      <c r="L5451">
        <f t="shared" si="463"/>
        <v>5445</v>
      </c>
      <c r="M5451" s="71">
        <f t="shared" ca="1" si="464"/>
        <v>1.2480634256808307</v>
      </c>
    </row>
    <row r="5452" spans="1:13" x14ac:dyDescent="0.25">
      <c r="A5452" s="2">
        <v>5446</v>
      </c>
      <c r="B5452" s="11">
        <f t="shared" ca="1" si="460"/>
        <v>1</v>
      </c>
      <c r="C5452" s="26">
        <f t="shared" ca="1" si="459"/>
        <v>0.67557439912872697</v>
      </c>
      <c r="J5452">
        <f t="shared" ca="1" si="461"/>
        <v>1</v>
      </c>
      <c r="K5452">
        <f t="shared" ca="1" si="462"/>
        <v>0</v>
      </c>
      <c r="L5452">
        <f t="shared" si="463"/>
        <v>5446</v>
      </c>
      <c r="M5452" s="71">
        <f t="shared" ca="1" si="464"/>
        <v>1.5276857002527515</v>
      </c>
    </row>
    <row r="5453" spans="1:13" x14ac:dyDescent="0.25">
      <c r="A5453" s="2">
        <v>5447</v>
      </c>
      <c r="B5453" s="11">
        <f t="shared" ca="1" si="460"/>
        <v>1</v>
      </c>
      <c r="C5453" s="26">
        <f t="shared" ca="1" si="459"/>
        <v>0.4937788291756392</v>
      </c>
      <c r="J5453">
        <f t="shared" ca="1" si="461"/>
        <v>1</v>
      </c>
      <c r="K5453">
        <f t="shared" ca="1" si="462"/>
        <v>0</v>
      </c>
      <c r="L5453">
        <f t="shared" si="463"/>
        <v>5447</v>
      </c>
      <c r="M5453" s="71">
        <f t="shared" ca="1" si="464"/>
        <v>6.5741401032652842</v>
      </c>
    </row>
    <row r="5454" spans="1:13" x14ac:dyDescent="0.25">
      <c r="A5454" s="2">
        <v>5448</v>
      </c>
      <c r="B5454" s="11">
        <f t="shared" ca="1" si="460"/>
        <v>1</v>
      </c>
      <c r="C5454" s="26">
        <f t="shared" ca="1" si="459"/>
        <v>0.66379800725914284</v>
      </c>
      <c r="J5454">
        <f t="shared" ca="1" si="461"/>
        <v>1</v>
      </c>
      <c r="K5454">
        <f t="shared" ca="1" si="462"/>
        <v>0</v>
      </c>
      <c r="L5454">
        <f t="shared" si="463"/>
        <v>5448</v>
      </c>
      <c r="M5454" s="71">
        <f t="shared" ca="1" si="464"/>
        <v>3.0716788198088012</v>
      </c>
    </row>
    <row r="5455" spans="1:13" x14ac:dyDescent="0.25">
      <c r="A5455" s="2">
        <v>5449</v>
      </c>
      <c r="B5455" s="11">
        <f t="shared" ca="1" si="460"/>
        <v>1</v>
      </c>
      <c r="C5455" s="26">
        <f t="shared" ca="1" si="459"/>
        <v>0.28907032296076096</v>
      </c>
      <c r="J5455">
        <f t="shared" ca="1" si="461"/>
        <v>1</v>
      </c>
      <c r="K5455">
        <f t="shared" ca="1" si="462"/>
        <v>0</v>
      </c>
      <c r="L5455">
        <f t="shared" si="463"/>
        <v>5449</v>
      </c>
      <c r="M5455" s="71">
        <f t="shared" ca="1" si="464"/>
        <v>4.2069910037020204</v>
      </c>
    </row>
    <row r="5456" spans="1:13" x14ac:dyDescent="0.25">
      <c r="A5456" s="2">
        <v>5450</v>
      </c>
      <c r="B5456" s="11">
        <f t="shared" ca="1" si="460"/>
        <v>1</v>
      </c>
      <c r="C5456" s="26">
        <f t="shared" ca="1" si="459"/>
        <v>7.2587407873587528E-2</v>
      </c>
      <c r="J5456">
        <f t="shared" ca="1" si="461"/>
        <v>1</v>
      </c>
      <c r="K5456">
        <f t="shared" ca="1" si="462"/>
        <v>0</v>
      </c>
      <c r="L5456">
        <f t="shared" si="463"/>
        <v>5450</v>
      </c>
      <c r="M5456" s="71">
        <f t="shared" ca="1" si="464"/>
        <v>2.4815708633233147</v>
      </c>
    </row>
    <row r="5457" spans="1:13" x14ac:dyDescent="0.25">
      <c r="A5457" s="2">
        <v>5451</v>
      </c>
      <c r="B5457" s="11">
        <f t="shared" ca="1" si="460"/>
        <v>1</v>
      </c>
      <c r="C5457" s="26">
        <f t="shared" ca="1" si="459"/>
        <v>2.0944734076139504E-2</v>
      </c>
      <c r="J5457">
        <f t="shared" ca="1" si="461"/>
        <v>0</v>
      </c>
      <c r="K5457">
        <f t="shared" ca="1" si="462"/>
        <v>0</v>
      </c>
      <c r="L5457">
        <f t="shared" si="463"/>
        <v>5451</v>
      </c>
      <c r="M5457" s="71">
        <f t="shared" ca="1" si="464"/>
        <v>0.76629511442289977</v>
      </c>
    </row>
    <row r="5458" spans="1:13" x14ac:dyDescent="0.25">
      <c r="A5458" s="2">
        <v>5452</v>
      </c>
      <c r="B5458" s="11">
        <f t="shared" ca="1" si="460"/>
        <v>0</v>
      </c>
      <c r="C5458" s="26">
        <f t="shared" ca="1" si="459"/>
        <v>0.96796461997781535</v>
      </c>
      <c r="J5458">
        <f t="shared" ca="1" si="461"/>
        <v>0</v>
      </c>
      <c r="K5458">
        <f t="shared" ca="1" si="462"/>
        <v>0</v>
      </c>
      <c r="L5458">
        <f t="shared" si="463"/>
        <v>5452</v>
      </c>
      <c r="M5458" s="71">
        <f t="shared" ca="1" si="464"/>
        <v>0</v>
      </c>
    </row>
    <row r="5459" spans="1:13" x14ac:dyDescent="0.25">
      <c r="A5459" s="2">
        <v>5453</v>
      </c>
      <c r="B5459" s="11">
        <f t="shared" ca="1" si="460"/>
        <v>1</v>
      </c>
      <c r="C5459" s="26">
        <f t="shared" ca="1" si="459"/>
        <v>0.4947224225106146</v>
      </c>
      <c r="J5459">
        <f t="shared" ca="1" si="461"/>
        <v>1</v>
      </c>
      <c r="K5459">
        <f t="shared" ca="1" si="462"/>
        <v>0</v>
      </c>
      <c r="L5459">
        <f t="shared" si="463"/>
        <v>5453</v>
      </c>
      <c r="M5459" s="71">
        <f t="shared" ca="1" si="464"/>
        <v>3.2608263552062557</v>
      </c>
    </row>
    <row r="5460" spans="1:13" x14ac:dyDescent="0.25">
      <c r="A5460" s="2">
        <v>5454</v>
      </c>
      <c r="B5460" s="11">
        <f t="shared" ca="1" si="460"/>
        <v>1</v>
      </c>
      <c r="C5460" s="26">
        <f t="shared" ca="1" si="459"/>
        <v>0.50458824386707746</v>
      </c>
      <c r="J5460">
        <f t="shared" ca="1" si="461"/>
        <v>1</v>
      </c>
      <c r="K5460">
        <f t="shared" ca="1" si="462"/>
        <v>0</v>
      </c>
      <c r="L5460">
        <f t="shared" si="463"/>
        <v>5454</v>
      </c>
      <c r="M5460" s="71">
        <f t="shared" ca="1" si="464"/>
        <v>0.45586949784137853</v>
      </c>
    </row>
    <row r="5461" spans="1:13" x14ac:dyDescent="0.25">
      <c r="A5461" s="2">
        <v>5455</v>
      </c>
      <c r="B5461" s="11">
        <f t="shared" ca="1" si="460"/>
        <v>1</v>
      </c>
      <c r="C5461" s="26">
        <f t="shared" ca="1" si="459"/>
        <v>0.72707487240882085</v>
      </c>
      <c r="J5461">
        <f t="shared" ca="1" si="461"/>
        <v>1</v>
      </c>
      <c r="K5461">
        <f t="shared" ca="1" si="462"/>
        <v>0</v>
      </c>
      <c r="L5461">
        <f t="shared" si="463"/>
        <v>5455</v>
      </c>
      <c r="M5461" s="71">
        <f t="shared" ca="1" si="464"/>
        <v>6.211400512614917</v>
      </c>
    </row>
    <row r="5462" spans="1:13" x14ac:dyDescent="0.25">
      <c r="A5462" s="2">
        <v>5456</v>
      </c>
      <c r="B5462" s="11">
        <f t="shared" ca="1" si="460"/>
        <v>1</v>
      </c>
      <c r="C5462" s="26">
        <f t="shared" ca="1" si="459"/>
        <v>0.39956386088764306</v>
      </c>
      <c r="J5462">
        <f t="shared" ca="1" si="461"/>
        <v>1</v>
      </c>
      <c r="K5462">
        <f t="shared" ca="1" si="462"/>
        <v>0</v>
      </c>
      <c r="L5462">
        <f t="shared" si="463"/>
        <v>5456</v>
      </c>
      <c r="M5462" s="71">
        <f t="shared" ca="1" si="464"/>
        <v>1.9959919742962151</v>
      </c>
    </row>
    <row r="5463" spans="1:13" x14ac:dyDescent="0.25">
      <c r="A5463" s="2">
        <v>5457</v>
      </c>
      <c r="B5463" s="11">
        <f t="shared" ca="1" si="460"/>
        <v>1</v>
      </c>
      <c r="C5463" s="26">
        <f t="shared" ca="1" si="459"/>
        <v>0.51807407756133184</v>
      </c>
      <c r="J5463">
        <f t="shared" ca="1" si="461"/>
        <v>1</v>
      </c>
      <c r="K5463">
        <f t="shared" ca="1" si="462"/>
        <v>0</v>
      </c>
      <c r="L5463">
        <f t="shared" si="463"/>
        <v>5457</v>
      </c>
      <c r="M5463" s="71">
        <f t="shared" ca="1" si="464"/>
        <v>0.89868599728388021</v>
      </c>
    </row>
    <row r="5464" spans="1:13" x14ac:dyDescent="0.25">
      <c r="A5464" s="2">
        <v>5458</v>
      </c>
      <c r="B5464" s="11">
        <f t="shared" ca="1" si="460"/>
        <v>1</v>
      </c>
      <c r="C5464" s="26">
        <f t="shared" ca="1" si="459"/>
        <v>0.11054947320986819</v>
      </c>
      <c r="J5464">
        <f t="shared" ca="1" si="461"/>
        <v>1</v>
      </c>
      <c r="K5464">
        <f t="shared" ca="1" si="462"/>
        <v>0</v>
      </c>
      <c r="L5464">
        <f t="shared" si="463"/>
        <v>5458</v>
      </c>
      <c r="M5464" s="71">
        <f t="shared" ca="1" si="464"/>
        <v>3.7291984934539637</v>
      </c>
    </row>
    <row r="5465" spans="1:13" x14ac:dyDescent="0.25">
      <c r="A5465" s="2">
        <v>5459</v>
      </c>
      <c r="B5465" s="11">
        <f t="shared" ca="1" si="460"/>
        <v>1</v>
      </c>
      <c r="C5465" s="26">
        <f t="shared" ca="1" si="459"/>
        <v>0.14070890489589749</v>
      </c>
      <c r="J5465">
        <f t="shared" ca="1" si="461"/>
        <v>1</v>
      </c>
      <c r="K5465">
        <f t="shared" ca="1" si="462"/>
        <v>0</v>
      </c>
      <c r="L5465">
        <f t="shared" si="463"/>
        <v>5459</v>
      </c>
      <c r="M5465" s="71">
        <f t="shared" ca="1" si="464"/>
        <v>2.1857869867463986</v>
      </c>
    </row>
    <row r="5466" spans="1:13" x14ac:dyDescent="0.25">
      <c r="A5466" s="2">
        <v>5460</v>
      </c>
      <c r="B5466" s="11">
        <f t="shared" ca="1" si="460"/>
        <v>1</v>
      </c>
      <c r="C5466" s="26">
        <f t="shared" ca="1" si="459"/>
        <v>0.52804679409620225</v>
      </c>
      <c r="J5466">
        <f t="shared" ca="1" si="461"/>
        <v>0</v>
      </c>
      <c r="K5466">
        <f t="shared" ca="1" si="462"/>
        <v>0</v>
      </c>
      <c r="L5466">
        <f t="shared" si="463"/>
        <v>5460</v>
      </c>
      <c r="M5466" s="71">
        <f t="shared" ca="1" si="464"/>
        <v>0.82594024949061229</v>
      </c>
    </row>
    <row r="5467" spans="1:13" x14ac:dyDescent="0.25">
      <c r="A5467" s="2">
        <v>5461</v>
      </c>
      <c r="B5467" s="11">
        <f t="shared" ca="1" si="460"/>
        <v>0</v>
      </c>
      <c r="C5467" s="26">
        <f t="shared" ca="1" si="459"/>
        <v>0.87403042042988999</v>
      </c>
      <c r="J5467">
        <f t="shared" ca="1" si="461"/>
        <v>0</v>
      </c>
      <c r="K5467">
        <f t="shared" ca="1" si="462"/>
        <v>0</v>
      </c>
      <c r="L5467">
        <f t="shared" si="463"/>
        <v>5461</v>
      </c>
      <c r="M5467" s="71">
        <f t="shared" ca="1" si="464"/>
        <v>0</v>
      </c>
    </row>
    <row r="5468" spans="1:13" x14ac:dyDescent="0.25">
      <c r="A5468" s="2">
        <v>5462</v>
      </c>
      <c r="B5468" s="11">
        <f t="shared" ca="1" si="460"/>
        <v>1</v>
      </c>
      <c r="C5468" s="26">
        <f t="shared" ca="1" si="459"/>
        <v>7.8490998019537184E-2</v>
      </c>
      <c r="J5468">
        <f t="shared" ca="1" si="461"/>
        <v>1</v>
      </c>
      <c r="K5468">
        <f t="shared" ca="1" si="462"/>
        <v>0</v>
      </c>
      <c r="L5468">
        <f t="shared" si="463"/>
        <v>5462</v>
      </c>
      <c r="M5468" s="71">
        <f t="shared" ca="1" si="464"/>
        <v>13.173971936429414</v>
      </c>
    </row>
    <row r="5469" spans="1:13" x14ac:dyDescent="0.25">
      <c r="A5469" s="2">
        <v>5463</v>
      </c>
      <c r="B5469" s="11">
        <f t="shared" ca="1" si="460"/>
        <v>1</v>
      </c>
      <c r="C5469" s="26">
        <f t="shared" ca="1" si="459"/>
        <v>0.34589267588469008</v>
      </c>
      <c r="J5469">
        <f t="shared" ca="1" si="461"/>
        <v>1</v>
      </c>
      <c r="K5469">
        <f t="shared" ca="1" si="462"/>
        <v>0</v>
      </c>
      <c r="L5469">
        <f t="shared" si="463"/>
        <v>5463</v>
      </c>
      <c r="M5469" s="71">
        <f t="shared" ca="1" si="464"/>
        <v>4.7861143668677704</v>
      </c>
    </row>
    <row r="5470" spans="1:13" x14ac:dyDescent="0.25">
      <c r="A5470" s="2">
        <v>5464</v>
      </c>
      <c r="B5470" s="11">
        <f t="shared" ca="1" si="460"/>
        <v>1</v>
      </c>
      <c r="C5470" s="26">
        <f t="shared" ca="1" si="459"/>
        <v>0.22181074034201897</v>
      </c>
      <c r="J5470">
        <f t="shared" ca="1" si="461"/>
        <v>1</v>
      </c>
      <c r="K5470">
        <f t="shared" ca="1" si="462"/>
        <v>0</v>
      </c>
      <c r="L5470">
        <f t="shared" si="463"/>
        <v>5464</v>
      </c>
      <c r="M5470" s="71">
        <f t="shared" ca="1" si="464"/>
        <v>3.4515512563362711</v>
      </c>
    </row>
    <row r="5471" spans="1:13" x14ac:dyDescent="0.25">
      <c r="A5471" s="2">
        <v>5465</v>
      </c>
      <c r="B5471" s="11">
        <f t="shared" ca="1" si="460"/>
        <v>1</v>
      </c>
      <c r="C5471" s="26">
        <f t="shared" ca="1" si="459"/>
        <v>3.4895614474895198E-2</v>
      </c>
      <c r="J5471">
        <f t="shared" ca="1" si="461"/>
        <v>1</v>
      </c>
      <c r="K5471">
        <f t="shared" ca="1" si="462"/>
        <v>0</v>
      </c>
      <c r="L5471">
        <f t="shared" si="463"/>
        <v>5465</v>
      </c>
      <c r="M5471" s="71">
        <f t="shared" ca="1" si="464"/>
        <v>2.3567800478276428</v>
      </c>
    </row>
    <row r="5472" spans="1:13" x14ac:dyDescent="0.25">
      <c r="A5472" s="2">
        <v>5466</v>
      </c>
      <c r="B5472" s="11">
        <f t="shared" ca="1" si="460"/>
        <v>1</v>
      </c>
      <c r="C5472" s="26">
        <f t="shared" ca="1" si="459"/>
        <v>0.49683286490826273</v>
      </c>
      <c r="J5472">
        <f t="shared" ca="1" si="461"/>
        <v>1</v>
      </c>
      <c r="K5472">
        <f t="shared" ca="1" si="462"/>
        <v>0</v>
      </c>
      <c r="L5472">
        <f t="shared" si="463"/>
        <v>5466</v>
      </c>
      <c r="M5472" s="71">
        <f t="shared" ca="1" si="464"/>
        <v>2.7453992768484516</v>
      </c>
    </row>
    <row r="5473" spans="1:13" x14ac:dyDescent="0.25">
      <c r="A5473" s="2">
        <v>5467</v>
      </c>
      <c r="B5473" s="11">
        <f t="shared" ca="1" si="460"/>
        <v>1</v>
      </c>
      <c r="C5473" s="26">
        <f t="shared" ca="1" si="459"/>
        <v>0.48731719472058588</v>
      </c>
      <c r="J5473">
        <f t="shared" ca="1" si="461"/>
        <v>1</v>
      </c>
      <c r="K5473">
        <f t="shared" ca="1" si="462"/>
        <v>0</v>
      </c>
      <c r="L5473">
        <f t="shared" si="463"/>
        <v>5467</v>
      </c>
      <c r="M5473" s="71">
        <f t="shared" ca="1" si="464"/>
        <v>0.12277810047896279</v>
      </c>
    </row>
    <row r="5474" spans="1:13" x14ac:dyDescent="0.25">
      <c r="A5474" s="2">
        <v>5468</v>
      </c>
      <c r="B5474" s="11">
        <f t="shared" ca="1" si="460"/>
        <v>1</v>
      </c>
      <c r="C5474" s="26">
        <f t="shared" ca="1" si="459"/>
        <v>0.44479374202983424</v>
      </c>
      <c r="J5474">
        <f t="shared" ca="1" si="461"/>
        <v>1</v>
      </c>
      <c r="K5474">
        <f t="shared" ca="1" si="462"/>
        <v>0</v>
      </c>
      <c r="L5474">
        <f t="shared" si="463"/>
        <v>5468</v>
      </c>
      <c r="M5474" s="71">
        <f t="shared" ca="1" si="464"/>
        <v>6.7824791687468883E-2</v>
      </c>
    </row>
    <row r="5475" spans="1:13" x14ac:dyDescent="0.25">
      <c r="A5475" s="2">
        <v>5469</v>
      </c>
      <c r="B5475" s="11">
        <f t="shared" ca="1" si="460"/>
        <v>1</v>
      </c>
      <c r="C5475" s="26">
        <f t="shared" ca="1" si="459"/>
        <v>0.36636751949139534</v>
      </c>
      <c r="J5475">
        <f t="shared" ca="1" si="461"/>
        <v>1</v>
      </c>
      <c r="K5475">
        <f t="shared" ca="1" si="462"/>
        <v>0</v>
      </c>
      <c r="L5475">
        <f t="shared" si="463"/>
        <v>5469</v>
      </c>
      <c r="M5475" s="71">
        <f t="shared" ca="1" si="464"/>
        <v>0.94906702770468143</v>
      </c>
    </row>
    <row r="5476" spans="1:13" x14ac:dyDescent="0.25">
      <c r="A5476" s="2">
        <v>5470</v>
      </c>
      <c r="B5476" s="11">
        <f t="shared" ca="1" si="460"/>
        <v>1</v>
      </c>
      <c r="C5476" s="26">
        <f t="shared" ca="1" si="459"/>
        <v>0.14111781888613228</v>
      </c>
      <c r="J5476">
        <f t="shared" ca="1" si="461"/>
        <v>0</v>
      </c>
      <c r="K5476">
        <f t="shared" ca="1" si="462"/>
        <v>0</v>
      </c>
      <c r="L5476">
        <f t="shared" si="463"/>
        <v>5470</v>
      </c>
      <c r="M5476" s="71">
        <f t="shared" ca="1" si="464"/>
        <v>0.73098859360746649</v>
      </c>
    </row>
    <row r="5477" spans="1:13" x14ac:dyDescent="0.25">
      <c r="A5477" s="2">
        <v>5471</v>
      </c>
      <c r="B5477" s="11">
        <f t="shared" ca="1" si="460"/>
        <v>0</v>
      </c>
      <c r="C5477" s="26">
        <f t="shared" ca="1" si="459"/>
        <v>0.80865396090799557</v>
      </c>
      <c r="J5477">
        <f t="shared" ca="1" si="461"/>
        <v>0</v>
      </c>
      <c r="K5477">
        <f t="shared" ca="1" si="462"/>
        <v>0</v>
      </c>
      <c r="L5477">
        <f t="shared" si="463"/>
        <v>5471</v>
      </c>
      <c r="M5477" s="71">
        <f t="shared" ca="1" si="464"/>
        <v>0</v>
      </c>
    </row>
    <row r="5478" spans="1:13" x14ac:dyDescent="0.25">
      <c r="A5478" s="2">
        <v>5472</v>
      </c>
      <c r="B5478" s="11">
        <f t="shared" ca="1" si="460"/>
        <v>1</v>
      </c>
      <c r="C5478" s="26">
        <f t="shared" ca="1" si="459"/>
        <v>9.1023699627620025E-2</v>
      </c>
      <c r="J5478">
        <f t="shared" ca="1" si="461"/>
        <v>1</v>
      </c>
      <c r="K5478">
        <f t="shared" ca="1" si="462"/>
        <v>0</v>
      </c>
      <c r="L5478">
        <f t="shared" si="463"/>
        <v>5472</v>
      </c>
      <c r="M5478" s="71">
        <f t="shared" ca="1" si="464"/>
        <v>0.87420560912941014</v>
      </c>
    </row>
    <row r="5479" spans="1:13" x14ac:dyDescent="0.25">
      <c r="A5479" s="2">
        <v>5473</v>
      </c>
      <c r="B5479" s="11">
        <f t="shared" ca="1" si="460"/>
        <v>1</v>
      </c>
      <c r="C5479" s="26">
        <f t="shared" ca="1" si="459"/>
        <v>0.36660811344353839</v>
      </c>
      <c r="J5479">
        <f t="shared" ca="1" si="461"/>
        <v>1</v>
      </c>
      <c r="K5479">
        <f t="shared" ca="1" si="462"/>
        <v>0</v>
      </c>
      <c r="L5479">
        <f t="shared" si="463"/>
        <v>5473</v>
      </c>
      <c r="M5479" s="71">
        <f t="shared" ca="1" si="464"/>
        <v>2.9568876082985693</v>
      </c>
    </row>
    <row r="5480" spans="1:13" x14ac:dyDescent="0.25">
      <c r="A5480" s="2">
        <v>5474</v>
      </c>
      <c r="B5480" s="11">
        <f t="shared" ca="1" si="460"/>
        <v>1</v>
      </c>
      <c r="C5480" s="26">
        <f t="shared" ca="1" si="459"/>
        <v>0.50088382707683288</v>
      </c>
      <c r="J5480">
        <f t="shared" ca="1" si="461"/>
        <v>1</v>
      </c>
      <c r="K5480">
        <f t="shared" ca="1" si="462"/>
        <v>0</v>
      </c>
      <c r="L5480">
        <f t="shared" si="463"/>
        <v>5474</v>
      </c>
      <c r="M5480" s="71">
        <f t="shared" ca="1" si="464"/>
        <v>0.26329515130999631</v>
      </c>
    </row>
    <row r="5481" spans="1:13" x14ac:dyDescent="0.25">
      <c r="A5481" s="2">
        <v>5475</v>
      </c>
      <c r="B5481" s="11">
        <f t="shared" ca="1" si="460"/>
        <v>1</v>
      </c>
      <c r="C5481" s="26">
        <f t="shared" ca="1" si="459"/>
        <v>0.21481865412105472</v>
      </c>
      <c r="J5481">
        <f t="shared" ca="1" si="461"/>
        <v>1</v>
      </c>
      <c r="K5481">
        <f t="shared" ca="1" si="462"/>
        <v>0</v>
      </c>
      <c r="L5481">
        <f t="shared" si="463"/>
        <v>5475</v>
      </c>
      <c r="M5481" s="71">
        <f t="shared" ca="1" si="464"/>
        <v>2.271498363406212</v>
      </c>
    </row>
    <row r="5482" spans="1:13" x14ac:dyDescent="0.25">
      <c r="A5482" s="2">
        <v>5476</v>
      </c>
      <c r="B5482" s="11">
        <f t="shared" ca="1" si="460"/>
        <v>1</v>
      </c>
      <c r="C5482" s="26">
        <f t="shared" ca="1" si="459"/>
        <v>0.79258372638983976</v>
      </c>
      <c r="J5482">
        <f t="shared" ca="1" si="461"/>
        <v>1</v>
      </c>
      <c r="K5482">
        <f t="shared" ca="1" si="462"/>
        <v>0</v>
      </c>
      <c r="L5482">
        <f t="shared" si="463"/>
        <v>5476</v>
      </c>
      <c r="M5482" s="71">
        <f t="shared" ca="1" si="464"/>
        <v>6.6106284982439929</v>
      </c>
    </row>
    <row r="5483" spans="1:13" x14ac:dyDescent="0.25">
      <c r="A5483" s="2">
        <v>5477</v>
      </c>
      <c r="B5483" s="11">
        <f t="shared" ca="1" si="460"/>
        <v>1</v>
      </c>
      <c r="C5483" s="26">
        <f t="shared" ca="1" si="459"/>
        <v>0.4677792155451288</v>
      </c>
      <c r="J5483">
        <f t="shared" ca="1" si="461"/>
        <v>1</v>
      </c>
      <c r="K5483">
        <f t="shared" ca="1" si="462"/>
        <v>0</v>
      </c>
      <c r="L5483">
        <f t="shared" si="463"/>
        <v>5477</v>
      </c>
      <c r="M5483" s="71">
        <f t="shared" ca="1" si="464"/>
        <v>1.6031295133001877</v>
      </c>
    </row>
    <row r="5484" spans="1:13" x14ac:dyDescent="0.25">
      <c r="A5484" s="2">
        <v>5478</v>
      </c>
      <c r="B5484" s="11">
        <f t="shared" ca="1" si="460"/>
        <v>1</v>
      </c>
      <c r="C5484" s="26">
        <f t="shared" ca="1" si="459"/>
        <v>0.3478001589165467</v>
      </c>
      <c r="J5484">
        <f t="shared" ca="1" si="461"/>
        <v>1</v>
      </c>
      <c r="K5484">
        <f t="shared" ca="1" si="462"/>
        <v>0</v>
      </c>
      <c r="L5484">
        <f t="shared" si="463"/>
        <v>5478</v>
      </c>
      <c r="M5484" s="71">
        <f t="shared" ca="1" si="464"/>
        <v>1.0116678635433403</v>
      </c>
    </row>
    <row r="5485" spans="1:13" x14ac:dyDescent="0.25">
      <c r="A5485" s="2">
        <v>5479</v>
      </c>
      <c r="B5485" s="11">
        <f t="shared" ca="1" si="460"/>
        <v>1</v>
      </c>
      <c r="C5485" s="26">
        <f t="shared" ca="1" si="459"/>
        <v>0.48023993905650775</v>
      </c>
      <c r="J5485">
        <f t="shared" ca="1" si="461"/>
        <v>1</v>
      </c>
      <c r="K5485">
        <f t="shared" ca="1" si="462"/>
        <v>0</v>
      </c>
      <c r="L5485">
        <f t="shared" si="463"/>
        <v>5479</v>
      </c>
      <c r="M5485" s="71">
        <f t="shared" ca="1" si="464"/>
        <v>0.2881277528253437</v>
      </c>
    </row>
    <row r="5486" spans="1:13" x14ac:dyDescent="0.25">
      <c r="A5486" s="2">
        <v>5480</v>
      </c>
      <c r="B5486" s="11">
        <f t="shared" ca="1" si="460"/>
        <v>1</v>
      </c>
      <c r="C5486" s="26">
        <f t="shared" ca="1" si="459"/>
        <v>0.43382398740673844</v>
      </c>
      <c r="J5486">
        <f t="shared" ca="1" si="461"/>
        <v>1</v>
      </c>
      <c r="K5486">
        <f t="shared" ca="1" si="462"/>
        <v>0</v>
      </c>
      <c r="L5486">
        <f t="shared" si="463"/>
        <v>5480</v>
      </c>
      <c r="M5486" s="71">
        <f t="shared" ca="1" si="464"/>
        <v>2.7599068563112903</v>
      </c>
    </row>
    <row r="5487" spans="1:13" x14ac:dyDescent="0.25">
      <c r="A5487" s="2">
        <v>5481</v>
      </c>
      <c r="B5487" s="11">
        <f t="shared" ca="1" si="460"/>
        <v>1</v>
      </c>
      <c r="C5487" s="26">
        <f t="shared" ca="1" si="459"/>
        <v>0.44011230156358738</v>
      </c>
      <c r="J5487">
        <f t="shared" ca="1" si="461"/>
        <v>1</v>
      </c>
      <c r="K5487">
        <f t="shared" ca="1" si="462"/>
        <v>0</v>
      </c>
      <c r="L5487">
        <f t="shared" si="463"/>
        <v>5481</v>
      </c>
      <c r="M5487" s="71">
        <f t="shared" ca="1" si="464"/>
        <v>0.95217152521593573</v>
      </c>
    </row>
    <row r="5488" spans="1:13" x14ac:dyDescent="0.25">
      <c r="A5488" s="2">
        <v>5482</v>
      </c>
      <c r="B5488" s="11">
        <f t="shared" ca="1" si="460"/>
        <v>1</v>
      </c>
      <c r="C5488" s="26">
        <f t="shared" ca="1" si="459"/>
        <v>0.70563350146992165</v>
      </c>
      <c r="J5488">
        <f t="shared" ca="1" si="461"/>
        <v>1</v>
      </c>
      <c r="K5488">
        <f t="shared" ca="1" si="462"/>
        <v>0</v>
      </c>
      <c r="L5488">
        <f t="shared" si="463"/>
        <v>5482</v>
      </c>
      <c r="M5488" s="71">
        <f t="shared" ca="1" si="464"/>
        <v>7.7977950869352526</v>
      </c>
    </row>
    <row r="5489" spans="1:13" x14ac:dyDescent="0.25">
      <c r="A5489" s="2">
        <v>5483</v>
      </c>
      <c r="B5489" s="11">
        <f t="shared" ca="1" si="460"/>
        <v>1</v>
      </c>
      <c r="C5489" s="26">
        <f t="shared" ca="1" si="459"/>
        <v>0.38143501541358849</v>
      </c>
      <c r="J5489">
        <f t="shared" ca="1" si="461"/>
        <v>1</v>
      </c>
      <c r="K5489">
        <f t="shared" ca="1" si="462"/>
        <v>0</v>
      </c>
      <c r="L5489">
        <f t="shared" si="463"/>
        <v>5483</v>
      </c>
      <c r="M5489" s="71">
        <f t="shared" ca="1" si="464"/>
        <v>0.71618510267066704</v>
      </c>
    </row>
    <row r="5490" spans="1:13" x14ac:dyDescent="0.25">
      <c r="A5490" s="2">
        <v>5484</v>
      </c>
      <c r="B5490" s="11">
        <f t="shared" ca="1" si="460"/>
        <v>1</v>
      </c>
      <c r="C5490" s="26">
        <f t="shared" ca="1" si="459"/>
        <v>0.11882104230019352</v>
      </c>
      <c r="J5490">
        <f t="shared" ca="1" si="461"/>
        <v>1</v>
      </c>
      <c r="K5490">
        <f t="shared" ca="1" si="462"/>
        <v>0</v>
      </c>
      <c r="L5490">
        <f t="shared" si="463"/>
        <v>5484</v>
      </c>
      <c r="M5490" s="71">
        <f t="shared" ca="1" si="464"/>
        <v>0.77130184760686848</v>
      </c>
    </row>
    <row r="5491" spans="1:13" x14ac:dyDescent="0.25">
      <c r="A5491" s="2">
        <v>5485</v>
      </c>
      <c r="B5491" s="11">
        <f t="shared" ca="1" si="460"/>
        <v>1</v>
      </c>
      <c r="C5491" s="26">
        <f t="shared" ca="1" si="459"/>
        <v>0.59498339600298222</v>
      </c>
      <c r="J5491">
        <f t="shared" ca="1" si="461"/>
        <v>0</v>
      </c>
      <c r="K5491">
        <f t="shared" ca="1" si="462"/>
        <v>0</v>
      </c>
      <c r="L5491">
        <f t="shared" si="463"/>
        <v>5485</v>
      </c>
      <c r="M5491" s="71">
        <f t="shared" ca="1" si="464"/>
        <v>0.18902114556950067</v>
      </c>
    </row>
    <row r="5492" spans="1:13" x14ac:dyDescent="0.25">
      <c r="A5492" s="2">
        <v>5486</v>
      </c>
      <c r="B5492" s="11">
        <f t="shared" ca="1" si="460"/>
        <v>0</v>
      </c>
      <c r="C5492" s="26">
        <f t="shared" ca="1" si="459"/>
        <v>0.9835951364023493</v>
      </c>
      <c r="J5492">
        <f t="shared" ca="1" si="461"/>
        <v>0</v>
      </c>
      <c r="K5492">
        <f t="shared" ca="1" si="462"/>
        <v>0</v>
      </c>
      <c r="L5492">
        <f t="shared" si="463"/>
        <v>5486</v>
      </c>
      <c r="M5492" s="71">
        <f t="shared" ca="1" si="464"/>
        <v>0</v>
      </c>
    </row>
    <row r="5493" spans="1:13" x14ac:dyDescent="0.25">
      <c r="A5493" s="2">
        <v>5487</v>
      </c>
      <c r="B5493" s="11">
        <f t="shared" ca="1" si="460"/>
        <v>1</v>
      </c>
      <c r="C5493" s="26">
        <f t="shared" ca="1" si="459"/>
        <v>0.34360611915303374</v>
      </c>
      <c r="J5493">
        <f t="shared" ca="1" si="461"/>
        <v>1</v>
      </c>
      <c r="K5493">
        <f t="shared" ca="1" si="462"/>
        <v>0</v>
      </c>
      <c r="L5493">
        <f t="shared" si="463"/>
        <v>5487</v>
      </c>
      <c r="M5493" s="71">
        <f t="shared" ca="1" si="464"/>
        <v>4.4286716827994317</v>
      </c>
    </row>
    <row r="5494" spans="1:13" x14ac:dyDescent="0.25">
      <c r="A5494" s="2">
        <v>5488</v>
      </c>
      <c r="B5494" s="11">
        <f t="shared" ca="1" si="460"/>
        <v>1</v>
      </c>
      <c r="C5494" s="26">
        <f t="shared" ca="1" si="459"/>
        <v>0.7203838138341645</v>
      </c>
      <c r="J5494">
        <f t="shared" ca="1" si="461"/>
        <v>1</v>
      </c>
      <c r="K5494">
        <f t="shared" ca="1" si="462"/>
        <v>0</v>
      </c>
      <c r="L5494">
        <f t="shared" si="463"/>
        <v>5488</v>
      </c>
      <c r="M5494" s="71">
        <f t="shared" ca="1" si="464"/>
        <v>2.6110194946816105</v>
      </c>
    </row>
    <row r="5495" spans="1:13" x14ac:dyDescent="0.25">
      <c r="A5495" s="2">
        <v>5489</v>
      </c>
      <c r="B5495" s="11">
        <f t="shared" ca="1" si="460"/>
        <v>1</v>
      </c>
      <c r="C5495" s="26">
        <f t="shared" ca="1" si="459"/>
        <v>6.7858028566218254E-2</v>
      </c>
      <c r="J5495">
        <f t="shared" ca="1" si="461"/>
        <v>1</v>
      </c>
      <c r="K5495">
        <f t="shared" ca="1" si="462"/>
        <v>0</v>
      </c>
      <c r="L5495">
        <f t="shared" si="463"/>
        <v>5489</v>
      </c>
      <c r="M5495" s="71">
        <f t="shared" ca="1" si="464"/>
        <v>0.10351615931438016</v>
      </c>
    </row>
    <row r="5496" spans="1:13" x14ac:dyDescent="0.25">
      <c r="A5496" s="2">
        <v>5490</v>
      </c>
      <c r="B5496" s="11">
        <f t="shared" ca="1" si="460"/>
        <v>1</v>
      </c>
      <c r="C5496" s="26">
        <f t="shared" ca="1" si="459"/>
        <v>0.65921349885478975</v>
      </c>
      <c r="J5496">
        <f t="shared" ca="1" si="461"/>
        <v>1</v>
      </c>
      <c r="K5496">
        <f t="shared" ca="1" si="462"/>
        <v>0</v>
      </c>
      <c r="L5496">
        <f t="shared" si="463"/>
        <v>5490</v>
      </c>
      <c r="M5496" s="71">
        <f t="shared" ca="1" si="464"/>
        <v>3.0125575816013681</v>
      </c>
    </row>
    <row r="5497" spans="1:13" x14ac:dyDescent="0.25">
      <c r="A5497" s="2">
        <v>5491</v>
      </c>
      <c r="B5497" s="11">
        <f t="shared" ca="1" si="460"/>
        <v>1</v>
      </c>
      <c r="C5497" s="26">
        <f t="shared" ca="1" si="459"/>
        <v>0.33808797158307624</v>
      </c>
      <c r="J5497">
        <f t="shared" ca="1" si="461"/>
        <v>1</v>
      </c>
      <c r="K5497">
        <f t="shared" ca="1" si="462"/>
        <v>0</v>
      </c>
      <c r="L5497">
        <f t="shared" si="463"/>
        <v>5491</v>
      </c>
      <c r="M5497" s="71">
        <f t="shared" ca="1" si="464"/>
        <v>0.66088156325719272</v>
      </c>
    </row>
    <row r="5498" spans="1:13" x14ac:dyDescent="0.25">
      <c r="A5498" s="2">
        <v>5492</v>
      </c>
      <c r="B5498" s="11">
        <f t="shared" ca="1" si="460"/>
        <v>1</v>
      </c>
      <c r="C5498" s="26">
        <f t="shared" ca="1" si="459"/>
        <v>0.25410916292335806</v>
      </c>
      <c r="J5498">
        <f t="shared" ca="1" si="461"/>
        <v>1</v>
      </c>
      <c r="K5498">
        <f t="shared" ca="1" si="462"/>
        <v>0</v>
      </c>
      <c r="L5498">
        <f t="shared" si="463"/>
        <v>5492</v>
      </c>
      <c r="M5498" s="71">
        <f t="shared" ca="1" si="464"/>
        <v>2.2759615605593346</v>
      </c>
    </row>
    <row r="5499" spans="1:13" x14ac:dyDescent="0.25">
      <c r="A5499" s="2">
        <v>5493</v>
      </c>
      <c r="B5499" s="11">
        <f t="shared" ca="1" si="460"/>
        <v>1</v>
      </c>
      <c r="C5499" s="26">
        <f t="shared" ca="1" si="459"/>
        <v>0.62412057347601879</v>
      </c>
      <c r="J5499">
        <f t="shared" ca="1" si="461"/>
        <v>0</v>
      </c>
      <c r="K5499">
        <f t="shared" ca="1" si="462"/>
        <v>0</v>
      </c>
      <c r="L5499">
        <f t="shared" si="463"/>
        <v>5493</v>
      </c>
      <c r="M5499" s="71">
        <f t="shared" ca="1" si="464"/>
        <v>4.5026415394171015E-2</v>
      </c>
    </row>
    <row r="5500" spans="1:13" x14ac:dyDescent="0.25">
      <c r="A5500" s="2">
        <v>5494</v>
      </c>
      <c r="B5500" s="11">
        <f t="shared" ca="1" si="460"/>
        <v>0</v>
      </c>
      <c r="C5500" s="26">
        <f t="shared" ca="1" si="459"/>
        <v>0.99034642728740807</v>
      </c>
      <c r="J5500">
        <f t="shared" ca="1" si="461"/>
        <v>0</v>
      </c>
      <c r="K5500">
        <f t="shared" ca="1" si="462"/>
        <v>1</v>
      </c>
      <c r="L5500">
        <f t="shared" si="463"/>
        <v>5494</v>
      </c>
      <c r="M5500" s="71">
        <f t="shared" ca="1" si="464"/>
        <v>0</v>
      </c>
    </row>
    <row r="5501" spans="1:13" x14ac:dyDescent="0.25">
      <c r="A5501" s="2">
        <v>5495</v>
      </c>
      <c r="B5501" s="11">
        <f t="shared" ca="1" si="460"/>
        <v>0</v>
      </c>
      <c r="C5501" s="26">
        <f t="shared" ca="1" si="459"/>
        <v>0.77321770091941511</v>
      </c>
      <c r="J5501">
        <f t="shared" ca="1" si="461"/>
        <v>0</v>
      </c>
      <c r="K5501">
        <f t="shared" ca="1" si="462"/>
        <v>0</v>
      </c>
      <c r="L5501">
        <f t="shared" si="463"/>
        <v>5495</v>
      </c>
      <c r="M5501" s="71">
        <f t="shared" ca="1" si="464"/>
        <v>0</v>
      </c>
    </row>
    <row r="5502" spans="1:13" x14ac:dyDescent="0.25">
      <c r="A5502" s="2">
        <v>5496</v>
      </c>
      <c r="B5502" s="11">
        <f t="shared" ca="1" si="460"/>
        <v>1</v>
      </c>
      <c r="C5502" s="26">
        <f t="shared" ca="1" si="459"/>
        <v>0.49861391177793901</v>
      </c>
      <c r="J5502">
        <f t="shared" ca="1" si="461"/>
        <v>1</v>
      </c>
      <c r="K5502">
        <f t="shared" ca="1" si="462"/>
        <v>0</v>
      </c>
      <c r="L5502">
        <f t="shared" si="463"/>
        <v>5496</v>
      </c>
      <c r="M5502" s="71">
        <f t="shared" ca="1" si="464"/>
        <v>2.5483332271489583</v>
      </c>
    </row>
    <row r="5503" spans="1:13" x14ac:dyDescent="0.25">
      <c r="A5503" s="2">
        <v>5497</v>
      </c>
      <c r="B5503" s="11">
        <f t="shared" ca="1" si="460"/>
        <v>1</v>
      </c>
      <c r="C5503" s="26">
        <f t="shared" ca="1" si="459"/>
        <v>0.55595168503580017</v>
      </c>
      <c r="J5503">
        <f t="shared" ca="1" si="461"/>
        <v>1</v>
      </c>
      <c r="K5503">
        <f t="shared" ca="1" si="462"/>
        <v>0</v>
      </c>
      <c r="L5503">
        <f t="shared" si="463"/>
        <v>5497</v>
      </c>
      <c r="M5503" s="71">
        <f t="shared" ca="1" si="464"/>
        <v>5.1525502930095239</v>
      </c>
    </row>
    <row r="5504" spans="1:13" x14ac:dyDescent="0.25">
      <c r="A5504" s="2">
        <v>5498</v>
      </c>
      <c r="B5504" s="11">
        <f t="shared" ca="1" si="460"/>
        <v>1</v>
      </c>
      <c r="C5504" s="26">
        <f t="shared" ca="1" si="459"/>
        <v>0.15345649207453571</v>
      </c>
      <c r="J5504">
        <f t="shared" ca="1" si="461"/>
        <v>0</v>
      </c>
      <c r="K5504">
        <f t="shared" ca="1" si="462"/>
        <v>0</v>
      </c>
      <c r="L5504">
        <f t="shared" si="463"/>
        <v>5498</v>
      </c>
      <c r="M5504" s="71">
        <f t="shared" ca="1" si="464"/>
        <v>2.1786351687621823</v>
      </c>
    </row>
    <row r="5505" spans="1:13" x14ac:dyDescent="0.25">
      <c r="A5505" s="2">
        <v>5499</v>
      </c>
      <c r="B5505" s="11">
        <f t="shared" ca="1" si="460"/>
        <v>0</v>
      </c>
      <c r="C5505" s="26">
        <f t="shared" ca="1" si="459"/>
        <v>0.85914843654756679</v>
      </c>
      <c r="J5505">
        <f t="shared" ca="1" si="461"/>
        <v>0</v>
      </c>
      <c r="K5505">
        <f t="shared" ca="1" si="462"/>
        <v>1</v>
      </c>
      <c r="L5505">
        <f t="shared" si="463"/>
        <v>5499</v>
      </c>
      <c r="M5505" s="71">
        <f t="shared" ca="1" si="464"/>
        <v>0</v>
      </c>
    </row>
    <row r="5506" spans="1:13" x14ac:dyDescent="0.25">
      <c r="A5506" s="2">
        <v>5500</v>
      </c>
      <c r="B5506" s="11">
        <f t="shared" ca="1" si="460"/>
        <v>0</v>
      </c>
      <c r="C5506" s="26">
        <f t="shared" ca="1" si="459"/>
        <v>0.84431251509886041</v>
      </c>
      <c r="J5506">
        <f t="shared" ca="1" si="461"/>
        <v>0</v>
      </c>
      <c r="K5506">
        <f t="shared" ca="1" si="462"/>
        <v>0</v>
      </c>
      <c r="L5506">
        <f t="shared" si="463"/>
        <v>5500</v>
      </c>
      <c r="M5506" s="71">
        <f t="shared" ca="1" si="464"/>
        <v>0</v>
      </c>
    </row>
    <row r="5507" spans="1:13" x14ac:dyDescent="0.25">
      <c r="A5507" s="2">
        <v>5501</v>
      </c>
      <c r="B5507" s="11">
        <f t="shared" ca="1" si="460"/>
        <v>1</v>
      </c>
      <c r="C5507" s="26">
        <f t="shared" ca="1" si="459"/>
        <v>0.65428097820509523</v>
      </c>
      <c r="J5507">
        <f t="shared" ca="1" si="461"/>
        <v>0</v>
      </c>
      <c r="K5507">
        <f t="shared" ca="1" si="462"/>
        <v>0</v>
      </c>
      <c r="L5507">
        <f t="shared" si="463"/>
        <v>5501</v>
      </c>
      <c r="M5507" s="71">
        <f t="shared" ca="1" si="464"/>
        <v>2.0879121521782769</v>
      </c>
    </row>
    <row r="5508" spans="1:13" x14ac:dyDescent="0.25">
      <c r="A5508" s="2">
        <v>5502</v>
      </c>
      <c r="B5508" s="11">
        <f t="shared" ca="1" si="460"/>
        <v>0</v>
      </c>
      <c r="C5508" s="26">
        <f t="shared" ca="1" si="459"/>
        <v>0.89397080065570678</v>
      </c>
      <c r="J5508">
        <f t="shared" ca="1" si="461"/>
        <v>0</v>
      </c>
      <c r="K5508">
        <f t="shared" ca="1" si="462"/>
        <v>0</v>
      </c>
      <c r="L5508">
        <f t="shared" si="463"/>
        <v>5502</v>
      </c>
      <c r="M5508" s="71">
        <f t="shared" ca="1" si="464"/>
        <v>0</v>
      </c>
    </row>
    <row r="5509" spans="1:13" x14ac:dyDescent="0.25">
      <c r="A5509" s="2">
        <v>5503</v>
      </c>
      <c r="B5509" s="11">
        <f t="shared" ca="1" si="460"/>
        <v>1</v>
      </c>
      <c r="C5509" s="26">
        <f t="shared" ca="1" si="459"/>
        <v>0.46427752896091323</v>
      </c>
      <c r="J5509">
        <f t="shared" ca="1" si="461"/>
        <v>0</v>
      </c>
      <c r="K5509">
        <f t="shared" ca="1" si="462"/>
        <v>0</v>
      </c>
      <c r="L5509">
        <f t="shared" si="463"/>
        <v>5503</v>
      </c>
      <c r="M5509" s="71">
        <f t="shared" ca="1" si="464"/>
        <v>1.3698335704144657</v>
      </c>
    </row>
    <row r="5510" spans="1:13" x14ac:dyDescent="0.25">
      <c r="A5510" s="2">
        <v>5504</v>
      </c>
      <c r="B5510" s="11">
        <f t="shared" ca="1" si="460"/>
        <v>0</v>
      </c>
      <c r="C5510" s="26">
        <f t="shared" ca="1" si="459"/>
        <v>0.82226336499905017</v>
      </c>
      <c r="J5510">
        <f t="shared" ca="1" si="461"/>
        <v>0</v>
      </c>
      <c r="K5510">
        <f t="shared" ca="1" si="462"/>
        <v>0</v>
      </c>
      <c r="L5510">
        <f t="shared" si="463"/>
        <v>5504</v>
      </c>
      <c r="M5510" s="71">
        <f t="shared" ca="1" si="464"/>
        <v>0</v>
      </c>
    </row>
    <row r="5511" spans="1:13" x14ac:dyDescent="0.25">
      <c r="A5511" s="2">
        <v>5505</v>
      </c>
      <c r="B5511" s="11">
        <f t="shared" ca="1" si="460"/>
        <v>1</v>
      </c>
      <c r="C5511" s="26">
        <f t="shared" ca="1" si="459"/>
        <v>0.55333364631933835</v>
      </c>
      <c r="J5511">
        <f t="shared" ca="1" si="461"/>
        <v>1</v>
      </c>
      <c r="K5511">
        <f t="shared" ca="1" si="462"/>
        <v>0</v>
      </c>
      <c r="L5511">
        <f t="shared" si="463"/>
        <v>5505</v>
      </c>
      <c r="M5511" s="71">
        <f t="shared" ca="1" si="464"/>
        <v>4.9623988319437764</v>
      </c>
    </row>
    <row r="5512" spans="1:13" x14ac:dyDescent="0.25">
      <c r="A5512" s="2">
        <v>5506</v>
      </c>
      <c r="B5512" s="11">
        <f t="shared" ca="1" si="460"/>
        <v>1</v>
      </c>
      <c r="C5512" s="26">
        <f t="shared" ref="C5512:C5575" ca="1" si="465">RAND()</f>
        <v>9.494361431695153E-2</v>
      </c>
      <c r="J5512">
        <f t="shared" ca="1" si="461"/>
        <v>1</v>
      </c>
      <c r="K5512">
        <f t="shared" ca="1" si="462"/>
        <v>0</v>
      </c>
      <c r="L5512">
        <f t="shared" si="463"/>
        <v>5506</v>
      </c>
      <c r="M5512" s="71">
        <f t="shared" ca="1" si="464"/>
        <v>0.5626823678382864</v>
      </c>
    </row>
    <row r="5513" spans="1:13" x14ac:dyDescent="0.25">
      <c r="A5513" s="2">
        <v>5507</v>
      </c>
      <c r="B5513" s="11">
        <f t="shared" ref="B5513:B5576" ca="1" si="466">IF(B5512&gt;0,IF(C5513&lt;pww,1,0),IF(C5513&lt;pdw,1,0))</f>
        <v>1</v>
      </c>
      <c r="C5513" s="26">
        <f t="shared" ca="1" si="465"/>
        <v>0.23799274974318063</v>
      </c>
      <c r="J5513">
        <f t="shared" ca="1" si="461"/>
        <v>1</v>
      </c>
      <c r="K5513">
        <f t="shared" ca="1" si="462"/>
        <v>0</v>
      </c>
      <c r="L5513">
        <f t="shared" si="463"/>
        <v>5507</v>
      </c>
      <c r="M5513" s="71">
        <f t="shared" ca="1" si="464"/>
        <v>3.1469826509505618</v>
      </c>
    </row>
    <row r="5514" spans="1:13" x14ac:dyDescent="0.25">
      <c r="A5514" s="2">
        <v>5508</v>
      </c>
      <c r="B5514" s="11">
        <f t="shared" ca="1" si="466"/>
        <v>1</v>
      </c>
      <c r="C5514" s="26">
        <f t="shared" ca="1" si="465"/>
        <v>0.23676409891470263</v>
      </c>
      <c r="J5514">
        <f t="shared" ref="J5514:J5577" ca="1" si="467">IF(AND(B5514,B5515),1,0)</f>
        <v>1</v>
      </c>
      <c r="K5514">
        <f t="shared" ref="K5514:K5577" ca="1" si="468">IF(AND(NOT(B5514),NOT(B5515)),1,0)</f>
        <v>0</v>
      </c>
      <c r="L5514">
        <f t="shared" ref="L5514:L5577" si="469">L5513+1</f>
        <v>5508</v>
      </c>
      <c r="M5514" s="71">
        <f t="shared" ref="M5514:M5577" ca="1" si="470">IF(B5514&gt;0,-LN(1-(RAND()))/lambda,0)</f>
        <v>4.642566403991351</v>
      </c>
    </row>
    <row r="5515" spans="1:13" x14ac:dyDescent="0.25">
      <c r="A5515" s="2">
        <v>5509</v>
      </c>
      <c r="B5515" s="11">
        <f t="shared" ca="1" si="466"/>
        <v>1</v>
      </c>
      <c r="C5515" s="26">
        <f t="shared" ca="1" si="465"/>
        <v>0.64317959991651352</v>
      </c>
      <c r="J5515">
        <f t="shared" ca="1" si="467"/>
        <v>1</v>
      </c>
      <c r="K5515">
        <f t="shared" ca="1" si="468"/>
        <v>0</v>
      </c>
      <c r="L5515">
        <f t="shared" si="469"/>
        <v>5509</v>
      </c>
      <c r="M5515" s="71">
        <f t="shared" ca="1" si="470"/>
        <v>7.7619509173474279</v>
      </c>
    </row>
    <row r="5516" spans="1:13" x14ac:dyDescent="0.25">
      <c r="A5516" s="2">
        <v>5510</v>
      </c>
      <c r="B5516" s="11">
        <f t="shared" ca="1" si="466"/>
        <v>1</v>
      </c>
      <c r="C5516" s="26">
        <f t="shared" ca="1" si="465"/>
        <v>0.79388188117430225</v>
      </c>
      <c r="J5516">
        <f t="shared" ca="1" si="467"/>
        <v>0</v>
      </c>
      <c r="K5516">
        <f t="shared" ca="1" si="468"/>
        <v>0</v>
      </c>
      <c r="L5516">
        <f t="shared" si="469"/>
        <v>5510</v>
      </c>
      <c r="M5516" s="71">
        <f t="shared" ca="1" si="470"/>
        <v>0.74276415267655371</v>
      </c>
    </row>
    <row r="5517" spans="1:13" x14ac:dyDescent="0.25">
      <c r="A5517" s="2">
        <v>5511</v>
      </c>
      <c r="B5517" s="11">
        <f t="shared" ca="1" si="466"/>
        <v>0</v>
      </c>
      <c r="C5517" s="26">
        <f t="shared" ca="1" si="465"/>
        <v>0.86140627518674762</v>
      </c>
      <c r="J5517">
        <f t="shared" ca="1" si="467"/>
        <v>0</v>
      </c>
      <c r="K5517">
        <f t="shared" ca="1" si="468"/>
        <v>0</v>
      </c>
      <c r="L5517">
        <f t="shared" si="469"/>
        <v>5511</v>
      </c>
      <c r="M5517" s="71">
        <f t="shared" ca="1" si="470"/>
        <v>0</v>
      </c>
    </row>
    <row r="5518" spans="1:13" x14ac:dyDescent="0.25">
      <c r="A5518" s="2">
        <v>5512</v>
      </c>
      <c r="B5518" s="11">
        <f t="shared" ca="1" si="466"/>
        <v>1</v>
      </c>
      <c r="C5518" s="26">
        <f t="shared" ca="1" si="465"/>
        <v>0.50444829733100316</v>
      </c>
      <c r="J5518">
        <f t="shared" ca="1" si="467"/>
        <v>1</v>
      </c>
      <c r="K5518">
        <f t="shared" ca="1" si="468"/>
        <v>0</v>
      </c>
      <c r="L5518">
        <f t="shared" si="469"/>
        <v>5512</v>
      </c>
      <c r="M5518" s="71">
        <f t="shared" ca="1" si="470"/>
        <v>2.9253172156469223</v>
      </c>
    </row>
    <row r="5519" spans="1:13" x14ac:dyDescent="0.25">
      <c r="A5519" s="2">
        <v>5513</v>
      </c>
      <c r="B5519" s="11">
        <f t="shared" ca="1" si="466"/>
        <v>1</v>
      </c>
      <c r="C5519" s="26">
        <f t="shared" ca="1" si="465"/>
        <v>0.71508263300099417</v>
      </c>
      <c r="J5519">
        <f t="shared" ca="1" si="467"/>
        <v>1</v>
      </c>
      <c r="K5519">
        <f t="shared" ca="1" si="468"/>
        <v>0</v>
      </c>
      <c r="L5519">
        <f t="shared" si="469"/>
        <v>5513</v>
      </c>
      <c r="M5519" s="71">
        <f t="shared" ca="1" si="470"/>
        <v>2.8238100371397059</v>
      </c>
    </row>
    <row r="5520" spans="1:13" x14ac:dyDescent="0.25">
      <c r="A5520" s="2">
        <v>5514</v>
      </c>
      <c r="B5520" s="11">
        <f t="shared" ca="1" si="466"/>
        <v>1</v>
      </c>
      <c r="C5520" s="26">
        <f t="shared" ca="1" si="465"/>
        <v>0.12452829420036426</v>
      </c>
      <c r="J5520">
        <f t="shared" ca="1" si="467"/>
        <v>0</v>
      </c>
      <c r="K5520">
        <f t="shared" ca="1" si="468"/>
        <v>0</v>
      </c>
      <c r="L5520">
        <f t="shared" si="469"/>
        <v>5514</v>
      </c>
      <c r="M5520" s="71">
        <f t="shared" ca="1" si="470"/>
        <v>0.68601428834631706</v>
      </c>
    </row>
    <row r="5521" spans="1:13" x14ac:dyDescent="0.25">
      <c r="A5521" s="2">
        <v>5515</v>
      </c>
      <c r="B5521" s="11">
        <f t="shared" ca="1" si="466"/>
        <v>0</v>
      </c>
      <c r="C5521" s="26">
        <f t="shared" ca="1" si="465"/>
        <v>0.95372217173456353</v>
      </c>
      <c r="J5521">
        <f t="shared" ca="1" si="467"/>
        <v>0</v>
      </c>
      <c r="K5521">
        <f t="shared" ca="1" si="468"/>
        <v>0</v>
      </c>
      <c r="L5521">
        <f t="shared" si="469"/>
        <v>5515</v>
      </c>
      <c r="M5521" s="71">
        <f t="shared" ca="1" si="470"/>
        <v>0</v>
      </c>
    </row>
    <row r="5522" spans="1:13" x14ac:dyDescent="0.25">
      <c r="A5522" s="2">
        <v>5516</v>
      </c>
      <c r="B5522" s="11">
        <f t="shared" ca="1" si="466"/>
        <v>1</v>
      </c>
      <c r="C5522" s="26">
        <f t="shared" ca="1" si="465"/>
        <v>0.54499172788218442</v>
      </c>
      <c r="J5522">
        <f t="shared" ca="1" si="467"/>
        <v>0</v>
      </c>
      <c r="K5522">
        <f t="shared" ca="1" si="468"/>
        <v>0</v>
      </c>
      <c r="L5522">
        <f t="shared" si="469"/>
        <v>5516</v>
      </c>
      <c r="M5522" s="71">
        <f t="shared" ca="1" si="470"/>
        <v>0.62050943285550864</v>
      </c>
    </row>
    <row r="5523" spans="1:13" x14ac:dyDescent="0.25">
      <c r="A5523" s="2">
        <v>5517</v>
      </c>
      <c r="B5523" s="11">
        <f t="shared" ca="1" si="466"/>
        <v>0</v>
      </c>
      <c r="C5523" s="26">
        <f t="shared" ca="1" si="465"/>
        <v>0.94722467009931521</v>
      </c>
      <c r="J5523">
        <f t="shared" ca="1" si="467"/>
        <v>0</v>
      </c>
      <c r="K5523">
        <f t="shared" ca="1" si="468"/>
        <v>1</v>
      </c>
      <c r="L5523">
        <f t="shared" si="469"/>
        <v>5517</v>
      </c>
      <c r="M5523" s="71">
        <f t="shared" ca="1" si="470"/>
        <v>0</v>
      </c>
    </row>
    <row r="5524" spans="1:13" x14ac:dyDescent="0.25">
      <c r="A5524" s="2">
        <v>5518</v>
      </c>
      <c r="B5524" s="11">
        <f t="shared" ca="1" si="466"/>
        <v>0</v>
      </c>
      <c r="C5524" s="26">
        <f t="shared" ca="1" si="465"/>
        <v>0.89118899246115346</v>
      </c>
      <c r="J5524">
        <f t="shared" ca="1" si="467"/>
        <v>0</v>
      </c>
      <c r="K5524">
        <f t="shared" ca="1" si="468"/>
        <v>0</v>
      </c>
      <c r="L5524">
        <f t="shared" si="469"/>
        <v>5518</v>
      </c>
      <c r="M5524" s="71">
        <f t="shared" ca="1" si="470"/>
        <v>0</v>
      </c>
    </row>
    <row r="5525" spans="1:13" x14ac:dyDescent="0.25">
      <c r="A5525" s="2">
        <v>5519</v>
      </c>
      <c r="B5525" s="11">
        <f t="shared" ca="1" si="466"/>
        <v>1</v>
      </c>
      <c r="C5525" s="26">
        <f t="shared" ca="1" si="465"/>
        <v>9.8756377713923094E-2</v>
      </c>
      <c r="J5525">
        <f t="shared" ca="1" si="467"/>
        <v>1</v>
      </c>
      <c r="K5525">
        <f t="shared" ca="1" si="468"/>
        <v>0</v>
      </c>
      <c r="L5525">
        <f t="shared" si="469"/>
        <v>5519</v>
      </c>
      <c r="M5525" s="71">
        <f t="shared" ca="1" si="470"/>
        <v>5.66030677073823</v>
      </c>
    </row>
    <row r="5526" spans="1:13" x14ac:dyDescent="0.25">
      <c r="A5526" s="2">
        <v>5520</v>
      </c>
      <c r="B5526" s="11">
        <f t="shared" ca="1" si="466"/>
        <v>1</v>
      </c>
      <c r="C5526" s="26">
        <f t="shared" ca="1" si="465"/>
        <v>0.16434990054523158</v>
      </c>
      <c r="J5526">
        <f t="shared" ca="1" si="467"/>
        <v>1</v>
      </c>
      <c r="K5526">
        <f t="shared" ca="1" si="468"/>
        <v>0</v>
      </c>
      <c r="L5526">
        <f t="shared" si="469"/>
        <v>5520</v>
      </c>
      <c r="M5526" s="71">
        <f t="shared" ca="1" si="470"/>
        <v>3.0790906791343536E-2</v>
      </c>
    </row>
    <row r="5527" spans="1:13" x14ac:dyDescent="0.25">
      <c r="A5527" s="2">
        <v>5521</v>
      </c>
      <c r="B5527" s="11">
        <f t="shared" ca="1" si="466"/>
        <v>1</v>
      </c>
      <c r="C5527" s="26">
        <f t="shared" ca="1" si="465"/>
        <v>5.9090183369040927E-2</v>
      </c>
      <c r="J5527">
        <f t="shared" ca="1" si="467"/>
        <v>0</v>
      </c>
      <c r="K5527">
        <f t="shared" ca="1" si="468"/>
        <v>0</v>
      </c>
      <c r="L5527">
        <f t="shared" si="469"/>
        <v>5521</v>
      </c>
      <c r="M5527" s="71">
        <f t="shared" ca="1" si="470"/>
        <v>4.6812411616702043</v>
      </c>
    </row>
    <row r="5528" spans="1:13" x14ac:dyDescent="0.25">
      <c r="A5528" s="2">
        <v>5522</v>
      </c>
      <c r="B5528" s="11">
        <f t="shared" ca="1" si="466"/>
        <v>0</v>
      </c>
      <c r="C5528" s="26">
        <f t="shared" ca="1" si="465"/>
        <v>0.95476834256323018</v>
      </c>
      <c r="J5528">
        <f t="shared" ca="1" si="467"/>
        <v>0</v>
      </c>
      <c r="K5528">
        <f t="shared" ca="1" si="468"/>
        <v>0</v>
      </c>
      <c r="L5528">
        <f t="shared" si="469"/>
        <v>5522</v>
      </c>
      <c r="M5528" s="71">
        <f t="shared" ca="1" si="470"/>
        <v>0</v>
      </c>
    </row>
    <row r="5529" spans="1:13" x14ac:dyDescent="0.25">
      <c r="A5529" s="2">
        <v>5523</v>
      </c>
      <c r="B5529" s="11">
        <f t="shared" ca="1" si="466"/>
        <v>1</v>
      </c>
      <c r="C5529" s="26">
        <f t="shared" ca="1" si="465"/>
        <v>2.9961689529297009E-2</v>
      </c>
      <c r="J5529">
        <f t="shared" ca="1" si="467"/>
        <v>1</v>
      </c>
      <c r="K5529">
        <f t="shared" ca="1" si="468"/>
        <v>0</v>
      </c>
      <c r="L5529">
        <f t="shared" si="469"/>
        <v>5523</v>
      </c>
      <c r="M5529" s="71">
        <f t="shared" ca="1" si="470"/>
        <v>4.5154450120003071</v>
      </c>
    </row>
    <row r="5530" spans="1:13" x14ac:dyDescent="0.25">
      <c r="A5530" s="2">
        <v>5524</v>
      </c>
      <c r="B5530" s="11">
        <f t="shared" ca="1" si="466"/>
        <v>1</v>
      </c>
      <c r="C5530" s="26">
        <f t="shared" ca="1" si="465"/>
        <v>0.26956137145027748</v>
      </c>
      <c r="J5530">
        <f t="shared" ca="1" si="467"/>
        <v>0</v>
      </c>
      <c r="K5530">
        <f t="shared" ca="1" si="468"/>
        <v>0</v>
      </c>
      <c r="L5530">
        <f t="shared" si="469"/>
        <v>5524</v>
      </c>
      <c r="M5530" s="71">
        <f t="shared" ca="1" si="470"/>
        <v>0.91505563972560022</v>
      </c>
    </row>
    <row r="5531" spans="1:13" x14ac:dyDescent="0.25">
      <c r="A5531" s="2">
        <v>5525</v>
      </c>
      <c r="B5531" s="11">
        <f t="shared" ca="1" si="466"/>
        <v>0</v>
      </c>
      <c r="C5531" s="26">
        <f t="shared" ca="1" si="465"/>
        <v>0.83608422645976233</v>
      </c>
      <c r="J5531">
        <f t="shared" ca="1" si="467"/>
        <v>0</v>
      </c>
      <c r="K5531">
        <f t="shared" ca="1" si="468"/>
        <v>0</v>
      </c>
      <c r="L5531">
        <f t="shared" si="469"/>
        <v>5525</v>
      </c>
      <c r="M5531" s="71">
        <f t="shared" ca="1" si="470"/>
        <v>0</v>
      </c>
    </row>
    <row r="5532" spans="1:13" x14ac:dyDescent="0.25">
      <c r="A5532" s="2">
        <v>5526</v>
      </c>
      <c r="B5532" s="11">
        <f t="shared" ca="1" si="466"/>
        <v>1</v>
      </c>
      <c r="C5532" s="26">
        <f t="shared" ca="1" si="465"/>
        <v>0.16517724382852228</v>
      </c>
      <c r="J5532">
        <f t="shared" ca="1" si="467"/>
        <v>1</v>
      </c>
      <c r="K5532">
        <f t="shared" ca="1" si="468"/>
        <v>0</v>
      </c>
      <c r="L5532">
        <f t="shared" si="469"/>
        <v>5526</v>
      </c>
      <c r="M5532" s="71">
        <f t="shared" ca="1" si="470"/>
        <v>7.9742620151004182E-2</v>
      </c>
    </row>
    <row r="5533" spans="1:13" x14ac:dyDescent="0.25">
      <c r="A5533" s="2">
        <v>5527</v>
      </c>
      <c r="B5533" s="11">
        <f t="shared" ca="1" si="466"/>
        <v>1</v>
      </c>
      <c r="C5533" s="26">
        <f t="shared" ca="1" si="465"/>
        <v>0.76605436354152256</v>
      </c>
      <c r="J5533">
        <f t="shared" ca="1" si="467"/>
        <v>1</v>
      </c>
      <c r="K5533">
        <f t="shared" ca="1" si="468"/>
        <v>0</v>
      </c>
      <c r="L5533">
        <f t="shared" si="469"/>
        <v>5527</v>
      </c>
      <c r="M5533" s="71">
        <f t="shared" ca="1" si="470"/>
        <v>2.4569829663204006</v>
      </c>
    </row>
    <row r="5534" spans="1:13" x14ac:dyDescent="0.25">
      <c r="A5534" s="2">
        <v>5528</v>
      </c>
      <c r="B5534" s="11">
        <f t="shared" ca="1" si="466"/>
        <v>1</v>
      </c>
      <c r="C5534" s="26">
        <f t="shared" ca="1" si="465"/>
        <v>0.73316178283174616</v>
      </c>
      <c r="J5534">
        <f t="shared" ca="1" si="467"/>
        <v>1</v>
      </c>
      <c r="K5534">
        <f t="shared" ca="1" si="468"/>
        <v>0</v>
      </c>
      <c r="L5534">
        <f t="shared" si="469"/>
        <v>5528</v>
      </c>
      <c r="M5534" s="71">
        <f t="shared" ca="1" si="470"/>
        <v>1.9871420478157695</v>
      </c>
    </row>
    <row r="5535" spans="1:13" x14ac:dyDescent="0.25">
      <c r="A5535" s="2">
        <v>5529</v>
      </c>
      <c r="B5535" s="11">
        <f t="shared" ca="1" si="466"/>
        <v>1</v>
      </c>
      <c r="C5535" s="26">
        <f t="shared" ca="1" si="465"/>
        <v>0.49931185915432152</v>
      </c>
      <c r="J5535">
        <f t="shared" ca="1" si="467"/>
        <v>1</v>
      </c>
      <c r="K5535">
        <f t="shared" ca="1" si="468"/>
        <v>0</v>
      </c>
      <c r="L5535">
        <f t="shared" si="469"/>
        <v>5529</v>
      </c>
      <c r="M5535" s="71">
        <f t="shared" ca="1" si="470"/>
        <v>1.9172909338366693</v>
      </c>
    </row>
    <row r="5536" spans="1:13" x14ac:dyDescent="0.25">
      <c r="A5536" s="2">
        <v>5530</v>
      </c>
      <c r="B5536" s="11">
        <f t="shared" ca="1" si="466"/>
        <v>1</v>
      </c>
      <c r="C5536" s="26">
        <f t="shared" ca="1" si="465"/>
        <v>6.3928358092250948E-2</v>
      </c>
      <c r="J5536">
        <f t="shared" ca="1" si="467"/>
        <v>0</v>
      </c>
      <c r="K5536">
        <f t="shared" ca="1" si="468"/>
        <v>0</v>
      </c>
      <c r="L5536">
        <f t="shared" si="469"/>
        <v>5530</v>
      </c>
      <c r="M5536" s="71">
        <f t="shared" ca="1" si="470"/>
        <v>13.211464043379083</v>
      </c>
    </row>
    <row r="5537" spans="1:13" x14ac:dyDescent="0.25">
      <c r="A5537" s="2">
        <v>5531</v>
      </c>
      <c r="B5537" s="11">
        <f t="shared" ca="1" si="466"/>
        <v>0</v>
      </c>
      <c r="C5537" s="26">
        <f t="shared" ca="1" si="465"/>
        <v>0.91890675100608232</v>
      </c>
      <c r="J5537">
        <f t="shared" ca="1" si="467"/>
        <v>0</v>
      </c>
      <c r="K5537">
        <f t="shared" ca="1" si="468"/>
        <v>0</v>
      </c>
      <c r="L5537">
        <f t="shared" si="469"/>
        <v>5531</v>
      </c>
      <c r="M5537" s="71">
        <f t="shared" ca="1" si="470"/>
        <v>0</v>
      </c>
    </row>
    <row r="5538" spans="1:13" x14ac:dyDescent="0.25">
      <c r="A5538" s="2">
        <v>5532</v>
      </c>
      <c r="B5538" s="11">
        <f t="shared" ca="1" si="466"/>
        <v>1</v>
      </c>
      <c r="C5538" s="26">
        <f t="shared" ca="1" si="465"/>
        <v>1.8530066674851131E-2</v>
      </c>
      <c r="J5538">
        <f t="shared" ca="1" si="467"/>
        <v>1</v>
      </c>
      <c r="K5538">
        <f t="shared" ca="1" si="468"/>
        <v>0</v>
      </c>
      <c r="L5538">
        <f t="shared" si="469"/>
        <v>5532</v>
      </c>
      <c r="M5538" s="71">
        <f t="shared" ca="1" si="470"/>
        <v>4.2679310602801097</v>
      </c>
    </row>
    <row r="5539" spans="1:13" x14ac:dyDescent="0.25">
      <c r="A5539" s="2">
        <v>5533</v>
      </c>
      <c r="B5539" s="11">
        <f t="shared" ca="1" si="466"/>
        <v>1</v>
      </c>
      <c r="C5539" s="26">
        <f t="shared" ca="1" si="465"/>
        <v>9.6720972503150815E-2</v>
      </c>
      <c r="J5539">
        <f t="shared" ca="1" si="467"/>
        <v>0</v>
      </c>
      <c r="K5539">
        <f t="shared" ca="1" si="468"/>
        <v>0</v>
      </c>
      <c r="L5539">
        <f t="shared" si="469"/>
        <v>5533</v>
      </c>
      <c r="M5539" s="71">
        <f t="shared" ca="1" si="470"/>
        <v>10.918243190041405</v>
      </c>
    </row>
    <row r="5540" spans="1:13" x14ac:dyDescent="0.25">
      <c r="A5540" s="2">
        <v>5534</v>
      </c>
      <c r="B5540" s="11">
        <f t="shared" ca="1" si="466"/>
        <v>0</v>
      </c>
      <c r="C5540" s="26">
        <f t="shared" ca="1" si="465"/>
        <v>0.81590565515615532</v>
      </c>
      <c r="J5540">
        <f t="shared" ca="1" si="467"/>
        <v>0</v>
      </c>
      <c r="K5540">
        <f t="shared" ca="1" si="468"/>
        <v>0</v>
      </c>
      <c r="L5540">
        <f t="shared" si="469"/>
        <v>5534</v>
      </c>
      <c r="M5540" s="71">
        <f t="shared" ca="1" si="470"/>
        <v>0</v>
      </c>
    </row>
    <row r="5541" spans="1:13" x14ac:dyDescent="0.25">
      <c r="A5541" s="2">
        <v>5535</v>
      </c>
      <c r="B5541" s="11">
        <f t="shared" ca="1" si="466"/>
        <v>1</v>
      </c>
      <c r="C5541" s="26">
        <f t="shared" ca="1" si="465"/>
        <v>0.39880505681277756</v>
      </c>
      <c r="J5541">
        <f t="shared" ca="1" si="467"/>
        <v>1</v>
      </c>
      <c r="K5541">
        <f t="shared" ca="1" si="468"/>
        <v>0</v>
      </c>
      <c r="L5541">
        <f t="shared" si="469"/>
        <v>5535</v>
      </c>
      <c r="M5541" s="71">
        <f t="shared" ca="1" si="470"/>
        <v>0.98960237754085256</v>
      </c>
    </row>
    <row r="5542" spans="1:13" x14ac:dyDescent="0.25">
      <c r="A5542" s="2">
        <v>5536</v>
      </c>
      <c r="B5542" s="11">
        <f t="shared" ca="1" si="466"/>
        <v>1</v>
      </c>
      <c r="C5542" s="26">
        <f t="shared" ca="1" si="465"/>
        <v>0.67092538727936013</v>
      </c>
      <c r="J5542">
        <f t="shared" ca="1" si="467"/>
        <v>1</v>
      </c>
      <c r="K5542">
        <f t="shared" ca="1" si="468"/>
        <v>0</v>
      </c>
      <c r="L5542">
        <f t="shared" si="469"/>
        <v>5536</v>
      </c>
      <c r="M5542" s="71">
        <f t="shared" ca="1" si="470"/>
        <v>1.4012737627264087</v>
      </c>
    </row>
    <row r="5543" spans="1:13" x14ac:dyDescent="0.25">
      <c r="A5543" s="2">
        <v>5537</v>
      </c>
      <c r="B5543" s="11">
        <f t="shared" ca="1" si="466"/>
        <v>1</v>
      </c>
      <c r="C5543" s="26">
        <f t="shared" ca="1" si="465"/>
        <v>0.57379081799421561</v>
      </c>
      <c r="J5543">
        <f t="shared" ca="1" si="467"/>
        <v>1</v>
      </c>
      <c r="K5543">
        <f t="shared" ca="1" si="468"/>
        <v>0</v>
      </c>
      <c r="L5543">
        <f t="shared" si="469"/>
        <v>5537</v>
      </c>
      <c r="M5543" s="71">
        <f t="shared" ca="1" si="470"/>
        <v>6.3201524630789194</v>
      </c>
    </row>
    <row r="5544" spans="1:13" x14ac:dyDescent="0.25">
      <c r="A5544" s="2">
        <v>5538</v>
      </c>
      <c r="B5544" s="11">
        <f t="shared" ca="1" si="466"/>
        <v>1</v>
      </c>
      <c r="C5544" s="26">
        <f t="shared" ca="1" si="465"/>
        <v>9.4752355050319315E-2</v>
      </c>
      <c r="J5544">
        <f t="shared" ca="1" si="467"/>
        <v>1</v>
      </c>
      <c r="K5544">
        <f t="shared" ca="1" si="468"/>
        <v>0</v>
      </c>
      <c r="L5544">
        <f t="shared" si="469"/>
        <v>5538</v>
      </c>
      <c r="M5544" s="71">
        <f t="shared" ca="1" si="470"/>
        <v>0.29619764635093804</v>
      </c>
    </row>
    <row r="5545" spans="1:13" x14ac:dyDescent="0.25">
      <c r="A5545" s="2">
        <v>5539</v>
      </c>
      <c r="B5545" s="11">
        <f t="shared" ca="1" si="466"/>
        <v>1</v>
      </c>
      <c r="C5545" s="26">
        <f t="shared" ca="1" si="465"/>
        <v>0.13104257472107128</v>
      </c>
      <c r="J5545">
        <f t="shared" ca="1" si="467"/>
        <v>1</v>
      </c>
      <c r="K5545">
        <f t="shared" ca="1" si="468"/>
        <v>0</v>
      </c>
      <c r="L5545">
        <f t="shared" si="469"/>
        <v>5539</v>
      </c>
      <c r="M5545" s="71">
        <f t="shared" ca="1" si="470"/>
        <v>3.2883024373109322</v>
      </c>
    </row>
    <row r="5546" spans="1:13" x14ac:dyDescent="0.25">
      <c r="A5546" s="2">
        <v>5540</v>
      </c>
      <c r="B5546" s="11">
        <f t="shared" ca="1" si="466"/>
        <v>1</v>
      </c>
      <c r="C5546" s="26">
        <f t="shared" ca="1" si="465"/>
        <v>0.14053766745158514</v>
      </c>
      <c r="J5546">
        <f t="shared" ca="1" si="467"/>
        <v>1</v>
      </c>
      <c r="K5546">
        <f t="shared" ca="1" si="468"/>
        <v>0</v>
      </c>
      <c r="L5546">
        <f t="shared" si="469"/>
        <v>5540</v>
      </c>
      <c r="M5546" s="71">
        <f t="shared" ca="1" si="470"/>
        <v>5.5593600273571946</v>
      </c>
    </row>
    <row r="5547" spans="1:13" x14ac:dyDescent="0.25">
      <c r="A5547" s="2">
        <v>5541</v>
      </c>
      <c r="B5547" s="11">
        <f t="shared" ca="1" si="466"/>
        <v>1</v>
      </c>
      <c r="C5547" s="26">
        <f t="shared" ca="1" si="465"/>
        <v>0.4737860175450378</v>
      </c>
      <c r="J5547">
        <f t="shared" ca="1" si="467"/>
        <v>1</v>
      </c>
      <c r="K5547">
        <f t="shared" ca="1" si="468"/>
        <v>0</v>
      </c>
      <c r="L5547">
        <f t="shared" si="469"/>
        <v>5541</v>
      </c>
      <c r="M5547" s="71">
        <f t="shared" ca="1" si="470"/>
        <v>6.8608840572010283</v>
      </c>
    </row>
    <row r="5548" spans="1:13" x14ac:dyDescent="0.25">
      <c r="A5548" s="2">
        <v>5542</v>
      </c>
      <c r="B5548" s="11">
        <f t="shared" ca="1" si="466"/>
        <v>1</v>
      </c>
      <c r="C5548" s="26">
        <f t="shared" ca="1" si="465"/>
        <v>2.7898098306155084E-2</v>
      </c>
      <c r="J5548">
        <f t="shared" ca="1" si="467"/>
        <v>1</v>
      </c>
      <c r="K5548">
        <f t="shared" ca="1" si="468"/>
        <v>0</v>
      </c>
      <c r="L5548">
        <f t="shared" si="469"/>
        <v>5542</v>
      </c>
      <c r="M5548" s="71">
        <f t="shared" ca="1" si="470"/>
        <v>2.0284389745169547</v>
      </c>
    </row>
    <row r="5549" spans="1:13" x14ac:dyDescent="0.25">
      <c r="A5549" s="2">
        <v>5543</v>
      </c>
      <c r="B5549" s="11">
        <f t="shared" ca="1" si="466"/>
        <v>1</v>
      </c>
      <c r="C5549" s="26">
        <f t="shared" ca="1" si="465"/>
        <v>5.1740354187288284E-2</v>
      </c>
      <c r="J5549">
        <f t="shared" ca="1" si="467"/>
        <v>1</v>
      </c>
      <c r="K5549">
        <f t="shared" ca="1" si="468"/>
        <v>0</v>
      </c>
      <c r="L5549">
        <f t="shared" si="469"/>
        <v>5543</v>
      </c>
      <c r="M5549" s="71">
        <f t="shared" ca="1" si="470"/>
        <v>13.771121855932178</v>
      </c>
    </row>
    <row r="5550" spans="1:13" x14ac:dyDescent="0.25">
      <c r="A5550" s="2">
        <v>5544</v>
      </c>
      <c r="B5550" s="11">
        <f t="shared" ca="1" si="466"/>
        <v>1</v>
      </c>
      <c r="C5550" s="26">
        <f t="shared" ca="1" si="465"/>
        <v>0.60876662538908177</v>
      </c>
      <c r="J5550">
        <f t="shared" ca="1" si="467"/>
        <v>1</v>
      </c>
      <c r="K5550">
        <f t="shared" ca="1" si="468"/>
        <v>0</v>
      </c>
      <c r="L5550">
        <f t="shared" si="469"/>
        <v>5544</v>
      </c>
      <c r="M5550" s="71">
        <f t="shared" ca="1" si="470"/>
        <v>2.7485823074712106</v>
      </c>
    </row>
    <row r="5551" spans="1:13" x14ac:dyDescent="0.25">
      <c r="A5551" s="2">
        <v>5545</v>
      </c>
      <c r="B5551" s="11">
        <f t="shared" ca="1" si="466"/>
        <v>1</v>
      </c>
      <c r="C5551" s="26">
        <f t="shared" ca="1" si="465"/>
        <v>0.44989600156278331</v>
      </c>
      <c r="J5551">
        <f t="shared" ca="1" si="467"/>
        <v>1</v>
      </c>
      <c r="K5551">
        <f t="shared" ca="1" si="468"/>
        <v>0</v>
      </c>
      <c r="L5551">
        <f t="shared" si="469"/>
        <v>5545</v>
      </c>
      <c r="M5551" s="71">
        <f t="shared" ca="1" si="470"/>
        <v>1.2759844572085757</v>
      </c>
    </row>
    <row r="5552" spans="1:13" x14ac:dyDescent="0.25">
      <c r="A5552" s="2">
        <v>5546</v>
      </c>
      <c r="B5552" s="11">
        <f t="shared" ca="1" si="466"/>
        <v>1</v>
      </c>
      <c r="C5552" s="26">
        <f t="shared" ca="1" si="465"/>
        <v>7.6678204826480245E-2</v>
      </c>
      <c r="J5552">
        <f t="shared" ca="1" si="467"/>
        <v>1</v>
      </c>
      <c r="K5552">
        <f t="shared" ca="1" si="468"/>
        <v>0</v>
      </c>
      <c r="L5552">
        <f t="shared" si="469"/>
        <v>5546</v>
      </c>
      <c r="M5552" s="71">
        <f t="shared" ca="1" si="470"/>
        <v>2.1733990784380768</v>
      </c>
    </row>
    <row r="5553" spans="1:13" x14ac:dyDescent="0.25">
      <c r="A5553" s="2">
        <v>5547</v>
      </c>
      <c r="B5553" s="11">
        <f t="shared" ca="1" si="466"/>
        <v>1</v>
      </c>
      <c r="C5553" s="26">
        <f t="shared" ca="1" si="465"/>
        <v>7.2356210688141576E-2</v>
      </c>
      <c r="J5553">
        <f t="shared" ca="1" si="467"/>
        <v>1</v>
      </c>
      <c r="K5553">
        <f t="shared" ca="1" si="468"/>
        <v>0</v>
      </c>
      <c r="L5553">
        <f t="shared" si="469"/>
        <v>5547</v>
      </c>
      <c r="M5553" s="71">
        <f t="shared" ca="1" si="470"/>
        <v>4.2741536980986172</v>
      </c>
    </row>
    <row r="5554" spans="1:13" x14ac:dyDescent="0.25">
      <c r="A5554" s="2">
        <v>5548</v>
      </c>
      <c r="B5554" s="11">
        <f t="shared" ca="1" si="466"/>
        <v>1</v>
      </c>
      <c r="C5554" s="26">
        <f t="shared" ca="1" si="465"/>
        <v>0.77574358353932449</v>
      </c>
      <c r="J5554">
        <f t="shared" ca="1" si="467"/>
        <v>0</v>
      </c>
      <c r="K5554">
        <f t="shared" ca="1" si="468"/>
        <v>0</v>
      </c>
      <c r="L5554">
        <f t="shared" si="469"/>
        <v>5548</v>
      </c>
      <c r="M5554" s="71">
        <f t="shared" ca="1" si="470"/>
        <v>7.4924981002862863</v>
      </c>
    </row>
    <row r="5555" spans="1:13" x14ac:dyDescent="0.25">
      <c r="A5555" s="2">
        <v>5549</v>
      </c>
      <c r="B5555" s="11">
        <f t="shared" ca="1" si="466"/>
        <v>0</v>
      </c>
      <c r="C5555" s="26">
        <f t="shared" ca="1" si="465"/>
        <v>0.89984230654589448</v>
      </c>
      <c r="J5555">
        <f t="shared" ca="1" si="467"/>
        <v>0</v>
      </c>
      <c r="K5555">
        <f t="shared" ca="1" si="468"/>
        <v>0</v>
      </c>
      <c r="L5555">
        <f t="shared" si="469"/>
        <v>5549</v>
      </c>
      <c r="M5555" s="71">
        <f t="shared" ca="1" si="470"/>
        <v>0</v>
      </c>
    </row>
    <row r="5556" spans="1:13" x14ac:dyDescent="0.25">
      <c r="A5556" s="2">
        <v>5550</v>
      </c>
      <c r="B5556" s="11">
        <f t="shared" ca="1" si="466"/>
        <v>1</v>
      </c>
      <c r="C5556" s="26">
        <f t="shared" ca="1" si="465"/>
        <v>9.5630704850223514E-2</v>
      </c>
      <c r="J5556">
        <f t="shared" ca="1" si="467"/>
        <v>0</v>
      </c>
      <c r="K5556">
        <f t="shared" ca="1" si="468"/>
        <v>0</v>
      </c>
      <c r="L5556">
        <f t="shared" si="469"/>
        <v>5550</v>
      </c>
      <c r="M5556" s="71">
        <f t="shared" ca="1" si="470"/>
        <v>1.3794303161592907</v>
      </c>
    </row>
    <row r="5557" spans="1:13" x14ac:dyDescent="0.25">
      <c r="A5557" s="2">
        <v>5551</v>
      </c>
      <c r="B5557" s="11">
        <f t="shared" ca="1" si="466"/>
        <v>0</v>
      </c>
      <c r="C5557" s="26">
        <f t="shared" ca="1" si="465"/>
        <v>0.83597406292315135</v>
      </c>
      <c r="J5557">
        <f t="shared" ca="1" si="467"/>
        <v>0</v>
      </c>
      <c r="K5557">
        <f t="shared" ca="1" si="468"/>
        <v>0</v>
      </c>
      <c r="L5557">
        <f t="shared" si="469"/>
        <v>5551</v>
      </c>
      <c r="M5557" s="71">
        <f t="shared" ca="1" si="470"/>
        <v>0</v>
      </c>
    </row>
    <row r="5558" spans="1:13" x14ac:dyDescent="0.25">
      <c r="A5558" s="2">
        <v>5552</v>
      </c>
      <c r="B5558" s="11">
        <f t="shared" ca="1" si="466"/>
        <v>1</v>
      </c>
      <c r="C5558" s="26">
        <f t="shared" ca="1" si="465"/>
        <v>0.22192464616227026</v>
      </c>
      <c r="J5558">
        <f t="shared" ca="1" si="467"/>
        <v>0</v>
      </c>
      <c r="K5558">
        <f t="shared" ca="1" si="468"/>
        <v>0</v>
      </c>
      <c r="L5558">
        <f t="shared" si="469"/>
        <v>5552</v>
      </c>
      <c r="M5558" s="71">
        <f t="shared" ca="1" si="470"/>
        <v>2.3718069080711843</v>
      </c>
    </row>
    <row r="5559" spans="1:13" x14ac:dyDescent="0.25">
      <c r="A5559" s="2">
        <v>5553</v>
      </c>
      <c r="B5559" s="11">
        <f t="shared" ca="1" si="466"/>
        <v>0</v>
      </c>
      <c r="C5559" s="26">
        <f t="shared" ca="1" si="465"/>
        <v>0.95335772396993279</v>
      </c>
      <c r="J5559">
        <f t="shared" ca="1" si="467"/>
        <v>0</v>
      </c>
      <c r="K5559">
        <f t="shared" ca="1" si="468"/>
        <v>0</v>
      </c>
      <c r="L5559">
        <f t="shared" si="469"/>
        <v>5553</v>
      </c>
      <c r="M5559" s="71">
        <f t="shared" ca="1" si="470"/>
        <v>0</v>
      </c>
    </row>
    <row r="5560" spans="1:13" x14ac:dyDescent="0.25">
      <c r="A5560" s="2">
        <v>5554</v>
      </c>
      <c r="B5560" s="11">
        <f t="shared" ca="1" si="466"/>
        <v>1</v>
      </c>
      <c r="C5560" s="26">
        <f t="shared" ca="1" si="465"/>
        <v>0.52469762102094331</v>
      </c>
      <c r="J5560">
        <f t="shared" ca="1" si="467"/>
        <v>1</v>
      </c>
      <c r="K5560">
        <f t="shared" ca="1" si="468"/>
        <v>0</v>
      </c>
      <c r="L5560">
        <f t="shared" si="469"/>
        <v>5554</v>
      </c>
      <c r="M5560" s="71">
        <f t="shared" ca="1" si="470"/>
        <v>8.1046140976877403</v>
      </c>
    </row>
    <row r="5561" spans="1:13" x14ac:dyDescent="0.25">
      <c r="A5561" s="2">
        <v>5555</v>
      </c>
      <c r="B5561" s="11">
        <f t="shared" ca="1" si="466"/>
        <v>1</v>
      </c>
      <c r="C5561" s="26">
        <f t="shared" ca="1" si="465"/>
        <v>0.25778196843859147</v>
      </c>
      <c r="J5561">
        <f t="shared" ca="1" si="467"/>
        <v>1</v>
      </c>
      <c r="K5561">
        <f t="shared" ca="1" si="468"/>
        <v>0</v>
      </c>
      <c r="L5561">
        <f t="shared" si="469"/>
        <v>5555</v>
      </c>
      <c r="M5561" s="71">
        <f t="shared" ca="1" si="470"/>
        <v>2.4507206915417488</v>
      </c>
    </row>
    <row r="5562" spans="1:13" x14ac:dyDescent="0.25">
      <c r="A5562" s="2">
        <v>5556</v>
      </c>
      <c r="B5562" s="11">
        <f t="shared" ca="1" si="466"/>
        <v>1</v>
      </c>
      <c r="C5562" s="26">
        <f t="shared" ca="1" si="465"/>
        <v>0.37922797174546119</v>
      </c>
      <c r="J5562">
        <f t="shared" ca="1" si="467"/>
        <v>1</v>
      </c>
      <c r="K5562">
        <f t="shared" ca="1" si="468"/>
        <v>0</v>
      </c>
      <c r="L5562">
        <f t="shared" si="469"/>
        <v>5556</v>
      </c>
      <c r="M5562" s="71">
        <f t="shared" ca="1" si="470"/>
        <v>2.5199850778158437</v>
      </c>
    </row>
    <row r="5563" spans="1:13" x14ac:dyDescent="0.25">
      <c r="A5563" s="2">
        <v>5557</v>
      </c>
      <c r="B5563" s="11">
        <f t="shared" ca="1" si="466"/>
        <v>1</v>
      </c>
      <c r="C5563" s="26">
        <f t="shared" ca="1" si="465"/>
        <v>0.6770145205585516</v>
      </c>
      <c r="J5563">
        <f t="shared" ca="1" si="467"/>
        <v>1</v>
      </c>
      <c r="K5563">
        <f t="shared" ca="1" si="468"/>
        <v>0</v>
      </c>
      <c r="L5563">
        <f t="shared" si="469"/>
        <v>5557</v>
      </c>
      <c r="M5563" s="71">
        <f t="shared" ca="1" si="470"/>
        <v>0.56956319838032332</v>
      </c>
    </row>
    <row r="5564" spans="1:13" x14ac:dyDescent="0.25">
      <c r="A5564" s="2">
        <v>5558</v>
      </c>
      <c r="B5564" s="11">
        <f t="shared" ca="1" si="466"/>
        <v>1</v>
      </c>
      <c r="C5564" s="26">
        <f t="shared" ca="1" si="465"/>
        <v>5.0360522386006301E-2</v>
      </c>
      <c r="J5564">
        <f t="shared" ca="1" si="467"/>
        <v>1</v>
      </c>
      <c r="K5564">
        <f t="shared" ca="1" si="468"/>
        <v>0</v>
      </c>
      <c r="L5564">
        <f t="shared" si="469"/>
        <v>5558</v>
      </c>
      <c r="M5564" s="71">
        <f t="shared" ca="1" si="470"/>
        <v>6.1488137752881373</v>
      </c>
    </row>
    <row r="5565" spans="1:13" x14ac:dyDescent="0.25">
      <c r="A5565" s="2">
        <v>5559</v>
      </c>
      <c r="B5565" s="11">
        <f t="shared" ca="1" si="466"/>
        <v>1</v>
      </c>
      <c r="C5565" s="26">
        <f t="shared" ca="1" si="465"/>
        <v>0.26883014353184609</v>
      </c>
      <c r="J5565">
        <f t="shared" ca="1" si="467"/>
        <v>1</v>
      </c>
      <c r="K5565">
        <f t="shared" ca="1" si="468"/>
        <v>0</v>
      </c>
      <c r="L5565">
        <f t="shared" si="469"/>
        <v>5559</v>
      </c>
      <c r="M5565" s="71">
        <f t="shared" ca="1" si="470"/>
        <v>2.8093827968140417</v>
      </c>
    </row>
    <row r="5566" spans="1:13" x14ac:dyDescent="0.25">
      <c r="A5566" s="2">
        <v>5560</v>
      </c>
      <c r="B5566" s="11">
        <f t="shared" ca="1" si="466"/>
        <v>1</v>
      </c>
      <c r="C5566" s="26">
        <f t="shared" ca="1" si="465"/>
        <v>0.34031933311561924</v>
      </c>
      <c r="J5566">
        <f t="shared" ca="1" si="467"/>
        <v>1</v>
      </c>
      <c r="K5566">
        <f t="shared" ca="1" si="468"/>
        <v>0</v>
      </c>
      <c r="L5566">
        <f t="shared" si="469"/>
        <v>5560</v>
      </c>
      <c r="M5566" s="71">
        <f t="shared" ca="1" si="470"/>
        <v>5.5960893124048958</v>
      </c>
    </row>
    <row r="5567" spans="1:13" x14ac:dyDescent="0.25">
      <c r="A5567" s="2">
        <v>5561</v>
      </c>
      <c r="B5567" s="11">
        <f t="shared" ca="1" si="466"/>
        <v>1</v>
      </c>
      <c r="C5567" s="26">
        <f t="shared" ca="1" si="465"/>
        <v>0.41471841117283093</v>
      </c>
      <c r="J5567">
        <f t="shared" ca="1" si="467"/>
        <v>1</v>
      </c>
      <c r="K5567">
        <f t="shared" ca="1" si="468"/>
        <v>0</v>
      </c>
      <c r="L5567">
        <f t="shared" si="469"/>
        <v>5561</v>
      </c>
      <c r="M5567" s="71">
        <f t="shared" ca="1" si="470"/>
        <v>1.6192421970286697</v>
      </c>
    </row>
    <row r="5568" spans="1:13" x14ac:dyDescent="0.25">
      <c r="A5568" s="2">
        <v>5562</v>
      </c>
      <c r="B5568" s="11">
        <f t="shared" ca="1" si="466"/>
        <v>1</v>
      </c>
      <c r="C5568" s="26">
        <f t="shared" ca="1" si="465"/>
        <v>0.34228401140217779</v>
      </c>
      <c r="J5568">
        <f t="shared" ca="1" si="467"/>
        <v>1</v>
      </c>
      <c r="K5568">
        <f t="shared" ca="1" si="468"/>
        <v>0</v>
      </c>
      <c r="L5568">
        <f t="shared" si="469"/>
        <v>5562</v>
      </c>
      <c r="M5568" s="71">
        <f t="shared" ca="1" si="470"/>
        <v>0.32358544045468901</v>
      </c>
    </row>
    <row r="5569" spans="1:13" x14ac:dyDescent="0.25">
      <c r="A5569" s="2">
        <v>5563</v>
      </c>
      <c r="B5569" s="11">
        <f t="shared" ca="1" si="466"/>
        <v>1</v>
      </c>
      <c r="C5569" s="26">
        <f t="shared" ca="1" si="465"/>
        <v>0.28451057480196362</v>
      </c>
      <c r="J5569">
        <f t="shared" ca="1" si="467"/>
        <v>1</v>
      </c>
      <c r="K5569">
        <f t="shared" ca="1" si="468"/>
        <v>0</v>
      </c>
      <c r="L5569">
        <f t="shared" si="469"/>
        <v>5563</v>
      </c>
      <c r="M5569" s="71">
        <f t="shared" ca="1" si="470"/>
        <v>2.3881468416857201</v>
      </c>
    </row>
    <row r="5570" spans="1:13" x14ac:dyDescent="0.25">
      <c r="A5570" s="2">
        <v>5564</v>
      </c>
      <c r="B5570" s="11">
        <f t="shared" ca="1" si="466"/>
        <v>1</v>
      </c>
      <c r="C5570" s="26">
        <f t="shared" ca="1" si="465"/>
        <v>0.40938806052293919</v>
      </c>
      <c r="J5570">
        <f t="shared" ca="1" si="467"/>
        <v>1</v>
      </c>
      <c r="K5570">
        <f t="shared" ca="1" si="468"/>
        <v>0</v>
      </c>
      <c r="L5570">
        <f t="shared" si="469"/>
        <v>5564</v>
      </c>
      <c r="M5570" s="71">
        <f t="shared" ca="1" si="470"/>
        <v>0.51727948500777532</v>
      </c>
    </row>
    <row r="5571" spans="1:13" x14ac:dyDescent="0.25">
      <c r="A5571" s="2">
        <v>5565</v>
      </c>
      <c r="B5571" s="11">
        <f t="shared" ca="1" si="466"/>
        <v>1</v>
      </c>
      <c r="C5571" s="26">
        <f t="shared" ca="1" si="465"/>
        <v>0.38607022320969342</v>
      </c>
      <c r="J5571">
        <f t="shared" ca="1" si="467"/>
        <v>1</v>
      </c>
      <c r="K5571">
        <f t="shared" ca="1" si="468"/>
        <v>0</v>
      </c>
      <c r="L5571">
        <f t="shared" si="469"/>
        <v>5565</v>
      </c>
      <c r="M5571" s="71">
        <f t="shared" ca="1" si="470"/>
        <v>1.8260540292590328</v>
      </c>
    </row>
    <row r="5572" spans="1:13" x14ac:dyDescent="0.25">
      <c r="A5572" s="2">
        <v>5566</v>
      </c>
      <c r="B5572" s="11">
        <f t="shared" ca="1" si="466"/>
        <v>1</v>
      </c>
      <c r="C5572" s="26">
        <f t="shared" ca="1" si="465"/>
        <v>7.5416020537922845E-2</v>
      </c>
      <c r="J5572">
        <f t="shared" ca="1" si="467"/>
        <v>1</v>
      </c>
      <c r="K5572">
        <f t="shared" ca="1" si="468"/>
        <v>0</v>
      </c>
      <c r="L5572">
        <f t="shared" si="469"/>
        <v>5566</v>
      </c>
      <c r="M5572" s="71">
        <f t="shared" ca="1" si="470"/>
        <v>7.0286330930472722</v>
      </c>
    </row>
    <row r="5573" spans="1:13" x14ac:dyDescent="0.25">
      <c r="A5573" s="2">
        <v>5567</v>
      </c>
      <c r="B5573" s="11">
        <f t="shared" ca="1" si="466"/>
        <v>1</v>
      </c>
      <c r="C5573" s="26">
        <f t="shared" ca="1" si="465"/>
        <v>5.6893122905571358E-3</v>
      </c>
      <c r="J5573">
        <f t="shared" ca="1" si="467"/>
        <v>1</v>
      </c>
      <c r="K5573">
        <f t="shared" ca="1" si="468"/>
        <v>0</v>
      </c>
      <c r="L5573">
        <f t="shared" si="469"/>
        <v>5567</v>
      </c>
      <c r="M5573" s="71">
        <f t="shared" ca="1" si="470"/>
        <v>16.152149235712823</v>
      </c>
    </row>
    <row r="5574" spans="1:13" x14ac:dyDescent="0.25">
      <c r="A5574" s="2">
        <v>5568</v>
      </c>
      <c r="B5574" s="11">
        <f t="shared" ca="1" si="466"/>
        <v>1</v>
      </c>
      <c r="C5574" s="26">
        <f t="shared" ca="1" si="465"/>
        <v>0.35796655033943303</v>
      </c>
      <c r="J5574">
        <f t="shared" ca="1" si="467"/>
        <v>1</v>
      </c>
      <c r="K5574">
        <f t="shared" ca="1" si="468"/>
        <v>0</v>
      </c>
      <c r="L5574">
        <f t="shared" si="469"/>
        <v>5568</v>
      </c>
      <c r="M5574" s="71">
        <f t="shared" ca="1" si="470"/>
        <v>5.4478869153601943</v>
      </c>
    </row>
    <row r="5575" spans="1:13" x14ac:dyDescent="0.25">
      <c r="A5575" s="2">
        <v>5569</v>
      </c>
      <c r="B5575" s="11">
        <f t="shared" ca="1" si="466"/>
        <v>1</v>
      </c>
      <c r="C5575" s="26">
        <f t="shared" ca="1" si="465"/>
        <v>0.36774396307915858</v>
      </c>
      <c r="J5575">
        <f t="shared" ca="1" si="467"/>
        <v>1</v>
      </c>
      <c r="K5575">
        <f t="shared" ca="1" si="468"/>
        <v>0</v>
      </c>
      <c r="L5575">
        <f t="shared" si="469"/>
        <v>5569</v>
      </c>
      <c r="M5575" s="71">
        <f t="shared" ca="1" si="470"/>
        <v>4.7595693256084477</v>
      </c>
    </row>
    <row r="5576" spans="1:13" x14ac:dyDescent="0.25">
      <c r="A5576" s="2">
        <v>5570</v>
      </c>
      <c r="B5576" s="11">
        <f t="shared" ca="1" si="466"/>
        <v>1</v>
      </c>
      <c r="C5576" s="26">
        <f t="shared" ref="C5576:C5639" ca="1" si="471">RAND()</f>
        <v>0.65516381681772773</v>
      </c>
      <c r="J5576">
        <f t="shared" ca="1" si="467"/>
        <v>1</v>
      </c>
      <c r="K5576">
        <f t="shared" ca="1" si="468"/>
        <v>0</v>
      </c>
      <c r="L5576">
        <f t="shared" si="469"/>
        <v>5570</v>
      </c>
      <c r="M5576" s="71">
        <f t="shared" ca="1" si="470"/>
        <v>0.90111391128107921</v>
      </c>
    </row>
    <row r="5577" spans="1:13" x14ac:dyDescent="0.25">
      <c r="A5577" s="2">
        <v>5571</v>
      </c>
      <c r="B5577" s="11">
        <f t="shared" ref="B5577:B5640" ca="1" si="472">IF(B5576&gt;0,IF(C5577&lt;pww,1,0),IF(C5577&lt;pdw,1,0))</f>
        <v>1</v>
      </c>
      <c r="C5577" s="26">
        <f t="shared" ca="1" si="471"/>
        <v>0.38165068687871773</v>
      </c>
      <c r="J5577">
        <f t="shared" ca="1" si="467"/>
        <v>0</v>
      </c>
      <c r="K5577">
        <f t="shared" ca="1" si="468"/>
        <v>0</v>
      </c>
      <c r="L5577">
        <f t="shared" si="469"/>
        <v>5571</v>
      </c>
      <c r="M5577" s="71">
        <f t="shared" ca="1" si="470"/>
        <v>9.9778113604338525</v>
      </c>
    </row>
    <row r="5578" spans="1:13" x14ac:dyDescent="0.25">
      <c r="A5578" s="2">
        <v>5572</v>
      </c>
      <c r="B5578" s="11">
        <f t="shared" ca="1" si="472"/>
        <v>0</v>
      </c>
      <c r="C5578" s="26">
        <f t="shared" ca="1" si="471"/>
        <v>0.8387748802690429</v>
      </c>
      <c r="J5578">
        <f t="shared" ref="J5578:J5641" ca="1" si="473">IF(AND(B5578,B5579),1,0)</f>
        <v>0</v>
      </c>
      <c r="K5578">
        <f t="shared" ref="K5578:K5641" ca="1" si="474">IF(AND(NOT(B5578),NOT(B5579)),1,0)</f>
        <v>0</v>
      </c>
      <c r="L5578">
        <f t="shared" ref="L5578:L5641" si="475">L5577+1</f>
        <v>5572</v>
      </c>
      <c r="M5578" s="71">
        <f t="shared" ref="M5578:M5641" ca="1" si="476">IF(B5578&gt;0,-LN(1-(RAND()))/lambda,0)</f>
        <v>0</v>
      </c>
    </row>
    <row r="5579" spans="1:13" x14ac:dyDescent="0.25">
      <c r="A5579" s="2">
        <v>5573</v>
      </c>
      <c r="B5579" s="11">
        <f t="shared" ca="1" si="472"/>
        <v>1</v>
      </c>
      <c r="C5579" s="26">
        <f t="shared" ca="1" si="471"/>
        <v>0.71691484027336172</v>
      </c>
      <c r="J5579">
        <f t="shared" ca="1" si="473"/>
        <v>1</v>
      </c>
      <c r="K5579">
        <f t="shared" ca="1" si="474"/>
        <v>0</v>
      </c>
      <c r="L5579">
        <f t="shared" si="475"/>
        <v>5573</v>
      </c>
      <c r="M5579" s="71">
        <f t="shared" ca="1" si="476"/>
        <v>9.4700678586795064</v>
      </c>
    </row>
    <row r="5580" spans="1:13" x14ac:dyDescent="0.25">
      <c r="A5580" s="2">
        <v>5574</v>
      </c>
      <c r="B5580" s="11">
        <f t="shared" ca="1" si="472"/>
        <v>1</v>
      </c>
      <c r="C5580" s="26">
        <f t="shared" ca="1" si="471"/>
        <v>0.15071314655699752</v>
      </c>
      <c r="J5580">
        <f t="shared" ca="1" si="473"/>
        <v>1</v>
      </c>
      <c r="K5580">
        <f t="shared" ca="1" si="474"/>
        <v>0</v>
      </c>
      <c r="L5580">
        <f t="shared" si="475"/>
        <v>5574</v>
      </c>
      <c r="M5580" s="71">
        <f t="shared" ca="1" si="476"/>
        <v>5.2645216469153171</v>
      </c>
    </row>
    <row r="5581" spans="1:13" x14ac:dyDescent="0.25">
      <c r="A5581" s="2">
        <v>5575</v>
      </c>
      <c r="B5581" s="11">
        <f t="shared" ca="1" si="472"/>
        <v>1</v>
      </c>
      <c r="C5581" s="26">
        <f t="shared" ca="1" si="471"/>
        <v>0.25520334143928103</v>
      </c>
      <c r="J5581">
        <f t="shared" ca="1" si="473"/>
        <v>0</v>
      </c>
      <c r="K5581">
        <f t="shared" ca="1" si="474"/>
        <v>0</v>
      </c>
      <c r="L5581">
        <f t="shared" si="475"/>
        <v>5575</v>
      </c>
      <c r="M5581" s="71">
        <f t="shared" ca="1" si="476"/>
        <v>11.599726983419185</v>
      </c>
    </row>
    <row r="5582" spans="1:13" x14ac:dyDescent="0.25">
      <c r="A5582" s="2">
        <v>5576</v>
      </c>
      <c r="B5582" s="11">
        <f t="shared" ca="1" si="472"/>
        <v>0</v>
      </c>
      <c r="C5582" s="26">
        <f t="shared" ca="1" si="471"/>
        <v>0.98513927087466158</v>
      </c>
      <c r="J5582">
        <f t="shared" ca="1" si="473"/>
        <v>0</v>
      </c>
      <c r="K5582">
        <f t="shared" ca="1" si="474"/>
        <v>0</v>
      </c>
      <c r="L5582">
        <f t="shared" si="475"/>
        <v>5576</v>
      </c>
      <c r="M5582" s="71">
        <f t="shared" ca="1" si="476"/>
        <v>0</v>
      </c>
    </row>
    <row r="5583" spans="1:13" x14ac:dyDescent="0.25">
      <c r="A5583" s="2">
        <v>5577</v>
      </c>
      <c r="B5583" s="11">
        <f t="shared" ca="1" si="472"/>
        <v>1</v>
      </c>
      <c r="C5583" s="26">
        <f t="shared" ca="1" si="471"/>
        <v>0.67945864438506776</v>
      </c>
      <c r="J5583">
        <f t="shared" ca="1" si="473"/>
        <v>1</v>
      </c>
      <c r="K5583">
        <f t="shared" ca="1" si="474"/>
        <v>0</v>
      </c>
      <c r="L5583">
        <f t="shared" si="475"/>
        <v>5577</v>
      </c>
      <c r="M5583" s="71">
        <f t="shared" ca="1" si="476"/>
        <v>0.52199054881816787</v>
      </c>
    </row>
    <row r="5584" spans="1:13" x14ac:dyDescent="0.25">
      <c r="A5584" s="2">
        <v>5578</v>
      </c>
      <c r="B5584" s="11">
        <f t="shared" ca="1" si="472"/>
        <v>1</v>
      </c>
      <c r="C5584" s="26">
        <f t="shared" ca="1" si="471"/>
        <v>0.7794370578729527</v>
      </c>
      <c r="J5584">
        <f t="shared" ca="1" si="473"/>
        <v>1</v>
      </c>
      <c r="K5584">
        <f t="shared" ca="1" si="474"/>
        <v>0</v>
      </c>
      <c r="L5584">
        <f t="shared" si="475"/>
        <v>5578</v>
      </c>
      <c r="M5584" s="71">
        <f t="shared" ca="1" si="476"/>
        <v>4.1640616630836931</v>
      </c>
    </row>
    <row r="5585" spans="1:13" x14ac:dyDescent="0.25">
      <c r="A5585" s="2">
        <v>5579</v>
      </c>
      <c r="B5585" s="11">
        <f t="shared" ca="1" si="472"/>
        <v>1</v>
      </c>
      <c r="C5585" s="26">
        <f t="shared" ca="1" si="471"/>
        <v>0.40392371065365384</v>
      </c>
      <c r="J5585">
        <f t="shared" ca="1" si="473"/>
        <v>0</v>
      </c>
      <c r="K5585">
        <f t="shared" ca="1" si="474"/>
        <v>0</v>
      </c>
      <c r="L5585">
        <f t="shared" si="475"/>
        <v>5579</v>
      </c>
      <c r="M5585" s="71">
        <f t="shared" ca="1" si="476"/>
        <v>3.8209443917707708</v>
      </c>
    </row>
    <row r="5586" spans="1:13" x14ac:dyDescent="0.25">
      <c r="A5586" s="2">
        <v>5580</v>
      </c>
      <c r="B5586" s="11">
        <f t="shared" ca="1" si="472"/>
        <v>0</v>
      </c>
      <c r="C5586" s="26">
        <f t="shared" ca="1" si="471"/>
        <v>0.92546759042491078</v>
      </c>
      <c r="J5586">
        <f t="shared" ca="1" si="473"/>
        <v>0</v>
      </c>
      <c r="K5586">
        <f t="shared" ca="1" si="474"/>
        <v>0</v>
      </c>
      <c r="L5586">
        <f t="shared" si="475"/>
        <v>5580</v>
      </c>
      <c r="M5586" s="71">
        <f t="shared" ca="1" si="476"/>
        <v>0</v>
      </c>
    </row>
    <row r="5587" spans="1:13" x14ac:dyDescent="0.25">
      <c r="A5587" s="2">
        <v>5581</v>
      </c>
      <c r="B5587" s="11">
        <f t="shared" ca="1" si="472"/>
        <v>1</v>
      </c>
      <c r="C5587" s="26">
        <f t="shared" ca="1" si="471"/>
        <v>0.16611035403123897</v>
      </c>
      <c r="J5587">
        <f t="shared" ca="1" si="473"/>
        <v>1</v>
      </c>
      <c r="K5587">
        <f t="shared" ca="1" si="474"/>
        <v>0</v>
      </c>
      <c r="L5587">
        <f t="shared" si="475"/>
        <v>5581</v>
      </c>
      <c r="M5587" s="71">
        <f t="shared" ca="1" si="476"/>
        <v>1.1173327020461128</v>
      </c>
    </row>
    <row r="5588" spans="1:13" x14ac:dyDescent="0.25">
      <c r="A5588" s="2">
        <v>5582</v>
      </c>
      <c r="B5588" s="11">
        <f t="shared" ca="1" si="472"/>
        <v>1</v>
      </c>
      <c r="C5588" s="26">
        <f t="shared" ca="1" si="471"/>
        <v>0.2028673456828658</v>
      </c>
      <c r="J5588">
        <f t="shared" ca="1" si="473"/>
        <v>0</v>
      </c>
      <c r="K5588">
        <f t="shared" ca="1" si="474"/>
        <v>0</v>
      </c>
      <c r="L5588">
        <f t="shared" si="475"/>
        <v>5582</v>
      </c>
      <c r="M5588" s="71">
        <f t="shared" ca="1" si="476"/>
        <v>5.9455226618667529</v>
      </c>
    </row>
    <row r="5589" spans="1:13" x14ac:dyDescent="0.25">
      <c r="A5589" s="2">
        <v>5583</v>
      </c>
      <c r="B5589" s="11">
        <f t="shared" ca="1" si="472"/>
        <v>0</v>
      </c>
      <c r="C5589" s="26">
        <f t="shared" ca="1" si="471"/>
        <v>0.99836547574766066</v>
      </c>
      <c r="J5589">
        <f t="shared" ca="1" si="473"/>
        <v>0</v>
      </c>
      <c r="K5589">
        <f t="shared" ca="1" si="474"/>
        <v>0</v>
      </c>
      <c r="L5589">
        <f t="shared" si="475"/>
        <v>5583</v>
      </c>
      <c r="M5589" s="71">
        <f t="shared" ca="1" si="476"/>
        <v>0</v>
      </c>
    </row>
    <row r="5590" spans="1:13" x14ac:dyDescent="0.25">
      <c r="A5590" s="2">
        <v>5584</v>
      </c>
      <c r="B5590" s="11">
        <f t="shared" ca="1" si="472"/>
        <v>1</v>
      </c>
      <c r="C5590" s="26">
        <f t="shared" ca="1" si="471"/>
        <v>7.8654401853977429E-2</v>
      </c>
      <c r="J5590">
        <f t="shared" ca="1" si="473"/>
        <v>0</v>
      </c>
      <c r="K5590">
        <f t="shared" ca="1" si="474"/>
        <v>0</v>
      </c>
      <c r="L5590">
        <f t="shared" si="475"/>
        <v>5584</v>
      </c>
      <c r="M5590" s="71">
        <f t="shared" ca="1" si="476"/>
        <v>4.0819564929000638</v>
      </c>
    </row>
    <row r="5591" spans="1:13" x14ac:dyDescent="0.25">
      <c r="A5591" s="2">
        <v>5585</v>
      </c>
      <c r="B5591" s="11">
        <f t="shared" ca="1" si="472"/>
        <v>0</v>
      </c>
      <c r="C5591" s="26">
        <f t="shared" ca="1" si="471"/>
        <v>0.8780365385195924</v>
      </c>
      <c r="J5591">
        <f t="shared" ca="1" si="473"/>
        <v>0</v>
      </c>
      <c r="K5591">
        <f t="shared" ca="1" si="474"/>
        <v>1</v>
      </c>
      <c r="L5591">
        <f t="shared" si="475"/>
        <v>5585</v>
      </c>
      <c r="M5591" s="71">
        <f t="shared" ca="1" si="476"/>
        <v>0</v>
      </c>
    </row>
    <row r="5592" spans="1:13" x14ac:dyDescent="0.25">
      <c r="A5592" s="2">
        <v>5586</v>
      </c>
      <c r="B5592" s="11">
        <f t="shared" ca="1" si="472"/>
        <v>0</v>
      </c>
      <c r="C5592" s="26">
        <f t="shared" ca="1" si="471"/>
        <v>0.75359525571986075</v>
      </c>
      <c r="J5592">
        <f t="shared" ca="1" si="473"/>
        <v>0</v>
      </c>
      <c r="K5592">
        <f t="shared" ca="1" si="474"/>
        <v>0</v>
      </c>
      <c r="L5592">
        <f t="shared" si="475"/>
        <v>5586</v>
      </c>
      <c r="M5592" s="71">
        <f t="shared" ca="1" si="476"/>
        <v>0</v>
      </c>
    </row>
    <row r="5593" spans="1:13" x14ac:dyDescent="0.25">
      <c r="A5593" s="2">
        <v>5587</v>
      </c>
      <c r="B5593" s="11">
        <f t="shared" ca="1" si="472"/>
        <v>1</v>
      </c>
      <c r="C5593" s="26">
        <f t="shared" ca="1" si="471"/>
        <v>0.2099719643946365</v>
      </c>
      <c r="J5593">
        <f t="shared" ca="1" si="473"/>
        <v>1</v>
      </c>
      <c r="K5593">
        <f t="shared" ca="1" si="474"/>
        <v>0</v>
      </c>
      <c r="L5593">
        <f t="shared" si="475"/>
        <v>5587</v>
      </c>
      <c r="M5593" s="71">
        <f t="shared" ca="1" si="476"/>
        <v>13.223831096830299</v>
      </c>
    </row>
    <row r="5594" spans="1:13" x14ac:dyDescent="0.25">
      <c r="A5594" s="2">
        <v>5588</v>
      </c>
      <c r="B5594" s="11">
        <f t="shared" ca="1" si="472"/>
        <v>1</v>
      </c>
      <c r="C5594" s="26">
        <f t="shared" ca="1" si="471"/>
        <v>0.37939978511257899</v>
      </c>
      <c r="J5594">
        <f t="shared" ca="1" si="473"/>
        <v>1</v>
      </c>
      <c r="K5594">
        <f t="shared" ca="1" si="474"/>
        <v>0</v>
      </c>
      <c r="L5594">
        <f t="shared" si="475"/>
        <v>5588</v>
      </c>
      <c r="M5594" s="71">
        <f t="shared" ca="1" si="476"/>
        <v>4.889242223267015</v>
      </c>
    </row>
    <row r="5595" spans="1:13" x14ac:dyDescent="0.25">
      <c r="A5595" s="2">
        <v>5589</v>
      </c>
      <c r="B5595" s="11">
        <f t="shared" ca="1" si="472"/>
        <v>1</v>
      </c>
      <c r="C5595" s="26">
        <f t="shared" ca="1" si="471"/>
        <v>0.37379867930423794</v>
      </c>
      <c r="J5595">
        <f t="shared" ca="1" si="473"/>
        <v>1</v>
      </c>
      <c r="K5595">
        <f t="shared" ca="1" si="474"/>
        <v>0</v>
      </c>
      <c r="L5595">
        <f t="shared" si="475"/>
        <v>5589</v>
      </c>
      <c r="M5595" s="71">
        <f t="shared" ca="1" si="476"/>
        <v>1.8051620816871634</v>
      </c>
    </row>
    <row r="5596" spans="1:13" x14ac:dyDescent="0.25">
      <c r="A5596" s="2">
        <v>5590</v>
      </c>
      <c r="B5596" s="11">
        <f t="shared" ca="1" si="472"/>
        <v>1</v>
      </c>
      <c r="C5596" s="26">
        <f t="shared" ca="1" si="471"/>
        <v>6.7006538800172821E-2</v>
      </c>
      <c r="J5596">
        <f t="shared" ca="1" si="473"/>
        <v>1</v>
      </c>
      <c r="K5596">
        <f t="shared" ca="1" si="474"/>
        <v>0</v>
      </c>
      <c r="L5596">
        <f t="shared" si="475"/>
        <v>5590</v>
      </c>
      <c r="M5596" s="71">
        <f t="shared" ca="1" si="476"/>
        <v>4.7705403653993326</v>
      </c>
    </row>
    <row r="5597" spans="1:13" x14ac:dyDescent="0.25">
      <c r="A5597" s="2">
        <v>5591</v>
      </c>
      <c r="B5597" s="11">
        <f t="shared" ca="1" si="472"/>
        <v>1</v>
      </c>
      <c r="C5597" s="26">
        <f t="shared" ca="1" si="471"/>
        <v>0.27881124976070437</v>
      </c>
      <c r="J5597">
        <f t="shared" ca="1" si="473"/>
        <v>1</v>
      </c>
      <c r="K5597">
        <f t="shared" ca="1" si="474"/>
        <v>0</v>
      </c>
      <c r="L5597">
        <f t="shared" si="475"/>
        <v>5591</v>
      </c>
      <c r="M5597" s="71">
        <f t="shared" ca="1" si="476"/>
        <v>1.7101414368567009</v>
      </c>
    </row>
    <row r="5598" spans="1:13" x14ac:dyDescent="0.25">
      <c r="A5598" s="2">
        <v>5592</v>
      </c>
      <c r="B5598" s="11">
        <f t="shared" ca="1" si="472"/>
        <v>1</v>
      </c>
      <c r="C5598" s="26">
        <f t="shared" ca="1" si="471"/>
        <v>0.52049527565630482</v>
      </c>
      <c r="J5598">
        <f t="shared" ca="1" si="473"/>
        <v>1</v>
      </c>
      <c r="K5598">
        <f t="shared" ca="1" si="474"/>
        <v>0</v>
      </c>
      <c r="L5598">
        <f t="shared" si="475"/>
        <v>5592</v>
      </c>
      <c r="M5598" s="71">
        <f t="shared" ca="1" si="476"/>
        <v>0.1858475824976453</v>
      </c>
    </row>
    <row r="5599" spans="1:13" x14ac:dyDescent="0.25">
      <c r="A5599" s="2">
        <v>5593</v>
      </c>
      <c r="B5599" s="11">
        <f t="shared" ca="1" si="472"/>
        <v>1</v>
      </c>
      <c r="C5599" s="26">
        <f t="shared" ca="1" si="471"/>
        <v>0.46871597524744568</v>
      </c>
      <c r="J5599">
        <f t="shared" ca="1" si="473"/>
        <v>1</v>
      </c>
      <c r="K5599">
        <f t="shared" ca="1" si="474"/>
        <v>0</v>
      </c>
      <c r="L5599">
        <f t="shared" si="475"/>
        <v>5593</v>
      </c>
      <c r="M5599" s="71">
        <f t="shared" ca="1" si="476"/>
        <v>2.1218666561942383</v>
      </c>
    </row>
    <row r="5600" spans="1:13" x14ac:dyDescent="0.25">
      <c r="A5600" s="2">
        <v>5594</v>
      </c>
      <c r="B5600" s="11">
        <f t="shared" ca="1" si="472"/>
        <v>1</v>
      </c>
      <c r="C5600" s="26">
        <f t="shared" ca="1" si="471"/>
        <v>0.15160336747490288</v>
      </c>
      <c r="J5600">
        <f t="shared" ca="1" si="473"/>
        <v>1</v>
      </c>
      <c r="K5600">
        <f t="shared" ca="1" si="474"/>
        <v>0</v>
      </c>
      <c r="L5600">
        <f t="shared" si="475"/>
        <v>5594</v>
      </c>
      <c r="M5600" s="71">
        <f t="shared" ca="1" si="476"/>
        <v>5.1518978503524115</v>
      </c>
    </row>
    <row r="5601" spans="1:13" x14ac:dyDescent="0.25">
      <c r="A5601" s="2">
        <v>5595</v>
      </c>
      <c r="B5601" s="11">
        <f t="shared" ca="1" si="472"/>
        <v>1</v>
      </c>
      <c r="C5601" s="26">
        <f t="shared" ca="1" si="471"/>
        <v>0.60698006967368234</v>
      </c>
      <c r="J5601">
        <f t="shared" ca="1" si="473"/>
        <v>1</v>
      </c>
      <c r="K5601">
        <f t="shared" ca="1" si="474"/>
        <v>0</v>
      </c>
      <c r="L5601">
        <f t="shared" si="475"/>
        <v>5595</v>
      </c>
      <c r="M5601" s="71">
        <f t="shared" ca="1" si="476"/>
        <v>3.1624030913224606</v>
      </c>
    </row>
    <row r="5602" spans="1:13" x14ac:dyDescent="0.25">
      <c r="A5602" s="2">
        <v>5596</v>
      </c>
      <c r="B5602" s="11">
        <f t="shared" ca="1" si="472"/>
        <v>1</v>
      </c>
      <c r="C5602" s="26">
        <f t="shared" ca="1" si="471"/>
        <v>0.64224641239054048</v>
      </c>
      <c r="J5602">
        <f t="shared" ca="1" si="473"/>
        <v>1</v>
      </c>
      <c r="K5602">
        <f t="shared" ca="1" si="474"/>
        <v>0</v>
      </c>
      <c r="L5602">
        <f t="shared" si="475"/>
        <v>5596</v>
      </c>
      <c r="M5602" s="71">
        <f t="shared" ca="1" si="476"/>
        <v>1.2312052120274959</v>
      </c>
    </row>
    <row r="5603" spans="1:13" x14ac:dyDescent="0.25">
      <c r="A5603" s="2">
        <v>5597</v>
      </c>
      <c r="B5603" s="11">
        <f t="shared" ca="1" si="472"/>
        <v>1</v>
      </c>
      <c r="C5603" s="26">
        <f t="shared" ca="1" si="471"/>
        <v>9.8353251251861229E-2</v>
      </c>
      <c r="J5603">
        <f t="shared" ca="1" si="473"/>
        <v>1</v>
      </c>
      <c r="K5603">
        <f t="shared" ca="1" si="474"/>
        <v>0</v>
      </c>
      <c r="L5603">
        <f t="shared" si="475"/>
        <v>5597</v>
      </c>
      <c r="M5603" s="71">
        <f t="shared" ca="1" si="476"/>
        <v>1.8525849841918762</v>
      </c>
    </row>
    <row r="5604" spans="1:13" x14ac:dyDescent="0.25">
      <c r="A5604" s="2">
        <v>5598</v>
      </c>
      <c r="B5604" s="11">
        <f t="shared" ca="1" si="472"/>
        <v>1</v>
      </c>
      <c r="C5604" s="26">
        <f t="shared" ca="1" si="471"/>
        <v>0.72724070263603924</v>
      </c>
      <c r="J5604">
        <f t="shared" ca="1" si="473"/>
        <v>1</v>
      </c>
      <c r="K5604">
        <f t="shared" ca="1" si="474"/>
        <v>0</v>
      </c>
      <c r="L5604">
        <f t="shared" si="475"/>
        <v>5598</v>
      </c>
      <c r="M5604" s="71">
        <f t="shared" ca="1" si="476"/>
        <v>4.93852433234626</v>
      </c>
    </row>
    <row r="5605" spans="1:13" x14ac:dyDescent="0.25">
      <c r="A5605" s="2">
        <v>5599</v>
      </c>
      <c r="B5605" s="11">
        <f t="shared" ca="1" si="472"/>
        <v>1</v>
      </c>
      <c r="C5605" s="26">
        <f t="shared" ca="1" si="471"/>
        <v>0.56125976152270862</v>
      </c>
      <c r="J5605">
        <f t="shared" ca="1" si="473"/>
        <v>1</v>
      </c>
      <c r="K5605">
        <f t="shared" ca="1" si="474"/>
        <v>0</v>
      </c>
      <c r="L5605">
        <f t="shared" si="475"/>
        <v>5599</v>
      </c>
      <c r="M5605" s="71">
        <f t="shared" ca="1" si="476"/>
        <v>7.326937868657396E-2</v>
      </c>
    </row>
    <row r="5606" spans="1:13" x14ac:dyDescent="0.25">
      <c r="A5606" s="2">
        <v>5600</v>
      </c>
      <c r="B5606" s="11">
        <f t="shared" ca="1" si="472"/>
        <v>1</v>
      </c>
      <c r="C5606" s="26">
        <f t="shared" ca="1" si="471"/>
        <v>9.5465018889183684E-2</v>
      </c>
      <c r="J5606">
        <f t="shared" ca="1" si="473"/>
        <v>1</v>
      </c>
      <c r="K5606">
        <f t="shared" ca="1" si="474"/>
        <v>0</v>
      </c>
      <c r="L5606">
        <f t="shared" si="475"/>
        <v>5600</v>
      </c>
      <c r="M5606" s="71">
        <f t="shared" ca="1" si="476"/>
        <v>4.1443227164582241</v>
      </c>
    </row>
    <row r="5607" spans="1:13" x14ac:dyDescent="0.25">
      <c r="A5607" s="2">
        <v>5601</v>
      </c>
      <c r="B5607" s="11">
        <f t="shared" ca="1" si="472"/>
        <v>1</v>
      </c>
      <c r="C5607" s="26">
        <f t="shared" ca="1" si="471"/>
        <v>0.48153010742484559</v>
      </c>
      <c r="J5607">
        <f t="shared" ca="1" si="473"/>
        <v>1</v>
      </c>
      <c r="K5607">
        <f t="shared" ca="1" si="474"/>
        <v>0</v>
      </c>
      <c r="L5607">
        <f t="shared" si="475"/>
        <v>5601</v>
      </c>
      <c r="M5607" s="71">
        <f t="shared" ca="1" si="476"/>
        <v>1.7978837784960122</v>
      </c>
    </row>
    <row r="5608" spans="1:13" x14ac:dyDescent="0.25">
      <c r="A5608" s="2">
        <v>5602</v>
      </c>
      <c r="B5608" s="11">
        <f t="shared" ca="1" si="472"/>
        <v>1</v>
      </c>
      <c r="C5608" s="26">
        <f t="shared" ca="1" si="471"/>
        <v>0.49355847776059636</v>
      </c>
      <c r="J5608">
        <f t="shared" ca="1" si="473"/>
        <v>1</v>
      </c>
      <c r="K5608">
        <f t="shared" ca="1" si="474"/>
        <v>0</v>
      </c>
      <c r="L5608">
        <f t="shared" si="475"/>
        <v>5602</v>
      </c>
      <c r="M5608" s="71">
        <f t="shared" ca="1" si="476"/>
        <v>0.1934889571965637</v>
      </c>
    </row>
    <row r="5609" spans="1:13" x14ac:dyDescent="0.25">
      <c r="A5609" s="2">
        <v>5603</v>
      </c>
      <c r="B5609" s="11">
        <f t="shared" ca="1" si="472"/>
        <v>1</v>
      </c>
      <c r="C5609" s="26">
        <f t="shared" ca="1" si="471"/>
        <v>0.25137562953680759</v>
      </c>
      <c r="J5609">
        <f t="shared" ca="1" si="473"/>
        <v>1</v>
      </c>
      <c r="K5609">
        <f t="shared" ca="1" si="474"/>
        <v>0</v>
      </c>
      <c r="L5609">
        <f t="shared" si="475"/>
        <v>5603</v>
      </c>
      <c r="M5609" s="71">
        <f t="shared" ca="1" si="476"/>
        <v>3.9146095987867024</v>
      </c>
    </row>
    <row r="5610" spans="1:13" x14ac:dyDescent="0.25">
      <c r="A5610" s="2">
        <v>5604</v>
      </c>
      <c r="B5610" s="11">
        <f t="shared" ca="1" si="472"/>
        <v>1</v>
      </c>
      <c r="C5610" s="26">
        <f t="shared" ca="1" si="471"/>
        <v>0.49741596383286413</v>
      </c>
      <c r="J5610">
        <f t="shared" ca="1" si="473"/>
        <v>0</v>
      </c>
      <c r="K5610">
        <f t="shared" ca="1" si="474"/>
        <v>0</v>
      </c>
      <c r="L5610">
        <f t="shared" si="475"/>
        <v>5604</v>
      </c>
      <c r="M5610" s="71">
        <f t="shared" ca="1" si="476"/>
        <v>3.3299621454391084</v>
      </c>
    </row>
    <row r="5611" spans="1:13" x14ac:dyDescent="0.25">
      <c r="A5611" s="2">
        <v>5605</v>
      </c>
      <c r="B5611" s="11">
        <f t="shared" ca="1" si="472"/>
        <v>0</v>
      </c>
      <c r="C5611" s="26">
        <f t="shared" ca="1" si="471"/>
        <v>0.96512283024141321</v>
      </c>
      <c r="J5611">
        <f t="shared" ca="1" si="473"/>
        <v>0</v>
      </c>
      <c r="K5611">
        <f t="shared" ca="1" si="474"/>
        <v>1</v>
      </c>
      <c r="L5611">
        <f t="shared" si="475"/>
        <v>5605</v>
      </c>
      <c r="M5611" s="71">
        <f t="shared" ca="1" si="476"/>
        <v>0</v>
      </c>
    </row>
    <row r="5612" spans="1:13" x14ac:dyDescent="0.25">
      <c r="A5612" s="2">
        <v>5606</v>
      </c>
      <c r="B5612" s="11">
        <f t="shared" ca="1" si="472"/>
        <v>0</v>
      </c>
      <c r="C5612" s="26">
        <f t="shared" ca="1" si="471"/>
        <v>0.85352357866290895</v>
      </c>
      <c r="J5612">
        <f t="shared" ca="1" si="473"/>
        <v>0</v>
      </c>
      <c r="K5612">
        <f t="shared" ca="1" si="474"/>
        <v>0</v>
      </c>
      <c r="L5612">
        <f t="shared" si="475"/>
        <v>5606</v>
      </c>
      <c r="M5612" s="71">
        <f t="shared" ca="1" si="476"/>
        <v>0</v>
      </c>
    </row>
    <row r="5613" spans="1:13" x14ac:dyDescent="0.25">
      <c r="A5613" s="2">
        <v>5607</v>
      </c>
      <c r="B5613" s="11">
        <f t="shared" ca="1" si="472"/>
        <v>1</v>
      </c>
      <c r="C5613" s="26">
        <f t="shared" ca="1" si="471"/>
        <v>0.47082026990993819</v>
      </c>
      <c r="J5613">
        <f t="shared" ca="1" si="473"/>
        <v>1</v>
      </c>
      <c r="K5613">
        <f t="shared" ca="1" si="474"/>
        <v>0</v>
      </c>
      <c r="L5613">
        <f t="shared" si="475"/>
        <v>5607</v>
      </c>
      <c r="M5613" s="71">
        <f t="shared" ca="1" si="476"/>
        <v>2.8486391361704069</v>
      </c>
    </row>
    <row r="5614" spans="1:13" x14ac:dyDescent="0.25">
      <c r="A5614" s="2">
        <v>5608</v>
      </c>
      <c r="B5614" s="11">
        <f t="shared" ca="1" si="472"/>
        <v>1</v>
      </c>
      <c r="C5614" s="26">
        <f t="shared" ca="1" si="471"/>
        <v>0.51999181728242017</v>
      </c>
      <c r="J5614">
        <f t="shared" ca="1" si="473"/>
        <v>1</v>
      </c>
      <c r="K5614">
        <f t="shared" ca="1" si="474"/>
        <v>0</v>
      </c>
      <c r="L5614">
        <f t="shared" si="475"/>
        <v>5608</v>
      </c>
      <c r="M5614" s="71">
        <f t="shared" ca="1" si="476"/>
        <v>0.15135451575982151</v>
      </c>
    </row>
    <row r="5615" spans="1:13" x14ac:dyDescent="0.25">
      <c r="A5615" s="2">
        <v>5609</v>
      </c>
      <c r="B5615" s="11">
        <f t="shared" ca="1" si="472"/>
        <v>1</v>
      </c>
      <c r="C5615" s="26">
        <f t="shared" ca="1" si="471"/>
        <v>0.70199014684609673</v>
      </c>
      <c r="J5615">
        <f t="shared" ca="1" si="473"/>
        <v>1</v>
      </c>
      <c r="K5615">
        <f t="shared" ca="1" si="474"/>
        <v>0</v>
      </c>
      <c r="L5615">
        <f t="shared" si="475"/>
        <v>5609</v>
      </c>
      <c r="M5615" s="71">
        <f t="shared" ca="1" si="476"/>
        <v>1.4314840349251179</v>
      </c>
    </row>
    <row r="5616" spans="1:13" x14ac:dyDescent="0.25">
      <c r="A5616" s="2">
        <v>5610</v>
      </c>
      <c r="B5616" s="11">
        <f t="shared" ca="1" si="472"/>
        <v>1</v>
      </c>
      <c r="C5616" s="26">
        <f t="shared" ca="1" si="471"/>
        <v>0.63855464199005807</v>
      </c>
      <c r="J5616">
        <f t="shared" ca="1" si="473"/>
        <v>1</v>
      </c>
      <c r="K5616">
        <f t="shared" ca="1" si="474"/>
        <v>0</v>
      </c>
      <c r="L5616">
        <f t="shared" si="475"/>
        <v>5610</v>
      </c>
      <c r="M5616" s="71">
        <f t="shared" ca="1" si="476"/>
        <v>7.3415849820744166</v>
      </c>
    </row>
    <row r="5617" spans="1:13" x14ac:dyDescent="0.25">
      <c r="A5617" s="2">
        <v>5611</v>
      </c>
      <c r="B5617" s="11">
        <f t="shared" ca="1" si="472"/>
        <v>1</v>
      </c>
      <c r="C5617" s="26">
        <f t="shared" ca="1" si="471"/>
        <v>0.67097034240193509</v>
      </c>
      <c r="J5617">
        <f t="shared" ca="1" si="473"/>
        <v>1</v>
      </c>
      <c r="K5617">
        <f t="shared" ca="1" si="474"/>
        <v>0</v>
      </c>
      <c r="L5617">
        <f t="shared" si="475"/>
        <v>5611</v>
      </c>
      <c r="M5617" s="71">
        <f t="shared" ca="1" si="476"/>
        <v>3.927720023065627E-2</v>
      </c>
    </row>
    <row r="5618" spans="1:13" x14ac:dyDescent="0.25">
      <c r="A5618" s="2">
        <v>5612</v>
      </c>
      <c r="B5618" s="11">
        <f t="shared" ca="1" si="472"/>
        <v>1</v>
      </c>
      <c r="C5618" s="26">
        <f t="shared" ca="1" si="471"/>
        <v>0.65973861332115546</v>
      </c>
      <c r="J5618">
        <f t="shared" ca="1" si="473"/>
        <v>0</v>
      </c>
      <c r="K5618">
        <f t="shared" ca="1" si="474"/>
        <v>0</v>
      </c>
      <c r="L5618">
        <f t="shared" si="475"/>
        <v>5612</v>
      </c>
      <c r="M5618" s="71">
        <f t="shared" ca="1" si="476"/>
        <v>5.9441492017071296</v>
      </c>
    </row>
    <row r="5619" spans="1:13" x14ac:dyDescent="0.25">
      <c r="A5619" s="2">
        <v>5613</v>
      </c>
      <c r="B5619" s="11">
        <f t="shared" ca="1" si="472"/>
        <v>0</v>
      </c>
      <c r="C5619" s="26">
        <f t="shared" ca="1" si="471"/>
        <v>0.93944605512714396</v>
      </c>
      <c r="J5619">
        <f t="shared" ca="1" si="473"/>
        <v>0</v>
      </c>
      <c r="K5619">
        <f t="shared" ca="1" si="474"/>
        <v>1</v>
      </c>
      <c r="L5619">
        <f t="shared" si="475"/>
        <v>5613</v>
      </c>
      <c r="M5619" s="71">
        <f t="shared" ca="1" si="476"/>
        <v>0</v>
      </c>
    </row>
    <row r="5620" spans="1:13" x14ac:dyDescent="0.25">
      <c r="A5620" s="2">
        <v>5614</v>
      </c>
      <c r="B5620" s="11">
        <f t="shared" ca="1" si="472"/>
        <v>0</v>
      </c>
      <c r="C5620" s="26">
        <f t="shared" ca="1" si="471"/>
        <v>0.85880412002803108</v>
      </c>
      <c r="J5620">
        <f t="shared" ca="1" si="473"/>
        <v>0</v>
      </c>
      <c r="K5620">
        <f t="shared" ca="1" si="474"/>
        <v>1</v>
      </c>
      <c r="L5620">
        <f t="shared" si="475"/>
        <v>5614</v>
      </c>
      <c r="M5620" s="71">
        <f t="shared" ca="1" si="476"/>
        <v>0</v>
      </c>
    </row>
    <row r="5621" spans="1:13" x14ac:dyDescent="0.25">
      <c r="A5621" s="2">
        <v>5615</v>
      </c>
      <c r="B5621" s="11">
        <f t="shared" ca="1" si="472"/>
        <v>0</v>
      </c>
      <c r="C5621" s="26">
        <f t="shared" ca="1" si="471"/>
        <v>0.97289618828440594</v>
      </c>
      <c r="J5621">
        <f t="shared" ca="1" si="473"/>
        <v>0</v>
      </c>
      <c r="K5621">
        <f t="shared" ca="1" si="474"/>
        <v>0</v>
      </c>
      <c r="L5621">
        <f t="shared" si="475"/>
        <v>5615</v>
      </c>
      <c r="M5621" s="71">
        <f t="shared" ca="1" si="476"/>
        <v>0</v>
      </c>
    </row>
    <row r="5622" spans="1:13" x14ac:dyDescent="0.25">
      <c r="A5622" s="2">
        <v>5616</v>
      </c>
      <c r="B5622" s="11">
        <f t="shared" ca="1" si="472"/>
        <v>1</v>
      </c>
      <c r="C5622" s="26">
        <f t="shared" ca="1" si="471"/>
        <v>0.6279573243962524</v>
      </c>
      <c r="J5622">
        <f t="shared" ca="1" si="473"/>
        <v>1</v>
      </c>
      <c r="K5622">
        <f t="shared" ca="1" si="474"/>
        <v>0</v>
      </c>
      <c r="L5622">
        <f t="shared" si="475"/>
        <v>5616</v>
      </c>
      <c r="M5622" s="71">
        <f t="shared" ca="1" si="476"/>
        <v>2.850105271647958</v>
      </c>
    </row>
    <row r="5623" spans="1:13" x14ac:dyDescent="0.25">
      <c r="A5623" s="2">
        <v>5617</v>
      </c>
      <c r="B5623" s="11">
        <f t="shared" ca="1" si="472"/>
        <v>1</v>
      </c>
      <c r="C5623" s="26">
        <f t="shared" ca="1" si="471"/>
        <v>0.4779615185984466</v>
      </c>
      <c r="J5623">
        <f t="shared" ca="1" si="473"/>
        <v>1</v>
      </c>
      <c r="K5623">
        <f t="shared" ca="1" si="474"/>
        <v>0</v>
      </c>
      <c r="L5623">
        <f t="shared" si="475"/>
        <v>5617</v>
      </c>
      <c r="M5623" s="71">
        <f t="shared" ca="1" si="476"/>
        <v>9.7735635528328615</v>
      </c>
    </row>
    <row r="5624" spans="1:13" x14ac:dyDescent="0.25">
      <c r="A5624" s="2">
        <v>5618</v>
      </c>
      <c r="B5624" s="11">
        <f t="shared" ca="1" si="472"/>
        <v>1</v>
      </c>
      <c r="C5624" s="26">
        <f t="shared" ca="1" si="471"/>
        <v>0.19298084607365218</v>
      </c>
      <c r="J5624">
        <f t="shared" ca="1" si="473"/>
        <v>1</v>
      </c>
      <c r="K5624">
        <f t="shared" ca="1" si="474"/>
        <v>0</v>
      </c>
      <c r="L5624">
        <f t="shared" si="475"/>
        <v>5618</v>
      </c>
      <c r="M5624" s="71">
        <f t="shared" ca="1" si="476"/>
        <v>0.95831936898860814</v>
      </c>
    </row>
    <row r="5625" spans="1:13" x14ac:dyDescent="0.25">
      <c r="A5625" s="2">
        <v>5619</v>
      </c>
      <c r="B5625" s="11">
        <f t="shared" ca="1" si="472"/>
        <v>1</v>
      </c>
      <c r="C5625" s="26">
        <f t="shared" ca="1" si="471"/>
        <v>0.28453095675126927</v>
      </c>
      <c r="J5625">
        <f t="shared" ca="1" si="473"/>
        <v>0</v>
      </c>
      <c r="K5625">
        <f t="shared" ca="1" si="474"/>
        <v>0</v>
      </c>
      <c r="L5625">
        <f t="shared" si="475"/>
        <v>5619</v>
      </c>
      <c r="M5625" s="71">
        <f t="shared" ca="1" si="476"/>
        <v>4.0207241767621742</v>
      </c>
    </row>
    <row r="5626" spans="1:13" x14ac:dyDescent="0.25">
      <c r="A5626" s="2">
        <v>5620</v>
      </c>
      <c r="B5626" s="11">
        <f t="shared" ca="1" si="472"/>
        <v>0</v>
      </c>
      <c r="C5626" s="26">
        <f t="shared" ca="1" si="471"/>
        <v>0.81455083497661396</v>
      </c>
      <c r="J5626">
        <f t="shared" ca="1" si="473"/>
        <v>0</v>
      </c>
      <c r="K5626">
        <f t="shared" ca="1" si="474"/>
        <v>0</v>
      </c>
      <c r="L5626">
        <f t="shared" si="475"/>
        <v>5620</v>
      </c>
      <c r="M5626" s="71">
        <f t="shared" ca="1" si="476"/>
        <v>0</v>
      </c>
    </row>
    <row r="5627" spans="1:13" x14ac:dyDescent="0.25">
      <c r="A5627" s="2">
        <v>5621</v>
      </c>
      <c r="B5627" s="11">
        <f t="shared" ca="1" si="472"/>
        <v>1</v>
      </c>
      <c r="C5627" s="26">
        <f t="shared" ca="1" si="471"/>
        <v>0.44427688004958421</v>
      </c>
      <c r="J5627">
        <f t="shared" ca="1" si="473"/>
        <v>1</v>
      </c>
      <c r="K5627">
        <f t="shared" ca="1" si="474"/>
        <v>0</v>
      </c>
      <c r="L5627">
        <f t="shared" si="475"/>
        <v>5621</v>
      </c>
      <c r="M5627" s="71">
        <f t="shared" ca="1" si="476"/>
        <v>0.78927115201769571</v>
      </c>
    </row>
    <row r="5628" spans="1:13" x14ac:dyDescent="0.25">
      <c r="A5628" s="2">
        <v>5622</v>
      </c>
      <c r="B5628" s="11">
        <f t="shared" ca="1" si="472"/>
        <v>1</v>
      </c>
      <c r="C5628" s="26">
        <f t="shared" ca="1" si="471"/>
        <v>0.21490564856159033</v>
      </c>
      <c r="J5628">
        <f t="shared" ca="1" si="473"/>
        <v>1</v>
      </c>
      <c r="K5628">
        <f t="shared" ca="1" si="474"/>
        <v>0</v>
      </c>
      <c r="L5628">
        <f t="shared" si="475"/>
        <v>5622</v>
      </c>
      <c r="M5628" s="71">
        <f t="shared" ca="1" si="476"/>
        <v>4.6509287921658178</v>
      </c>
    </row>
    <row r="5629" spans="1:13" x14ac:dyDescent="0.25">
      <c r="A5629" s="2">
        <v>5623</v>
      </c>
      <c r="B5629" s="11">
        <f t="shared" ca="1" si="472"/>
        <v>1</v>
      </c>
      <c r="C5629" s="26">
        <f t="shared" ca="1" si="471"/>
        <v>0.17080675814149127</v>
      </c>
      <c r="J5629">
        <f t="shared" ca="1" si="473"/>
        <v>1</v>
      </c>
      <c r="K5629">
        <f t="shared" ca="1" si="474"/>
        <v>0</v>
      </c>
      <c r="L5629">
        <f t="shared" si="475"/>
        <v>5623</v>
      </c>
      <c r="M5629" s="71">
        <f t="shared" ca="1" si="476"/>
        <v>1.0500144653159658</v>
      </c>
    </row>
    <row r="5630" spans="1:13" x14ac:dyDescent="0.25">
      <c r="A5630" s="2">
        <v>5624</v>
      </c>
      <c r="B5630" s="11">
        <f t="shared" ca="1" si="472"/>
        <v>1</v>
      </c>
      <c r="C5630" s="26">
        <f t="shared" ca="1" si="471"/>
        <v>0.30811527000103212</v>
      </c>
      <c r="J5630">
        <f t="shared" ca="1" si="473"/>
        <v>0</v>
      </c>
      <c r="K5630">
        <f t="shared" ca="1" si="474"/>
        <v>0</v>
      </c>
      <c r="L5630">
        <f t="shared" si="475"/>
        <v>5624</v>
      </c>
      <c r="M5630" s="71">
        <f t="shared" ca="1" si="476"/>
        <v>2.1675630612994206</v>
      </c>
    </row>
    <row r="5631" spans="1:13" x14ac:dyDescent="0.25">
      <c r="A5631" s="2">
        <v>5625</v>
      </c>
      <c r="B5631" s="11">
        <f t="shared" ca="1" si="472"/>
        <v>0</v>
      </c>
      <c r="C5631" s="26">
        <f t="shared" ca="1" si="471"/>
        <v>0.84673170575981593</v>
      </c>
      <c r="J5631">
        <f t="shared" ca="1" si="473"/>
        <v>0</v>
      </c>
      <c r="K5631">
        <f t="shared" ca="1" si="474"/>
        <v>0</v>
      </c>
      <c r="L5631">
        <f t="shared" si="475"/>
        <v>5625</v>
      </c>
      <c r="M5631" s="71">
        <f t="shared" ca="1" si="476"/>
        <v>0</v>
      </c>
    </row>
    <row r="5632" spans="1:13" x14ac:dyDescent="0.25">
      <c r="A5632" s="2">
        <v>5626</v>
      </c>
      <c r="B5632" s="11">
        <f t="shared" ca="1" si="472"/>
        <v>1</v>
      </c>
      <c r="C5632" s="26">
        <f t="shared" ca="1" si="471"/>
        <v>0.17936879749948242</v>
      </c>
      <c r="J5632">
        <f t="shared" ca="1" si="473"/>
        <v>1</v>
      </c>
      <c r="K5632">
        <f t="shared" ca="1" si="474"/>
        <v>0</v>
      </c>
      <c r="L5632">
        <f t="shared" si="475"/>
        <v>5626</v>
      </c>
      <c r="M5632" s="71">
        <f t="shared" ca="1" si="476"/>
        <v>6.2707195084520748</v>
      </c>
    </row>
    <row r="5633" spans="1:13" x14ac:dyDescent="0.25">
      <c r="A5633" s="2">
        <v>5627</v>
      </c>
      <c r="B5633" s="11">
        <f t="shared" ca="1" si="472"/>
        <v>1</v>
      </c>
      <c r="C5633" s="26">
        <f t="shared" ca="1" si="471"/>
        <v>0.48339114384166093</v>
      </c>
      <c r="J5633">
        <f t="shared" ca="1" si="473"/>
        <v>1</v>
      </c>
      <c r="K5633">
        <f t="shared" ca="1" si="474"/>
        <v>0</v>
      </c>
      <c r="L5633">
        <f t="shared" si="475"/>
        <v>5627</v>
      </c>
      <c r="M5633" s="71">
        <f t="shared" ca="1" si="476"/>
        <v>7.6480720440747296</v>
      </c>
    </row>
    <row r="5634" spans="1:13" x14ac:dyDescent="0.25">
      <c r="A5634" s="2">
        <v>5628</v>
      </c>
      <c r="B5634" s="11">
        <f t="shared" ca="1" si="472"/>
        <v>1</v>
      </c>
      <c r="C5634" s="26">
        <f t="shared" ca="1" si="471"/>
        <v>3.0414173726299731E-2</v>
      </c>
      <c r="J5634">
        <f t="shared" ca="1" si="473"/>
        <v>1</v>
      </c>
      <c r="K5634">
        <f t="shared" ca="1" si="474"/>
        <v>0</v>
      </c>
      <c r="L5634">
        <f t="shared" si="475"/>
        <v>5628</v>
      </c>
      <c r="M5634" s="71">
        <f t="shared" ca="1" si="476"/>
        <v>4.7539363379856079</v>
      </c>
    </row>
    <row r="5635" spans="1:13" x14ac:dyDescent="0.25">
      <c r="A5635" s="2">
        <v>5629</v>
      </c>
      <c r="B5635" s="11">
        <f t="shared" ca="1" si="472"/>
        <v>1</v>
      </c>
      <c r="C5635" s="26">
        <f t="shared" ca="1" si="471"/>
        <v>0.52882966442975277</v>
      </c>
      <c r="J5635">
        <f t="shared" ca="1" si="473"/>
        <v>1</v>
      </c>
      <c r="K5635">
        <f t="shared" ca="1" si="474"/>
        <v>0</v>
      </c>
      <c r="L5635">
        <f t="shared" si="475"/>
        <v>5629</v>
      </c>
      <c r="M5635" s="71">
        <f t="shared" ca="1" si="476"/>
        <v>3.3772815336788988</v>
      </c>
    </row>
    <row r="5636" spans="1:13" x14ac:dyDescent="0.25">
      <c r="A5636" s="2">
        <v>5630</v>
      </c>
      <c r="B5636" s="11">
        <f t="shared" ca="1" si="472"/>
        <v>1</v>
      </c>
      <c r="C5636" s="26">
        <f t="shared" ca="1" si="471"/>
        <v>0.4890692410678068</v>
      </c>
      <c r="J5636">
        <f t="shared" ca="1" si="473"/>
        <v>1</v>
      </c>
      <c r="K5636">
        <f t="shared" ca="1" si="474"/>
        <v>0</v>
      </c>
      <c r="L5636">
        <f t="shared" si="475"/>
        <v>5630</v>
      </c>
      <c r="M5636" s="71">
        <f t="shared" ca="1" si="476"/>
        <v>7.0987520846387167</v>
      </c>
    </row>
    <row r="5637" spans="1:13" x14ac:dyDescent="0.25">
      <c r="A5637" s="2">
        <v>5631</v>
      </c>
      <c r="B5637" s="11">
        <f t="shared" ca="1" si="472"/>
        <v>1</v>
      </c>
      <c r="C5637" s="26">
        <f t="shared" ca="1" si="471"/>
        <v>0.25647845004942038</v>
      </c>
      <c r="J5637">
        <f t="shared" ca="1" si="473"/>
        <v>1</v>
      </c>
      <c r="K5637">
        <f t="shared" ca="1" si="474"/>
        <v>0</v>
      </c>
      <c r="L5637">
        <f t="shared" si="475"/>
        <v>5631</v>
      </c>
      <c r="M5637" s="71">
        <f t="shared" ca="1" si="476"/>
        <v>3.2020790135872059</v>
      </c>
    </row>
    <row r="5638" spans="1:13" x14ac:dyDescent="0.25">
      <c r="A5638" s="2">
        <v>5632</v>
      </c>
      <c r="B5638" s="11">
        <f t="shared" ca="1" si="472"/>
        <v>1</v>
      </c>
      <c r="C5638" s="26">
        <f t="shared" ca="1" si="471"/>
        <v>0.79868725645544492</v>
      </c>
      <c r="J5638">
        <f t="shared" ca="1" si="473"/>
        <v>0</v>
      </c>
      <c r="K5638">
        <f t="shared" ca="1" si="474"/>
        <v>0</v>
      </c>
      <c r="L5638">
        <f t="shared" si="475"/>
        <v>5632</v>
      </c>
      <c r="M5638" s="71">
        <f t="shared" ca="1" si="476"/>
        <v>0.68802454670446578</v>
      </c>
    </row>
    <row r="5639" spans="1:13" x14ac:dyDescent="0.25">
      <c r="A5639" s="2">
        <v>5633</v>
      </c>
      <c r="B5639" s="11">
        <f t="shared" ca="1" si="472"/>
        <v>0</v>
      </c>
      <c r="C5639" s="26">
        <f t="shared" ca="1" si="471"/>
        <v>0.88581745628864228</v>
      </c>
      <c r="J5639">
        <f t="shared" ca="1" si="473"/>
        <v>0</v>
      </c>
      <c r="K5639">
        <f t="shared" ca="1" si="474"/>
        <v>0</v>
      </c>
      <c r="L5639">
        <f t="shared" si="475"/>
        <v>5633</v>
      </c>
      <c r="M5639" s="71">
        <f t="shared" ca="1" si="476"/>
        <v>0</v>
      </c>
    </row>
    <row r="5640" spans="1:13" x14ac:dyDescent="0.25">
      <c r="A5640" s="2">
        <v>5634</v>
      </c>
      <c r="B5640" s="11">
        <f t="shared" ca="1" si="472"/>
        <v>1</v>
      </c>
      <c r="C5640" s="26">
        <f t="shared" ref="C5640:C5703" ca="1" si="477">RAND()</f>
        <v>0.22168551675466242</v>
      </c>
      <c r="J5640">
        <f t="shared" ca="1" si="473"/>
        <v>1</v>
      </c>
      <c r="K5640">
        <f t="shared" ca="1" si="474"/>
        <v>0</v>
      </c>
      <c r="L5640">
        <f t="shared" si="475"/>
        <v>5634</v>
      </c>
      <c r="M5640" s="71">
        <f t="shared" ca="1" si="476"/>
        <v>8.5960907870103593</v>
      </c>
    </row>
    <row r="5641" spans="1:13" x14ac:dyDescent="0.25">
      <c r="A5641" s="2">
        <v>5635</v>
      </c>
      <c r="B5641" s="11">
        <f t="shared" ref="B5641:B5704" ca="1" si="478">IF(B5640&gt;0,IF(C5641&lt;pww,1,0),IF(C5641&lt;pdw,1,0))</f>
        <v>1</v>
      </c>
      <c r="C5641" s="26">
        <f t="shared" ca="1" si="477"/>
        <v>0.59905588532798393</v>
      </c>
      <c r="J5641">
        <f t="shared" ca="1" si="473"/>
        <v>1</v>
      </c>
      <c r="K5641">
        <f t="shared" ca="1" si="474"/>
        <v>0</v>
      </c>
      <c r="L5641">
        <f t="shared" si="475"/>
        <v>5635</v>
      </c>
      <c r="M5641" s="71">
        <f t="shared" ca="1" si="476"/>
        <v>11.389829476633745</v>
      </c>
    </row>
    <row r="5642" spans="1:13" x14ac:dyDescent="0.25">
      <c r="A5642" s="2">
        <v>5636</v>
      </c>
      <c r="B5642" s="11">
        <f t="shared" ca="1" si="478"/>
        <v>1</v>
      </c>
      <c r="C5642" s="26">
        <f t="shared" ca="1" si="477"/>
        <v>0.62348549318094781</v>
      </c>
      <c r="J5642">
        <f t="shared" ref="J5642:J5705" ca="1" si="479">IF(AND(B5642,B5643),1,0)</f>
        <v>0</v>
      </c>
      <c r="K5642">
        <f t="shared" ref="K5642:K5705" ca="1" si="480">IF(AND(NOT(B5642),NOT(B5643)),1,0)</f>
        <v>0</v>
      </c>
      <c r="L5642">
        <f t="shared" ref="L5642:L5705" si="481">L5641+1</f>
        <v>5636</v>
      </c>
      <c r="M5642" s="71">
        <f t="shared" ref="M5642:M5705" ca="1" si="482">IF(B5642&gt;0,-LN(1-(RAND()))/lambda,0)</f>
        <v>0.43994917806016376</v>
      </c>
    </row>
    <row r="5643" spans="1:13" x14ac:dyDescent="0.25">
      <c r="A5643" s="2">
        <v>5637</v>
      </c>
      <c r="B5643" s="11">
        <f t="shared" ca="1" si="478"/>
        <v>0</v>
      </c>
      <c r="C5643" s="26">
        <f t="shared" ca="1" si="477"/>
        <v>0.98496304923432165</v>
      </c>
      <c r="J5643">
        <f t="shared" ca="1" si="479"/>
        <v>0</v>
      </c>
      <c r="K5643">
        <f t="shared" ca="1" si="480"/>
        <v>0</v>
      </c>
      <c r="L5643">
        <f t="shared" si="481"/>
        <v>5637</v>
      </c>
      <c r="M5643" s="71">
        <f t="shared" ca="1" si="482"/>
        <v>0</v>
      </c>
    </row>
    <row r="5644" spans="1:13" x14ac:dyDescent="0.25">
      <c r="A5644" s="2">
        <v>5638</v>
      </c>
      <c r="B5644" s="11">
        <f t="shared" ca="1" si="478"/>
        <v>1</v>
      </c>
      <c r="C5644" s="26">
        <f t="shared" ca="1" si="477"/>
        <v>4.0639869232674042E-2</v>
      </c>
      <c r="J5644">
        <f t="shared" ca="1" si="479"/>
        <v>1</v>
      </c>
      <c r="K5644">
        <f t="shared" ca="1" si="480"/>
        <v>0</v>
      </c>
      <c r="L5644">
        <f t="shared" si="481"/>
        <v>5638</v>
      </c>
      <c r="M5644" s="71">
        <f t="shared" ca="1" si="482"/>
        <v>3.6608351328911066</v>
      </c>
    </row>
    <row r="5645" spans="1:13" x14ac:dyDescent="0.25">
      <c r="A5645" s="2">
        <v>5639</v>
      </c>
      <c r="B5645" s="11">
        <f t="shared" ca="1" si="478"/>
        <v>1</v>
      </c>
      <c r="C5645" s="26">
        <f t="shared" ca="1" si="477"/>
        <v>0.70111362113605369</v>
      </c>
      <c r="J5645">
        <f t="shared" ca="1" si="479"/>
        <v>1</v>
      </c>
      <c r="K5645">
        <f t="shared" ca="1" si="480"/>
        <v>0</v>
      </c>
      <c r="L5645">
        <f t="shared" si="481"/>
        <v>5639</v>
      </c>
      <c r="M5645" s="71">
        <f t="shared" ca="1" si="482"/>
        <v>6.8134703127116225</v>
      </c>
    </row>
    <row r="5646" spans="1:13" x14ac:dyDescent="0.25">
      <c r="A5646" s="2">
        <v>5640</v>
      </c>
      <c r="B5646" s="11">
        <f t="shared" ca="1" si="478"/>
        <v>1</v>
      </c>
      <c r="C5646" s="26">
        <f t="shared" ca="1" si="477"/>
        <v>8.1186487819933095E-3</v>
      </c>
      <c r="J5646">
        <f t="shared" ca="1" si="479"/>
        <v>1</v>
      </c>
      <c r="K5646">
        <f t="shared" ca="1" si="480"/>
        <v>0</v>
      </c>
      <c r="L5646">
        <f t="shared" si="481"/>
        <v>5640</v>
      </c>
      <c r="M5646" s="71">
        <f t="shared" ca="1" si="482"/>
        <v>5.9331373811458912</v>
      </c>
    </row>
    <row r="5647" spans="1:13" x14ac:dyDescent="0.25">
      <c r="A5647" s="2">
        <v>5641</v>
      </c>
      <c r="B5647" s="11">
        <f t="shared" ca="1" si="478"/>
        <v>1</v>
      </c>
      <c r="C5647" s="26">
        <f t="shared" ca="1" si="477"/>
        <v>0.49705682519198791</v>
      </c>
      <c r="J5647">
        <f t="shared" ca="1" si="479"/>
        <v>1</v>
      </c>
      <c r="K5647">
        <f t="shared" ca="1" si="480"/>
        <v>0</v>
      </c>
      <c r="L5647">
        <f t="shared" si="481"/>
        <v>5641</v>
      </c>
      <c r="M5647" s="71">
        <f t="shared" ca="1" si="482"/>
        <v>3.8672027808508371</v>
      </c>
    </row>
    <row r="5648" spans="1:13" x14ac:dyDescent="0.25">
      <c r="A5648" s="2">
        <v>5642</v>
      </c>
      <c r="B5648" s="11">
        <f t="shared" ca="1" si="478"/>
        <v>1</v>
      </c>
      <c r="C5648" s="26">
        <f t="shared" ca="1" si="477"/>
        <v>0.34401403626212568</v>
      </c>
      <c r="J5648">
        <f t="shared" ca="1" si="479"/>
        <v>0</v>
      </c>
      <c r="K5648">
        <f t="shared" ca="1" si="480"/>
        <v>0</v>
      </c>
      <c r="L5648">
        <f t="shared" si="481"/>
        <v>5642</v>
      </c>
      <c r="M5648" s="71">
        <f t="shared" ca="1" si="482"/>
        <v>4.5356290350721178</v>
      </c>
    </row>
    <row r="5649" spans="1:13" x14ac:dyDescent="0.25">
      <c r="A5649" s="2">
        <v>5643</v>
      </c>
      <c r="B5649" s="11">
        <f t="shared" ca="1" si="478"/>
        <v>0</v>
      </c>
      <c r="C5649" s="26">
        <f t="shared" ca="1" si="477"/>
        <v>0.80005234294019167</v>
      </c>
      <c r="J5649">
        <f t="shared" ca="1" si="479"/>
        <v>0</v>
      </c>
      <c r="K5649">
        <f t="shared" ca="1" si="480"/>
        <v>0</v>
      </c>
      <c r="L5649">
        <f t="shared" si="481"/>
        <v>5643</v>
      </c>
      <c r="M5649" s="71">
        <f t="shared" ca="1" si="482"/>
        <v>0</v>
      </c>
    </row>
    <row r="5650" spans="1:13" x14ac:dyDescent="0.25">
      <c r="A5650" s="2">
        <v>5644</v>
      </c>
      <c r="B5650" s="11">
        <f t="shared" ca="1" si="478"/>
        <v>1</v>
      </c>
      <c r="C5650" s="26">
        <f t="shared" ca="1" si="477"/>
        <v>0.59307293945767481</v>
      </c>
      <c r="J5650">
        <f t="shared" ca="1" si="479"/>
        <v>1</v>
      </c>
      <c r="K5650">
        <f t="shared" ca="1" si="480"/>
        <v>0</v>
      </c>
      <c r="L5650">
        <f t="shared" si="481"/>
        <v>5644</v>
      </c>
      <c r="M5650" s="71">
        <f t="shared" ca="1" si="482"/>
        <v>1.3247888012826972</v>
      </c>
    </row>
    <row r="5651" spans="1:13" x14ac:dyDescent="0.25">
      <c r="A5651" s="2">
        <v>5645</v>
      </c>
      <c r="B5651" s="11">
        <f t="shared" ca="1" si="478"/>
        <v>1</v>
      </c>
      <c r="C5651" s="26">
        <f t="shared" ca="1" si="477"/>
        <v>0.34667544319243215</v>
      </c>
      <c r="J5651">
        <f t="shared" ca="1" si="479"/>
        <v>1</v>
      </c>
      <c r="K5651">
        <f t="shared" ca="1" si="480"/>
        <v>0</v>
      </c>
      <c r="L5651">
        <f t="shared" si="481"/>
        <v>5645</v>
      </c>
      <c r="M5651" s="71">
        <f t="shared" ca="1" si="482"/>
        <v>1.2198076494477261</v>
      </c>
    </row>
    <row r="5652" spans="1:13" x14ac:dyDescent="0.25">
      <c r="A5652" s="2">
        <v>5646</v>
      </c>
      <c r="B5652" s="11">
        <f t="shared" ca="1" si="478"/>
        <v>1</v>
      </c>
      <c r="C5652" s="26">
        <f t="shared" ca="1" si="477"/>
        <v>0.30033891452469241</v>
      </c>
      <c r="J5652">
        <f t="shared" ca="1" si="479"/>
        <v>1</v>
      </c>
      <c r="K5652">
        <f t="shared" ca="1" si="480"/>
        <v>0</v>
      </c>
      <c r="L5652">
        <f t="shared" si="481"/>
        <v>5646</v>
      </c>
      <c r="M5652" s="71">
        <f t="shared" ca="1" si="482"/>
        <v>1.0200628100101385</v>
      </c>
    </row>
    <row r="5653" spans="1:13" x14ac:dyDescent="0.25">
      <c r="A5653" s="2">
        <v>5647</v>
      </c>
      <c r="B5653" s="11">
        <f t="shared" ca="1" si="478"/>
        <v>1</v>
      </c>
      <c r="C5653" s="26">
        <f t="shared" ca="1" si="477"/>
        <v>0.62876416838629257</v>
      </c>
      <c r="J5653">
        <f t="shared" ca="1" si="479"/>
        <v>1</v>
      </c>
      <c r="K5653">
        <f t="shared" ca="1" si="480"/>
        <v>0</v>
      </c>
      <c r="L5653">
        <f t="shared" si="481"/>
        <v>5647</v>
      </c>
      <c r="M5653" s="71">
        <f t="shared" ca="1" si="482"/>
        <v>5.524577647028905</v>
      </c>
    </row>
    <row r="5654" spans="1:13" x14ac:dyDescent="0.25">
      <c r="A5654" s="2">
        <v>5648</v>
      </c>
      <c r="B5654" s="11">
        <f t="shared" ca="1" si="478"/>
        <v>1</v>
      </c>
      <c r="C5654" s="26">
        <f t="shared" ca="1" si="477"/>
        <v>0.38148049755137681</v>
      </c>
      <c r="J5654">
        <f t="shared" ca="1" si="479"/>
        <v>1</v>
      </c>
      <c r="K5654">
        <f t="shared" ca="1" si="480"/>
        <v>0</v>
      </c>
      <c r="L5654">
        <f t="shared" si="481"/>
        <v>5648</v>
      </c>
      <c r="M5654" s="71">
        <f t="shared" ca="1" si="482"/>
        <v>19.063318828379856</v>
      </c>
    </row>
    <row r="5655" spans="1:13" x14ac:dyDescent="0.25">
      <c r="A5655" s="2">
        <v>5649</v>
      </c>
      <c r="B5655" s="11">
        <f t="shared" ca="1" si="478"/>
        <v>1</v>
      </c>
      <c r="C5655" s="26">
        <f t="shared" ca="1" si="477"/>
        <v>0.41069546452411776</v>
      </c>
      <c r="J5655">
        <f t="shared" ca="1" si="479"/>
        <v>0</v>
      </c>
      <c r="K5655">
        <f t="shared" ca="1" si="480"/>
        <v>0</v>
      </c>
      <c r="L5655">
        <f t="shared" si="481"/>
        <v>5649</v>
      </c>
      <c r="M5655" s="71">
        <f t="shared" ca="1" si="482"/>
        <v>0.54003384539398358</v>
      </c>
    </row>
    <row r="5656" spans="1:13" x14ac:dyDescent="0.25">
      <c r="A5656" s="2">
        <v>5650</v>
      </c>
      <c r="B5656" s="11">
        <f t="shared" ca="1" si="478"/>
        <v>0</v>
      </c>
      <c r="C5656" s="26">
        <f t="shared" ca="1" si="477"/>
        <v>0.95219244296105721</v>
      </c>
      <c r="J5656">
        <f t="shared" ca="1" si="479"/>
        <v>0</v>
      </c>
      <c r="K5656">
        <f t="shared" ca="1" si="480"/>
        <v>0</v>
      </c>
      <c r="L5656">
        <f t="shared" si="481"/>
        <v>5650</v>
      </c>
      <c r="M5656" s="71">
        <f t="shared" ca="1" si="482"/>
        <v>0</v>
      </c>
    </row>
    <row r="5657" spans="1:13" x14ac:dyDescent="0.25">
      <c r="A5657" s="2">
        <v>5651</v>
      </c>
      <c r="B5657" s="11">
        <f t="shared" ca="1" si="478"/>
        <v>1</v>
      </c>
      <c r="C5657" s="26">
        <f t="shared" ca="1" si="477"/>
        <v>0.13493560852302855</v>
      </c>
      <c r="J5657">
        <f t="shared" ca="1" si="479"/>
        <v>1</v>
      </c>
      <c r="K5657">
        <f t="shared" ca="1" si="480"/>
        <v>0</v>
      </c>
      <c r="L5657">
        <f t="shared" si="481"/>
        <v>5651</v>
      </c>
      <c r="M5657" s="71">
        <f t="shared" ca="1" si="482"/>
        <v>2.0444847566209785</v>
      </c>
    </row>
    <row r="5658" spans="1:13" x14ac:dyDescent="0.25">
      <c r="A5658" s="2">
        <v>5652</v>
      </c>
      <c r="B5658" s="11">
        <f t="shared" ca="1" si="478"/>
        <v>1</v>
      </c>
      <c r="C5658" s="26">
        <f t="shared" ca="1" si="477"/>
        <v>0.39964935962801729</v>
      </c>
      <c r="J5658">
        <f t="shared" ca="1" si="479"/>
        <v>1</v>
      </c>
      <c r="K5658">
        <f t="shared" ca="1" si="480"/>
        <v>0</v>
      </c>
      <c r="L5658">
        <f t="shared" si="481"/>
        <v>5652</v>
      </c>
      <c r="M5658" s="71">
        <f t="shared" ca="1" si="482"/>
        <v>4.6253151930591807</v>
      </c>
    </row>
    <row r="5659" spans="1:13" x14ac:dyDescent="0.25">
      <c r="A5659" s="2">
        <v>5653</v>
      </c>
      <c r="B5659" s="11">
        <f t="shared" ca="1" si="478"/>
        <v>1</v>
      </c>
      <c r="C5659" s="26">
        <f t="shared" ca="1" si="477"/>
        <v>0.50589624498335262</v>
      </c>
      <c r="J5659">
        <f t="shared" ca="1" si="479"/>
        <v>1</v>
      </c>
      <c r="K5659">
        <f t="shared" ca="1" si="480"/>
        <v>0</v>
      </c>
      <c r="L5659">
        <f t="shared" si="481"/>
        <v>5653</v>
      </c>
      <c r="M5659" s="71">
        <f t="shared" ca="1" si="482"/>
        <v>0.54051306779997321</v>
      </c>
    </row>
    <row r="5660" spans="1:13" x14ac:dyDescent="0.25">
      <c r="A5660" s="2">
        <v>5654</v>
      </c>
      <c r="B5660" s="11">
        <f t="shared" ca="1" si="478"/>
        <v>1</v>
      </c>
      <c r="C5660" s="26">
        <f t="shared" ca="1" si="477"/>
        <v>0.62783229095598636</v>
      </c>
      <c r="J5660">
        <f t="shared" ca="1" si="479"/>
        <v>1</v>
      </c>
      <c r="K5660">
        <f t="shared" ca="1" si="480"/>
        <v>0</v>
      </c>
      <c r="L5660">
        <f t="shared" si="481"/>
        <v>5654</v>
      </c>
      <c r="M5660" s="71">
        <f t="shared" ca="1" si="482"/>
        <v>5.6784412434501093</v>
      </c>
    </row>
    <row r="5661" spans="1:13" x14ac:dyDescent="0.25">
      <c r="A5661" s="2">
        <v>5655</v>
      </c>
      <c r="B5661" s="11">
        <f t="shared" ca="1" si="478"/>
        <v>1</v>
      </c>
      <c r="C5661" s="26">
        <f t="shared" ca="1" si="477"/>
        <v>0.18764790523746699</v>
      </c>
      <c r="J5661">
        <f t="shared" ca="1" si="479"/>
        <v>1</v>
      </c>
      <c r="K5661">
        <f t="shared" ca="1" si="480"/>
        <v>0</v>
      </c>
      <c r="L5661">
        <f t="shared" si="481"/>
        <v>5655</v>
      </c>
      <c r="M5661" s="71">
        <f t="shared" ca="1" si="482"/>
        <v>3.196095855396933</v>
      </c>
    </row>
    <row r="5662" spans="1:13" x14ac:dyDescent="0.25">
      <c r="A5662" s="2">
        <v>5656</v>
      </c>
      <c r="B5662" s="11">
        <f t="shared" ca="1" si="478"/>
        <v>1</v>
      </c>
      <c r="C5662" s="26">
        <f t="shared" ca="1" si="477"/>
        <v>0.38126932980461548</v>
      </c>
      <c r="J5662">
        <f t="shared" ca="1" si="479"/>
        <v>1</v>
      </c>
      <c r="K5662">
        <f t="shared" ca="1" si="480"/>
        <v>0</v>
      </c>
      <c r="L5662">
        <f t="shared" si="481"/>
        <v>5656</v>
      </c>
      <c r="M5662" s="71">
        <f t="shared" ca="1" si="482"/>
        <v>4.3966887202054012</v>
      </c>
    </row>
    <row r="5663" spans="1:13" x14ac:dyDescent="0.25">
      <c r="A5663" s="2">
        <v>5657</v>
      </c>
      <c r="B5663" s="11">
        <f t="shared" ca="1" si="478"/>
        <v>1</v>
      </c>
      <c r="C5663" s="26">
        <f t="shared" ca="1" si="477"/>
        <v>0.78865015399020255</v>
      </c>
      <c r="J5663">
        <f t="shared" ca="1" si="479"/>
        <v>1</v>
      </c>
      <c r="K5663">
        <f t="shared" ca="1" si="480"/>
        <v>0</v>
      </c>
      <c r="L5663">
        <f t="shared" si="481"/>
        <v>5657</v>
      </c>
      <c r="M5663" s="71">
        <f t="shared" ca="1" si="482"/>
        <v>0.19329703829219511</v>
      </c>
    </row>
    <row r="5664" spans="1:13" x14ac:dyDescent="0.25">
      <c r="A5664" s="2">
        <v>5658</v>
      </c>
      <c r="B5664" s="11">
        <f t="shared" ca="1" si="478"/>
        <v>1</v>
      </c>
      <c r="C5664" s="26">
        <f t="shared" ca="1" si="477"/>
        <v>0.73073902594392071</v>
      </c>
      <c r="J5664">
        <f t="shared" ca="1" si="479"/>
        <v>0</v>
      </c>
      <c r="K5664">
        <f t="shared" ca="1" si="480"/>
        <v>0</v>
      </c>
      <c r="L5664">
        <f t="shared" si="481"/>
        <v>5658</v>
      </c>
      <c r="M5664" s="71">
        <f t="shared" ca="1" si="482"/>
        <v>4.0697834307815999</v>
      </c>
    </row>
    <row r="5665" spans="1:13" x14ac:dyDescent="0.25">
      <c r="A5665" s="2">
        <v>5659</v>
      </c>
      <c r="B5665" s="11">
        <f t="shared" ca="1" si="478"/>
        <v>0</v>
      </c>
      <c r="C5665" s="26">
        <f t="shared" ca="1" si="477"/>
        <v>0.86060751665768531</v>
      </c>
      <c r="J5665">
        <f t="shared" ca="1" si="479"/>
        <v>0</v>
      </c>
      <c r="K5665">
        <f t="shared" ca="1" si="480"/>
        <v>0</v>
      </c>
      <c r="L5665">
        <f t="shared" si="481"/>
        <v>5659</v>
      </c>
      <c r="M5665" s="71">
        <f t="shared" ca="1" si="482"/>
        <v>0</v>
      </c>
    </row>
    <row r="5666" spans="1:13" x14ac:dyDescent="0.25">
      <c r="A5666" s="2">
        <v>5660</v>
      </c>
      <c r="B5666" s="11">
        <f t="shared" ca="1" si="478"/>
        <v>1</v>
      </c>
      <c r="C5666" s="26">
        <f t="shared" ca="1" si="477"/>
        <v>0.22034966677397316</v>
      </c>
      <c r="J5666">
        <f t="shared" ca="1" si="479"/>
        <v>1</v>
      </c>
      <c r="K5666">
        <f t="shared" ca="1" si="480"/>
        <v>0</v>
      </c>
      <c r="L5666">
        <f t="shared" si="481"/>
        <v>5660</v>
      </c>
      <c r="M5666" s="71">
        <f t="shared" ca="1" si="482"/>
        <v>6.559399687230651</v>
      </c>
    </row>
    <row r="5667" spans="1:13" x14ac:dyDescent="0.25">
      <c r="A5667" s="2">
        <v>5661</v>
      </c>
      <c r="B5667" s="11">
        <f t="shared" ca="1" si="478"/>
        <v>1</v>
      </c>
      <c r="C5667" s="26">
        <f t="shared" ca="1" si="477"/>
        <v>0.70935049490129098</v>
      </c>
      <c r="J5667">
        <f t="shared" ca="1" si="479"/>
        <v>1</v>
      </c>
      <c r="K5667">
        <f t="shared" ca="1" si="480"/>
        <v>0</v>
      </c>
      <c r="L5667">
        <f t="shared" si="481"/>
        <v>5661</v>
      </c>
      <c r="M5667" s="71">
        <f t="shared" ca="1" si="482"/>
        <v>3.9858549157631971</v>
      </c>
    </row>
    <row r="5668" spans="1:13" x14ac:dyDescent="0.25">
      <c r="A5668" s="2">
        <v>5662</v>
      </c>
      <c r="B5668" s="11">
        <f t="shared" ca="1" si="478"/>
        <v>1</v>
      </c>
      <c r="C5668" s="26">
        <f t="shared" ca="1" si="477"/>
        <v>0.36991307566913956</v>
      </c>
      <c r="J5668">
        <f t="shared" ca="1" si="479"/>
        <v>1</v>
      </c>
      <c r="K5668">
        <f t="shared" ca="1" si="480"/>
        <v>0</v>
      </c>
      <c r="L5668">
        <f t="shared" si="481"/>
        <v>5662</v>
      </c>
      <c r="M5668" s="71">
        <f t="shared" ca="1" si="482"/>
        <v>3.0017118328374797</v>
      </c>
    </row>
    <row r="5669" spans="1:13" x14ac:dyDescent="0.25">
      <c r="A5669" s="2">
        <v>5663</v>
      </c>
      <c r="B5669" s="11">
        <f t="shared" ca="1" si="478"/>
        <v>1</v>
      </c>
      <c r="C5669" s="26">
        <f t="shared" ca="1" si="477"/>
        <v>0.60232330469289785</v>
      </c>
      <c r="J5669">
        <f t="shared" ca="1" si="479"/>
        <v>1</v>
      </c>
      <c r="K5669">
        <f t="shared" ca="1" si="480"/>
        <v>0</v>
      </c>
      <c r="L5669">
        <f t="shared" si="481"/>
        <v>5663</v>
      </c>
      <c r="M5669" s="71">
        <f t="shared" ca="1" si="482"/>
        <v>11.740785288929555</v>
      </c>
    </row>
    <row r="5670" spans="1:13" x14ac:dyDescent="0.25">
      <c r="A5670" s="2">
        <v>5664</v>
      </c>
      <c r="B5670" s="11">
        <f t="shared" ca="1" si="478"/>
        <v>1</v>
      </c>
      <c r="C5670" s="26">
        <f t="shared" ca="1" si="477"/>
        <v>0.34656229745988754</v>
      </c>
      <c r="J5670">
        <f t="shared" ca="1" si="479"/>
        <v>1</v>
      </c>
      <c r="K5670">
        <f t="shared" ca="1" si="480"/>
        <v>0</v>
      </c>
      <c r="L5670">
        <f t="shared" si="481"/>
        <v>5664</v>
      </c>
      <c r="M5670" s="71">
        <f t="shared" ca="1" si="482"/>
        <v>1.2669214251167744</v>
      </c>
    </row>
    <row r="5671" spans="1:13" x14ac:dyDescent="0.25">
      <c r="A5671" s="2">
        <v>5665</v>
      </c>
      <c r="B5671" s="11">
        <f t="shared" ca="1" si="478"/>
        <v>1</v>
      </c>
      <c r="C5671" s="26">
        <f t="shared" ca="1" si="477"/>
        <v>0.105407635914612</v>
      </c>
      <c r="J5671">
        <f t="shared" ca="1" si="479"/>
        <v>1</v>
      </c>
      <c r="K5671">
        <f t="shared" ca="1" si="480"/>
        <v>0</v>
      </c>
      <c r="L5671">
        <f t="shared" si="481"/>
        <v>5665</v>
      </c>
      <c r="M5671" s="71">
        <f t="shared" ca="1" si="482"/>
        <v>0.2571285065838993</v>
      </c>
    </row>
    <row r="5672" spans="1:13" x14ac:dyDescent="0.25">
      <c r="A5672" s="2">
        <v>5666</v>
      </c>
      <c r="B5672" s="11">
        <f t="shared" ca="1" si="478"/>
        <v>1</v>
      </c>
      <c r="C5672" s="26">
        <f t="shared" ca="1" si="477"/>
        <v>0.71499331301309843</v>
      </c>
      <c r="J5672">
        <f t="shared" ca="1" si="479"/>
        <v>1</v>
      </c>
      <c r="K5672">
        <f t="shared" ca="1" si="480"/>
        <v>0</v>
      </c>
      <c r="L5672">
        <f t="shared" si="481"/>
        <v>5666</v>
      </c>
      <c r="M5672" s="71">
        <f t="shared" ca="1" si="482"/>
        <v>3.8132889968897961</v>
      </c>
    </row>
    <row r="5673" spans="1:13" x14ac:dyDescent="0.25">
      <c r="A5673" s="2">
        <v>5667</v>
      </c>
      <c r="B5673" s="11">
        <f t="shared" ca="1" si="478"/>
        <v>1</v>
      </c>
      <c r="C5673" s="26">
        <f t="shared" ca="1" si="477"/>
        <v>0.60041695785305704</v>
      </c>
      <c r="J5673">
        <f t="shared" ca="1" si="479"/>
        <v>1</v>
      </c>
      <c r="K5673">
        <f t="shared" ca="1" si="480"/>
        <v>0</v>
      </c>
      <c r="L5673">
        <f t="shared" si="481"/>
        <v>5667</v>
      </c>
      <c r="M5673" s="71">
        <f t="shared" ca="1" si="482"/>
        <v>2.9735548660001578</v>
      </c>
    </row>
    <row r="5674" spans="1:13" x14ac:dyDescent="0.25">
      <c r="A5674" s="2">
        <v>5668</v>
      </c>
      <c r="B5674" s="11">
        <f t="shared" ca="1" si="478"/>
        <v>1</v>
      </c>
      <c r="C5674" s="26">
        <f t="shared" ca="1" si="477"/>
        <v>0.23490020281093205</v>
      </c>
      <c r="J5674">
        <f t="shared" ca="1" si="479"/>
        <v>1</v>
      </c>
      <c r="K5674">
        <f t="shared" ca="1" si="480"/>
        <v>0</v>
      </c>
      <c r="L5674">
        <f t="shared" si="481"/>
        <v>5668</v>
      </c>
      <c r="M5674" s="71">
        <f t="shared" ca="1" si="482"/>
        <v>3.023618282563582E-2</v>
      </c>
    </row>
    <row r="5675" spans="1:13" x14ac:dyDescent="0.25">
      <c r="A5675" s="2">
        <v>5669</v>
      </c>
      <c r="B5675" s="11">
        <f t="shared" ca="1" si="478"/>
        <v>1</v>
      </c>
      <c r="C5675" s="26">
        <f t="shared" ca="1" si="477"/>
        <v>0.64481797353582648</v>
      </c>
      <c r="J5675">
        <f t="shared" ca="1" si="479"/>
        <v>1</v>
      </c>
      <c r="K5675">
        <f t="shared" ca="1" si="480"/>
        <v>0</v>
      </c>
      <c r="L5675">
        <f t="shared" si="481"/>
        <v>5669</v>
      </c>
      <c r="M5675" s="71">
        <f t="shared" ca="1" si="482"/>
        <v>1.5405967536860166</v>
      </c>
    </row>
    <row r="5676" spans="1:13" x14ac:dyDescent="0.25">
      <c r="A5676" s="2">
        <v>5670</v>
      </c>
      <c r="B5676" s="11">
        <f t="shared" ca="1" si="478"/>
        <v>1</v>
      </c>
      <c r="C5676" s="26">
        <f t="shared" ca="1" si="477"/>
        <v>0.67473354171966449</v>
      </c>
      <c r="J5676">
        <f t="shared" ca="1" si="479"/>
        <v>1</v>
      </c>
      <c r="K5676">
        <f t="shared" ca="1" si="480"/>
        <v>0</v>
      </c>
      <c r="L5676">
        <f t="shared" si="481"/>
        <v>5670</v>
      </c>
      <c r="M5676" s="71">
        <f t="shared" ca="1" si="482"/>
        <v>0.93364536816327537</v>
      </c>
    </row>
    <row r="5677" spans="1:13" x14ac:dyDescent="0.25">
      <c r="A5677" s="2">
        <v>5671</v>
      </c>
      <c r="B5677" s="11">
        <f t="shared" ca="1" si="478"/>
        <v>1</v>
      </c>
      <c r="C5677" s="26">
        <f t="shared" ca="1" si="477"/>
        <v>0.2095318702551654</v>
      </c>
      <c r="J5677">
        <f t="shared" ca="1" si="479"/>
        <v>1</v>
      </c>
      <c r="K5677">
        <f t="shared" ca="1" si="480"/>
        <v>0</v>
      </c>
      <c r="L5677">
        <f t="shared" si="481"/>
        <v>5671</v>
      </c>
      <c r="M5677" s="71">
        <f t="shared" ca="1" si="482"/>
        <v>3.488887126766465</v>
      </c>
    </row>
    <row r="5678" spans="1:13" x14ac:dyDescent="0.25">
      <c r="A5678" s="2">
        <v>5672</v>
      </c>
      <c r="B5678" s="11">
        <f t="shared" ca="1" si="478"/>
        <v>1</v>
      </c>
      <c r="C5678" s="26">
        <f t="shared" ca="1" si="477"/>
        <v>0.25077043138772015</v>
      </c>
      <c r="J5678">
        <f t="shared" ca="1" si="479"/>
        <v>0</v>
      </c>
      <c r="K5678">
        <f t="shared" ca="1" si="480"/>
        <v>0</v>
      </c>
      <c r="L5678">
        <f t="shared" si="481"/>
        <v>5672</v>
      </c>
      <c r="M5678" s="71">
        <f t="shared" ca="1" si="482"/>
        <v>7.7763112028651529</v>
      </c>
    </row>
    <row r="5679" spans="1:13" x14ac:dyDescent="0.25">
      <c r="A5679" s="2">
        <v>5673</v>
      </c>
      <c r="B5679" s="11">
        <f t="shared" ca="1" si="478"/>
        <v>0</v>
      </c>
      <c r="C5679" s="26">
        <f t="shared" ca="1" si="477"/>
        <v>0.81641992854029277</v>
      </c>
      <c r="J5679">
        <f t="shared" ca="1" si="479"/>
        <v>0</v>
      </c>
      <c r="K5679">
        <f t="shared" ca="1" si="480"/>
        <v>0</v>
      </c>
      <c r="L5679">
        <f t="shared" si="481"/>
        <v>5673</v>
      </c>
      <c r="M5679" s="71">
        <f t="shared" ca="1" si="482"/>
        <v>0</v>
      </c>
    </row>
    <row r="5680" spans="1:13" x14ac:dyDescent="0.25">
      <c r="A5680" s="2">
        <v>5674</v>
      </c>
      <c r="B5680" s="11">
        <f t="shared" ca="1" si="478"/>
        <v>1</v>
      </c>
      <c r="C5680" s="26">
        <f t="shared" ca="1" si="477"/>
        <v>0.68202304572270966</v>
      </c>
      <c r="J5680">
        <f t="shared" ca="1" si="479"/>
        <v>1</v>
      </c>
      <c r="K5680">
        <f t="shared" ca="1" si="480"/>
        <v>0</v>
      </c>
      <c r="L5680">
        <f t="shared" si="481"/>
        <v>5674</v>
      </c>
      <c r="M5680" s="71">
        <f t="shared" ca="1" si="482"/>
        <v>4.3438366511466917E-2</v>
      </c>
    </row>
    <row r="5681" spans="1:13" x14ac:dyDescent="0.25">
      <c r="A5681" s="2">
        <v>5675</v>
      </c>
      <c r="B5681" s="11">
        <f t="shared" ca="1" si="478"/>
        <v>1</v>
      </c>
      <c r="C5681" s="26">
        <f t="shared" ca="1" si="477"/>
        <v>4.0338688648001608E-2</v>
      </c>
      <c r="J5681">
        <f t="shared" ca="1" si="479"/>
        <v>1</v>
      </c>
      <c r="K5681">
        <f t="shared" ca="1" si="480"/>
        <v>0</v>
      </c>
      <c r="L5681">
        <f t="shared" si="481"/>
        <v>5675</v>
      </c>
      <c r="M5681" s="71">
        <f t="shared" ca="1" si="482"/>
        <v>2.4072124079087147</v>
      </c>
    </row>
    <row r="5682" spans="1:13" x14ac:dyDescent="0.25">
      <c r="A5682" s="2">
        <v>5676</v>
      </c>
      <c r="B5682" s="11">
        <f t="shared" ca="1" si="478"/>
        <v>1</v>
      </c>
      <c r="C5682" s="26">
        <f t="shared" ca="1" si="477"/>
        <v>0.39716780689502051</v>
      </c>
      <c r="J5682">
        <f t="shared" ca="1" si="479"/>
        <v>1</v>
      </c>
      <c r="K5682">
        <f t="shared" ca="1" si="480"/>
        <v>0</v>
      </c>
      <c r="L5682">
        <f t="shared" si="481"/>
        <v>5676</v>
      </c>
      <c r="M5682" s="71">
        <f t="shared" ca="1" si="482"/>
        <v>2.6446657009103265</v>
      </c>
    </row>
    <row r="5683" spans="1:13" x14ac:dyDescent="0.25">
      <c r="A5683" s="2">
        <v>5677</v>
      </c>
      <c r="B5683" s="11">
        <f t="shared" ca="1" si="478"/>
        <v>1</v>
      </c>
      <c r="C5683" s="26">
        <f t="shared" ca="1" si="477"/>
        <v>0.77014437740176067</v>
      </c>
      <c r="J5683">
        <f t="shared" ca="1" si="479"/>
        <v>0</v>
      </c>
      <c r="K5683">
        <f t="shared" ca="1" si="480"/>
        <v>0</v>
      </c>
      <c r="L5683">
        <f t="shared" si="481"/>
        <v>5677</v>
      </c>
      <c r="M5683" s="71">
        <f t="shared" ca="1" si="482"/>
        <v>4.996157043011201</v>
      </c>
    </row>
    <row r="5684" spans="1:13" x14ac:dyDescent="0.25">
      <c r="A5684" s="2">
        <v>5678</v>
      </c>
      <c r="B5684" s="11">
        <f t="shared" ca="1" si="478"/>
        <v>0</v>
      </c>
      <c r="C5684" s="26">
        <f t="shared" ca="1" si="477"/>
        <v>0.93155221689301437</v>
      </c>
      <c r="J5684">
        <f t="shared" ca="1" si="479"/>
        <v>0</v>
      </c>
      <c r="K5684">
        <f t="shared" ca="1" si="480"/>
        <v>0</v>
      </c>
      <c r="L5684">
        <f t="shared" si="481"/>
        <v>5678</v>
      </c>
      <c r="M5684" s="71">
        <f t="shared" ca="1" si="482"/>
        <v>0</v>
      </c>
    </row>
    <row r="5685" spans="1:13" x14ac:dyDescent="0.25">
      <c r="A5685" s="2">
        <v>5679</v>
      </c>
      <c r="B5685" s="11">
        <f t="shared" ca="1" si="478"/>
        <v>1</v>
      </c>
      <c r="C5685" s="26">
        <f t="shared" ca="1" si="477"/>
        <v>0.26906847545270385</v>
      </c>
      <c r="J5685">
        <f t="shared" ca="1" si="479"/>
        <v>1</v>
      </c>
      <c r="K5685">
        <f t="shared" ca="1" si="480"/>
        <v>0</v>
      </c>
      <c r="L5685">
        <f t="shared" si="481"/>
        <v>5679</v>
      </c>
      <c r="M5685" s="71">
        <f t="shared" ca="1" si="482"/>
        <v>3.1149684956168464</v>
      </c>
    </row>
    <row r="5686" spans="1:13" x14ac:dyDescent="0.25">
      <c r="A5686" s="2">
        <v>5680</v>
      </c>
      <c r="B5686" s="11">
        <f t="shared" ca="1" si="478"/>
        <v>1</v>
      </c>
      <c r="C5686" s="26">
        <f t="shared" ca="1" si="477"/>
        <v>9.1613862441795146E-2</v>
      </c>
      <c r="J5686">
        <f t="shared" ca="1" si="479"/>
        <v>1</v>
      </c>
      <c r="K5686">
        <f t="shared" ca="1" si="480"/>
        <v>0</v>
      </c>
      <c r="L5686">
        <f t="shared" si="481"/>
        <v>5680</v>
      </c>
      <c r="M5686" s="71">
        <f t="shared" ca="1" si="482"/>
        <v>3.5008544410567288</v>
      </c>
    </row>
    <row r="5687" spans="1:13" x14ac:dyDescent="0.25">
      <c r="A5687" s="2">
        <v>5681</v>
      </c>
      <c r="B5687" s="11">
        <f t="shared" ca="1" si="478"/>
        <v>1</v>
      </c>
      <c r="C5687" s="26">
        <f t="shared" ca="1" si="477"/>
        <v>0.23968226037661611</v>
      </c>
      <c r="J5687">
        <f t="shared" ca="1" si="479"/>
        <v>1</v>
      </c>
      <c r="K5687">
        <f t="shared" ca="1" si="480"/>
        <v>0</v>
      </c>
      <c r="L5687">
        <f t="shared" si="481"/>
        <v>5681</v>
      </c>
      <c r="M5687" s="71">
        <f t="shared" ca="1" si="482"/>
        <v>1.9704444838937816</v>
      </c>
    </row>
    <row r="5688" spans="1:13" x14ac:dyDescent="0.25">
      <c r="A5688" s="2">
        <v>5682</v>
      </c>
      <c r="B5688" s="11">
        <f t="shared" ca="1" si="478"/>
        <v>1</v>
      </c>
      <c r="C5688" s="26">
        <f t="shared" ca="1" si="477"/>
        <v>0.63548275348192729</v>
      </c>
      <c r="J5688">
        <f t="shared" ca="1" si="479"/>
        <v>1</v>
      </c>
      <c r="K5688">
        <f t="shared" ca="1" si="480"/>
        <v>0</v>
      </c>
      <c r="L5688">
        <f t="shared" si="481"/>
        <v>5682</v>
      </c>
      <c r="M5688" s="71">
        <f t="shared" ca="1" si="482"/>
        <v>8.6227610169964262</v>
      </c>
    </row>
    <row r="5689" spans="1:13" x14ac:dyDescent="0.25">
      <c r="A5689" s="2">
        <v>5683</v>
      </c>
      <c r="B5689" s="11">
        <f t="shared" ca="1" si="478"/>
        <v>1</v>
      </c>
      <c r="C5689" s="26">
        <f t="shared" ca="1" si="477"/>
        <v>0.72192879051760372</v>
      </c>
      <c r="J5689">
        <f t="shared" ca="1" si="479"/>
        <v>1</v>
      </c>
      <c r="K5689">
        <f t="shared" ca="1" si="480"/>
        <v>0</v>
      </c>
      <c r="L5689">
        <f t="shared" si="481"/>
        <v>5683</v>
      </c>
      <c r="M5689" s="71">
        <f t="shared" ca="1" si="482"/>
        <v>1.8664175550654833</v>
      </c>
    </row>
    <row r="5690" spans="1:13" x14ac:dyDescent="0.25">
      <c r="A5690" s="2">
        <v>5684</v>
      </c>
      <c r="B5690" s="11">
        <f t="shared" ca="1" si="478"/>
        <v>1</v>
      </c>
      <c r="C5690" s="26">
        <f t="shared" ca="1" si="477"/>
        <v>0.237156429131966</v>
      </c>
      <c r="J5690">
        <f t="shared" ca="1" si="479"/>
        <v>0</v>
      </c>
      <c r="K5690">
        <f t="shared" ca="1" si="480"/>
        <v>0</v>
      </c>
      <c r="L5690">
        <f t="shared" si="481"/>
        <v>5684</v>
      </c>
      <c r="M5690" s="71">
        <f t="shared" ca="1" si="482"/>
        <v>0.58645700962804559</v>
      </c>
    </row>
    <row r="5691" spans="1:13" x14ac:dyDescent="0.25">
      <c r="A5691" s="2">
        <v>5685</v>
      </c>
      <c r="B5691" s="11">
        <f t="shared" ca="1" si="478"/>
        <v>0</v>
      </c>
      <c r="C5691" s="26">
        <f t="shared" ca="1" si="477"/>
        <v>0.95432788199037344</v>
      </c>
      <c r="J5691">
        <f t="shared" ca="1" si="479"/>
        <v>0</v>
      </c>
      <c r="K5691">
        <f t="shared" ca="1" si="480"/>
        <v>0</v>
      </c>
      <c r="L5691">
        <f t="shared" si="481"/>
        <v>5685</v>
      </c>
      <c r="M5691" s="71">
        <f t="shared" ca="1" si="482"/>
        <v>0</v>
      </c>
    </row>
    <row r="5692" spans="1:13" x14ac:dyDescent="0.25">
      <c r="A5692" s="2">
        <v>5686</v>
      </c>
      <c r="B5692" s="11">
        <f t="shared" ca="1" si="478"/>
        <v>1</v>
      </c>
      <c r="C5692" s="26">
        <f t="shared" ca="1" si="477"/>
        <v>0.57867090091167017</v>
      </c>
      <c r="J5692">
        <f t="shared" ca="1" si="479"/>
        <v>0</v>
      </c>
      <c r="K5692">
        <f t="shared" ca="1" si="480"/>
        <v>0</v>
      </c>
      <c r="L5692">
        <f t="shared" si="481"/>
        <v>5686</v>
      </c>
      <c r="M5692" s="71">
        <f t="shared" ca="1" si="482"/>
        <v>5.3629798895102834</v>
      </c>
    </row>
    <row r="5693" spans="1:13" x14ac:dyDescent="0.25">
      <c r="A5693" s="2">
        <v>5687</v>
      </c>
      <c r="B5693" s="11">
        <f t="shared" ca="1" si="478"/>
        <v>0</v>
      </c>
      <c r="C5693" s="26">
        <f t="shared" ca="1" si="477"/>
        <v>0.8357698492011848</v>
      </c>
      <c r="J5693">
        <f t="shared" ca="1" si="479"/>
        <v>0</v>
      </c>
      <c r="K5693">
        <f t="shared" ca="1" si="480"/>
        <v>0</v>
      </c>
      <c r="L5693">
        <f t="shared" si="481"/>
        <v>5687</v>
      </c>
      <c r="M5693" s="71">
        <f t="shared" ca="1" si="482"/>
        <v>0</v>
      </c>
    </row>
    <row r="5694" spans="1:13" x14ac:dyDescent="0.25">
      <c r="A5694" s="2">
        <v>5688</v>
      </c>
      <c r="B5694" s="11">
        <f t="shared" ca="1" si="478"/>
        <v>1</v>
      </c>
      <c r="C5694" s="26">
        <f t="shared" ca="1" si="477"/>
        <v>0.42280970946346796</v>
      </c>
      <c r="J5694">
        <f t="shared" ca="1" si="479"/>
        <v>1</v>
      </c>
      <c r="K5694">
        <f t="shared" ca="1" si="480"/>
        <v>0</v>
      </c>
      <c r="L5694">
        <f t="shared" si="481"/>
        <v>5688</v>
      </c>
      <c r="M5694" s="71">
        <f t="shared" ca="1" si="482"/>
        <v>4.7988630444359348</v>
      </c>
    </row>
    <row r="5695" spans="1:13" x14ac:dyDescent="0.25">
      <c r="A5695" s="2">
        <v>5689</v>
      </c>
      <c r="B5695" s="11">
        <f t="shared" ca="1" si="478"/>
        <v>1</v>
      </c>
      <c r="C5695" s="26">
        <f t="shared" ca="1" si="477"/>
        <v>0.26585355788637444</v>
      </c>
      <c r="J5695">
        <f t="shared" ca="1" si="479"/>
        <v>1</v>
      </c>
      <c r="K5695">
        <f t="shared" ca="1" si="480"/>
        <v>0</v>
      </c>
      <c r="L5695">
        <f t="shared" si="481"/>
        <v>5689</v>
      </c>
      <c r="M5695" s="71">
        <f t="shared" ca="1" si="482"/>
        <v>0.50051624974451048</v>
      </c>
    </row>
    <row r="5696" spans="1:13" x14ac:dyDescent="0.25">
      <c r="A5696" s="2">
        <v>5690</v>
      </c>
      <c r="B5696" s="11">
        <f t="shared" ca="1" si="478"/>
        <v>1</v>
      </c>
      <c r="C5696" s="26">
        <f t="shared" ca="1" si="477"/>
        <v>0.15363871434842735</v>
      </c>
      <c r="J5696">
        <f t="shared" ca="1" si="479"/>
        <v>0</v>
      </c>
      <c r="K5696">
        <f t="shared" ca="1" si="480"/>
        <v>0</v>
      </c>
      <c r="L5696">
        <f t="shared" si="481"/>
        <v>5690</v>
      </c>
      <c r="M5696" s="71">
        <f t="shared" ca="1" si="482"/>
        <v>9.9151765995302341</v>
      </c>
    </row>
    <row r="5697" spans="1:13" x14ac:dyDescent="0.25">
      <c r="A5697" s="2">
        <v>5691</v>
      </c>
      <c r="B5697" s="11">
        <f t="shared" ca="1" si="478"/>
        <v>0</v>
      </c>
      <c r="C5697" s="26">
        <f t="shared" ca="1" si="477"/>
        <v>0.89754294859823169</v>
      </c>
      <c r="J5697">
        <f t="shared" ca="1" si="479"/>
        <v>0</v>
      </c>
      <c r="K5697">
        <f t="shared" ca="1" si="480"/>
        <v>0</v>
      </c>
      <c r="L5697">
        <f t="shared" si="481"/>
        <v>5691</v>
      </c>
      <c r="M5697" s="71">
        <f t="shared" ca="1" si="482"/>
        <v>0</v>
      </c>
    </row>
    <row r="5698" spans="1:13" x14ac:dyDescent="0.25">
      <c r="A5698" s="2">
        <v>5692</v>
      </c>
      <c r="B5698" s="11">
        <f t="shared" ca="1" si="478"/>
        <v>1</v>
      </c>
      <c r="C5698" s="26">
        <f t="shared" ca="1" si="477"/>
        <v>0.42501503009610431</v>
      </c>
      <c r="J5698">
        <f t="shared" ca="1" si="479"/>
        <v>1</v>
      </c>
      <c r="K5698">
        <f t="shared" ca="1" si="480"/>
        <v>0</v>
      </c>
      <c r="L5698">
        <f t="shared" si="481"/>
        <v>5692</v>
      </c>
      <c r="M5698" s="71">
        <f t="shared" ca="1" si="482"/>
        <v>1.479602814428457</v>
      </c>
    </row>
    <row r="5699" spans="1:13" x14ac:dyDescent="0.25">
      <c r="A5699" s="2">
        <v>5693</v>
      </c>
      <c r="B5699" s="11">
        <f t="shared" ca="1" si="478"/>
        <v>1</v>
      </c>
      <c r="C5699" s="26">
        <f t="shared" ca="1" si="477"/>
        <v>0.50494873332834922</v>
      </c>
      <c r="J5699">
        <f t="shared" ca="1" si="479"/>
        <v>1</v>
      </c>
      <c r="K5699">
        <f t="shared" ca="1" si="480"/>
        <v>0</v>
      </c>
      <c r="L5699">
        <f t="shared" si="481"/>
        <v>5693</v>
      </c>
      <c r="M5699" s="71">
        <f t="shared" ca="1" si="482"/>
        <v>2.221359507351607</v>
      </c>
    </row>
    <row r="5700" spans="1:13" x14ac:dyDescent="0.25">
      <c r="A5700" s="2">
        <v>5694</v>
      </c>
      <c r="B5700" s="11">
        <f t="shared" ca="1" si="478"/>
        <v>1</v>
      </c>
      <c r="C5700" s="26">
        <f t="shared" ca="1" si="477"/>
        <v>0.42740449985664331</v>
      </c>
      <c r="J5700">
        <f t="shared" ca="1" si="479"/>
        <v>1</v>
      </c>
      <c r="K5700">
        <f t="shared" ca="1" si="480"/>
        <v>0</v>
      </c>
      <c r="L5700">
        <f t="shared" si="481"/>
        <v>5694</v>
      </c>
      <c r="M5700" s="71">
        <f t="shared" ca="1" si="482"/>
        <v>7.4869952154574477</v>
      </c>
    </row>
    <row r="5701" spans="1:13" x14ac:dyDescent="0.25">
      <c r="A5701" s="2">
        <v>5695</v>
      </c>
      <c r="B5701" s="11">
        <f t="shared" ca="1" si="478"/>
        <v>1</v>
      </c>
      <c r="C5701" s="26">
        <f t="shared" ca="1" si="477"/>
        <v>0.12504035236071243</v>
      </c>
      <c r="J5701">
        <f t="shared" ca="1" si="479"/>
        <v>1</v>
      </c>
      <c r="K5701">
        <f t="shared" ca="1" si="480"/>
        <v>0</v>
      </c>
      <c r="L5701">
        <f t="shared" si="481"/>
        <v>5695</v>
      </c>
      <c r="M5701" s="71">
        <f t="shared" ca="1" si="482"/>
        <v>6.6852453045692153</v>
      </c>
    </row>
    <row r="5702" spans="1:13" x14ac:dyDescent="0.25">
      <c r="A5702" s="2">
        <v>5696</v>
      </c>
      <c r="B5702" s="11">
        <f t="shared" ca="1" si="478"/>
        <v>1</v>
      </c>
      <c r="C5702" s="26">
        <f t="shared" ca="1" si="477"/>
        <v>0.37264435956430553</v>
      </c>
      <c r="J5702">
        <f t="shared" ca="1" si="479"/>
        <v>1</v>
      </c>
      <c r="K5702">
        <f t="shared" ca="1" si="480"/>
        <v>0</v>
      </c>
      <c r="L5702">
        <f t="shared" si="481"/>
        <v>5696</v>
      </c>
      <c r="M5702" s="71">
        <f t="shared" ca="1" si="482"/>
        <v>5.4204969716636393</v>
      </c>
    </row>
    <row r="5703" spans="1:13" x14ac:dyDescent="0.25">
      <c r="A5703" s="2">
        <v>5697</v>
      </c>
      <c r="B5703" s="11">
        <f t="shared" ca="1" si="478"/>
        <v>1</v>
      </c>
      <c r="C5703" s="26">
        <f t="shared" ca="1" si="477"/>
        <v>7.9908431043628991E-2</v>
      </c>
      <c r="J5703">
        <f t="shared" ca="1" si="479"/>
        <v>0</v>
      </c>
      <c r="K5703">
        <f t="shared" ca="1" si="480"/>
        <v>0</v>
      </c>
      <c r="L5703">
        <f t="shared" si="481"/>
        <v>5697</v>
      </c>
      <c r="M5703" s="71">
        <f t="shared" ca="1" si="482"/>
        <v>0.91797363400803922</v>
      </c>
    </row>
    <row r="5704" spans="1:13" x14ac:dyDescent="0.25">
      <c r="A5704" s="2">
        <v>5698</v>
      </c>
      <c r="B5704" s="11">
        <f t="shared" ca="1" si="478"/>
        <v>0</v>
      </c>
      <c r="C5704" s="26">
        <f t="shared" ref="C5704:C5767" ca="1" si="483">RAND()</f>
        <v>0.860484197191282</v>
      </c>
      <c r="J5704">
        <f t="shared" ca="1" si="479"/>
        <v>0</v>
      </c>
      <c r="K5704">
        <f t="shared" ca="1" si="480"/>
        <v>1</v>
      </c>
      <c r="L5704">
        <f t="shared" si="481"/>
        <v>5698</v>
      </c>
      <c r="M5704" s="71">
        <f t="shared" ca="1" si="482"/>
        <v>0</v>
      </c>
    </row>
    <row r="5705" spans="1:13" x14ac:dyDescent="0.25">
      <c r="A5705" s="2">
        <v>5699</v>
      </c>
      <c r="B5705" s="11">
        <f t="shared" ref="B5705:B5768" ca="1" si="484">IF(B5704&gt;0,IF(C5705&lt;pww,1,0),IF(C5705&lt;pdw,1,0))</f>
        <v>0</v>
      </c>
      <c r="C5705" s="26">
        <f t="shared" ca="1" si="483"/>
        <v>0.77490800469679777</v>
      </c>
      <c r="J5705">
        <f t="shared" ca="1" si="479"/>
        <v>0</v>
      </c>
      <c r="K5705">
        <f t="shared" ca="1" si="480"/>
        <v>1</v>
      </c>
      <c r="L5705">
        <f t="shared" si="481"/>
        <v>5699</v>
      </c>
      <c r="M5705" s="71">
        <f t="shared" ca="1" si="482"/>
        <v>0</v>
      </c>
    </row>
    <row r="5706" spans="1:13" x14ac:dyDescent="0.25">
      <c r="A5706" s="2">
        <v>5700</v>
      </c>
      <c r="B5706" s="11">
        <f t="shared" ca="1" si="484"/>
        <v>0</v>
      </c>
      <c r="C5706" s="26">
        <f t="shared" ca="1" si="483"/>
        <v>0.83221913679264792</v>
      </c>
      <c r="J5706">
        <f t="shared" ref="J5706:J5769" ca="1" si="485">IF(AND(B5706,B5707),1,0)</f>
        <v>0</v>
      </c>
      <c r="K5706">
        <f t="shared" ref="K5706:K5769" ca="1" si="486">IF(AND(NOT(B5706),NOT(B5707)),1,0)</f>
        <v>0</v>
      </c>
      <c r="L5706">
        <f t="shared" ref="L5706:L5769" si="487">L5705+1</f>
        <v>5700</v>
      </c>
      <c r="M5706" s="71">
        <f t="shared" ref="M5706:M5769" ca="1" si="488">IF(B5706&gt;0,-LN(1-(RAND()))/lambda,0)</f>
        <v>0</v>
      </c>
    </row>
    <row r="5707" spans="1:13" x14ac:dyDescent="0.25">
      <c r="A5707" s="2">
        <v>5701</v>
      </c>
      <c r="B5707" s="11">
        <f t="shared" ca="1" si="484"/>
        <v>1</v>
      </c>
      <c r="C5707" s="26">
        <f t="shared" ca="1" si="483"/>
        <v>9.8832372721665895E-2</v>
      </c>
      <c r="J5707">
        <f t="shared" ca="1" si="485"/>
        <v>1</v>
      </c>
      <c r="K5707">
        <f t="shared" ca="1" si="486"/>
        <v>0</v>
      </c>
      <c r="L5707">
        <f t="shared" si="487"/>
        <v>5701</v>
      </c>
      <c r="M5707" s="71">
        <f t="shared" ca="1" si="488"/>
        <v>1.5659465312785434</v>
      </c>
    </row>
    <row r="5708" spans="1:13" x14ac:dyDescent="0.25">
      <c r="A5708" s="2">
        <v>5702</v>
      </c>
      <c r="B5708" s="11">
        <f t="shared" ca="1" si="484"/>
        <v>1</v>
      </c>
      <c r="C5708" s="26">
        <f t="shared" ca="1" si="483"/>
        <v>0.32534783000636847</v>
      </c>
      <c r="J5708">
        <f t="shared" ca="1" si="485"/>
        <v>1</v>
      </c>
      <c r="K5708">
        <f t="shared" ca="1" si="486"/>
        <v>0</v>
      </c>
      <c r="L5708">
        <f t="shared" si="487"/>
        <v>5702</v>
      </c>
      <c r="M5708" s="71">
        <f t="shared" ca="1" si="488"/>
        <v>17.934695321965652</v>
      </c>
    </row>
    <row r="5709" spans="1:13" x14ac:dyDescent="0.25">
      <c r="A5709" s="2">
        <v>5703</v>
      </c>
      <c r="B5709" s="11">
        <f t="shared" ca="1" si="484"/>
        <v>1</v>
      </c>
      <c r="C5709" s="26">
        <f t="shared" ca="1" si="483"/>
        <v>0.56647226605102541</v>
      </c>
      <c r="J5709">
        <f t="shared" ca="1" si="485"/>
        <v>1</v>
      </c>
      <c r="K5709">
        <f t="shared" ca="1" si="486"/>
        <v>0</v>
      </c>
      <c r="L5709">
        <f t="shared" si="487"/>
        <v>5703</v>
      </c>
      <c r="M5709" s="71">
        <f t="shared" ca="1" si="488"/>
        <v>1.3964288204647461</v>
      </c>
    </row>
    <row r="5710" spans="1:13" x14ac:dyDescent="0.25">
      <c r="A5710" s="2">
        <v>5704</v>
      </c>
      <c r="B5710" s="11">
        <f t="shared" ca="1" si="484"/>
        <v>1</v>
      </c>
      <c r="C5710" s="26">
        <f t="shared" ca="1" si="483"/>
        <v>0.7912979867518799</v>
      </c>
      <c r="J5710">
        <f t="shared" ca="1" si="485"/>
        <v>0</v>
      </c>
      <c r="K5710">
        <f t="shared" ca="1" si="486"/>
        <v>0</v>
      </c>
      <c r="L5710">
        <f t="shared" si="487"/>
        <v>5704</v>
      </c>
      <c r="M5710" s="71">
        <f t="shared" ca="1" si="488"/>
        <v>0.38055453898347052</v>
      </c>
    </row>
    <row r="5711" spans="1:13" x14ac:dyDescent="0.25">
      <c r="A5711" s="2">
        <v>5705</v>
      </c>
      <c r="B5711" s="11">
        <f t="shared" ca="1" si="484"/>
        <v>0</v>
      </c>
      <c r="C5711" s="26">
        <f t="shared" ca="1" si="483"/>
        <v>0.99134438220535515</v>
      </c>
      <c r="J5711">
        <f t="shared" ca="1" si="485"/>
        <v>0</v>
      </c>
      <c r="K5711">
        <f t="shared" ca="1" si="486"/>
        <v>1</v>
      </c>
      <c r="L5711">
        <f t="shared" si="487"/>
        <v>5705</v>
      </c>
      <c r="M5711" s="71">
        <f t="shared" ca="1" si="488"/>
        <v>0</v>
      </c>
    </row>
    <row r="5712" spans="1:13" x14ac:dyDescent="0.25">
      <c r="A5712" s="2">
        <v>5706</v>
      </c>
      <c r="B5712" s="11">
        <f t="shared" ca="1" si="484"/>
        <v>0</v>
      </c>
      <c r="C5712" s="26">
        <f t="shared" ca="1" si="483"/>
        <v>0.94699371096001339</v>
      </c>
      <c r="J5712">
        <f t="shared" ca="1" si="485"/>
        <v>0</v>
      </c>
      <c r="K5712">
        <f t="shared" ca="1" si="486"/>
        <v>0</v>
      </c>
      <c r="L5712">
        <f t="shared" si="487"/>
        <v>5706</v>
      </c>
      <c r="M5712" s="71">
        <f t="shared" ca="1" si="488"/>
        <v>0</v>
      </c>
    </row>
    <row r="5713" spans="1:13" x14ac:dyDescent="0.25">
      <c r="A5713" s="2">
        <v>5707</v>
      </c>
      <c r="B5713" s="11">
        <f t="shared" ca="1" si="484"/>
        <v>1</v>
      </c>
      <c r="C5713" s="26">
        <f t="shared" ca="1" si="483"/>
        <v>0.45904052594260014</v>
      </c>
      <c r="J5713">
        <f t="shared" ca="1" si="485"/>
        <v>1</v>
      </c>
      <c r="K5713">
        <f t="shared" ca="1" si="486"/>
        <v>0</v>
      </c>
      <c r="L5713">
        <f t="shared" si="487"/>
        <v>5707</v>
      </c>
      <c r="M5713" s="71">
        <f t="shared" ca="1" si="488"/>
        <v>3.11855548739979</v>
      </c>
    </row>
    <row r="5714" spans="1:13" x14ac:dyDescent="0.25">
      <c r="A5714" s="2">
        <v>5708</v>
      </c>
      <c r="B5714" s="11">
        <f t="shared" ca="1" si="484"/>
        <v>1</v>
      </c>
      <c r="C5714" s="26">
        <f t="shared" ca="1" si="483"/>
        <v>0.79996994090259599</v>
      </c>
      <c r="J5714">
        <f t="shared" ca="1" si="485"/>
        <v>1</v>
      </c>
      <c r="K5714">
        <f t="shared" ca="1" si="486"/>
        <v>0</v>
      </c>
      <c r="L5714">
        <f t="shared" si="487"/>
        <v>5708</v>
      </c>
      <c r="M5714" s="71">
        <f t="shared" ca="1" si="488"/>
        <v>2.8351758576104849</v>
      </c>
    </row>
    <row r="5715" spans="1:13" x14ac:dyDescent="0.25">
      <c r="A5715" s="2">
        <v>5709</v>
      </c>
      <c r="B5715" s="11">
        <f t="shared" ca="1" si="484"/>
        <v>1</v>
      </c>
      <c r="C5715" s="26">
        <f t="shared" ca="1" si="483"/>
        <v>0.49620802085878379</v>
      </c>
      <c r="J5715">
        <f t="shared" ca="1" si="485"/>
        <v>1</v>
      </c>
      <c r="K5715">
        <f t="shared" ca="1" si="486"/>
        <v>0</v>
      </c>
      <c r="L5715">
        <f t="shared" si="487"/>
        <v>5709</v>
      </c>
      <c r="M5715" s="71">
        <f t="shared" ca="1" si="488"/>
        <v>0.66371590848166184</v>
      </c>
    </row>
    <row r="5716" spans="1:13" x14ac:dyDescent="0.25">
      <c r="A5716" s="2">
        <v>5710</v>
      </c>
      <c r="B5716" s="11">
        <f t="shared" ca="1" si="484"/>
        <v>1</v>
      </c>
      <c r="C5716" s="26">
        <f t="shared" ca="1" si="483"/>
        <v>0.10838894448824932</v>
      </c>
      <c r="J5716">
        <f t="shared" ca="1" si="485"/>
        <v>0</v>
      </c>
      <c r="K5716">
        <f t="shared" ca="1" si="486"/>
        <v>0</v>
      </c>
      <c r="L5716">
        <f t="shared" si="487"/>
        <v>5710</v>
      </c>
      <c r="M5716" s="71">
        <f t="shared" ca="1" si="488"/>
        <v>0.59977244470651725</v>
      </c>
    </row>
    <row r="5717" spans="1:13" x14ac:dyDescent="0.25">
      <c r="A5717" s="2">
        <v>5711</v>
      </c>
      <c r="B5717" s="11">
        <f t="shared" ca="1" si="484"/>
        <v>0</v>
      </c>
      <c r="C5717" s="26">
        <f t="shared" ca="1" si="483"/>
        <v>0.90439802158391203</v>
      </c>
      <c r="J5717">
        <f t="shared" ca="1" si="485"/>
        <v>0</v>
      </c>
      <c r="K5717">
        <f t="shared" ca="1" si="486"/>
        <v>1</v>
      </c>
      <c r="L5717">
        <f t="shared" si="487"/>
        <v>5711</v>
      </c>
      <c r="M5717" s="71">
        <f t="shared" ca="1" si="488"/>
        <v>0</v>
      </c>
    </row>
    <row r="5718" spans="1:13" x14ac:dyDescent="0.25">
      <c r="A5718" s="2">
        <v>5712</v>
      </c>
      <c r="B5718" s="11">
        <f t="shared" ca="1" si="484"/>
        <v>0</v>
      </c>
      <c r="C5718" s="26">
        <f t="shared" ca="1" si="483"/>
        <v>0.84122197731468207</v>
      </c>
      <c r="J5718">
        <f t="shared" ca="1" si="485"/>
        <v>0</v>
      </c>
      <c r="K5718">
        <f t="shared" ca="1" si="486"/>
        <v>0</v>
      </c>
      <c r="L5718">
        <f t="shared" si="487"/>
        <v>5712</v>
      </c>
      <c r="M5718" s="71">
        <f t="shared" ca="1" si="488"/>
        <v>0</v>
      </c>
    </row>
    <row r="5719" spans="1:13" x14ac:dyDescent="0.25">
      <c r="A5719" s="2">
        <v>5713</v>
      </c>
      <c r="B5719" s="11">
        <f t="shared" ca="1" si="484"/>
        <v>1</v>
      </c>
      <c r="C5719" s="26">
        <f t="shared" ca="1" si="483"/>
        <v>0.50437887167390327</v>
      </c>
      <c r="J5719">
        <f t="shared" ca="1" si="485"/>
        <v>1</v>
      </c>
      <c r="K5719">
        <f t="shared" ca="1" si="486"/>
        <v>0</v>
      </c>
      <c r="L5719">
        <f t="shared" si="487"/>
        <v>5713</v>
      </c>
      <c r="M5719" s="71">
        <f t="shared" ca="1" si="488"/>
        <v>0.41328176837532071</v>
      </c>
    </row>
    <row r="5720" spans="1:13" x14ac:dyDescent="0.25">
      <c r="A5720" s="2">
        <v>5714</v>
      </c>
      <c r="B5720" s="11">
        <f t="shared" ca="1" si="484"/>
        <v>1</v>
      </c>
      <c r="C5720" s="26">
        <f t="shared" ca="1" si="483"/>
        <v>0.56836259015599</v>
      </c>
      <c r="J5720">
        <f t="shared" ca="1" si="485"/>
        <v>1</v>
      </c>
      <c r="K5720">
        <f t="shared" ca="1" si="486"/>
        <v>0</v>
      </c>
      <c r="L5720">
        <f t="shared" si="487"/>
        <v>5714</v>
      </c>
      <c r="M5720" s="71">
        <f t="shared" ca="1" si="488"/>
        <v>1.5914837055373368</v>
      </c>
    </row>
    <row r="5721" spans="1:13" x14ac:dyDescent="0.25">
      <c r="A5721" s="2">
        <v>5715</v>
      </c>
      <c r="B5721" s="11">
        <f t="shared" ca="1" si="484"/>
        <v>1</v>
      </c>
      <c r="C5721" s="26">
        <f t="shared" ca="1" si="483"/>
        <v>0.62969073711079149</v>
      </c>
      <c r="J5721">
        <f t="shared" ca="1" si="485"/>
        <v>1</v>
      </c>
      <c r="K5721">
        <f t="shared" ca="1" si="486"/>
        <v>0</v>
      </c>
      <c r="L5721">
        <f t="shared" si="487"/>
        <v>5715</v>
      </c>
      <c r="M5721" s="71">
        <f t="shared" ca="1" si="488"/>
        <v>3.1868283321424529</v>
      </c>
    </row>
    <row r="5722" spans="1:13" x14ac:dyDescent="0.25">
      <c r="A5722" s="2">
        <v>5716</v>
      </c>
      <c r="B5722" s="11">
        <f t="shared" ca="1" si="484"/>
        <v>1</v>
      </c>
      <c r="C5722" s="26">
        <f t="shared" ca="1" si="483"/>
        <v>0.10229847003067472</v>
      </c>
      <c r="J5722">
        <f t="shared" ca="1" si="485"/>
        <v>1</v>
      </c>
      <c r="K5722">
        <f t="shared" ca="1" si="486"/>
        <v>0</v>
      </c>
      <c r="L5722">
        <f t="shared" si="487"/>
        <v>5716</v>
      </c>
      <c r="M5722" s="71">
        <f t="shared" ca="1" si="488"/>
        <v>0.87574851518604313</v>
      </c>
    </row>
    <row r="5723" spans="1:13" x14ac:dyDescent="0.25">
      <c r="A5723" s="2">
        <v>5717</v>
      </c>
      <c r="B5723" s="11">
        <f t="shared" ca="1" si="484"/>
        <v>1</v>
      </c>
      <c r="C5723" s="26">
        <f t="shared" ca="1" si="483"/>
        <v>0.25320357379660208</v>
      </c>
      <c r="J5723">
        <f t="shared" ca="1" si="485"/>
        <v>1</v>
      </c>
      <c r="K5723">
        <f t="shared" ca="1" si="486"/>
        <v>0</v>
      </c>
      <c r="L5723">
        <f t="shared" si="487"/>
        <v>5717</v>
      </c>
      <c r="M5723" s="71">
        <f t="shared" ca="1" si="488"/>
        <v>1.7359366298975925</v>
      </c>
    </row>
    <row r="5724" spans="1:13" x14ac:dyDescent="0.25">
      <c r="A5724" s="2">
        <v>5718</v>
      </c>
      <c r="B5724" s="11">
        <f t="shared" ca="1" si="484"/>
        <v>1</v>
      </c>
      <c r="C5724" s="26">
        <f t="shared" ca="1" si="483"/>
        <v>0.490011320976112</v>
      </c>
      <c r="J5724">
        <f t="shared" ca="1" si="485"/>
        <v>1</v>
      </c>
      <c r="K5724">
        <f t="shared" ca="1" si="486"/>
        <v>0</v>
      </c>
      <c r="L5724">
        <f t="shared" si="487"/>
        <v>5718</v>
      </c>
      <c r="M5724" s="71">
        <f t="shared" ca="1" si="488"/>
        <v>6.508068923142968</v>
      </c>
    </row>
    <row r="5725" spans="1:13" x14ac:dyDescent="0.25">
      <c r="A5725" s="2">
        <v>5719</v>
      </c>
      <c r="B5725" s="11">
        <f t="shared" ca="1" si="484"/>
        <v>1</v>
      </c>
      <c r="C5725" s="26">
        <f t="shared" ca="1" si="483"/>
        <v>0.21985837848357803</v>
      </c>
      <c r="J5725">
        <f t="shared" ca="1" si="485"/>
        <v>1</v>
      </c>
      <c r="K5725">
        <f t="shared" ca="1" si="486"/>
        <v>0</v>
      </c>
      <c r="L5725">
        <f t="shared" si="487"/>
        <v>5719</v>
      </c>
      <c r="M5725" s="71">
        <f t="shared" ca="1" si="488"/>
        <v>5.4193753635194417</v>
      </c>
    </row>
    <row r="5726" spans="1:13" x14ac:dyDescent="0.25">
      <c r="A5726" s="2">
        <v>5720</v>
      </c>
      <c r="B5726" s="11">
        <f t="shared" ca="1" si="484"/>
        <v>1</v>
      </c>
      <c r="C5726" s="26">
        <f t="shared" ca="1" si="483"/>
        <v>6.5415591132939821E-2</v>
      </c>
      <c r="J5726">
        <f t="shared" ca="1" si="485"/>
        <v>1</v>
      </c>
      <c r="K5726">
        <f t="shared" ca="1" si="486"/>
        <v>0</v>
      </c>
      <c r="L5726">
        <f t="shared" si="487"/>
        <v>5720</v>
      </c>
      <c r="M5726" s="71">
        <f t="shared" ca="1" si="488"/>
        <v>3.0344493731279463</v>
      </c>
    </row>
    <row r="5727" spans="1:13" x14ac:dyDescent="0.25">
      <c r="A5727" s="2">
        <v>5721</v>
      </c>
      <c r="B5727" s="11">
        <f t="shared" ca="1" si="484"/>
        <v>1</v>
      </c>
      <c r="C5727" s="26">
        <f t="shared" ca="1" si="483"/>
        <v>0.62720587679744533</v>
      </c>
      <c r="J5727">
        <f t="shared" ca="1" si="485"/>
        <v>1</v>
      </c>
      <c r="K5727">
        <f t="shared" ca="1" si="486"/>
        <v>0</v>
      </c>
      <c r="L5727">
        <f t="shared" si="487"/>
        <v>5721</v>
      </c>
      <c r="M5727" s="71">
        <f t="shared" ca="1" si="488"/>
        <v>2.0894190032477948</v>
      </c>
    </row>
    <row r="5728" spans="1:13" x14ac:dyDescent="0.25">
      <c r="A5728" s="2">
        <v>5722</v>
      </c>
      <c r="B5728" s="11">
        <f t="shared" ca="1" si="484"/>
        <v>1</v>
      </c>
      <c r="C5728" s="26">
        <f t="shared" ca="1" si="483"/>
        <v>0.6122315291111704</v>
      </c>
      <c r="J5728">
        <f t="shared" ca="1" si="485"/>
        <v>0</v>
      </c>
      <c r="K5728">
        <f t="shared" ca="1" si="486"/>
        <v>0</v>
      </c>
      <c r="L5728">
        <f t="shared" si="487"/>
        <v>5722</v>
      </c>
      <c r="M5728" s="71">
        <f t="shared" ca="1" si="488"/>
        <v>7.4363057418999645</v>
      </c>
    </row>
    <row r="5729" spans="1:13" x14ac:dyDescent="0.25">
      <c r="A5729" s="2">
        <v>5723</v>
      </c>
      <c r="B5729" s="11">
        <f t="shared" ca="1" si="484"/>
        <v>0</v>
      </c>
      <c r="C5729" s="26">
        <f t="shared" ca="1" si="483"/>
        <v>0.95697908749879901</v>
      </c>
      <c r="J5729">
        <f t="shared" ca="1" si="485"/>
        <v>0</v>
      </c>
      <c r="K5729">
        <f t="shared" ca="1" si="486"/>
        <v>0</v>
      </c>
      <c r="L5729">
        <f t="shared" si="487"/>
        <v>5723</v>
      </c>
      <c r="M5729" s="71">
        <f t="shared" ca="1" si="488"/>
        <v>0</v>
      </c>
    </row>
    <row r="5730" spans="1:13" x14ac:dyDescent="0.25">
      <c r="A5730" s="2">
        <v>5724</v>
      </c>
      <c r="B5730" s="11">
        <f t="shared" ca="1" si="484"/>
        <v>1</v>
      </c>
      <c r="C5730" s="26">
        <f t="shared" ca="1" si="483"/>
        <v>6.2706690480376692E-2</v>
      </c>
      <c r="J5730">
        <f t="shared" ca="1" si="485"/>
        <v>1</v>
      </c>
      <c r="K5730">
        <f t="shared" ca="1" si="486"/>
        <v>0</v>
      </c>
      <c r="L5730">
        <f t="shared" si="487"/>
        <v>5724</v>
      </c>
      <c r="M5730" s="71">
        <f t="shared" ca="1" si="488"/>
        <v>4.9018235241480097</v>
      </c>
    </row>
    <row r="5731" spans="1:13" x14ac:dyDescent="0.25">
      <c r="A5731" s="2">
        <v>5725</v>
      </c>
      <c r="B5731" s="11">
        <f t="shared" ca="1" si="484"/>
        <v>1</v>
      </c>
      <c r="C5731" s="26">
        <f t="shared" ca="1" si="483"/>
        <v>0.54335355135724195</v>
      </c>
      <c r="J5731">
        <f t="shared" ca="1" si="485"/>
        <v>1</v>
      </c>
      <c r="K5731">
        <f t="shared" ca="1" si="486"/>
        <v>0</v>
      </c>
      <c r="L5731">
        <f t="shared" si="487"/>
        <v>5725</v>
      </c>
      <c r="M5731" s="71">
        <f t="shared" ca="1" si="488"/>
        <v>1.3379680687342135</v>
      </c>
    </row>
    <row r="5732" spans="1:13" x14ac:dyDescent="0.25">
      <c r="A5732" s="2">
        <v>5726</v>
      </c>
      <c r="B5732" s="11">
        <f t="shared" ca="1" si="484"/>
        <v>1</v>
      </c>
      <c r="C5732" s="26">
        <f t="shared" ca="1" si="483"/>
        <v>0.12525964929711786</v>
      </c>
      <c r="J5732">
        <f t="shared" ca="1" si="485"/>
        <v>1</v>
      </c>
      <c r="K5732">
        <f t="shared" ca="1" si="486"/>
        <v>0</v>
      </c>
      <c r="L5732">
        <f t="shared" si="487"/>
        <v>5726</v>
      </c>
      <c r="M5732" s="71">
        <f t="shared" ca="1" si="488"/>
        <v>7.2105334565163588</v>
      </c>
    </row>
    <row r="5733" spans="1:13" x14ac:dyDescent="0.25">
      <c r="A5733" s="2">
        <v>5727</v>
      </c>
      <c r="B5733" s="11">
        <f t="shared" ca="1" si="484"/>
        <v>1</v>
      </c>
      <c r="C5733" s="26">
        <f t="shared" ca="1" si="483"/>
        <v>0.14972695365997324</v>
      </c>
      <c r="J5733">
        <f t="shared" ca="1" si="485"/>
        <v>1</v>
      </c>
      <c r="K5733">
        <f t="shared" ca="1" si="486"/>
        <v>0</v>
      </c>
      <c r="L5733">
        <f t="shared" si="487"/>
        <v>5727</v>
      </c>
      <c r="M5733" s="71">
        <f t="shared" ca="1" si="488"/>
        <v>3.0968554489311284</v>
      </c>
    </row>
    <row r="5734" spans="1:13" x14ac:dyDescent="0.25">
      <c r="A5734" s="2">
        <v>5728</v>
      </c>
      <c r="B5734" s="11">
        <f t="shared" ca="1" si="484"/>
        <v>1</v>
      </c>
      <c r="C5734" s="26">
        <f t="shared" ca="1" si="483"/>
        <v>0.7316007016426016</v>
      </c>
      <c r="J5734">
        <f t="shared" ca="1" si="485"/>
        <v>1</v>
      </c>
      <c r="K5734">
        <f t="shared" ca="1" si="486"/>
        <v>0</v>
      </c>
      <c r="L5734">
        <f t="shared" si="487"/>
        <v>5728</v>
      </c>
      <c r="M5734" s="71">
        <f t="shared" ca="1" si="488"/>
        <v>0.35107492360733922</v>
      </c>
    </row>
    <row r="5735" spans="1:13" x14ac:dyDescent="0.25">
      <c r="A5735" s="2">
        <v>5729</v>
      </c>
      <c r="B5735" s="11">
        <f t="shared" ca="1" si="484"/>
        <v>1</v>
      </c>
      <c r="C5735" s="26">
        <f t="shared" ca="1" si="483"/>
        <v>0.69962816692749075</v>
      </c>
      <c r="J5735">
        <f t="shared" ca="1" si="485"/>
        <v>1</v>
      </c>
      <c r="K5735">
        <f t="shared" ca="1" si="486"/>
        <v>0</v>
      </c>
      <c r="L5735">
        <f t="shared" si="487"/>
        <v>5729</v>
      </c>
      <c r="M5735" s="71">
        <f t="shared" ca="1" si="488"/>
        <v>7.2170244121881488</v>
      </c>
    </row>
    <row r="5736" spans="1:13" x14ac:dyDescent="0.25">
      <c r="A5736" s="2">
        <v>5730</v>
      </c>
      <c r="B5736" s="11">
        <f t="shared" ca="1" si="484"/>
        <v>1</v>
      </c>
      <c r="C5736" s="26">
        <f t="shared" ca="1" si="483"/>
        <v>0.56114853724653235</v>
      </c>
      <c r="J5736">
        <f t="shared" ca="1" si="485"/>
        <v>0</v>
      </c>
      <c r="K5736">
        <f t="shared" ca="1" si="486"/>
        <v>0</v>
      </c>
      <c r="L5736">
        <f t="shared" si="487"/>
        <v>5730</v>
      </c>
      <c r="M5736" s="71">
        <f t="shared" ca="1" si="488"/>
        <v>0.1858936493748542</v>
      </c>
    </row>
    <row r="5737" spans="1:13" x14ac:dyDescent="0.25">
      <c r="A5737" s="2">
        <v>5731</v>
      </c>
      <c r="B5737" s="11">
        <f t="shared" ca="1" si="484"/>
        <v>0</v>
      </c>
      <c r="C5737" s="26">
        <f t="shared" ca="1" si="483"/>
        <v>0.93475093415915678</v>
      </c>
      <c r="J5737">
        <f t="shared" ca="1" si="485"/>
        <v>0</v>
      </c>
      <c r="K5737">
        <f t="shared" ca="1" si="486"/>
        <v>0</v>
      </c>
      <c r="L5737">
        <f t="shared" si="487"/>
        <v>5731</v>
      </c>
      <c r="M5737" s="71">
        <f t="shared" ca="1" si="488"/>
        <v>0</v>
      </c>
    </row>
    <row r="5738" spans="1:13" x14ac:dyDescent="0.25">
      <c r="A5738" s="2">
        <v>5732</v>
      </c>
      <c r="B5738" s="11">
        <f t="shared" ca="1" si="484"/>
        <v>1</v>
      </c>
      <c r="C5738" s="26">
        <f t="shared" ca="1" si="483"/>
        <v>0.56732833144315431</v>
      </c>
      <c r="J5738">
        <f t="shared" ca="1" si="485"/>
        <v>1</v>
      </c>
      <c r="K5738">
        <f t="shared" ca="1" si="486"/>
        <v>0</v>
      </c>
      <c r="L5738">
        <f t="shared" si="487"/>
        <v>5732</v>
      </c>
      <c r="M5738" s="71">
        <f t="shared" ca="1" si="488"/>
        <v>0.4606295459352201</v>
      </c>
    </row>
    <row r="5739" spans="1:13" x14ac:dyDescent="0.25">
      <c r="A5739" s="2">
        <v>5733</v>
      </c>
      <c r="B5739" s="11">
        <f t="shared" ca="1" si="484"/>
        <v>1</v>
      </c>
      <c r="C5739" s="26">
        <f t="shared" ca="1" si="483"/>
        <v>0.26266931916360103</v>
      </c>
      <c r="J5739">
        <f t="shared" ca="1" si="485"/>
        <v>1</v>
      </c>
      <c r="K5739">
        <f t="shared" ca="1" si="486"/>
        <v>0</v>
      </c>
      <c r="L5739">
        <f t="shared" si="487"/>
        <v>5733</v>
      </c>
      <c r="M5739" s="71">
        <f t="shared" ca="1" si="488"/>
        <v>3.5654052587732958</v>
      </c>
    </row>
    <row r="5740" spans="1:13" x14ac:dyDescent="0.25">
      <c r="A5740" s="2">
        <v>5734</v>
      </c>
      <c r="B5740" s="11">
        <f t="shared" ca="1" si="484"/>
        <v>1</v>
      </c>
      <c r="C5740" s="26">
        <f t="shared" ca="1" si="483"/>
        <v>0.58302126572408164</v>
      </c>
      <c r="J5740">
        <f t="shared" ca="1" si="485"/>
        <v>1</v>
      </c>
      <c r="K5740">
        <f t="shared" ca="1" si="486"/>
        <v>0</v>
      </c>
      <c r="L5740">
        <f t="shared" si="487"/>
        <v>5734</v>
      </c>
      <c r="M5740" s="71">
        <f t="shared" ca="1" si="488"/>
        <v>7.0648603475744087</v>
      </c>
    </row>
    <row r="5741" spans="1:13" x14ac:dyDescent="0.25">
      <c r="A5741" s="2">
        <v>5735</v>
      </c>
      <c r="B5741" s="11">
        <f t="shared" ca="1" si="484"/>
        <v>1</v>
      </c>
      <c r="C5741" s="26">
        <f t="shared" ca="1" si="483"/>
        <v>0.31042360679998959</v>
      </c>
      <c r="J5741">
        <f t="shared" ca="1" si="485"/>
        <v>1</v>
      </c>
      <c r="K5741">
        <f t="shared" ca="1" si="486"/>
        <v>0</v>
      </c>
      <c r="L5741">
        <f t="shared" si="487"/>
        <v>5735</v>
      </c>
      <c r="M5741" s="71">
        <f t="shared" ca="1" si="488"/>
        <v>2.1347233884582764</v>
      </c>
    </row>
    <row r="5742" spans="1:13" x14ac:dyDescent="0.25">
      <c r="A5742" s="2">
        <v>5736</v>
      </c>
      <c r="B5742" s="11">
        <f t="shared" ca="1" si="484"/>
        <v>1</v>
      </c>
      <c r="C5742" s="26">
        <f t="shared" ca="1" si="483"/>
        <v>0.78901756379441157</v>
      </c>
      <c r="J5742">
        <f t="shared" ca="1" si="485"/>
        <v>1</v>
      </c>
      <c r="K5742">
        <f t="shared" ca="1" si="486"/>
        <v>0</v>
      </c>
      <c r="L5742">
        <f t="shared" si="487"/>
        <v>5736</v>
      </c>
      <c r="M5742" s="71">
        <f t="shared" ca="1" si="488"/>
        <v>4.7442907424448819</v>
      </c>
    </row>
    <row r="5743" spans="1:13" x14ac:dyDescent="0.25">
      <c r="A5743" s="2">
        <v>5737</v>
      </c>
      <c r="B5743" s="11">
        <f t="shared" ca="1" si="484"/>
        <v>1</v>
      </c>
      <c r="C5743" s="26">
        <f t="shared" ca="1" si="483"/>
        <v>0.30710868171474992</v>
      </c>
      <c r="J5743">
        <f t="shared" ca="1" si="485"/>
        <v>1</v>
      </c>
      <c r="K5743">
        <f t="shared" ca="1" si="486"/>
        <v>0</v>
      </c>
      <c r="L5743">
        <f t="shared" si="487"/>
        <v>5737</v>
      </c>
      <c r="M5743" s="71">
        <f t="shared" ca="1" si="488"/>
        <v>1.765696989645299</v>
      </c>
    </row>
    <row r="5744" spans="1:13" x14ac:dyDescent="0.25">
      <c r="A5744" s="2">
        <v>5738</v>
      </c>
      <c r="B5744" s="11">
        <f t="shared" ca="1" si="484"/>
        <v>1</v>
      </c>
      <c r="C5744" s="26">
        <f t="shared" ca="1" si="483"/>
        <v>0.65058520483725724</v>
      </c>
      <c r="J5744">
        <f t="shared" ca="1" si="485"/>
        <v>0</v>
      </c>
      <c r="K5744">
        <f t="shared" ca="1" si="486"/>
        <v>0</v>
      </c>
      <c r="L5744">
        <f t="shared" si="487"/>
        <v>5738</v>
      </c>
      <c r="M5744" s="71">
        <f t="shared" ca="1" si="488"/>
        <v>3.6670784666808141</v>
      </c>
    </row>
    <row r="5745" spans="1:13" x14ac:dyDescent="0.25">
      <c r="A5745" s="2">
        <v>5739</v>
      </c>
      <c r="B5745" s="11">
        <f t="shared" ca="1" si="484"/>
        <v>0</v>
      </c>
      <c r="C5745" s="26">
        <f t="shared" ca="1" si="483"/>
        <v>0.92238100571768133</v>
      </c>
      <c r="J5745">
        <f t="shared" ca="1" si="485"/>
        <v>0</v>
      </c>
      <c r="K5745">
        <f t="shared" ca="1" si="486"/>
        <v>0</v>
      </c>
      <c r="L5745">
        <f t="shared" si="487"/>
        <v>5739</v>
      </c>
      <c r="M5745" s="71">
        <f t="shared" ca="1" si="488"/>
        <v>0</v>
      </c>
    </row>
    <row r="5746" spans="1:13" x14ac:dyDescent="0.25">
      <c r="A5746" s="2">
        <v>5740</v>
      </c>
      <c r="B5746" s="11">
        <f t="shared" ca="1" si="484"/>
        <v>1</v>
      </c>
      <c r="C5746" s="26">
        <f t="shared" ca="1" si="483"/>
        <v>0.46519597077452868</v>
      </c>
      <c r="J5746">
        <f t="shared" ca="1" si="485"/>
        <v>1</v>
      </c>
      <c r="K5746">
        <f t="shared" ca="1" si="486"/>
        <v>0</v>
      </c>
      <c r="L5746">
        <f t="shared" si="487"/>
        <v>5740</v>
      </c>
      <c r="M5746" s="71">
        <f t="shared" ca="1" si="488"/>
        <v>23.108803763684303</v>
      </c>
    </row>
    <row r="5747" spans="1:13" x14ac:dyDescent="0.25">
      <c r="A5747" s="2">
        <v>5741</v>
      </c>
      <c r="B5747" s="11">
        <f t="shared" ca="1" si="484"/>
        <v>1</v>
      </c>
      <c r="C5747" s="26">
        <f t="shared" ca="1" si="483"/>
        <v>0.71712648335932394</v>
      </c>
      <c r="J5747">
        <f t="shared" ca="1" si="485"/>
        <v>1</v>
      </c>
      <c r="K5747">
        <f t="shared" ca="1" si="486"/>
        <v>0</v>
      </c>
      <c r="L5747">
        <f t="shared" si="487"/>
        <v>5741</v>
      </c>
      <c r="M5747" s="71">
        <f t="shared" ca="1" si="488"/>
        <v>1.7301261852872587</v>
      </c>
    </row>
    <row r="5748" spans="1:13" x14ac:dyDescent="0.25">
      <c r="A5748" s="2">
        <v>5742</v>
      </c>
      <c r="B5748" s="11">
        <f t="shared" ca="1" si="484"/>
        <v>1</v>
      </c>
      <c r="C5748" s="26">
        <f t="shared" ca="1" si="483"/>
        <v>0.11257212017687124</v>
      </c>
      <c r="J5748">
        <f t="shared" ca="1" si="485"/>
        <v>1</v>
      </c>
      <c r="K5748">
        <f t="shared" ca="1" si="486"/>
        <v>0</v>
      </c>
      <c r="L5748">
        <f t="shared" si="487"/>
        <v>5742</v>
      </c>
      <c r="M5748" s="71">
        <f t="shared" ca="1" si="488"/>
        <v>3.8765626555489723</v>
      </c>
    </row>
    <row r="5749" spans="1:13" x14ac:dyDescent="0.25">
      <c r="A5749" s="2">
        <v>5743</v>
      </c>
      <c r="B5749" s="11">
        <f t="shared" ca="1" si="484"/>
        <v>1</v>
      </c>
      <c r="C5749" s="26">
        <f t="shared" ca="1" si="483"/>
        <v>0.63456979848805695</v>
      </c>
      <c r="J5749">
        <f t="shared" ca="1" si="485"/>
        <v>1</v>
      </c>
      <c r="K5749">
        <f t="shared" ca="1" si="486"/>
        <v>0</v>
      </c>
      <c r="L5749">
        <f t="shared" si="487"/>
        <v>5743</v>
      </c>
      <c r="M5749" s="71">
        <f t="shared" ca="1" si="488"/>
        <v>0.12582192816370055</v>
      </c>
    </row>
    <row r="5750" spans="1:13" x14ac:dyDescent="0.25">
      <c r="A5750" s="2">
        <v>5744</v>
      </c>
      <c r="B5750" s="11">
        <f t="shared" ca="1" si="484"/>
        <v>1</v>
      </c>
      <c r="C5750" s="26">
        <f t="shared" ca="1" si="483"/>
        <v>9.255690891738666E-2</v>
      </c>
      <c r="J5750">
        <f t="shared" ca="1" si="485"/>
        <v>1</v>
      </c>
      <c r="K5750">
        <f t="shared" ca="1" si="486"/>
        <v>0</v>
      </c>
      <c r="L5750">
        <f t="shared" si="487"/>
        <v>5744</v>
      </c>
      <c r="M5750" s="71">
        <f t="shared" ca="1" si="488"/>
        <v>0.53015315829475396</v>
      </c>
    </row>
    <row r="5751" spans="1:13" x14ac:dyDescent="0.25">
      <c r="A5751" s="2">
        <v>5745</v>
      </c>
      <c r="B5751" s="11">
        <f t="shared" ca="1" si="484"/>
        <v>1</v>
      </c>
      <c r="C5751" s="26">
        <f t="shared" ca="1" si="483"/>
        <v>3.9399547690249448E-2</v>
      </c>
      <c r="J5751">
        <f t="shared" ca="1" si="485"/>
        <v>1</v>
      </c>
      <c r="K5751">
        <f t="shared" ca="1" si="486"/>
        <v>0</v>
      </c>
      <c r="L5751">
        <f t="shared" si="487"/>
        <v>5745</v>
      </c>
      <c r="M5751" s="71">
        <f t="shared" ca="1" si="488"/>
        <v>7.5496243042976996</v>
      </c>
    </row>
    <row r="5752" spans="1:13" x14ac:dyDescent="0.25">
      <c r="A5752" s="2">
        <v>5746</v>
      </c>
      <c r="B5752" s="11">
        <f t="shared" ca="1" si="484"/>
        <v>1</v>
      </c>
      <c r="C5752" s="26">
        <f t="shared" ca="1" si="483"/>
        <v>0.77419269845330296</v>
      </c>
      <c r="J5752">
        <f t="shared" ca="1" si="485"/>
        <v>1</v>
      </c>
      <c r="K5752">
        <f t="shared" ca="1" si="486"/>
        <v>0</v>
      </c>
      <c r="L5752">
        <f t="shared" si="487"/>
        <v>5746</v>
      </c>
      <c r="M5752" s="71">
        <f t="shared" ca="1" si="488"/>
        <v>0.56017334068929847</v>
      </c>
    </row>
    <row r="5753" spans="1:13" x14ac:dyDescent="0.25">
      <c r="A5753" s="2">
        <v>5747</v>
      </c>
      <c r="B5753" s="11">
        <f t="shared" ca="1" si="484"/>
        <v>1</v>
      </c>
      <c r="C5753" s="26">
        <f t="shared" ca="1" si="483"/>
        <v>8.2702977415855194E-2</v>
      </c>
      <c r="J5753">
        <f t="shared" ca="1" si="485"/>
        <v>1</v>
      </c>
      <c r="K5753">
        <f t="shared" ca="1" si="486"/>
        <v>0</v>
      </c>
      <c r="L5753">
        <f t="shared" si="487"/>
        <v>5747</v>
      </c>
      <c r="M5753" s="71">
        <f t="shared" ca="1" si="488"/>
        <v>1.3367975631265638</v>
      </c>
    </row>
    <row r="5754" spans="1:13" x14ac:dyDescent="0.25">
      <c r="A5754" s="2">
        <v>5748</v>
      </c>
      <c r="B5754" s="11">
        <f t="shared" ca="1" si="484"/>
        <v>1</v>
      </c>
      <c r="C5754" s="26">
        <f t="shared" ca="1" si="483"/>
        <v>8.6493897027494659E-2</v>
      </c>
      <c r="J5754">
        <f t="shared" ca="1" si="485"/>
        <v>1</v>
      </c>
      <c r="K5754">
        <f t="shared" ca="1" si="486"/>
        <v>0</v>
      </c>
      <c r="L5754">
        <f t="shared" si="487"/>
        <v>5748</v>
      </c>
      <c r="M5754" s="71">
        <f t="shared" ca="1" si="488"/>
        <v>6.3649548551209403</v>
      </c>
    </row>
    <row r="5755" spans="1:13" x14ac:dyDescent="0.25">
      <c r="A5755" s="2">
        <v>5749</v>
      </c>
      <c r="B5755" s="11">
        <f t="shared" ca="1" si="484"/>
        <v>1</v>
      </c>
      <c r="C5755" s="26">
        <f t="shared" ca="1" si="483"/>
        <v>1.7876886983587803E-2</v>
      </c>
      <c r="J5755">
        <f t="shared" ca="1" si="485"/>
        <v>1</v>
      </c>
      <c r="K5755">
        <f t="shared" ca="1" si="486"/>
        <v>0</v>
      </c>
      <c r="L5755">
        <f t="shared" si="487"/>
        <v>5749</v>
      </c>
      <c r="M5755" s="71">
        <f t="shared" ca="1" si="488"/>
        <v>3.4375635017147697</v>
      </c>
    </row>
    <row r="5756" spans="1:13" x14ac:dyDescent="0.25">
      <c r="A5756" s="2">
        <v>5750</v>
      </c>
      <c r="B5756" s="11">
        <f t="shared" ca="1" si="484"/>
        <v>1</v>
      </c>
      <c r="C5756" s="26">
        <f t="shared" ca="1" si="483"/>
        <v>0.44774433051739815</v>
      </c>
      <c r="J5756">
        <f t="shared" ca="1" si="485"/>
        <v>1</v>
      </c>
      <c r="K5756">
        <f t="shared" ca="1" si="486"/>
        <v>0</v>
      </c>
      <c r="L5756">
        <f t="shared" si="487"/>
        <v>5750</v>
      </c>
      <c r="M5756" s="71">
        <f t="shared" ca="1" si="488"/>
        <v>2.8770292379154232</v>
      </c>
    </row>
    <row r="5757" spans="1:13" x14ac:dyDescent="0.25">
      <c r="A5757" s="2">
        <v>5751</v>
      </c>
      <c r="B5757" s="11">
        <f t="shared" ca="1" si="484"/>
        <v>1</v>
      </c>
      <c r="C5757" s="26">
        <f t="shared" ca="1" si="483"/>
        <v>0.58832424399467453</v>
      </c>
      <c r="J5757">
        <f t="shared" ca="1" si="485"/>
        <v>1</v>
      </c>
      <c r="K5757">
        <f t="shared" ca="1" si="486"/>
        <v>0</v>
      </c>
      <c r="L5757">
        <f t="shared" si="487"/>
        <v>5751</v>
      </c>
      <c r="M5757" s="71">
        <f t="shared" ca="1" si="488"/>
        <v>2.5643996162491796</v>
      </c>
    </row>
    <row r="5758" spans="1:13" x14ac:dyDescent="0.25">
      <c r="A5758" s="2">
        <v>5752</v>
      </c>
      <c r="B5758" s="11">
        <f t="shared" ca="1" si="484"/>
        <v>1</v>
      </c>
      <c r="C5758" s="26">
        <f t="shared" ca="1" si="483"/>
        <v>0.48644692843113535</v>
      </c>
      <c r="J5758">
        <f t="shared" ca="1" si="485"/>
        <v>1</v>
      </c>
      <c r="K5758">
        <f t="shared" ca="1" si="486"/>
        <v>0</v>
      </c>
      <c r="L5758">
        <f t="shared" si="487"/>
        <v>5752</v>
      </c>
      <c r="M5758" s="71">
        <f t="shared" ca="1" si="488"/>
        <v>1.2632458772563708</v>
      </c>
    </row>
    <row r="5759" spans="1:13" x14ac:dyDescent="0.25">
      <c r="A5759" s="2">
        <v>5753</v>
      </c>
      <c r="B5759" s="11">
        <f t="shared" ca="1" si="484"/>
        <v>1</v>
      </c>
      <c r="C5759" s="26">
        <f t="shared" ca="1" si="483"/>
        <v>0.53249613071691659</v>
      </c>
      <c r="J5759">
        <f t="shared" ca="1" si="485"/>
        <v>1</v>
      </c>
      <c r="K5759">
        <f t="shared" ca="1" si="486"/>
        <v>0</v>
      </c>
      <c r="L5759">
        <f t="shared" si="487"/>
        <v>5753</v>
      </c>
      <c r="M5759" s="71">
        <f t="shared" ca="1" si="488"/>
        <v>1.9406641202784061</v>
      </c>
    </row>
    <row r="5760" spans="1:13" x14ac:dyDescent="0.25">
      <c r="A5760" s="2">
        <v>5754</v>
      </c>
      <c r="B5760" s="11">
        <f t="shared" ca="1" si="484"/>
        <v>1</v>
      </c>
      <c r="C5760" s="26">
        <f t="shared" ca="1" si="483"/>
        <v>0.18945517551944768</v>
      </c>
      <c r="J5760">
        <f t="shared" ca="1" si="485"/>
        <v>0</v>
      </c>
      <c r="K5760">
        <f t="shared" ca="1" si="486"/>
        <v>0</v>
      </c>
      <c r="L5760">
        <f t="shared" si="487"/>
        <v>5754</v>
      </c>
      <c r="M5760" s="71">
        <f t="shared" ca="1" si="488"/>
        <v>4.5728186272395757</v>
      </c>
    </row>
    <row r="5761" spans="1:13" x14ac:dyDescent="0.25">
      <c r="A5761" s="2">
        <v>5755</v>
      </c>
      <c r="B5761" s="11">
        <f t="shared" ca="1" si="484"/>
        <v>0</v>
      </c>
      <c r="C5761" s="26">
        <f t="shared" ca="1" si="483"/>
        <v>0.84869866395604132</v>
      </c>
      <c r="J5761">
        <f t="shared" ca="1" si="485"/>
        <v>0</v>
      </c>
      <c r="K5761">
        <f t="shared" ca="1" si="486"/>
        <v>1</v>
      </c>
      <c r="L5761">
        <f t="shared" si="487"/>
        <v>5755</v>
      </c>
      <c r="M5761" s="71">
        <f t="shared" ca="1" si="488"/>
        <v>0</v>
      </c>
    </row>
    <row r="5762" spans="1:13" x14ac:dyDescent="0.25">
      <c r="A5762" s="2">
        <v>5756</v>
      </c>
      <c r="B5762" s="11">
        <f t="shared" ca="1" si="484"/>
        <v>0</v>
      </c>
      <c r="C5762" s="26">
        <f t="shared" ca="1" si="483"/>
        <v>0.79190508025659334</v>
      </c>
      <c r="J5762">
        <f t="shared" ca="1" si="485"/>
        <v>0</v>
      </c>
      <c r="K5762">
        <f t="shared" ca="1" si="486"/>
        <v>0</v>
      </c>
      <c r="L5762">
        <f t="shared" si="487"/>
        <v>5756</v>
      </c>
      <c r="M5762" s="71">
        <f t="shared" ca="1" si="488"/>
        <v>0</v>
      </c>
    </row>
    <row r="5763" spans="1:13" x14ac:dyDescent="0.25">
      <c r="A5763" s="2">
        <v>5757</v>
      </c>
      <c r="B5763" s="11">
        <f t="shared" ca="1" si="484"/>
        <v>1</v>
      </c>
      <c r="C5763" s="26">
        <f t="shared" ca="1" si="483"/>
        <v>0.41043931247790399</v>
      </c>
      <c r="J5763">
        <f t="shared" ca="1" si="485"/>
        <v>1</v>
      </c>
      <c r="K5763">
        <f t="shared" ca="1" si="486"/>
        <v>0</v>
      </c>
      <c r="L5763">
        <f t="shared" si="487"/>
        <v>5757</v>
      </c>
      <c r="M5763" s="71">
        <f t="shared" ca="1" si="488"/>
        <v>3.5298141194129884</v>
      </c>
    </row>
    <row r="5764" spans="1:13" x14ac:dyDescent="0.25">
      <c r="A5764" s="2">
        <v>5758</v>
      </c>
      <c r="B5764" s="11">
        <f t="shared" ca="1" si="484"/>
        <v>1</v>
      </c>
      <c r="C5764" s="26">
        <f t="shared" ca="1" si="483"/>
        <v>0.48948694898807554</v>
      </c>
      <c r="J5764">
        <f t="shared" ca="1" si="485"/>
        <v>1</v>
      </c>
      <c r="K5764">
        <f t="shared" ca="1" si="486"/>
        <v>0</v>
      </c>
      <c r="L5764">
        <f t="shared" si="487"/>
        <v>5758</v>
      </c>
      <c r="M5764" s="71">
        <f t="shared" ca="1" si="488"/>
        <v>3.0223448345324688</v>
      </c>
    </row>
    <row r="5765" spans="1:13" x14ac:dyDescent="0.25">
      <c r="A5765" s="2">
        <v>5759</v>
      </c>
      <c r="B5765" s="11">
        <f t="shared" ca="1" si="484"/>
        <v>1</v>
      </c>
      <c r="C5765" s="26">
        <f t="shared" ca="1" si="483"/>
        <v>0.55854905009625666</v>
      </c>
      <c r="J5765">
        <f t="shared" ca="1" si="485"/>
        <v>1</v>
      </c>
      <c r="K5765">
        <f t="shared" ca="1" si="486"/>
        <v>0</v>
      </c>
      <c r="L5765">
        <f t="shared" si="487"/>
        <v>5759</v>
      </c>
      <c r="M5765" s="71">
        <f t="shared" ca="1" si="488"/>
        <v>1.7250313143090983</v>
      </c>
    </row>
    <row r="5766" spans="1:13" x14ac:dyDescent="0.25">
      <c r="A5766" s="2">
        <v>5760</v>
      </c>
      <c r="B5766" s="11">
        <f t="shared" ca="1" si="484"/>
        <v>1</v>
      </c>
      <c r="C5766" s="26">
        <f t="shared" ca="1" si="483"/>
        <v>0.58798429291816323</v>
      </c>
      <c r="J5766">
        <f t="shared" ca="1" si="485"/>
        <v>1</v>
      </c>
      <c r="K5766">
        <f t="shared" ca="1" si="486"/>
        <v>0</v>
      </c>
      <c r="L5766">
        <f t="shared" si="487"/>
        <v>5760</v>
      </c>
      <c r="M5766" s="71">
        <f t="shared" ca="1" si="488"/>
        <v>12.752761018015379</v>
      </c>
    </row>
    <row r="5767" spans="1:13" x14ac:dyDescent="0.25">
      <c r="A5767" s="2">
        <v>5761</v>
      </c>
      <c r="B5767" s="11">
        <f t="shared" ca="1" si="484"/>
        <v>1</v>
      </c>
      <c r="C5767" s="26">
        <f t="shared" ca="1" si="483"/>
        <v>0.40641586634389326</v>
      </c>
      <c r="J5767">
        <f t="shared" ca="1" si="485"/>
        <v>1</v>
      </c>
      <c r="K5767">
        <f t="shared" ca="1" si="486"/>
        <v>0</v>
      </c>
      <c r="L5767">
        <f t="shared" si="487"/>
        <v>5761</v>
      </c>
      <c r="M5767" s="71">
        <f t="shared" ca="1" si="488"/>
        <v>0.2354627139059515</v>
      </c>
    </row>
    <row r="5768" spans="1:13" x14ac:dyDescent="0.25">
      <c r="A5768" s="2">
        <v>5762</v>
      </c>
      <c r="B5768" s="11">
        <f t="shared" ca="1" si="484"/>
        <v>1</v>
      </c>
      <c r="C5768" s="26">
        <f t="shared" ref="C5768:C5831" ca="1" si="489">RAND()</f>
        <v>0.21751796783878263</v>
      </c>
      <c r="J5768">
        <f t="shared" ca="1" si="485"/>
        <v>1</v>
      </c>
      <c r="K5768">
        <f t="shared" ca="1" si="486"/>
        <v>0</v>
      </c>
      <c r="L5768">
        <f t="shared" si="487"/>
        <v>5762</v>
      </c>
      <c r="M5768" s="71">
        <f t="shared" ca="1" si="488"/>
        <v>2.7924481561822141</v>
      </c>
    </row>
    <row r="5769" spans="1:13" x14ac:dyDescent="0.25">
      <c r="A5769" s="2">
        <v>5763</v>
      </c>
      <c r="B5769" s="11">
        <f t="shared" ref="B5769:B5832" ca="1" si="490">IF(B5768&gt;0,IF(C5769&lt;pww,1,0),IF(C5769&lt;pdw,1,0))</f>
        <v>1</v>
      </c>
      <c r="C5769" s="26">
        <f t="shared" ca="1" si="489"/>
        <v>0.7161595582899537</v>
      </c>
      <c r="J5769">
        <f t="shared" ca="1" si="485"/>
        <v>0</v>
      </c>
      <c r="K5769">
        <f t="shared" ca="1" si="486"/>
        <v>0</v>
      </c>
      <c r="L5769">
        <f t="shared" si="487"/>
        <v>5763</v>
      </c>
      <c r="M5769" s="71">
        <f t="shared" ca="1" si="488"/>
        <v>0.95159143134627833</v>
      </c>
    </row>
    <row r="5770" spans="1:13" x14ac:dyDescent="0.25">
      <c r="A5770" s="2">
        <v>5764</v>
      </c>
      <c r="B5770" s="11">
        <f t="shared" ca="1" si="490"/>
        <v>0</v>
      </c>
      <c r="C5770" s="26">
        <f t="shared" ca="1" si="489"/>
        <v>0.84386078062443848</v>
      </c>
      <c r="J5770">
        <f t="shared" ref="J5770:J5833" ca="1" si="491">IF(AND(B5770,B5771),1,0)</f>
        <v>0</v>
      </c>
      <c r="K5770">
        <f t="shared" ref="K5770:K5833" ca="1" si="492">IF(AND(NOT(B5770),NOT(B5771)),1,0)</f>
        <v>0</v>
      </c>
      <c r="L5770">
        <f t="shared" ref="L5770:L5833" si="493">L5769+1</f>
        <v>5764</v>
      </c>
      <c r="M5770" s="71">
        <f t="shared" ref="M5770:M5833" ca="1" si="494">IF(B5770&gt;0,-LN(1-(RAND()))/lambda,0)</f>
        <v>0</v>
      </c>
    </row>
    <row r="5771" spans="1:13" x14ac:dyDescent="0.25">
      <c r="A5771" s="2">
        <v>5765</v>
      </c>
      <c r="B5771" s="11">
        <f t="shared" ca="1" si="490"/>
        <v>1</v>
      </c>
      <c r="C5771" s="26">
        <f t="shared" ca="1" si="489"/>
        <v>0.24208314186989666</v>
      </c>
      <c r="J5771">
        <f t="shared" ca="1" si="491"/>
        <v>1</v>
      </c>
      <c r="K5771">
        <f t="shared" ca="1" si="492"/>
        <v>0</v>
      </c>
      <c r="L5771">
        <f t="shared" si="493"/>
        <v>5765</v>
      </c>
      <c r="M5771" s="71">
        <f t="shared" ca="1" si="494"/>
        <v>6.618947140234091E-2</v>
      </c>
    </row>
    <row r="5772" spans="1:13" x14ac:dyDescent="0.25">
      <c r="A5772" s="2">
        <v>5766</v>
      </c>
      <c r="B5772" s="11">
        <f t="shared" ca="1" si="490"/>
        <v>1</v>
      </c>
      <c r="C5772" s="26">
        <f t="shared" ca="1" si="489"/>
        <v>0.25671032098946078</v>
      </c>
      <c r="J5772">
        <f t="shared" ca="1" si="491"/>
        <v>1</v>
      </c>
      <c r="K5772">
        <f t="shared" ca="1" si="492"/>
        <v>0</v>
      </c>
      <c r="L5772">
        <f t="shared" si="493"/>
        <v>5766</v>
      </c>
      <c r="M5772" s="71">
        <f t="shared" ca="1" si="494"/>
        <v>4.8230248213638527</v>
      </c>
    </row>
    <row r="5773" spans="1:13" x14ac:dyDescent="0.25">
      <c r="A5773" s="2">
        <v>5767</v>
      </c>
      <c r="B5773" s="11">
        <f t="shared" ca="1" si="490"/>
        <v>1</v>
      </c>
      <c r="C5773" s="26">
        <f t="shared" ca="1" si="489"/>
        <v>0.1166316475836251</v>
      </c>
      <c r="J5773">
        <f t="shared" ca="1" si="491"/>
        <v>1</v>
      </c>
      <c r="K5773">
        <f t="shared" ca="1" si="492"/>
        <v>0</v>
      </c>
      <c r="L5773">
        <f t="shared" si="493"/>
        <v>5767</v>
      </c>
      <c r="M5773" s="71">
        <f t="shared" ca="1" si="494"/>
        <v>4.2495453397194094</v>
      </c>
    </row>
    <row r="5774" spans="1:13" x14ac:dyDescent="0.25">
      <c r="A5774" s="2">
        <v>5768</v>
      </c>
      <c r="B5774" s="11">
        <f t="shared" ca="1" si="490"/>
        <v>1</v>
      </c>
      <c r="C5774" s="26">
        <f t="shared" ca="1" si="489"/>
        <v>2.3817515252055776E-2</v>
      </c>
      <c r="J5774">
        <f t="shared" ca="1" si="491"/>
        <v>0</v>
      </c>
      <c r="K5774">
        <f t="shared" ca="1" si="492"/>
        <v>0</v>
      </c>
      <c r="L5774">
        <f t="shared" si="493"/>
        <v>5768</v>
      </c>
      <c r="M5774" s="71">
        <f t="shared" ca="1" si="494"/>
        <v>1.0188690058053773</v>
      </c>
    </row>
    <row r="5775" spans="1:13" x14ac:dyDescent="0.25">
      <c r="A5775" s="2">
        <v>5769</v>
      </c>
      <c r="B5775" s="11">
        <f t="shared" ca="1" si="490"/>
        <v>0</v>
      </c>
      <c r="C5775" s="26">
        <f t="shared" ca="1" si="489"/>
        <v>0.94298157101766455</v>
      </c>
      <c r="J5775">
        <f t="shared" ca="1" si="491"/>
        <v>0</v>
      </c>
      <c r="K5775">
        <f t="shared" ca="1" si="492"/>
        <v>0</v>
      </c>
      <c r="L5775">
        <f t="shared" si="493"/>
        <v>5769</v>
      </c>
      <c r="M5775" s="71">
        <f t="shared" ca="1" si="494"/>
        <v>0</v>
      </c>
    </row>
    <row r="5776" spans="1:13" x14ac:dyDescent="0.25">
      <c r="A5776" s="2">
        <v>5770</v>
      </c>
      <c r="B5776" s="11">
        <f t="shared" ca="1" si="490"/>
        <v>1</v>
      </c>
      <c r="C5776" s="26">
        <f t="shared" ca="1" si="489"/>
        <v>0.38717999219960464</v>
      </c>
      <c r="J5776">
        <f t="shared" ca="1" si="491"/>
        <v>1</v>
      </c>
      <c r="K5776">
        <f t="shared" ca="1" si="492"/>
        <v>0</v>
      </c>
      <c r="L5776">
        <f t="shared" si="493"/>
        <v>5770</v>
      </c>
      <c r="M5776" s="71">
        <f t="shared" ca="1" si="494"/>
        <v>4.034277948517409</v>
      </c>
    </row>
    <row r="5777" spans="1:13" x14ac:dyDescent="0.25">
      <c r="A5777" s="2">
        <v>5771</v>
      </c>
      <c r="B5777" s="11">
        <f t="shared" ca="1" si="490"/>
        <v>1</v>
      </c>
      <c r="C5777" s="26">
        <f t="shared" ca="1" si="489"/>
        <v>4.2099969007204141E-2</v>
      </c>
      <c r="J5777">
        <f t="shared" ca="1" si="491"/>
        <v>0</v>
      </c>
      <c r="K5777">
        <f t="shared" ca="1" si="492"/>
        <v>0</v>
      </c>
      <c r="L5777">
        <f t="shared" si="493"/>
        <v>5771</v>
      </c>
      <c r="M5777" s="71">
        <f t="shared" ca="1" si="494"/>
        <v>2.7752887778443394</v>
      </c>
    </row>
    <row r="5778" spans="1:13" x14ac:dyDescent="0.25">
      <c r="A5778" s="2">
        <v>5772</v>
      </c>
      <c r="B5778" s="11">
        <f t="shared" ca="1" si="490"/>
        <v>0</v>
      </c>
      <c r="C5778" s="26">
        <f t="shared" ca="1" si="489"/>
        <v>0.94723548852023576</v>
      </c>
      <c r="J5778">
        <f t="shared" ca="1" si="491"/>
        <v>0</v>
      </c>
      <c r="K5778">
        <f t="shared" ca="1" si="492"/>
        <v>0</v>
      </c>
      <c r="L5778">
        <f t="shared" si="493"/>
        <v>5772</v>
      </c>
      <c r="M5778" s="71">
        <f t="shared" ca="1" si="494"/>
        <v>0</v>
      </c>
    </row>
    <row r="5779" spans="1:13" x14ac:dyDescent="0.25">
      <c r="A5779" s="2">
        <v>5773</v>
      </c>
      <c r="B5779" s="11">
        <f t="shared" ca="1" si="490"/>
        <v>1</v>
      </c>
      <c r="C5779" s="26">
        <f t="shared" ca="1" si="489"/>
        <v>0.61431566411456229</v>
      </c>
      <c r="J5779">
        <f t="shared" ca="1" si="491"/>
        <v>1</v>
      </c>
      <c r="K5779">
        <f t="shared" ca="1" si="492"/>
        <v>0</v>
      </c>
      <c r="L5779">
        <f t="shared" si="493"/>
        <v>5773</v>
      </c>
      <c r="M5779" s="71">
        <f t="shared" ca="1" si="494"/>
        <v>8.4742355496141961</v>
      </c>
    </row>
    <row r="5780" spans="1:13" x14ac:dyDescent="0.25">
      <c r="A5780" s="2">
        <v>5774</v>
      </c>
      <c r="B5780" s="11">
        <f t="shared" ca="1" si="490"/>
        <v>1</v>
      </c>
      <c r="C5780" s="26">
        <f t="shared" ca="1" si="489"/>
        <v>1.6183101036735925E-2</v>
      </c>
      <c r="J5780">
        <f t="shared" ca="1" si="491"/>
        <v>1</v>
      </c>
      <c r="K5780">
        <f t="shared" ca="1" si="492"/>
        <v>0</v>
      </c>
      <c r="L5780">
        <f t="shared" si="493"/>
        <v>5774</v>
      </c>
      <c r="M5780" s="71">
        <f t="shared" ca="1" si="494"/>
        <v>2.7337344585563423</v>
      </c>
    </row>
    <row r="5781" spans="1:13" x14ac:dyDescent="0.25">
      <c r="A5781" s="2">
        <v>5775</v>
      </c>
      <c r="B5781" s="11">
        <f t="shared" ca="1" si="490"/>
        <v>1</v>
      </c>
      <c r="C5781" s="26">
        <f t="shared" ca="1" si="489"/>
        <v>0.76636929042882684</v>
      </c>
      <c r="J5781">
        <f t="shared" ca="1" si="491"/>
        <v>1</v>
      </c>
      <c r="K5781">
        <f t="shared" ca="1" si="492"/>
        <v>0</v>
      </c>
      <c r="L5781">
        <f t="shared" si="493"/>
        <v>5775</v>
      </c>
      <c r="M5781" s="71">
        <f t="shared" ca="1" si="494"/>
        <v>10.272039167870318</v>
      </c>
    </row>
    <row r="5782" spans="1:13" x14ac:dyDescent="0.25">
      <c r="A5782" s="2">
        <v>5776</v>
      </c>
      <c r="B5782" s="11">
        <f t="shared" ca="1" si="490"/>
        <v>1</v>
      </c>
      <c r="C5782" s="26">
        <f t="shared" ca="1" si="489"/>
        <v>0.38856057410963452</v>
      </c>
      <c r="J5782">
        <f t="shared" ca="1" si="491"/>
        <v>1</v>
      </c>
      <c r="K5782">
        <f t="shared" ca="1" si="492"/>
        <v>0</v>
      </c>
      <c r="L5782">
        <f t="shared" si="493"/>
        <v>5776</v>
      </c>
      <c r="M5782" s="71">
        <f t="shared" ca="1" si="494"/>
        <v>4.1308506394279245</v>
      </c>
    </row>
    <row r="5783" spans="1:13" x14ac:dyDescent="0.25">
      <c r="A5783" s="2">
        <v>5777</v>
      </c>
      <c r="B5783" s="11">
        <f t="shared" ca="1" si="490"/>
        <v>1</v>
      </c>
      <c r="C5783" s="26">
        <f t="shared" ca="1" si="489"/>
        <v>0.44515638013086878</v>
      </c>
      <c r="J5783">
        <f t="shared" ca="1" si="491"/>
        <v>0</v>
      </c>
      <c r="K5783">
        <f t="shared" ca="1" si="492"/>
        <v>0</v>
      </c>
      <c r="L5783">
        <f t="shared" si="493"/>
        <v>5777</v>
      </c>
      <c r="M5783" s="71">
        <f t="shared" ca="1" si="494"/>
        <v>0.60020145163568295</v>
      </c>
    </row>
    <row r="5784" spans="1:13" x14ac:dyDescent="0.25">
      <c r="A5784" s="2">
        <v>5778</v>
      </c>
      <c r="B5784" s="11">
        <f t="shared" ca="1" si="490"/>
        <v>0</v>
      </c>
      <c r="C5784" s="26">
        <f t="shared" ca="1" si="489"/>
        <v>0.82854830572688842</v>
      </c>
      <c r="J5784">
        <f t="shared" ca="1" si="491"/>
        <v>0</v>
      </c>
      <c r="K5784">
        <f t="shared" ca="1" si="492"/>
        <v>0</v>
      </c>
      <c r="L5784">
        <f t="shared" si="493"/>
        <v>5778</v>
      </c>
      <c r="M5784" s="71">
        <f t="shared" ca="1" si="494"/>
        <v>0</v>
      </c>
    </row>
    <row r="5785" spans="1:13" x14ac:dyDescent="0.25">
      <c r="A5785" s="2">
        <v>5779</v>
      </c>
      <c r="B5785" s="11">
        <f t="shared" ca="1" si="490"/>
        <v>1</v>
      </c>
      <c r="C5785" s="26">
        <f t="shared" ca="1" si="489"/>
        <v>0.69204186935424739</v>
      </c>
      <c r="J5785">
        <f t="shared" ca="1" si="491"/>
        <v>1</v>
      </c>
      <c r="K5785">
        <f t="shared" ca="1" si="492"/>
        <v>0</v>
      </c>
      <c r="L5785">
        <f t="shared" si="493"/>
        <v>5779</v>
      </c>
      <c r="M5785" s="71">
        <f t="shared" ca="1" si="494"/>
        <v>2.7419441918231868</v>
      </c>
    </row>
    <row r="5786" spans="1:13" x14ac:dyDescent="0.25">
      <c r="A5786" s="2">
        <v>5780</v>
      </c>
      <c r="B5786" s="11">
        <f t="shared" ca="1" si="490"/>
        <v>1</v>
      </c>
      <c r="C5786" s="26">
        <f t="shared" ca="1" si="489"/>
        <v>2.8395245572423455E-2</v>
      </c>
      <c r="J5786">
        <f t="shared" ca="1" si="491"/>
        <v>0</v>
      </c>
      <c r="K5786">
        <f t="shared" ca="1" si="492"/>
        <v>0</v>
      </c>
      <c r="L5786">
        <f t="shared" si="493"/>
        <v>5780</v>
      </c>
      <c r="M5786" s="71">
        <f t="shared" ca="1" si="494"/>
        <v>2.6275781546543033</v>
      </c>
    </row>
    <row r="5787" spans="1:13" x14ac:dyDescent="0.25">
      <c r="A5787" s="2">
        <v>5781</v>
      </c>
      <c r="B5787" s="11">
        <f t="shared" ca="1" si="490"/>
        <v>0</v>
      </c>
      <c r="C5787" s="26">
        <f t="shared" ca="1" si="489"/>
        <v>0.86705006137162843</v>
      </c>
      <c r="J5787">
        <f t="shared" ca="1" si="491"/>
        <v>0</v>
      </c>
      <c r="K5787">
        <f t="shared" ca="1" si="492"/>
        <v>0</v>
      </c>
      <c r="L5787">
        <f t="shared" si="493"/>
        <v>5781</v>
      </c>
      <c r="M5787" s="71">
        <f t="shared" ca="1" si="494"/>
        <v>0</v>
      </c>
    </row>
    <row r="5788" spans="1:13" x14ac:dyDescent="0.25">
      <c r="A5788" s="2">
        <v>5782</v>
      </c>
      <c r="B5788" s="11">
        <f t="shared" ca="1" si="490"/>
        <v>1</v>
      </c>
      <c r="C5788" s="26">
        <f t="shared" ca="1" si="489"/>
        <v>0.34450034346124148</v>
      </c>
      <c r="J5788">
        <f t="shared" ca="1" si="491"/>
        <v>1</v>
      </c>
      <c r="K5788">
        <f t="shared" ca="1" si="492"/>
        <v>0</v>
      </c>
      <c r="L5788">
        <f t="shared" si="493"/>
        <v>5782</v>
      </c>
      <c r="M5788" s="71">
        <f t="shared" ca="1" si="494"/>
        <v>2.3275472251405724</v>
      </c>
    </row>
    <row r="5789" spans="1:13" x14ac:dyDescent="0.25">
      <c r="A5789" s="2">
        <v>5783</v>
      </c>
      <c r="B5789" s="11">
        <f t="shared" ca="1" si="490"/>
        <v>1</v>
      </c>
      <c r="C5789" s="26">
        <f t="shared" ca="1" si="489"/>
        <v>0.2611872595872472</v>
      </c>
      <c r="J5789">
        <f t="shared" ca="1" si="491"/>
        <v>1</v>
      </c>
      <c r="K5789">
        <f t="shared" ca="1" si="492"/>
        <v>0</v>
      </c>
      <c r="L5789">
        <f t="shared" si="493"/>
        <v>5783</v>
      </c>
      <c r="M5789" s="71">
        <f t="shared" ca="1" si="494"/>
        <v>4.933509679598151</v>
      </c>
    </row>
    <row r="5790" spans="1:13" x14ac:dyDescent="0.25">
      <c r="A5790" s="2">
        <v>5784</v>
      </c>
      <c r="B5790" s="11">
        <f t="shared" ca="1" si="490"/>
        <v>1</v>
      </c>
      <c r="C5790" s="26">
        <f t="shared" ca="1" si="489"/>
        <v>0.74855608502580595</v>
      </c>
      <c r="J5790">
        <f t="shared" ca="1" si="491"/>
        <v>1</v>
      </c>
      <c r="K5790">
        <f t="shared" ca="1" si="492"/>
        <v>0</v>
      </c>
      <c r="L5790">
        <f t="shared" si="493"/>
        <v>5784</v>
      </c>
      <c r="M5790" s="71">
        <f t="shared" ca="1" si="494"/>
        <v>0.50242870393004113</v>
      </c>
    </row>
    <row r="5791" spans="1:13" x14ac:dyDescent="0.25">
      <c r="A5791" s="2">
        <v>5785</v>
      </c>
      <c r="B5791" s="11">
        <f t="shared" ca="1" si="490"/>
        <v>1</v>
      </c>
      <c r="C5791" s="26">
        <f t="shared" ca="1" si="489"/>
        <v>0.37977588787940275</v>
      </c>
      <c r="J5791">
        <f t="shared" ca="1" si="491"/>
        <v>1</v>
      </c>
      <c r="K5791">
        <f t="shared" ca="1" si="492"/>
        <v>0</v>
      </c>
      <c r="L5791">
        <f t="shared" si="493"/>
        <v>5785</v>
      </c>
      <c r="M5791" s="71">
        <f t="shared" ca="1" si="494"/>
        <v>3.1342441703318746</v>
      </c>
    </row>
    <row r="5792" spans="1:13" x14ac:dyDescent="0.25">
      <c r="A5792" s="2">
        <v>5786</v>
      </c>
      <c r="B5792" s="11">
        <f t="shared" ca="1" si="490"/>
        <v>1</v>
      </c>
      <c r="C5792" s="26">
        <f t="shared" ca="1" si="489"/>
        <v>0.6972302272135581</v>
      </c>
      <c r="J5792">
        <f t="shared" ca="1" si="491"/>
        <v>1</v>
      </c>
      <c r="K5792">
        <f t="shared" ca="1" si="492"/>
        <v>0</v>
      </c>
      <c r="L5792">
        <f t="shared" si="493"/>
        <v>5786</v>
      </c>
      <c r="M5792" s="71">
        <f t="shared" ca="1" si="494"/>
        <v>1.8122979518249875</v>
      </c>
    </row>
    <row r="5793" spans="1:13" x14ac:dyDescent="0.25">
      <c r="A5793" s="2">
        <v>5787</v>
      </c>
      <c r="B5793" s="11">
        <f t="shared" ca="1" si="490"/>
        <v>1</v>
      </c>
      <c r="C5793" s="26">
        <f t="shared" ca="1" si="489"/>
        <v>0.63344779489432002</v>
      </c>
      <c r="J5793">
        <f t="shared" ca="1" si="491"/>
        <v>0</v>
      </c>
      <c r="K5793">
        <f t="shared" ca="1" si="492"/>
        <v>0</v>
      </c>
      <c r="L5793">
        <f t="shared" si="493"/>
        <v>5787</v>
      </c>
      <c r="M5793" s="71">
        <f t="shared" ca="1" si="494"/>
        <v>9.6095252245581566</v>
      </c>
    </row>
    <row r="5794" spans="1:13" x14ac:dyDescent="0.25">
      <c r="A5794" s="2">
        <v>5788</v>
      </c>
      <c r="B5794" s="11">
        <f t="shared" ca="1" si="490"/>
        <v>0</v>
      </c>
      <c r="C5794" s="26">
        <f t="shared" ca="1" si="489"/>
        <v>0.89526442406629858</v>
      </c>
      <c r="J5794">
        <f t="shared" ca="1" si="491"/>
        <v>0</v>
      </c>
      <c r="K5794">
        <f t="shared" ca="1" si="492"/>
        <v>1</v>
      </c>
      <c r="L5794">
        <f t="shared" si="493"/>
        <v>5788</v>
      </c>
      <c r="M5794" s="71">
        <f t="shared" ca="1" si="494"/>
        <v>0</v>
      </c>
    </row>
    <row r="5795" spans="1:13" x14ac:dyDescent="0.25">
      <c r="A5795" s="2">
        <v>5789</v>
      </c>
      <c r="B5795" s="11">
        <f t="shared" ca="1" si="490"/>
        <v>0</v>
      </c>
      <c r="C5795" s="26">
        <f t="shared" ca="1" si="489"/>
        <v>0.82955311586156366</v>
      </c>
      <c r="J5795">
        <f t="shared" ca="1" si="491"/>
        <v>0</v>
      </c>
      <c r="K5795">
        <f t="shared" ca="1" si="492"/>
        <v>0</v>
      </c>
      <c r="L5795">
        <f t="shared" si="493"/>
        <v>5789</v>
      </c>
      <c r="M5795" s="71">
        <f t="shared" ca="1" si="494"/>
        <v>0</v>
      </c>
    </row>
    <row r="5796" spans="1:13" x14ac:dyDescent="0.25">
      <c r="A5796" s="2">
        <v>5790</v>
      </c>
      <c r="B5796" s="11">
        <f t="shared" ca="1" si="490"/>
        <v>1</v>
      </c>
      <c r="C5796" s="26">
        <f t="shared" ca="1" si="489"/>
        <v>0.55384220021179953</v>
      </c>
      <c r="J5796">
        <f t="shared" ca="1" si="491"/>
        <v>1</v>
      </c>
      <c r="K5796">
        <f t="shared" ca="1" si="492"/>
        <v>0</v>
      </c>
      <c r="L5796">
        <f t="shared" si="493"/>
        <v>5790</v>
      </c>
      <c r="M5796" s="71">
        <f t="shared" ca="1" si="494"/>
        <v>0.51720337466145938</v>
      </c>
    </row>
    <row r="5797" spans="1:13" x14ac:dyDescent="0.25">
      <c r="A5797" s="2">
        <v>5791</v>
      </c>
      <c r="B5797" s="11">
        <f t="shared" ca="1" si="490"/>
        <v>1</v>
      </c>
      <c r="C5797" s="26">
        <f t="shared" ca="1" si="489"/>
        <v>2.2094362126218514E-2</v>
      </c>
      <c r="J5797">
        <f t="shared" ca="1" si="491"/>
        <v>1</v>
      </c>
      <c r="K5797">
        <f t="shared" ca="1" si="492"/>
        <v>0</v>
      </c>
      <c r="L5797">
        <f t="shared" si="493"/>
        <v>5791</v>
      </c>
      <c r="M5797" s="71">
        <f t="shared" ca="1" si="494"/>
        <v>6.9542770337175392</v>
      </c>
    </row>
    <row r="5798" spans="1:13" x14ac:dyDescent="0.25">
      <c r="A5798" s="2">
        <v>5792</v>
      </c>
      <c r="B5798" s="11">
        <f t="shared" ca="1" si="490"/>
        <v>1</v>
      </c>
      <c r="C5798" s="26">
        <f t="shared" ca="1" si="489"/>
        <v>0.62369204012360635</v>
      </c>
      <c r="J5798">
        <f t="shared" ca="1" si="491"/>
        <v>1</v>
      </c>
      <c r="K5798">
        <f t="shared" ca="1" si="492"/>
        <v>0</v>
      </c>
      <c r="L5798">
        <f t="shared" si="493"/>
        <v>5792</v>
      </c>
      <c r="M5798" s="71">
        <f t="shared" ca="1" si="494"/>
        <v>3.5493025214668603</v>
      </c>
    </row>
    <row r="5799" spans="1:13" x14ac:dyDescent="0.25">
      <c r="A5799" s="2">
        <v>5793</v>
      </c>
      <c r="B5799" s="11">
        <f t="shared" ca="1" si="490"/>
        <v>1</v>
      </c>
      <c r="C5799" s="26">
        <f t="shared" ca="1" si="489"/>
        <v>0.33678469577367154</v>
      </c>
      <c r="J5799">
        <f t="shared" ca="1" si="491"/>
        <v>1</v>
      </c>
      <c r="K5799">
        <f t="shared" ca="1" si="492"/>
        <v>0</v>
      </c>
      <c r="L5799">
        <f t="shared" si="493"/>
        <v>5793</v>
      </c>
      <c r="M5799" s="71">
        <f t="shared" ca="1" si="494"/>
        <v>1.6547139201000589</v>
      </c>
    </row>
    <row r="5800" spans="1:13" x14ac:dyDescent="0.25">
      <c r="A5800" s="2">
        <v>5794</v>
      </c>
      <c r="B5800" s="11">
        <f t="shared" ca="1" si="490"/>
        <v>1</v>
      </c>
      <c r="C5800" s="26">
        <f t="shared" ca="1" si="489"/>
        <v>0.78896282446800414</v>
      </c>
      <c r="J5800">
        <f t="shared" ca="1" si="491"/>
        <v>1</v>
      </c>
      <c r="K5800">
        <f t="shared" ca="1" si="492"/>
        <v>0</v>
      </c>
      <c r="L5800">
        <f t="shared" si="493"/>
        <v>5794</v>
      </c>
      <c r="M5800" s="71">
        <f t="shared" ca="1" si="494"/>
        <v>8.5571816566133829E-2</v>
      </c>
    </row>
    <row r="5801" spans="1:13" x14ac:dyDescent="0.25">
      <c r="A5801" s="2">
        <v>5795</v>
      </c>
      <c r="B5801" s="11">
        <f t="shared" ca="1" si="490"/>
        <v>1</v>
      </c>
      <c r="C5801" s="26">
        <f t="shared" ca="1" si="489"/>
        <v>0.17636826412909845</v>
      </c>
      <c r="J5801">
        <f t="shared" ca="1" si="491"/>
        <v>1</v>
      </c>
      <c r="K5801">
        <f t="shared" ca="1" si="492"/>
        <v>0</v>
      </c>
      <c r="L5801">
        <f t="shared" si="493"/>
        <v>5795</v>
      </c>
      <c r="M5801" s="71">
        <f t="shared" ca="1" si="494"/>
        <v>9.0509875488783571</v>
      </c>
    </row>
    <row r="5802" spans="1:13" x14ac:dyDescent="0.25">
      <c r="A5802" s="2">
        <v>5796</v>
      </c>
      <c r="B5802" s="11">
        <f t="shared" ca="1" si="490"/>
        <v>1</v>
      </c>
      <c r="C5802" s="26">
        <f t="shared" ca="1" si="489"/>
        <v>0.62080270143290006</v>
      </c>
      <c r="J5802">
        <f t="shared" ca="1" si="491"/>
        <v>1</v>
      </c>
      <c r="K5802">
        <f t="shared" ca="1" si="492"/>
        <v>0</v>
      </c>
      <c r="L5802">
        <f t="shared" si="493"/>
        <v>5796</v>
      </c>
      <c r="M5802" s="71">
        <f t="shared" ca="1" si="494"/>
        <v>1.1079989271233681</v>
      </c>
    </row>
    <row r="5803" spans="1:13" x14ac:dyDescent="0.25">
      <c r="A5803" s="2">
        <v>5797</v>
      </c>
      <c r="B5803" s="11">
        <f t="shared" ca="1" si="490"/>
        <v>1</v>
      </c>
      <c r="C5803" s="26">
        <f t="shared" ca="1" si="489"/>
        <v>0.7238420913927418</v>
      </c>
      <c r="J5803">
        <f t="shared" ca="1" si="491"/>
        <v>1</v>
      </c>
      <c r="K5803">
        <f t="shared" ca="1" si="492"/>
        <v>0</v>
      </c>
      <c r="L5803">
        <f t="shared" si="493"/>
        <v>5797</v>
      </c>
      <c r="M5803" s="71">
        <f t="shared" ca="1" si="494"/>
        <v>1.7721833767164843</v>
      </c>
    </row>
    <row r="5804" spans="1:13" x14ac:dyDescent="0.25">
      <c r="A5804" s="2">
        <v>5798</v>
      </c>
      <c r="B5804" s="11">
        <f t="shared" ca="1" si="490"/>
        <v>1</v>
      </c>
      <c r="C5804" s="26">
        <f t="shared" ca="1" si="489"/>
        <v>0.34402715508536919</v>
      </c>
      <c r="J5804">
        <f t="shared" ca="1" si="491"/>
        <v>1</v>
      </c>
      <c r="K5804">
        <f t="shared" ca="1" si="492"/>
        <v>0</v>
      </c>
      <c r="L5804">
        <f t="shared" si="493"/>
        <v>5798</v>
      </c>
      <c r="M5804" s="71">
        <f t="shared" ca="1" si="494"/>
        <v>0.41921920421448955</v>
      </c>
    </row>
    <row r="5805" spans="1:13" x14ac:dyDescent="0.25">
      <c r="A5805" s="2">
        <v>5799</v>
      </c>
      <c r="B5805" s="11">
        <f t="shared" ca="1" si="490"/>
        <v>1</v>
      </c>
      <c r="C5805" s="26">
        <f t="shared" ca="1" si="489"/>
        <v>9.3667914536608166E-2</v>
      </c>
      <c r="J5805">
        <f t="shared" ca="1" si="491"/>
        <v>1</v>
      </c>
      <c r="K5805">
        <f t="shared" ca="1" si="492"/>
        <v>0</v>
      </c>
      <c r="L5805">
        <f t="shared" si="493"/>
        <v>5799</v>
      </c>
      <c r="M5805" s="71">
        <f t="shared" ca="1" si="494"/>
        <v>8.5928596811481412</v>
      </c>
    </row>
    <row r="5806" spans="1:13" x14ac:dyDescent="0.25">
      <c r="A5806" s="2">
        <v>5800</v>
      </c>
      <c r="B5806" s="11">
        <f t="shared" ca="1" si="490"/>
        <v>1</v>
      </c>
      <c r="C5806" s="26">
        <f t="shared" ca="1" si="489"/>
        <v>0.32678519685135388</v>
      </c>
      <c r="J5806">
        <f t="shared" ca="1" si="491"/>
        <v>0</v>
      </c>
      <c r="K5806">
        <f t="shared" ca="1" si="492"/>
        <v>0</v>
      </c>
      <c r="L5806">
        <f t="shared" si="493"/>
        <v>5800</v>
      </c>
      <c r="M5806" s="71">
        <f t="shared" ca="1" si="494"/>
        <v>1.3687587774149326</v>
      </c>
    </row>
    <row r="5807" spans="1:13" x14ac:dyDescent="0.25">
      <c r="A5807" s="2">
        <v>5801</v>
      </c>
      <c r="B5807" s="11">
        <f t="shared" ca="1" si="490"/>
        <v>0</v>
      </c>
      <c r="C5807" s="26">
        <f t="shared" ca="1" si="489"/>
        <v>0.94814220390627779</v>
      </c>
      <c r="J5807">
        <f t="shared" ca="1" si="491"/>
        <v>0</v>
      </c>
      <c r="K5807">
        <f t="shared" ca="1" si="492"/>
        <v>1</v>
      </c>
      <c r="L5807">
        <f t="shared" si="493"/>
        <v>5801</v>
      </c>
      <c r="M5807" s="71">
        <f t="shared" ca="1" si="494"/>
        <v>0</v>
      </c>
    </row>
    <row r="5808" spans="1:13" x14ac:dyDescent="0.25">
      <c r="A5808" s="2">
        <v>5802</v>
      </c>
      <c r="B5808" s="11">
        <f t="shared" ca="1" si="490"/>
        <v>0</v>
      </c>
      <c r="C5808" s="26">
        <f t="shared" ca="1" si="489"/>
        <v>0.88940266560149528</v>
      </c>
      <c r="J5808">
        <f t="shared" ca="1" si="491"/>
        <v>0</v>
      </c>
      <c r="K5808">
        <f t="shared" ca="1" si="492"/>
        <v>0</v>
      </c>
      <c r="L5808">
        <f t="shared" si="493"/>
        <v>5802</v>
      </c>
      <c r="M5808" s="71">
        <f t="shared" ca="1" si="494"/>
        <v>0</v>
      </c>
    </row>
    <row r="5809" spans="1:13" x14ac:dyDescent="0.25">
      <c r="A5809" s="2">
        <v>5803</v>
      </c>
      <c r="B5809" s="11">
        <f t="shared" ca="1" si="490"/>
        <v>1</v>
      </c>
      <c r="C5809" s="26">
        <f t="shared" ca="1" si="489"/>
        <v>0.10512864120634113</v>
      </c>
      <c r="J5809">
        <f t="shared" ca="1" si="491"/>
        <v>1</v>
      </c>
      <c r="K5809">
        <f t="shared" ca="1" si="492"/>
        <v>0</v>
      </c>
      <c r="L5809">
        <f t="shared" si="493"/>
        <v>5803</v>
      </c>
      <c r="M5809" s="71">
        <f t="shared" ca="1" si="494"/>
        <v>5.5091590700204653</v>
      </c>
    </row>
    <row r="5810" spans="1:13" x14ac:dyDescent="0.25">
      <c r="A5810" s="2">
        <v>5804</v>
      </c>
      <c r="B5810" s="11">
        <f t="shared" ca="1" si="490"/>
        <v>1</v>
      </c>
      <c r="C5810" s="26">
        <f t="shared" ca="1" si="489"/>
        <v>0.27065389736407552</v>
      </c>
      <c r="J5810">
        <f t="shared" ca="1" si="491"/>
        <v>1</v>
      </c>
      <c r="K5810">
        <f t="shared" ca="1" si="492"/>
        <v>0</v>
      </c>
      <c r="L5810">
        <f t="shared" si="493"/>
        <v>5804</v>
      </c>
      <c r="M5810" s="71">
        <f t="shared" ca="1" si="494"/>
        <v>1.5893579147335459</v>
      </c>
    </row>
    <row r="5811" spans="1:13" x14ac:dyDescent="0.25">
      <c r="A5811" s="2">
        <v>5805</v>
      </c>
      <c r="B5811" s="11">
        <f t="shared" ca="1" si="490"/>
        <v>1</v>
      </c>
      <c r="C5811" s="26">
        <f t="shared" ca="1" si="489"/>
        <v>0.13282144653867367</v>
      </c>
      <c r="J5811">
        <f t="shared" ca="1" si="491"/>
        <v>1</v>
      </c>
      <c r="K5811">
        <f t="shared" ca="1" si="492"/>
        <v>0</v>
      </c>
      <c r="L5811">
        <f t="shared" si="493"/>
        <v>5805</v>
      </c>
      <c r="M5811" s="71">
        <f t="shared" ca="1" si="494"/>
        <v>6.8923936049079417</v>
      </c>
    </row>
    <row r="5812" spans="1:13" x14ac:dyDescent="0.25">
      <c r="A5812" s="2">
        <v>5806</v>
      </c>
      <c r="B5812" s="11">
        <f t="shared" ca="1" si="490"/>
        <v>1</v>
      </c>
      <c r="C5812" s="26">
        <f t="shared" ca="1" si="489"/>
        <v>0.60945941930563796</v>
      </c>
      <c r="J5812">
        <f t="shared" ca="1" si="491"/>
        <v>1</v>
      </c>
      <c r="K5812">
        <f t="shared" ca="1" si="492"/>
        <v>0</v>
      </c>
      <c r="L5812">
        <f t="shared" si="493"/>
        <v>5806</v>
      </c>
      <c r="M5812" s="71">
        <f t="shared" ca="1" si="494"/>
        <v>8.6729818246139114</v>
      </c>
    </row>
    <row r="5813" spans="1:13" x14ac:dyDescent="0.25">
      <c r="A5813" s="2">
        <v>5807</v>
      </c>
      <c r="B5813" s="11">
        <f t="shared" ca="1" si="490"/>
        <v>1</v>
      </c>
      <c r="C5813" s="26">
        <f t="shared" ca="1" si="489"/>
        <v>0.64868251105093533</v>
      </c>
      <c r="J5813">
        <f t="shared" ca="1" si="491"/>
        <v>1</v>
      </c>
      <c r="K5813">
        <f t="shared" ca="1" si="492"/>
        <v>0</v>
      </c>
      <c r="L5813">
        <f t="shared" si="493"/>
        <v>5807</v>
      </c>
      <c r="M5813" s="71">
        <f t="shared" ca="1" si="494"/>
        <v>0.67490466705565166</v>
      </c>
    </row>
    <row r="5814" spans="1:13" x14ac:dyDescent="0.25">
      <c r="A5814" s="2">
        <v>5808</v>
      </c>
      <c r="B5814" s="11">
        <f t="shared" ca="1" si="490"/>
        <v>1</v>
      </c>
      <c r="C5814" s="26">
        <f t="shared" ca="1" si="489"/>
        <v>0.59395447363714915</v>
      </c>
      <c r="J5814">
        <f t="shared" ca="1" si="491"/>
        <v>1</v>
      </c>
      <c r="K5814">
        <f t="shared" ca="1" si="492"/>
        <v>0</v>
      </c>
      <c r="L5814">
        <f t="shared" si="493"/>
        <v>5808</v>
      </c>
      <c r="M5814" s="71">
        <f t="shared" ca="1" si="494"/>
        <v>1.9725298773360365</v>
      </c>
    </row>
    <row r="5815" spans="1:13" x14ac:dyDescent="0.25">
      <c r="A5815" s="2">
        <v>5809</v>
      </c>
      <c r="B5815" s="11">
        <f t="shared" ca="1" si="490"/>
        <v>1</v>
      </c>
      <c r="C5815" s="26">
        <f t="shared" ca="1" si="489"/>
        <v>0.30017321698700017</v>
      </c>
      <c r="J5815">
        <f t="shared" ca="1" si="491"/>
        <v>1</v>
      </c>
      <c r="K5815">
        <f t="shared" ca="1" si="492"/>
        <v>0</v>
      </c>
      <c r="L5815">
        <f t="shared" si="493"/>
        <v>5809</v>
      </c>
      <c r="M5815" s="71">
        <f t="shared" ca="1" si="494"/>
        <v>1.5739378789214251</v>
      </c>
    </row>
    <row r="5816" spans="1:13" x14ac:dyDescent="0.25">
      <c r="A5816" s="2">
        <v>5810</v>
      </c>
      <c r="B5816" s="11">
        <f t="shared" ca="1" si="490"/>
        <v>1</v>
      </c>
      <c r="C5816" s="26">
        <f t="shared" ca="1" si="489"/>
        <v>5.7569825874453029E-2</v>
      </c>
      <c r="J5816">
        <f t="shared" ca="1" si="491"/>
        <v>1</v>
      </c>
      <c r="K5816">
        <f t="shared" ca="1" si="492"/>
        <v>0</v>
      </c>
      <c r="L5816">
        <f t="shared" si="493"/>
        <v>5810</v>
      </c>
      <c r="M5816" s="71">
        <f t="shared" ca="1" si="494"/>
        <v>2.3572538422530358</v>
      </c>
    </row>
    <row r="5817" spans="1:13" x14ac:dyDescent="0.25">
      <c r="A5817" s="2">
        <v>5811</v>
      </c>
      <c r="B5817" s="11">
        <f t="shared" ca="1" si="490"/>
        <v>1</v>
      </c>
      <c r="C5817" s="26">
        <f t="shared" ca="1" si="489"/>
        <v>0.30996603334425255</v>
      </c>
      <c r="J5817">
        <f t="shared" ca="1" si="491"/>
        <v>1</v>
      </c>
      <c r="K5817">
        <f t="shared" ca="1" si="492"/>
        <v>0</v>
      </c>
      <c r="L5817">
        <f t="shared" si="493"/>
        <v>5811</v>
      </c>
      <c r="M5817" s="71">
        <f t="shared" ca="1" si="494"/>
        <v>1.1322372458399985</v>
      </c>
    </row>
    <row r="5818" spans="1:13" x14ac:dyDescent="0.25">
      <c r="A5818" s="2">
        <v>5812</v>
      </c>
      <c r="B5818" s="11">
        <f t="shared" ca="1" si="490"/>
        <v>1</v>
      </c>
      <c r="C5818" s="26">
        <f t="shared" ca="1" si="489"/>
        <v>0.24496901709841457</v>
      </c>
      <c r="J5818">
        <f t="shared" ca="1" si="491"/>
        <v>1</v>
      </c>
      <c r="K5818">
        <f t="shared" ca="1" si="492"/>
        <v>0</v>
      </c>
      <c r="L5818">
        <f t="shared" si="493"/>
        <v>5812</v>
      </c>
      <c r="M5818" s="71">
        <f t="shared" ca="1" si="494"/>
        <v>11.617660880368428</v>
      </c>
    </row>
    <row r="5819" spans="1:13" x14ac:dyDescent="0.25">
      <c r="A5819" s="2">
        <v>5813</v>
      </c>
      <c r="B5819" s="11">
        <f t="shared" ca="1" si="490"/>
        <v>1</v>
      </c>
      <c r="C5819" s="26">
        <f t="shared" ca="1" si="489"/>
        <v>0.69740206360175527</v>
      </c>
      <c r="J5819">
        <f t="shared" ca="1" si="491"/>
        <v>0</v>
      </c>
      <c r="K5819">
        <f t="shared" ca="1" si="492"/>
        <v>0</v>
      </c>
      <c r="L5819">
        <f t="shared" si="493"/>
        <v>5813</v>
      </c>
      <c r="M5819" s="71">
        <f t="shared" ca="1" si="494"/>
        <v>6.5124073468514965</v>
      </c>
    </row>
    <row r="5820" spans="1:13" x14ac:dyDescent="0.25">
      <c r="A5820" s="2">
        <v>5814</v>
      </c>
      <c r="B5820" s="11">
        <f t="shared" ca="1" si="490"/>
        <v>0</v>
      </c>
      <c r="C5820" s="26">
        <f t="shared" ca="1" si="489"/>
        <v>0.80352786250885666</v>
      </c>
      <c r="J5820">
        <f t="shared" ca="1" si="491"/>
        <v>0</v>
      </c>
      <c r="K5820">
        <f t="shared" ca="1" si="492"/>
        <v>0</v>
      </c>
      <c r="L5820">
        <f t="shared" si="493"/>
        <v>5814</v>
      </c>
      <c r="M5820" s="71">
        <f t="shared" ca="1" si="494"/>
        <v>0</v>
      </c>
    </row>
    <row r="5821" spans="1:13" x14ac:dyDescent="0.25">
      <c r="A5821" s="2">
        <v>5815</v>
      </c>
      <c r="B5821" s="11">
        <f t="shared" ca="1" si="490"/>
        <v>1</v>
      </c>
      <c r="C5821" s="26">
        <f t="shared" ca="1" si="489"/>
        <v>0.64639435688872138</v>
      </c>
      <c r="J5821">
        <f t="shared" ca="1" si="491"/>
        <v>1</v>
      </c>
      <c r="K5821">
        <f t="shared" ca="1" si="492"/>
        <v>0</v>
      </c>
      <c r="L5821">
        <f t="shared" si="493"/>
        <v>5815</v>
      </c>
      <c r="M5821" s="71">
        <f t="shared" ca="1" si="494"/>
        <v>3.9063891198153513</v>
      </c>
    </row>
    <row r="5822" spans="1:13" x14ac:dyDescent="0.25">
      <c r="A5822" s="2">
        <v>5816</v>
      </c>
      <c r="B5822" s="11">
        <f t="shared" ca="1" si="490"/>
        <v>1</v>
      </c>
      <c r="C5822" s="26">
        <f t="shared" ca="1" si="489"/>
        <v>0.11067920368519213</v>
      </c>
      <c r="J5822">
        <f t="shared" ca="1" si="491"/>
        <v>0</v>
      </c>
      <c r="K5822">
        <f t="shared" ca="1" si="492"/>
        <v>0</v>
      </c>
      <c r="L5822">
        <f t="shared" si="493"/>
        <v>5816</v>
      </c>
      <c r="M5822" s="71">
        <f t="shared" ca="1" si="494"/>
        <v>1.0196394529838158</v>
      </c>
    </row>
    <row r="5823" spans="1:13" x14ac:dyDescent="0.25">
      <c r="A5823" s="2">
        <v>5817</v>
      </c>
      <c r="B5823" s="11">
        <f t="shared" ca="1" si="490"/>
        <v>0</v>
      </c>
      <c r="C5823" s="26">
        <f t="shared" ca="1" si="489"/>
        <v>0.90930324361075421</v>
      </c>
      <c r="J5823">
        <f t="shared" ca="1" si="491"/>
        <v>0</v>
      </c>
      <c r="K5823">
        <f t="shared" ca="1" si="492"/>
        <v>0</v>
      </c>
      <c r="L5823">
        <f t="shared" si="493"/>
        <v>5817</v>
      </c>
      <c r="M5823" s="71">
        <f t="shared" ca="1" si="494"/>
        <v>0</v>
      </c>
    </row>
    <row r="5824" spans="1:13" x14ac:dyDescent="0.25">
      <c r="A5824" s="2">
        <v>5818</v>
      </c>
      <c r="B5824" s="11">
        <f t="shared" ca="1" si="490"/>
        <v>1</v>
      </c>
      <c r="C5824" s="26">
        <f t="shared" ca="1" si="489"/>
        <v>0.21565910123388354</v>
      </c>
      <c r="J5824">
        <f t="shared" ca="1" si="491"/>
        <v>1</v>
      </c>
      <c r="K5824">
        <f t="shared" ca="1" si="492"/>
        <v>0</v>
      </c>
      <c r="L5824">
        <f t="shared" si="493"/>
        <v>5818</v>
      </c>
      <c r="M5824" s="71">
        <f t="shared" ca="1" si="494"/>
        <v>0.65279864312748481</v>
      </c>
    </row>
    <row r="5825" spans="1:13" x14ac:dyDescent="0.25">
      <c r="A5825" s="2">
        <v>5819</v>
      </c>
      <c r="B5825" s="11">
        <f t="shared" ca="1" si="490"/>
        <v>1</v>
      </c>
      <c r="C5825" s="26">
        <f t="shared" ca="1" si="489"/>
        <v>0.51197310100608961</v>
      </c>
      <c r="J5825">
        <f t="shared" ca="1" si="491"/>
        <v>1</v>
      </c>
      <c r="K5825">
        <f t="shared" ca="1" si="492"/>
        <v>0</v>
      </c>
      <c r="L5825">
        <f t="shared" si="493"/>
        <v>5819</v>
      </c>
      <c r="M5825" s="71">
        <f t="shared" ca="1" si="494"/>
        <v>2.4152406681552487</v>
      </c>
    </row>
    <row r="5826" spans="1:13" x14ac:dyDescent="0.25">
      <c r="A5826" s="2">
        <v>5820</v>
      </c>
      <c r="B5826" s="11">
        <f t="shared" ca="1" si="490"/>
        <v>1</v>
      </c>
      <c r="C5826" s="26">
        <f t="shared" ca="1" si="489"/>
        <v>0.21553379503885595</v>
      </c>
      <c r="J5826">
        <f t="shared" ca="1" si="491"/>
        <v>1</v>
      </c>
      <c r="K5826">
        <f t="shared" ca="1" si="492"/>
        <v>0</v>
      </c>
      <c r="L5826">
        <f t="shared" si="493"/>
        <v>5820</v>
      </c>
      <c r="M5826" s="71">
        <f t="shared" ca="1" si="494"/>
        <v>3.2878765457149215</v>
      </c>
    </row>
    <row r="5827" spans="1:13" x14ac:dyDescent="0.25">
      <c r="A5827" s="2">
        <v>5821</v>
      </c>
      <c r="B5827" s="11">
        <f t="shared" ca="1" si="490"/>
        <v>1</v>
      </c>
      <c r="C5827" s="26">
        <f t="shared" ca="1" si="489"/>
        <v>0.54085907154557256</v>
      </c>
      <c r="J5827">
        <f t="shared" ca="1" si="491"/>
        <v>0</v>
      </c>
      <c r="K5827">
        <f t="shared" ca="1" si="492"/>
        <v>0</v>
      </c>
      <c r="L5827">
        <f t="shared" si="493"/>
        <v>5821</v>
      </c>
      <c r="M5827" s="71">
        <f t="shared" ca="1" si="494"/>
        <v>0.27386329297489531</v>
      </c>
    </row>
    <row r="5828" spans="1:13" x14ac:dyDescent="0.25">
      <c r="A5828" s="2">
        <v>5822</v>
      </c>
      <c r="B5828" s="11">
        <f t="shared" ca="1" si="490"/>
        <v>0</v>
      </c>
      <c r="C5828" s="26">
        <f t="shared" ca="1" si="489"/>
        <v>0.92032069047165876</v>
      </c>
      <c r="J5828">
        <f t="shared" ca="1" si="491"/>
        <v>0</v>
      </c>
      <c r="K5828">
        <f t="shared" ca="1" si="492"/>
        <v>0</v>
      </c>
      <c r="L5828">
        <f t="shared" si="493"/>
        <v>5822</v>
      </c>
      <c r="M5828" s="71">
        <f t="shared" ca="1" si="494"/>
        <v>0</v>
      </c>
    </row>
    <row r="5829" spans="1:13" x14ac:dyDescent="0.25">
      <c r="A5829" s="2">
        <v>5823</v>
      </c>
      <c r="B5829" s="11">
        <f t="shared" ca="1" si="490"/>
        <v>1</v>
      </c>
      <c r="C5829" s="26">
        <f t="shared" ca="1" si="489"/>
        <v>0.65817975403196438</v>
      </c>
      <c r="J5829">
        <f t="shared" ca="1" si="491"/>
        <v>1</v>
      </c>
      <c r="K5829">
        <f t="shared" ca="1" si="492"/>
        <v>0</v>
      </c>
      <c r="L5829">
        <f t="shared" si="493"/>
        <v>5823</v>
      </c>
      <c r="M5829" s="71">
        <f t="shared" ca="1" si="494"/>
        <v>6.4005719184686241</v>
      </c>
    </row>
    <row r="5830" spans="1:13" x14ac:dyDescent="0.25">
      <c r="A5830" s="2">
        <v>5824</v>
      </c>
      <c r="B5830" s="11">
        <f t="shared" ca="1" si="490"/>
        <v>1</v>
      </c>
      <c r="C5830" s="26">
        <f t="shared" ca="1" si="489"/>
        <v>0.21224165108535975</v>
      </c>
      <c r="J5830">
        <f t="shared" ca="1" si="491"/>
        <v>1</v>
      </c>
      <c r="K5830">
        <f t="shared" ca="1" si="492"/>
        <v>0</v>
      </c>
      <c r="L5830">
        <f t="shared" si="493"/>
        <v>5824</v>
      </c>
      <c r="M5830" s="71">
        <f t="shared" ca="1" si="494"/>
        <v>6.0863899986921108</v>
      </c>
    </row>
    <row r="5831" spans="1:13" x14ac:dyDescent="0.25">
      <c r="A5831" s="2">
        <v>5825</v>
      </c>
      <c r="B5831" s="11">
        <f t="shared" ca="1" si="490"/>
        <v>1</v>
      </c>
      <c r="C5831" s="26">
        <f t="shared" ca="1" si="489"/>
        <v>0.29346947070724172</v>
      </c>
      <c r="J5831">
        <f t="shared" ca="1" si="491"/>
        <v>0</v>
      </c>
      <c r="K5831">
        <f t="shared" ca="1" si="492"/>
        <v>0</v>
      </c>
      <c r="L5831">
        <f t="shared" si="493"/>
        <v>5825</v>
      </c>
      <c r="M5831" s="71">
        <f t="shared" ca="1" si="494"/>
        <v>3.7373243821986732</v>
      </c>
    </row>
    <row r="5832" spans="1:13" x14ac:dyDescent="0.25">
      <c r="A5832" s="2">
        <v>5826</v>
      </c>
      <c r="B5832" s="11">
        <f t="shared" ca="1" si="490"/>
        <v>0</v>
      </c>
      <c r="C5832" s="26">
        <f t="shared" ref="C5832:C5849" ca="1" si="495">RAND()</f>
        <v>0.80205405534629137</v>
      </c>
      <c r="J5832">
        <f t="shared" ca="1" si="491"/>
        <v>0</v>
      </c>
      <c r="K5832">
        <f t="shared" ca="1" si="492"/>
        <v>0</v>
      </c>
      <c r="L5832">
        <f t="shared" si="493"/>
        <v>5826</v>
      </c>
      <c r="M5832" s="71">
        <f t="shared" ca="1" si="494"/>
        <v>0</v>
      </c>
    </row>
    <row r="5833" spans="1:13" x14ac:dyDescent="0.25">
      <c r="A5833" s="2">
        <v>5827</v>
      </c>
      <c r="B5833" s="11">
        <f t="shared" ref="B5833:B5849" ca="1" si="496">IF(B5832&gt;0,IF(C5833&lt;pww,1,0),IF(C5833&lt;pdw,1,0))</f>
        <v>1</v>
      </c>
      <c r="C5833" s="26">
        <f t="shared" ca="1" si="495"/>
        <v>3.3402693644789538E-2</v>
      </c>
      <c r="J5833">
        <f t="shared" ca="1" si="491"/>
        <v>1</v>
      </c>
      <c r="K5833">
        <f t="shared" ca="1" si="492"/>
        <v>0</v>
      </c>
      <c r="L5833">
        <f t="shared" si="493"/>
        <v>5827</v>
      </c>
      <c r="M5833" s="71">
        <f t="shared" ca="1" si="494"/>
        <v>4.1899912635581869</v>
      </c>
    </row>
    <row r="5834" spans="1:13" x14ac:dyDescent="0.25">
      <c r="A5834" s="2">
        <v>5828</v>
      </c>
      <c r="B5834" s="11">
        <f t="shared" ca="1" si="496"/>
        <v>1</v>
      </c>
      <c r="C5834" s="26">
        <f t="shared" ca="1" si="495"/>
        <v>0.12423197242641126</v>
      </c>
      <c r="J5834">
        <f t="shared" ref="J5834:J5849" ca="1" si="497">IF(AND(B5834,B5835),1,0)</f>
        <v>1</v>
      </c>
      <c r="K5834">
        <f t="shared" ref="K5834:K5849" ca="1" si="498">IF(AND(NOT(B5834),NOT(B5835)),1,0)</f>
        <v>0</v>
      </c>
      <c r="L5834">
        <f t="shared" ref="L5834:L5849" si="499">L5833+1</f>
        <v>5828</v>
      </c>
      <c r="M5834" s="71">
        <f t="shared" ref="M5834:M5849" ca="1" si="500">IF(B5834&gt;0,-LN(1-(RAND()))/lambda,0)</f>
        <v>3.2318144787500461E-2</v>
      </c>
    </row>
    <row r="5835" spans="1:13" x14ac:dyDescent="0.25">
      <c r="A5835" s="2">
        <v>5829</v>
      </c>
      <c r="B5835" s="11">
        <f t="shared" ca="1" si="496"/>
        <v>1</v>
      </c>
      <c r="C5835" s="26">
        <f t="shared" ca="1" si="495"/>
        <v>0.29984735554502207</v>
      </c>
      <c r="J5835">
        <f t="shared" ca="1" si="497"/>
        <v>1</v>
      </c>
      <c r="K5835">
        <f t="shared" ca="1" si="498"/>
        <v>0</v>
      </c>
      <c r="L5835">
        <f t="shared" si="499"/>
        <v>5829</v>
      </c>
      <c r="M5835" s="71">
        <f t="shared" ca="1" si="500"/>
        <v>4.3390458060561015</v>
      </c>
    </row>
    <row r="5836" spans="1:13" x14ac:dyDescent="0.25">
      <c r="A5836" s="2">
        <v>5830</v>
      </c>
      <c r="B5836" s="11">
        <f t="shared" ca="1" si="496"/>
        <v>1</v>
      </c>
      <c r="C5836" s="26">
        <f t="shared" ca="1" si="495"/>
        <v>0.11471216955323038</v>
      </c>
      <c r="J5836">
        <f t="shared" ca="1" si="497"/>
        <v>1</v>
      </c>
      <c r="K5836">
        <f t="shared" ca="1" si="498"/>
        <v>0</v>
      </c>
      <c r="L5836">
        <f t="shared" si="499"/>
        <v>5830</v>
      </c>
      <c r="M5836" s="71">
        <f t="shared" ca="1" si="500"/>
        <v>1.7742256420857274</v>
      </c>
    </row>
    <row r="5837" spans="1:13" x14ac:dyDescent="0.25">
      <c r="A5837" s="2">
        <v>5831</v>
      </c>
      <c r="B5837" s="11">
        <f t="shared" ca="1" si="496"/>
        <v>1</v>
      </c>
      <c r="C5837" s="26">
        <f t="shared" ca="1" si="495"/>
        <v>0.50936401271513265</v>
      </c>
      <c r="J5837">
        <f t="shared" ca="1" si="497"/>
        <v>1</v>
      </c>
      <c r="K5837">
        <f t="shared" ca="1" si="498"/>
        <v>0</v>
      </c>
      <c r="L5837">
        <f t="shared" si="499"/>
        <v>5831</v>
      </c>
      <c r="M5837" s="71">
        <f t="shared" ca="1" si="500"/>
        <v>1.0918028272775113</v>
      </c>
    </row>
    <row r="5838" spans="1:13" x14ac:dyDescent="0.25">
      <c r="A5838" s="2">
        <v>5832</v>
      </c>
      <c r="B5838" s="11">
        <f t="shared" ca="1" si="496"/>
        <v>1</v>
      </c>
      <c r="C5838" s="26">
        <f t="shared" ca="1" si="495"/>
        <v>0.51313603406909924</v>
      </c>
      <c r="J5838">
        <f t="shared" ca="1" si="497"/>
        <v>1</v>
      </c>
      <c r="K5838">
        <f t="shared" ca="1" si="498"/>
        <v>0</v>
      </c>
      <c r="L5838">
        <f t="shared" si="499"/>
        <v>5832</v>
      </c>
      <c r="M5838" s="71">
        <f t="shared" ca="1" si="500"/>
        <v>3.7164457533509809</v>
      </c>
    </row>
    <row r="5839" spans="1:13" x14ac:dyDescent="0.25">
      <c r="A5839" s="2">
        <v>5833</v>
      </c>
      <c r="B5839" s="11">
        <f t="shared" ca="1" si="496"/>
        <v>1</v>
      </c>
      <c r="C5839" s="26">
        <f t="shared" ca="1" si="495"/>
        <v>7.747042879258792E-2</v>
      </c>
      <c r="J5839">
        <f t="shared" ca="1" si="497"/>
        <v>1</v>
      </c>
      <c r="K5839">
        <f t="shared" ca="1" si="498"/>
        <v>0</v>
      </c>
      <c r="L5839">
        <f t="shared" si="499"/>
        <v>5833</v>
      </c>
      <c r="M5839" s="71">
        <f t="shared" ca="1" si="500"/>
        <v>4.3460430641303276</v>
      </c>
    </row>
    <row r="5840" spans="1:13" x14ac:dyDescent="0.25">
      <c r="A5840" s="2">
        <v>5834</v>
      </c>
      <c r="B5840" s="11">
        <f t="shared" ca="1" si="496"/>
        <v>1</v>
      </c>
      <c r="C5840" s="26">
        <f t="shared" ca="1" si="495"/>
        <v>0.33346086801085717</v>
      </c>
      <c r="J5840">
        <f t="shared" ca="1" si="497"/>
        <v>1</v>
      </c>
      <c r="K5840">
        <f t="shared" ca="1" si="498"/>
        <v>0</v>
      </c>
      <c r="L5840">
        <f t="shared" si="499"/>
        <v>5834</v>
      </c>
      <c r="M5840" s="71">
        <f t="shared" ca="1" si="500"/>
        <v>2.1258630431019596</v>
      </c>
    </row>
    <row r="5841" spans="1:13" x14ac:dyDescent="0.25">
      <c r="A5841" s="2">
        <v>5835</v>
      </c>
      <c r="B5841" s="11">
        <f t="shared" ca="1" si="496"/>
        <v>1</v>
      </c>
      <c r="C5841" s="26">
        <f t="shared" ca="1" si="495"/>
        <v>2.7000921225239338E-2</v>
      </c>
      <c r="J5841">
        <f t="shared" ca="1" si="497"/>
        <v>1</v>
      </c>
      <c r="K5841">
        <f t="shared" ca="1" si="498"/>
        <v>0</v>
      </c>
      <c r="L5841">
        <f t="shared" si="499"/>
        <v>5835</v>
      </c>
      <c r="M5841" s="71">
        <f t="shared" ca="1" si="500"/>
        <v>2.2977193122875548</v>
      </c>
    </row>
    <row r="5842" spans="1:13" x14ac:dyDescent="0.25">
      <c r="A5842" s="2">
        <v>5836</v>
      </c>
      <c r="B5842" s="11">
        <f t="shared" ca="1" si="496"/>
        <v>1</v>
      </c>
      <c r="C5842" s="26">
        <f t="shared" ca="1" si="495"/>
        <v>0.48761381308713536</v>
      </c>
      <c r="J5842">
        <f t="shared" ca="1" si="497"/>
        <v>0</v>
      </c>
      <c r="K5842">
        <f t="shared" ca="1" si="498"/>
        <v>0</v>
      </c>
      <c r="L5842">
        <f t="shared" si="499"/>
        <v>5836</v>
      </c>
      <c r="M5842" s="71">
        <f t="shared" ca="1" si="500"/>
        <v>3.6339579139546059</v>
      </c>
    </row>
    <row r="5843" spans="1:13" x14ac:dyDescent="0.25">
      <c r="A5843" s="2">
        <v>5837</v>
      </c>
      <c r="B5843" s="11">
        <f t="shared" ca="1" si="496"/>
        <v>0</v>
      </c>
      <c r="C5843" s="26">
        <f t="shared" ca="1" si="495"/>
        <v>0.86765146331554133</v>
      </c>
      <c r="J5843">
        <f t="shared" ca="1" si="497"/>
        <v>0</v>
      </c>
      <c r="K5843">
        <f t="shared" ca="1" si="498"/>
        <v>0</v>
      </c>
      <c r="L5843">
        <f t="shared" si="499"/>
        <v>5837</v>
      </c>
      <c r="M5843" s="71">
        <f t="shared" ca="1" si="500"/>
        <v>0</v>
      </c>
    </row>
    <row r="5844" spans="1:13" x14ac:dyDescent="0.25">
      <c r="A5844" s="2">
        <v>5838</v>
      </c>
      <c r="B5844" s="11">
        <f t="shared" ca="1" si="496"/>
        <v>1</v>
      </c>
      <c r="C5844" s="26">
        <f t="shared" ca="1" si="495"/>
        <v>0.70281090684721625</v>
      </c>
      <c r="J5844">
        <f t="shared" ca="1" si="497"/>
        <v>1</v>
      </c>
      <c r="K5844">
        <f t="shared" ca="1" si="498"/>
        <v>0</v>
      </c>
      <c r="L5844">
        <f t="shared" si="499"/>
        <v>5838</v>
      </c>
      <c r="M5844" s="71">
        <f t="shared" ca="1" si="500"/>
        <v>1.6758267331079513</v>
      </c>
    </row>
    <row r="5845" spans="1:13" x14ac:dyDescent="0.25">
      <c r="A5845" s="2">
        <v>5839</v>
      </c>
      <c r="B5845" s="11">
        <f t="shared" ca="1" si="496"/>
        <v>1</v>
      </c>
      <c r="C5845" s="26">
        <f t="shared" ca="1" si="495"/>
        <v>0.17828117332957016</v>
      </c>
      <c r="J5845">
        <f t="shared" ca="1" si="497"/>
        <v>1</v>
      </c>
      <c r="K5845">
        <f t="shared" ca="1" si="498"/>
        <v>0</v>
      </c>
      <c r="L5845">
        <f t="shared" si="499"/>
        <v>5839</v>
      </c>
      <c r="M5845" s="71">
        <f t="shared" ca="1" si="500"/>
        <v>2.7871032624503687</v>
      </c>
    </row>
    <row r="5846" spans="1:13" x14ac:dyDescent="0.25">
      <c r="A5846" s="2">
        <v>5840</v>
      </c>
      <c r="B5846" s="11">
        <f t="shared" ca="1" si="496"/>
        <v>1</v>
      </c>
      <c r="C5846" s="26">
        <f t="shared" ca="1" si="495"/>
        <v>5.9580729830946311E-2</v>
      </c>
      <c r="J5846">
        <f t="shared" ca="1" si="497"/>
        <v>1</v>
      </c>
      <c r="K5846">
        <f t="shared" ca="1" si="498"/>
        <v>0</v>
      </c>
      <c r="L5846">
        <f t="shared" si="499"/>
        <v>5840</v>
      </c>
      <c r="M5846" s="71">
        <f t="shared" ca="1" si="500"/>
        <v>3.6570723790961384</v>
      </c>
    </row>
    <row r="5847" spans="1:13" x14ac:dyDescent="0.25">
      <c r="A5847" s="2">
        <v>5841</v>
      </c>
      <c r="B5847" s="11">
        <f t="shared" ca="1" si="496"/>
        <v>1</v>
      </c>
      <c r="C5847" s="26">
        <f t="shared" ca="1" si="495"/>
        <v>0.11087958919758378</v>
      </c>
      <c r="J5847">
        <f t="shared" ca="1" si="497"/>
        <v>1</v>
      </c>
      <c r="K5847">
        <f t="shared" ca="1" si="498"/>
        <v>0</v>
      </c>
      <c r="L5847">
        <f t="shared" si="499"/>
        <v>5841</v>
      </c>
      <c r="M5847" s="71">
        <f t="shared" ca="1" si="500"/>
        <v>0.36801581300504782</v>
      </c>
    </row>
    <row r="5848" spans="1:13" x14ac:dyDescent="0.25">
      <c r="A5848" s="2">
        <v>5842</v>
      </c>
      <c r="B5848" s="11">
        <f t="shared" ca="1" si="496"/>
        <v>1</v>
      </c>
      <c r="C5848" s="26">
        <f t="shared" ca="1" si="495"/>
        <v>0.35912157361330244</v>
      </c>
      <c r="J5848">
        <f t="shared" ca="1" si="497"/>
        <v>0</v>
      </c>
      <c r="K5848">
        <f t="shared" ca="1" si="498"/>
        <v>0</v>
      </c>
      <c r="L5848">
        <f t="shared" si="499"/>
        <v>5842</v>
      </c>
      <c r="M5848" s="71">
        <f t="shared" ca="1" si="500"/>
        <v>1.9350574097568889</v>
      </c>
    </row>
    <row r="5849" spans="1:13" x14ac:dyDescent="0.25">
      <c r="A5849" s="2">
        <v>5843</v>
      </c>
      <c r="B5849" s="11">
        <f t="shared" ca="1" si="496"/>
        <v>0</v>
      </c>
      <c r="C5849" s="26">
        <f t="shared" ca="1" si="495"/>
        <v>0.96807299973867023</v>
      </c>
      <c r="J5849">
        <f t="shared" ca="1" si="497"/>
        <v>0</v>
      </c>
      <c r="K5849">
        <f t="shared" ca="1" si="498"/>
        <v>1</v>
      </c>
      <c r="L5849">
        <f t="shared" si="499"/>
        <v>5843</v>
      </c>
      <c r="M5849" s="71">
        <f t="shared" ca="1" si="500"/>
        <v>0</v>
      </c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658"/>
  <sheetViews>
    <sheetView workbookViewId="0">
      <selection activeCell="R22" sqref="R22"/>
    </sheetView>
  </sheetViews>
  <sheetFormatPr defaultRowHeight="15" x14ac:dyDescent="0.25"/>
  <cols>
    <col min="2" max="2" width="6.85546875" customWidth="1"/>
    <col min="3" max="3" width="7.140625" customWidth="1"/>
    <col min="4" max="4" width="5.28515625" customWidth="1"/>
    <col min="9" max="9" width="10.7109375" customWidth="1"/>
    <col min="10" max="11" width="13.140625" customWidth="1"/>
    <col min="12" max="12" width="12.7109375" customWidth="1"/>
    <col min="13" max="13" width="23.85546875" bestFit="1" customWidth="1"/>
    <col min="15" max="15" width="13.140625" bestFit="1" customWidth="1"/>
    <col min="16" max="18" width="13.140625" customWidth="1"/>
    <col min="19" max="19" width="23.85546875" bestFit="1" customWidth="1"/>
    <col min="23" max="23" width="13.140625" customWidth="1"/>
    <col min="24" max="24" width="23.85546875" customWidth="1"/>
    <col min="25" max="25" width="23.85546875" bestFit="1" customWidth="1"/>
  </cols>
  <sheetData>
    <row r="1" spans="2:26" x14ac:dyDescent="0.25">
      <c r="B1" t="s">
        <v>67</v>
      </c>
      <c r="F1" t="s">
        <v>68</v>
      </c>
      <c r="N1" t="s">
        <v>69</v>
      </c>
      <c r="W1" s="73" t="s">
        <v>70</v>
      </c>
      <c r="X1" t="s">
        <v>71</v>
      </c>
      <c r="Y1" t="s">
        <v>72</v>
      </c>
      <c r="Z1" t="s">
        <v>73</v>
      </c>
    </row>
    <row r="2" spans="2:26" x14ac:dyDescent="0.25">
      <c r="B2" s="58" t="s">
        <v>74</v>
      </c>
      <c r="C2" s="58" t="s">
        <v>75</v>
      </c>
      <c r="D2" s="58" t="s">
        <v>76</v>
      </c>
      <c r="F2" s="58" t="s">
        <v>77</v>
      </c>
      <c r="G2" s="58" t="s">
        <v>64</v>
      </c>
      <c r="H2" s="58" t="s">
        <v>78</v>
      </c>
      <c r="M2" s="59"/>
      <c r="N2" s="58" t="s">
        <v>79</v>
      </c>
      <c r="O2" s="58" t="s">
        <v>80</v>
      </c>
      <c r="P2" s="58" t="s">
        <v>81</v>
      </c>
      <c r="Q2" s="54" t="s">
        <v>82</v>
      </c>
      <c r="R2" s="54" t="s">
        <v>83</v>
      </c>
      <c r="W2" s="77">
        <v>1</v>
      </c>
      <c r="X2">
        <v>101.52525951557094</v>
      </c>
      <c r="Y2">
        <v>101.52525951557094</v>
      </c>
      <c r="Z2">
        <f>_xlfn.STDEV.S(Y2:Y121)</f>
        <v>36.57820165026363</v>
      </c>
    </row>
    <row r="3" spans="2:26" x14ac:dyDescent="0.25">
      <c r="B3" s="65">
        <v>1</v>
      </c>
      <c r="C3" s="78">
        <v>77.280899653979219</v>
      </c>
      <c r="D3" s="79">
        <f ca="1">Q3</f>
        <v>85.216765442984425</v>
      </c>
      <c r="F3" s="65">
        <v>2003</v>
      </c>
      <c r="G3" s="78">
        <v>587.88027681660935</v>
      </c>
      <c r="H3" s="79">
        <f ca="1">SUM('markov model'!M7:M371)</f>
        <v>1117.979266563573</v>
      </c>
      <c r="M3" s="59">
        <v>1</v>
      </c>
      <c r="N3" s="58"/>
      <c r="O3" s="58">
        <v>1</v>
      </c>
      <c r="P3" s="59">
        <f ca="1">SUMIFS('markov model'!M$7:M$3656, 'markov model'!L$7:L$3656,"&gt;="&amp;O3,'markov model'!L$7:L$3656,"&lt;"&amp;O4)</f>
        <v>107.35206423104022</v>
      </c>
      <c r="Q3">
        <f ca="1">AVERAGE(P3,P15,P27,P39,P51,P63,P75,P87,P99,P111)</f>
        <v>85.216765442984425</v>
      </c>
      <c r="R3">
        <f ca="1">_xlfn.STDEV.S(P3,P15,P27,P39,P51,P63,P75,P87,P99,P111)</f>
        <v>23.206910931945039</v>
      </c>
      <c r="V3" s="72"/>
      <c r="W3" s="77">
        <v>2</v>
      </c>
      <c r="X3">
        <v>22.080276816609</v>
      </c>
      <c r="Y3">
        <v>22.080276816609</v>
      </c>
    </row>
    <row r="4" spans="2:26" x14ac:dyDescent="0.25">
      <c r="B4" s="65">
        <v>2</v>
      </c>
      <c r="C4" s="78">
        <v>52.237370242214539</v>
      </c>
      <c r="D4" s="79">
        <f t="shared" ref="D4:D14" ca="1" si="0">Q4</f>
        <v>85.878023504685601</v>
      </c>
      <c r="F4" s="65">
        <v>2004</v>
      </c>
      <c r="G4" s="78">
        <v>898.94325259515597</v>
      </c>
      <c r="H4" s="79">
        <f ca="1">SUM('markov model'!M372:M737)</f>
        <v>1100.9633505470481</v>
      </c>
      <c r="M4" s="59">
        <v>2</v>
      </c>
      <c r="N4" s="59">
        <v>31</v>
      </c>
      <c r="O4" s="59">
        <f>SUM(N$4:N4)</f>
        <v>31</v>
      </c>
      <c r="P4" s="59">
        <f ca="1">SUMIFS('markov model'!M$7:M$3656, 'markov model'!L$7:L$3656,"&gt;="&amp;O4,'markov model'!L$7:L$3656,"&lt;"&amp;O5)</f>
        <v>97.822854047003105</v>
      </c>
      <c r="Q4">
        <f t="shared" ref="Q4:Q14" ca="1" si="1">AVERAGE(P4,P16,P28,P40,P52,P64,P76,P88,P100,P112)</f>
        <v>85.878023504685601</v>
      </c>
      <c r="R4">
        <f t="shared" ref="R4:R14" ca="1" si="2">_xlfn.STDEV.S(P4,P16,P28,P40,P52,P64,P76,P88,P100,P112)</f>
        <v>20.94197860420412</v>
      </c>
      <c r="V4" s="72"/>
      <c r="W4" s="77">
        <v>3</v>
      </c>
      <c r="X4">
        <v>23.630449826989615</v>
      </c>
      <c r="Y4">
        <v>23.630449826989615</v>
      </c>
    </row>
    <row r="5" spans="2:26" x14ac:dyDescent="0.25">
      <c r="B5" s="65">
        <v>3</v>
      </c>
      <c r="C5" s="78">
        <v>55.498961937716253</v>
      </c>
      <c r="D5" s="79">
        <f t="shared" ca="1" si="0"/>
        <v>93.687579780662404</v>
      </c>
      <c r="F5" s="65">
        <v>2005</v>
      </c>
      <c r="G5" s="78">
        <v>819.81038062283722</v>
      </c>
      <c r="H5" s="79">
        <f ca="1">SUM('markov model'!M738:M1102)</f>
        <v>982.74047713014909</v>
      </c>
      <c r="M5" s="59">
        <v>3</v>
      </c>
      <c r="N5" s="59">
        <v>28</v>
      </c>
      <c r="O5" s="59">
        <f>SUM(N$4:N5)</f>
        <v>59</v>
      </c>
      <c r="P5" s="59">
        <f ca="1">SUMIFS('markov model'!M$7:M$3656, 'markov model'!L$7:L$3656,"&gt;="&amp;O5,'markov model'!L$7:L$3656,"&lt;"&amp;O6)</f>
        <v>81.12293075840536</v>
      </c>
      <c r="Q5">
        <f t="shared" ca="1" si="1"/>
        <v>93.687579780662404</v>
      </c>
      <c r="R5">
        <f t="shared" ca="1" si="2"/>
        <v>9.7971144383807562</v>
      </c>
      <c r="V5" s="72"/>
      <c r="W5" s="77">
        <v>4</v>
      </c>
      <c r="X5">
        <v>31.551557093425608</v>
      </c>
      <c r="Y5">
        <v>31.551557093425608</v>
      </c>
    </row>
    <row r="6" spans="2:26" x14ac:dyDescent="0.25">
      <c r="B6" s="65">
        <v>4</v>
      </c>
      <c r="C6" s="78">
        <v>54.071141868512122</v>
      </c>
      <c r="D6" s="79">
        <f t="shared" ca="1" si="0"/>
        <v>76.12494344593226</v>
      </c>
      <c r="F6" s="65">
        <v>2006</v>
      </c>
      <c r="G6" s="78">
        <v>700.90795847750837</v>
      </c>
      <c r="H6" s="79">
        <f ca="1">SUM('markov model'!M1103:M1467)</f>
        <v>906.24398290387728</v>
      </c>
      <c r="M6" s="59">
        <v>4</v>
      </c>
      <c r="N6" s="59">
        <v>31</v>
      </c>
      <c r="O6" s="59">
        <f>SUM(N$4:N6)</f>
        <v>90</v>
      </c>
      <c r="P6" s="59">
        <f ca="1">SUMIFS('markov model'!M$7:M$3656, 'markov model'!L$7:L$3656,"&gt;="&amp;O6,'markov model'!L$7:L$3656,"&lt;"&amp;O7)</f>
        <v>89.126430079617734</v>
      </c>
      <c r="Q6">
        <f t="shared" ca="1" si="1"/>
        <v>76.12494344593226</v>
      </c>
      <c r="R6">
        <f t="shared" ca="1" si="2"/>
        <v>14.893085278272624</v>
      </c>
      <c r="V6" s="72"/>
      <c r="W6" s="77">
        <v>5</v>
      </c>
      <c r="X6">
        <v>79.628373702422124</v>
      </c>
      <c r="Y6">
        <v>79.628373702422124</v>
      </c>
    </row>
    <row r="7" spans="2:26" x14ac:dyDescent="0.25">
      <c r="B7" s="65">
        <v>5</v>
      </c>
      <c r="C7" s="78">
        <v>49.716401384083028</v>
      </c>
      <c r="D7" s="79">
        <f t="shared" ca="1" si="0"/>
        <v>96.106646070797808</v>
      </c>
      <c r="F7" s="65">
        <v>2007</v>
      </c>
      <c r="G7" s="78">
        <v>697.16470588235291</v>
      </c>
      <c r="H7" s="79">
        <f ca="1">SUM('markov model'!M1468:M1832)</f>
        <v>1069.5924426234312</v>
      </c>
      <c r="M7" s="59">
        <v>5</v>
      </c>
      <c r="N7" s="59">
        <v>30</v>
      </c>
      <c r="O7" s="59">
        <f>SUM(N$4:N7)</f>
        <v>120</v>
      </c>
      <c r="P7" s="59">
        <f ca="1">SUMIFS('markov model'!M$7:M$3656, 'markov model'!L$7:L$3656,"&gt;="&amp;O7,'markov model'!L$7:L$3656,"&lt;"&amp;O8)</f>
        <v>103.63347602502469</v>
      </c>
      <c r="Q7">
        <f t="shared" ca="1" si="1"/>
        <v>96.106646070797808</v>
      </c>
      <c r="R7">
        <f t="shared" ca="1" si="2"/>
        <v>26.831923677340811</v>
      </c>
      <c r="V7" s="72"/>
      <c r="W7" s="77">
        <v>6</v>
      </c>
      <c r="X7">
        <v>69.797231833910033</v>
      </c>
      <c r="Y7">
        <v>69.797231833910033</v>
      </c>
    </row>
    <row r="8" spans="2:26" x14ac:dyDescent="0.25">
      <c r="B8" s="65">
        <v>6</v>
      </c>
      <c r="C8" s="78">
        <v>78.112249134948115</v>
      </c>
      <c r="D8" s="79">
        <f t="shared" ca="1" si="0"/>
        <v>89.441806265685415</v>
      </c>
      <c r="F8" s="65">
        <v>2008</v>
      </c>
      <c r="G8" s="78">
        <v>1007.3577854671282</v>
      </c>
      <c r="H8" s="79">
        <f ca="1">SUM('markov model'!M1833:M2197)</f>
        <v>1034.2585382610857</v>
      </c>
      <c r="M8" s="59">
        <v>6</v>
      </c>
      <c r="N8" s="59">
        <v>31</v>
      </c>
      <c r="O8" s="59">
        <f>SUM(N$4:N8)</f>
        <v>151</v>
      </c>
      <c r="P8" s="59">
        <f ca="1">SUMIFS('markov model'!M$7:M$3656, 'markov model'!L$7:L$3656,"&gt;="&amp;O8,'markov model'!L$7:L$3656,"&lt;"&amp;O9)</f>
        <v>95.956565129406727</v>
      </c>
      <c r="Q8">
        <f t="shared" ca="1" si="1"/>
        <v>89.441806265685415</v>
      </c>
      <c r="R8">
        <f t="shared" ca="1" si="2"/>
        <v>17.582272617607686</v>
      </c>
      <c r="V8" s="72"/>
      <c r="W8" s="77">
        <v>7</v>
      </c>
      <c r="X8">
        <v>37.837370242214526</v>
      </c>
      <c r="Y8">
        <v>37.837370242214526</v>
      </c>
    </row>
    <row r="9" spans="2:26" x14ac:dyDescent="0.25">
      <c r="B9" s="65">
        <v>7</v>
      </c>
      <c r="C9" s="78">
        <v>77.90380622837371</v>
      </c>
      <c r="D9" s="79">
        <f t="shared" ca="1" si="0"/>
        <v>102.54722533199154</v>
      </c>
      <c r="F9" s="65">
        <v>2009</v>
      </c>
      <c r="G9" s="78">
        <v>818.31833910034618</v>
      </c>
      <c r="H9" s="79">
        <f ca="1">SUM('markov model'!M2198:M2562)</f>
        <v>1149.4816767184143</v>
      </c>
      <c r="M9" s="59">
        <v>7</v>
      </c>
      <c r="N9" s="59">
        <v>30</v>
      </c>
      <c r="O9" s="59">
        <f>SUM(N$4:N9)</f>
        <v>181</v>
      </c>
      <c r="P9" s="59">
        <f ca="1">SUMIFS('markov model'!M$7:M$3656, 'markov model'!L$7:L$3656,"&gt;="&amp;O9,'markov model'!L$7:L$3656,"&lt;"&amp;O10)</f>
        <v>79.477178382686162</v>
      </c>
      <c r="Q9">
        <f t="shared" ca="1" si="1"/>
        <v>102.54722533199154</v>
      </c>
      <c r="R9">
        <f t="shared" ca="1" si="2"/>
        <v>32.489758729721402</v>
      </c>
      <c r="V9" s="72"/>
      <c r="W9" s="77">
        <v>8</v>
      </c>
      <c r="X9">
        <v>10.770242214532871</v>
      </c>
      <c r="Y9">
        <v>10.770242214532871</v>
      </c>
    </row>
    <row r="10" spans="2:26" x14ac:dyDescent="0.25">
      <c r="B10" s="65">
        <v>8</v>
      </c>
      <c r="C10" s="78">
        <v>82.782837370242191</v>
      </c>
      <c r="D10" s="79">
        <f t="shared" ca="1" si="0"/>
        <v>88.95790166339809</v>
      </c>
      <c r="F10" s="65">
        <v>2010</v>
      </c>
      <c r="G10" s="78">
        <v>842.67889273356388</v>
      </c>
      <c r="H10" s="79">
        <f ca="1">SUM('markov model'!M2562:M2927)</f>
        <v>1116.3338653885778</v>
      </c>
      <c r="M10" s="59">
        <v>8</v>
      </c>
      <c r="N10" s="59">
        <v>31</v>
      </c>
      <c r="O10" s="59">
        <f>SUM(N$4:N10)</f>
        <v>212</v>
      </c>
      <c r="P10" s="59">
        <f ca="1">SUMIFS('markov model'!M$7:M$3656, 'markov model'!L$7:L$3656,"&gt;="&amp;O10,'markov model'!L$7:L$3656,"&lt;"&amp;O11)</f>
        <v>62.357902061942475</v>
      </c>
      <c r="Q10">
        <f t="shared" ca="1" si="1"/>
        <v>88.95790166339809</v>
      </c>
      <c r="R10">
        <f t="shared" ca="1" si="2"/>
        <v>27.42918224437102</v>
      </c>
      <c r="V10" s="72"/>
      <c r="W10" s="77">
        <v>9</v>
      </c>
      <c r="X10">
        <v>47.817993079584774</v>
      </c>
      <c r="Y10">
        <v>47.817993079584774</v>
      </c>
    </row>
    <row r="11" spans="2:26" x14ac:dyDescent="0.25">
      <c r="B11" s="65">
        <v>9</v>
      </c>
      <c r="C11" s="78">
        <v>68.414186851211056</v>
      </c>
      <c r="D11" s="79">
        <f t="shared" ca="1" si="0"/>
        <v>89.964427074722948</v>
      </c>
      <c r="F11" s="65">
        <v>2011</v>
      </c>
      <c r="G11" s="78">
        <v>763.56124567474001</v>
      </c>
      <c r="H11" s="79">
        <f ca="1">SUM('markov model'!M2928:M3292)</f>
        <v>1030.2306240249595</v>
      </c>
      <c r="J11" s="77"/>
      <c r="K11" s="77"/>
      <c r="M11" s="59">
        <v>9</v>
      </c>
      <c r="N11" s="59">
        <v>31</v>
      </c>
      <c r="O11" s="59">
        <f>SUM(N$4:N11)</f>
        <v>243</v>
      </c>
      <c r="P11" s="59">
        <f ca="1">SUMIFS('markov model'!M$7:M$3656, 'markov model'!L$7:L$3656,"&gt;="&amp;O11,'markov model'!L$7:L$3656,"&lt;"&amp;O12)</f>
        <v>98.082654947932184</v>
      </c>
      <c r="Q11">
        <f t="shared" ca="1" si="1"/>
        <v>89.964427074722948</v>
      </c>
      <c r="R11">
        <f t="shared" ca="1" si="2"/>
        <v>21.465145659429442</v>
      </c>
      <c r="V11" s="72"/>
      <c r="W11" s="77">
        <v>10</v>
      </c>
      <c r="X11">
        <v>39.852595155709345</v>
      </c>
      <c r="Y11">
        <v>39.852595155709345</v>
      </c>
    </row>
    <row r="12" spans="2:26" x14ac:dyDescent="0.25">
      <c r="B12" s="65">
        <v>10</v>
      </c>
      <c r="C12" s="78">
        <v>71.734394463667826</v>
      </c>
      <c r="D12" s="79">
        <f t="shared" ca="1" si="0"/>
        <v>79.772650282398885</v>
      </c>
      <c r="F12" s="65">
        <v>2012</v>
      </c>
      <c r="G12" s="78">
        <v>1040.6532871972315</v>
      </c>
      <c r="H12" s="79">
        <f ca="1">SUM('markov model'!M3293:M3657)</f>
        <v>1192.7888189768255</v>
      </c>
      <c r="J12" s="77"/>
      <c r="K12" s="77"/>
      <c r="M12" s="59">
        <v>10</v>
      </c>
      <c r="N12" s="59">
        <v>30</v>
      </c>
      <c r="O12" s="59">
        <f>SUM(N$4:N12)</f>
        <v>273</v>
      </c>
      <c r="P12" s="59">
        <f ca="1">SUMIFS('markov model'!M$7:M$3656, 'markov model'!L$7:L$3656,"&gt;="&amp;O12,'markov model'!L$7:L$3656,"&lt;"&amp;O13)</f>
        <v>79.619753706240601</v>
      </c>
      <c r="Q12">
        <f t="shared" ca="1" si="1"/>
        <v>79.772650282398885</v>
      </c>
      <c r="R12">
        <f t="shared" ca="1" si="2"/>
        <v>14.157208648743373</v>
      </c>
      <c r="V12" s="72"/>
      <c r="W12" s="77">
        <v>11</v>
      </c>
      <c r="X12">
        <v>42.539100346020753</v>
      </c>
      <c r="Y12">
        <v>42.539100346020753</v>
      </c>
    </row>
    <row r="13" spans="2:26" x14ac:dyDescent="0.25">
      <c r="B13" s="65">
        <v>11</v>
      </c>
      <c r="C13" s="78">
        <v>78.420207612456807</v>
      </c>
      <c r="D13" s="79">
        <f t="shared" ca="1" si="0"/>
        <v>92.59198581185214</v>
      </c>
      <c r="F13" s="86" t="s">
        <v>73</v>
      </c>
      <c r="G13" s="85">
        <f>_xlfn.STDEV.S(G3:G12)</f>
        <v>140.16844288804049</v>
      </c>
      <c r="H13" s="85">
        <f ca="1">_xlfn.STDEV.S(H3:H12)</f>
        <v>84.3876231833286</v>
      </c>
      <c r="J13" s="77"/>
      <c r="K13" s="77"/>
      <c r="M13" s="59">
        <v>11</v>
      </c>
      <c r="N13" s="59">
        <v>31</v>
      </c>
      <c r="O13" s="59">
        <f>SUM(N$4:N13)</f>
        <v>304</v>
      </c>
      <c r="P13" s="59">
        <f ca="1">SUMIFS('markov model'!M$7:M$3656, 'markov model'!L$7:L$3656,"&gt;="&amp;O13,'markov model'!L$7:L$3656,"&lt;"&amp;O14)</f>
        <v>124.4878265778175</v>
      </c>
      <c r="Q13">
        <f t="shared" ca="1" si="1"/>
        <v>92.59198581185214</v>
      </c>
      <c r="R13">
        <f t="shared" ca="1" si="2"/>
        <v>22.025426452213878</v>
      </c>
      <c r="V13" s="72"/>
      <c r="W13" s="77">
        <v>12</v>
      </c>
      <c r="X13">
        <v>80.849826989619373</v>
      </c>
      <c r="Y13">
        <v>80.849826989619373</v>
      </c>
    </row>
    <row r="14" spans="2:26" x14ac:dyDescent="0.25">
      <c r="B14" s="65">
        <v>12</v>
      </c>
      <c r="C14" s="78">
        <v>71.555155709342571</v>
      </c>
      <c r="D14" s="79">
        <f t="shared" ca="1" si="0"/>
        <v>89.261476660493329</v>
      </c>
      <c r="I14" s="5" t="s">
        <v>84</v>
      </c>
      <c r="J14" s="84" t="s">
        <v>64</v>
      </c>
      <c r="K14" s="83">
        <f>MIN(G3:G12)</f>
        <v>587.88027681660935</v>
      </c>
      <c r="L14" s="83">
        <f>MAX(G3:G12)</f>
        <v>1040.6532871972315</v>
      </c>
      <c r="M14" s="59">
        <v>12</v>
      </c>
      <c r="N14" s="59">
        <v>30</v>
      </c>
      <c r="O14" s="59">
        <f>SUM(N$4:N14)</f>
        <v>334</v>
      </c>
      <c r="P14" s="59">
        <f ca="1">SUMIFS('markov model'!M$7:M$3656, 'markov model'!L$7:L$3656,"&gt;="&amp;O14,'markov model'!L$7:L$3656,"&lt;"&amp;O15)</f>
        <v>96.884363357754538</v>
      </c>
      <c r="Q14">
        <f t="shared" ca="1" si="1"/>
        <v>89.261476660493329</v>
      </c>
      <c r="R14">
        <f t="shared" ca="1" si="2"/>
        <v>20.474455875749758</v>
      </c>
      <c r="V14" s="72"/>
      <c r="W14" s="77">
        <v>13</v>
      </c>
      <c r="X14">
        <v>115.75778546712803</v>
      </c>
      <c r="Y14">
        <v>115.75778546712803</v>
      </c>
    </row>
    <row r="15" spans="2:26" x14ac:dyDescent="0.25">
      <c r="I15" s="5"/>
      <c r="J15" s="84" t="s">
        <v>65</v>
      </c>
      <c r="K15" s="83">
        <f ca="1">MIN(H3:H12)</f>
        <v>906.24398290387728</v>
      </c>
      <c r="L15" s="83">
        <f ca="1">MAX(H3:H12)</f>
        <v>1192.7888189768255</v>
      </c>
      <c r="M15" s="59">
        <v>1</v>
      </c>
      <c r="N15" s="59">
        <v>31</v>
      </c>
      <c r="O15" s="59">
        <f>SUM(N$4:N15)</f>
        <v>365</v>
      </c>
      <c r="P15" s="59">
        <f ca="1">SUMIFS('markov model'!M$7:M$3656, 'markov model'!L$7:L$3656,"&gt;="&amp;O15,'markov model'!L$7:L$3656,"&lt;"&amp;O16)</f>
        <v>65.723425920855377</v>
      </c>
      <c r="V15" s="72"/>
      <c r="W15" s="77">
        <v>14</v>
      </c>
      <c r="X15">
        <v>52.662975778546709</v>
      </c>
      <c r="Y15">
        <v>52.662975778546709</v>
      </c>
    </row>
    <row r="16" spans="2:26" x14ac:dyDescent="0.25">
      <c r="I16" s="2"/>
      <c r="J16" s="83"/>
      <c r="K16" s="83"/>
      <c r="L16" s="2"/>
      <c r="M16" s="59">
        <v>2</v>
      </c>
      <c r="N16" s="59">
        <v>31</v>
      </c>
      <c r="O16" s="59">
        <f>SUM(N$4:N16)</f>
        <v>396</v>
      </c>
      <c r="P16" s="59">
        <f ca="1">SUMIFS('markov model'!M$7:M$3656, 'markov model'!L$7:L$3656,"&gt;="&amp;O16,'markov model'!L$7:L$3656,"&lt;"&amp;O17)</f>
        <v>109.7577072278427</v>
      </c>
      <c r="V16" s="72"/>
      <c r="W16" s="77">
        <v>15</v>
      </c>
      <c r="X16">
        <v>59.998615916955018</v>
      </c>
      <c r="Y16">
        <v>59.998615916955018</v>
      </c>
    </row>
    <row r="17" spans="3:25" x14ac:dyDescent="0.25">
      <c r="J17" s="77"/>
      <c r="K17" s="77"/>
      <c r="M17" s="59">
        <v>3</v>
      </c>
      <c r="N17" s="59">
        <v>28</v>
      </c>
      <c r="O17" s="59">
        <f>SUM(N$4:N17)</f>
        <v>424</v>
      </c>
      <c r="P17" s="59">
        <f ca="1">SUMIFS('markov model'!M$7:M$3656, 'markov model'!L$7:L$3656,"&gt;="&amp;O17,'markov model'!L$7:L$3656,"&lt;"&amp;O18)</f>
        <v>108.15851230453904</v>
      </c>
      <c r="S17" s="60" t="s">
        <v>85</v>
      </c>
      <c r="T17" s="60">
        <f>SUM(T20:T48)</f>
        <v>1457</v>
      </c>
      <c r="U17" s="60">
        <f ca="1">SUM(U20:U48)</f>
        <v>3650</v>
      </c>
      <c r="V17" s="80" t="s">
        <v>86</v>
      </c>
      <c r="W17" s="77">
        <v>16</v>
      </c>
      <c r="X17">
        <v>53.184083044982707</v>
      </c>
      <c r="Y17">
        <v>53.184083044982707</v>
      </c>
    </row>
    <row r="18" spans="3:25" x14ac:dyDescent="0.25">
      <c r="J18" s="77"/>
      <c r="K18" s="77"/>
      <c r="M18" s="59">
        <v>4</v>
      </c>
      <c r="N18" s="59">
        <v>31</v>
      </c>
      <c r="O18" s="59">
        <f>SUM(N$4:N18)</f>
        <v>455</v>
      </c>
      <c r="P18" s="59">
        <f ca="1">SUMIFS('markov model'!M$7:M$3656, 'markov model'!L$7:L$3656,"&gt;="&amp;O18,'markov model'!L$7:L$3656,"&lt;"&amp;O19)</f>
        <v>73.595433224769678</v>
      </c>
      <c r="S18" s="60"/>
      <c r="T18" s="81">
        <f>MAX(obsdata)</f>
        <v>44.6</v>
      </c>
      <c r="U18" s="81">
        <f ca="1">MAX(moddata)</f>
        <v>26.518602805708479</v>
      </c>
      <c r="V18" s="80" t="s">
        <v>87</v>
      </c>
      <c r="W18" s="77">
        <v>17</v>
      </c>
      <c r="X18">
        <v>25.549480968858138</v>
      </c>
      <c r="Y18">
        <v>25.549480968858138</v>
      </c>
    </row>
    <row r="19" spans="3:25" x14ac:dyDescent="0.25">
      <c r="J19" s="77"/>
      <c r="K19" s="77"/>
      <c r="M19" s="59">
        <v>5</v>
      </c>
      <c r="N19" s="59">
        <v>30</v>
      </c>
      <c r="O19" s="59">
        <f>SUM(N$4:N19)</f>
        <v>485</v>
      </c>
      <c r="P19" s="59">
        <f ca="1">SUMIFS('markov model'!M$7:M$3656, 'markov model'!L$7:L$3656,"&gt;="&amp;O19,'markov model'!L$7:L$3656,"&lt;"&amp;O20)</f>
        <v>152.04456614115026</v>
      </c>
      <c r="S19" s="60" t="s">
        <v>88</v>
      </c>
      <c r="T19" s="60" t="s">
        <v>64</v>
      </c>
      <c r="U19" s="60" t="s">
        <v>65</v>
      </c>
      <c r="V19" s="80"/>
      <c r="W19" s="77">
        <v>18</v>
      </c>
      <c r="X19">
        <v>112.43737024221454</v>
      </c>
      <c r="Y19">
        <v>112.43737024221454</v>
      </c>
    </row>
    <row r="20" spans="3:25" x14ac:dyDescent="0.25">
      <c r="J20" s="77"/>
      <c r="K20" s="77"/>
      <c r="M20" s="59">
        <v>6</v>
      </c>
      <c r="N20" s="59">
        <v>31</v>
      </c>
      <c r="O20" s="59">
        <f>SUM(N$4:N20)</f>
        <v>516</v>
      </c>
      <c r="P20" s="59">
        <f ca="1">SUMIFS('markov model'!M$7:M$3656, 'markov model'!L$7:L$3656,"&gt;="&amp;O20,'markov model'!L$7:L$3656,"&lt;"&amp;O21)</f>
        <v>74.040267250481136</v>
      </c>
      <c r="S20" s="61">
        <v>0</v>
      </c>
      <c r="T20" s="61">
        <f>COUNTIF(obsdata,"=0")</f>
        <v>351</v>
      </c>
      <c r="U20" s="61">
        <f ca="1">COUNTIF(moddata,"=0")</f>
        <v>795</v>
      </c>
      <c r="V20" s="72"/>
      <c r="W20" s="77">
        <v>19</v>
      </c>
      <c r="X20">
        <v>72.303114186851218</v>
      </c>
      <c r="Y20">
        <v>72.303114186851218</v>
      </c>
    </row>
    <row r="21" spans="3:25" x14ac:dyDescent="0.25">
      <c r="J21" s="77"/>
      <c r="K21" s="77"/>
      <c r="M21" s="59">
        <v>7</v>
      </c>
      <c r="N21" s="59">
        <v>30</v>
      </c>
      <c r="O21" s="59">
        <f>SUM(N$4:N21)</f>
        <v>546</v>
      </c>
      <c r="P21" s="59">
        <f ca="1">SUMIFS('markov model'!M$7:M$3656, 'markov model'!L$7:L$3656,"&gt;="&amp;O21,'markov model'!L$7:L$3656,"&lt;"&amp;O22)</f>
        <v>74.199077921467577</v>
      </c>
      <c r="S21" s="61">
        <v>1</v>
      </c>
      <c r="T21" s="61">
        <f>COUNTIF(obsdata,"&lt;"&amp;S21)-SUM(T$20:T20)</f>
        <v>484</v>
      </c>
      <c r="U21" s="61">
        <f ca="1">COUNTIF(moddata,"&lt;"&amp;S21)-SUM(U$20:U20)</f>
        <v>666</v>
      </c>
      <c r="V21" s="72"/>
      <c r="W21" s="77">
        <v>20</v>
      </c>
      <c r="X21">
        <v>179.82214532871973</v>
      </c>
      <c r="Y21">
        <v>179.82214532871973</v>
      </c>
    </row>
    <row r="22" spans="3:25" x14ac:dyDescent="0.25">
      <c r="J22" s="77"/>
      <c r="K22" s="77"/>
      <c r="M22" s="59">
        <v>8</v>
      </c>
      <c r="N22" s="59">
        <v>31</v>
      </c>
      <c r="O22" s="59">
        <f>SUM(N$4:N22)</f>
        <v>577</v>
      </c>
      <c r="P22" s="59">
        <f ca="1">SUMIFS('markov model'!M$7:M$3656, 'markov model'!L$7:L$3656,"&gt;="&amp;O22,'markov model'!L$7:L$3656,"&lt;"&amp;O23)</f>
        <v>77.304586825137363</v>
      </c>
      <c r="S22" s="61">
        <v>2</v>
      </c>
      <c r="T22" s="61">
        <f>COUNTIF(obsdata,"&lt;"&amp;S22)-SUM(T$20:T21)</f>
        <v>176</v>
      </c>
      <c r="U22" s="61">
        <f ca="1">COUNTIF(moddata,"&lt;"&amp;S22)-SUM(U$20:U21)</f>
        <v>512</v>
      </c>
      <c r="V22" s="72"/>
      <c r="W22" s="77">
        <v>21</v>
      </c>
      <c r="X22">
        <v>27.607612456747404</v>
      </c>
      <c r="Y22">
        <v>27.607612456747404</v>
      </c>
    </row>
    <row r="23" spans="3:25" x14ac:dyDescent="0.25">
      <c r="J23" s="77"/>
      <c r="K23" s="77"/>
      <c r="M23" s="59">
        <v>9</v>
      </c>
      <c r="N23" s="59">
        <v>31</v>
      </c>
      <c r="O23" s="59">
        <f>SUM(N$4:N23)</f>
        <v>608</v>
      </c>
      <c r="P23" s="59">
        <f ca="1">SUMIFS('markov model'!M$7:M$3656, 'markov model'!L$7:L$3656,"&gt;="&amp;O23,'markov model'!L$7:L$3656,"&lt;"&amp;O24)</f>
        <v>72.411447755300472</v>
      </c>
      <c r="S23" s="61">
        <v>3</v>
      </c>
      <c r="T23" s="61">
        <f>COUNTIF(obsdata,"&lt;"&amp;S23)-SUM(T$20:T22)</f>
        <v>117</v>
      </c>
      <c r="U23" s="61">
        <f ca="1">COUNTIF(moddata,"&lt;"&amp;S23)-SUM(U$20:U22)</f>
        <v>396</v>
      </c>
      <c r="V23" s="72"/>
      <c r="W23" s="77">
        <v>22</v>
      </c>
      <c r="X23">
        <v>125.24498269896195</v>
      </c>
      <c r="Y23">
        <v>125.24498269896195</v>
      </c>
    </row>
    <row r="24" spans="3:25" x14ac:dyDescent="0.25">
      <c r="M24" s="59">
        <v>10</v>
      </c>
      <c r="N24" s="59">
        <v>30</v>
      </c>
      <c r="O24" s="59">
        <f>SUM(N$4:N24)</f>
        <v>638</v>
      </c>
      <c r="P24" s="59">
        <f ca="1">SUMIFS('markov model'!M$7:M$3656, 'markov model'!L$7:L$3656,"&gt;="&amp;O24,'markov model'!L$7:L$3656,"&lt;"&amp;O25)</f>
        <v>57.15368090319275</v>
      </c>
      <c r="S24" s="61">
        <v>4</v>
      </c>
      <c r="T24" s="61">
        <f>COUNTIF(obsdata,"&lt;"&amp;S24)-SUM(T$20:T23)</f>
        <v>73</v>
      </c>
      <c r="U24" s="61">
        <f ca="1">COUNTIF(moddata,"&lt;"&amp;S24)-SUM(U$20:U23)</f>
        <v>313</v>
      </c>
      <c r="V24" s="72"/>
      <c r="W24" s="77">
        <v>23</v>
      </c>
      <c r="X24">
        <v>30.249826989619379</v>
      </c>
      <c r="Y24">
        <v>30.249826989619379</v>
      </c>
    </row>
    <row r="25" spans="3:25" x14ac:dyDescent="0.25">
      <c r="M25" s="59">
        <v>11</v>
      </c>
      <c r="N25" s="59">
        <v>31</v>
      </c>
      <c r="O25" s="59">
        <f>SUM(N$4:N25)</f>
        <v>669</v>
      </c>
      <c r="P25" s="59">
        <f ca="1">SUMIFS('markov model'!M$7:M$3656, 'markov model'!L$7:L$3656,"&gt;="&amp;O25,'markov model'!L$7:L$3656,"&lt;"&amp;O26)</f>
        <v>123.59853278912503</v>
      </c>
      <c r="S25" s="61">
        <v>5</v>
      </c>
      <c r="T25" s="61">
        <f>COUNTIF(obsdata,"&lt;"&amp;S25)-SUM(T$20:T24)</f>
        <v>48</v>
      </c>
      <c r="U25" s="61">
        <f ca="1">COUNTIF(moddata,"&lt;"&amp;S25)-SUM(U$20:U24)</f>
        <v>221</v>
      </c>
      <c r="V25" s="72"/>
      <c r="W25" s="77">
        <v>24</v>
      </c>
      <c r="X25">
        <v>44.125259515570932</v>
      </c>
      <c r="Y25">
        <v>44.125259515570932</v>
      </c>
    </row>
    <row r="26" spans="3:25" x14ac:dyDescent="0.25">
      <c r="M26" s="59">
        <v>12</v>
      </c>
      <c r="N26" s="59">
        <v>30</v>
      </c>
      <c r="O26" s="59">
        <f>SUM(N$4:N26)</f>
        <v>699</v>
      </c>
      <c r="P26" s="59">
        <f ca="1">SUMIFS('markov model'!M$7:M$3656, 'markov model'!L$7:L$3656,"&gt;="&amp;O26,'markov model'!L$7:L$3656,"&lt;"&amp;O27)</f>
        <v>101.67397469546535</v>
      </c>
      <c r="S26" s="61">
        <v>6</v>
      </c>
      <c r="T26" s="61">
        <f>COUNTIF(obsdata,"&lt;"&amp;S26)-SUM(T$20:T25)</f>
        <v>32</v>
      </c>
      <c r="U26" s="61">
        <f ca="1">COUNTIF(moddata,"&lt;"&amp;S26)-SUM(U$20:U25)</f>
        <v>156</v>
      </c>
      <c r="V26" s="72"/>
      <c r="W26" s="77">
        <v>25</v>
      </c>
      <c r="X26">
        <v>78.175086505190336</v>
      </c>
      <c r="Y26">
        <v>78.175086505190336</v>
      </c>
    </row>
    <row r="27" spans="3:25" x14ac:dyDescent="0.25">
      <c r="I27" s="5" t="s">
        <v>63</v>
      </c>
      <c r="J27" s="2"/>
      <c r="K27" s="2"/>
      <c r="M27" s="59">
        <v>1</v>
      </c>
      <c r="N27" s="59">
        <v>31</v>
      </c>
      <c r="O27" s="59">
        <f>SUM(N$4:N27)</f>
        <v>730</v>
      </c>
      <c r="P27" s="59">
        <f ca="1">SUMIFS('markov model'!M$7:M$3656, 'markov model'!L$7:L$3656,"&gt;="&amp;O27,'markov model'!L$7:L$3656,"&lt;"&amp;O28)</f>
        <v>106.71751067307514</v>
      </c>
      <c r="S27" s="61">
        <v>7</v>
      </c>
      <c r="T27" s="61">
        <f>COUNTIF(obsdata,"&lt;"&amp;S27)-SUM(T$20:T26)</f>
        <v>29</v>
      </c>
      <c r="U27" s="61">
        <f ca="1">COUNTIF(moddata,"&lt;"&amp;S27)-SUM(U$20:U26)</f>
        <v>150</v>
      </c>
      <c r="V27" s="72"/>
      <c r="W27" s="77">
        <v>26</v>
      </c>
      <c r="X27">
        <v>59.944636678200688</v>
      </c>
      <c r="Y27">
        <v>59.944636678200688</v>
      </c>
    </row>
    <row r="28" spans="3:25" x14ac:dyDescent="0.25">
      <c r="I28" s="5" t="s">
        <v>64</v>
      </c>
      <c r="J28" s="7">
        <f>MAX(obsdata)</f>
        <v>44.6</v>
      </c>
      <c r="K28" s="7"/>
      <c r="L28" t="s">
        <v>61</v>
      </c>
      <c r="M28" s="59">
        <v>2</v>
      </c>
      <c r="N28" s="59">
        <v>31</v>
      </c>
      <c r="O28" s="59">
        <f>SUM(N$4:N28)</f>
        <v>761</v>
      </c>
      <c r="P28" s="59">
        <f ca="1">SUMIFS('markov model'!M$7:M$3656, 'markov model'!L$7:L$3656,"&gt;="&amp;O28,'markov model'!L$7:L$3656,"&lt;"&amp;O29)</f>
        <v>75.321803008141245</v>
      </c>
      <c r="S28" s="61">
        <v>8</v>
      </c>
      <c r="T28" s="61">
        <f>COUNTIF(obsdata,"&lt;"&amp;S28)-SUM(T$20:T27)</f>
        <v>29</v>
      </c>
      <c r="U28" s="61">
        <f ca="1">COUNTIF(moddata,"&lt;"&amp;S28)-SUM(U$20:U27)</f>
        <v>95</v>
      </c>
      <c r="V28" s="72"/>
      <c r="W28" s="77">
        <v>27</v>
      </c>
      <c r="X28">
        <v>66.731487889273367</v>
      </c>
      <c r="Y28">
        <v>66.731487889273367</v>
      </c>
    </row>
    <row r="29" spans="3:25" x14ac:dyDescent="0.25">
      <c r="C29" t="s">
        <v>89</v>
      </c>
      <c r="D29" s="52">
        <v>36.57820165026363</v>
      </c>
      <c r="H29" s="54"/>
      <c r="I29" s="5" t="s">
        <v>65</v>
      </c>
      <c r="J29" s="7">
        <f ca="1">MAX(moddata)</f>
        <v>26.518602805708479</v>
      </c>
      <c r="K29" s="7"/>
      <c r="L29" t="s">
        <v>61</v>
      </c>
      <c r="M29" s="59">
        <v>3</v>
      </c>
      <c r="N29" s="59">
        <v>28</v>
      </c>
      <c r="O29" s="59">
        <f>SUM(N$4:N29)</f>
        <v>789</v>
      </c>
      <c r="P29" s="59">
        <f ca="1">SUMIFS('markov model'!M$7:M$3656, 'markov model'!L$7:L$3656,"&gt;="&amp;O29,'markov model'!L$7:L$3656,"&lt;"&amp;O30)</f>
        <v>96.373505864979421</v>
      </c>
      <c r="S29" s="61">
        <v>9</v>
      </c>
      <c r="T29" s="61">
        <f>COUNTIF(obsdata,"&lt;"&amp;S29)-SUM(T$20:T28)</f>
        <v>18</v>
      </c>
      <c r="U29" s="61">
        <f ca="1">COUNTIF(moddata,"&lt;"&amp;S29)-SUM(U$20:U28)</f>
        <v>84</v>
      </c>
      <c r="V29" s="72"/>
      <c r="W29" s="77">
        <v>28</v>
      </c>
      <c r="X29">
        <v>108.14809688581313</v>
      </c>
      <c r="Y29">
        <v>108.14809688581313</v>
      </c>
    </row>
    <row r="30" spans="3:25" x14ac:dyDescent="0.25">
      <c r="C30" t="s">
        <v>90</v>
      </c>
      <c r="D30" s="52">
        <f ca="1">AVERAGE(R3:R14)</f>
        <v>20.941205263164992</v>
      </c>
      <c r="M30" s="59">
        <v>4</v>
      </c>
      <c r="N30" s="59">
        <v>31</v>
      </c>
      <c r="O30" s="59">
        <f>SUM(N$4:N30)</f>
        <v>820</v>
      </c>
      <c r="P30" s="59">
        <f ca="1">SUMIFS('markov model'!M$7:M$3656, 'markov model'!L$7:L$3656,"&gt;="&amp;O30,'markov model'!L$7:L$3656,"&lt;"&amp;O31)</f>
        <v>83.666859201490055</v>
      </c>
      <c r="S30" s="61">
        <v>10</v>
      </c>
      <c r="T30" s="61">
        <f>COUNTIF(obsdata,"&lt;"&amp;S30)-SUM(T$20:T29)</f>
        <v>22</v>
      </c>
      <c r="U30" s="61">
        <f ca="1">COUNTIF(moddata,"&lt;"&amp;S30)-SUM(U$20:U29)</f>
        <v>61</v>
      </c>
      <c r="V30" s="72"/>
      <c r="W30" s="77">
        <v>29</v>
      </c>
      <c r="X30">
        <v>39.444290657439446</v>
      </c>
      <c r="Y30">
        <v>39.444290657439446</v>
      </c>
    </row>
    <row r="31" spans="3:25" x14ac:dyDescent="0.25">
      <c r="M31" s="59">
        <v>5</v>
      </c>
      <c r="N31" s="59">
        <v>30</v>
      </c>
      <c r="O31" s="59">
        <f>SUM(N$4:N31)</f>
        <v>850</v>
      </c>
      <c r="P31" s="59">
        <f ca="1">SUMIFS('markov model'!M$7:M$3656, 'markov model'!L$7:L$3656,"&gt;="&amp;O31,'markov model'!L$7:L$3656,"&lt;"&amp;O32)</f>
        <v>101.44452572015891</v>
      </c>
      <c r="S31" s="61">
        <v>11</v>
      </c>
      <c r="T31" s="61">
        <f>COUNTIF(obsdata,"&lt;"&amp;S31)-SUM(T$20:T30)</f>
        <v>14</v>
      </c>
      <c r="U31" s="61">
        <f ca="1">COUNTIF(moddata,"&lt;"&amp;S31)-SUM(U$20:U30)</f>
        <v>53</v>
      </c>
      <c r="V31" s="72"/>
      <c r="W31" s="77">
        <v>30</v>
      </c>
      <c r="X31">
        <v>38.088581314878887</v>
      </c>
      <c r="Y31">
        <v>38.088581314878887</v>
      </c>
    </row>
    <row r="32" spans="3:25" x14ac:dyDescent="0.25">
      <c r="M32" s="59">
        <v>6</v>
      </c>
      <c r="N32" s="59">
        <v>31</v>
      </c>
      <c r="O32" s="59">
        <f>SUM(N$4:N32)</f>
        <v>881</v>
      </c>
      <c r="P32" s="59">
        <f ca="1">SUMIFS('markov model'!M$7:M$3656, 'markov model'!L$7:L$3656,"&gt;="&amp;O32,'markov model'!L$7:L$3656,"&lt;"&amp;O33)</f>
        <v>58.101384840257666</v>
      </c>
      <c r="S32" s="61">
        <v>12</v>
      </c>
      <c r="T32" s="61">
        <f>COUNTIF(obsdata,"&lt;"&amp;S32)-SUM(T$20:T31)</f>
        <v>11</v>
      </c>
      <c r="U32" s="61">
        <f ca="1">COUNTIF(moddata,"&lt;"&amp;S32)-SUM(U$20:U31)</f>
        <v>36</v>
      </c>
      <c r="V32" s="72"/>
      <c r="W32" s="77">
        <v>31</v>
      </c>
      <c r="X32">
        <v>75.505882352941185</v>
      </c>
      <c r="Y32">
        <v>75.505882352941185</v>
      </c>
    </row>
    <row r="33" spans="13:25" x14ac:dyDescent="0.25">
      <c r="M33" s="59">
        <v>7</v>
      </c>
      <c r="N33" s="59">
        <v>30</v>
      </c>
      <c r="O33" s="59">
        <f>SUM(N$4:N33)</f>
        <v>911</v>
      </c>
      <c r="P33" s="59">
        <f ca="1">SUMIFS('markov model'!M$7:M$3656, 'markov model'!L$7:L$3656,"&gt;="&amp;O33,'markov model'!L$7:L$3656,"&lt;"&amp;O34)</f>
        <v>59.464972699611515</v>
      </c>
      <c r="S33" s="61">
        <v>13</v>
      </c>
      <c r="T33" s="61">
        <f>COUNTIF(obsdata,"&lt;"&amp;S33)-SUM(T$20:T32)</f>
        <v>9</v>
      </c>
      <c r="U33" s="61">
        <f ca="1">COUNTIF(moddata,"&lt;"&amp;S33)-SUM(U$20:U32)</f>
        <v>29</v>
      </c>
      <c r="V33" s="72"/>
      <c r="W33" s="77">
        <v>32</v>
      </c>
      <c r="X33">
        <v>41.489273356401391</v>
      </c>
      <c r="Y33">
        <v>41.489273356401391</v>
      </c>
    </row>
    <row r="34" spans="13:25" x14ac:dyDescent="0.25">
      <c r="M34" s="59">
        <v>8</v>
      </c>
      <c r="N34" s="59">
        <v>31</v>
      </c>
      <c r="O34" s="59">
        <f>SUM(N$4:N34)</f>
        <v>942</v>
      </c>
      <c r="P34" s="59">
        <f ca="1">SUMIFS('markov model'!M$7:M$3656, 'markov model'!L$7:L$3656,"&gt;="&amp;O34,'markov model'!L$7:L$3656,"&lt;"&amp;O35)</f>
        <v>96.41925990154111</v>
      </c>
      <c r="S34" s="61">
        <v>14</v>
      </c>
      <c r="T34" s="61">
        <f>COUNTIF(obsdata,"&lt;"&amp;S34)-SUM(T$20:T33)</f>
        <v>8</v>
      </c>
      <c r="U34" s="61">
        <f ca="1">COUNTIF(moddata,"&lt;"&amp;S34)-SUM(U$20:U33)</f>
        <v>19</v>
      </c>
      <c r="V34" s="72"/>
      <c r="W34" s="77">
        <v>33</v>
      </c>
      <c r="X34">
        <v>66.323183391003454</v>
      </c>
      <c r="Y34">
        <v>66.323183391003454</v>
      </c>
    </row>
    <row r="35" spans="13:25" x14ac:dyDescent="0.25">
      <c r="M35" s="59">
        <v>9</v>
      </c>
      <c r="N35" s="59">
        <v>31</v>
      </c>
      <c r="O35" s="59">
        <f>SUM(N$4:N35)</f>
        <v>973</v>
      </c>
      <c r="P35" s="59">
        <f ca="1">SUMIFS('markov model'!M$7:M$3656, 'markov model'!L$7:L$3656,"&gt;="&amp;O35,'markov model'!L$7:L$3656,"&lt;"&amp;O36)</f>
        <v>60.331348110286498</v>
      </c>
      <c r="S35" s="61">
        <v>15</v>
      </c>
      <c r="T35" s="61">
        <f>COUNTIF(obsdata,"&lt;"&amp;S35)-SUM(T$20:T34)</f>
        <v>9</v>
      </c>
      <c r="U35" s="61">
        <f ca="1">COUNTIF(moddata,"&lt;"&amp;S35)-SUM(U$20:U34)</f>
        <v>12</v>
      </c>
      <c r="V35" s="72"/>
      <c r="W35" s="77">
        <v>34</v>
      </c>
      <c r="X35">
        <v>112.95363321799306</v>
      </c>
      <c r="Y35">
        <v>112.95363321799306</v>
      </c>
    </row>
    <row r="36" spans="13:25" x14ac:dyDescent="0.25">
      <c r="M36" s="59">
        <v>10</v>
      </c>
      <c r="N36" s="59">
        <v>30</v>
      </c>
      <c r="O36" s="59">
        <f>SUM(N$4:N36)</f>
        <v>1003</v>
      </c>
      <c r="P36" s="59">
        <f ca="1">SUMIFS('markov model'!M$7:M$3656, 'markov model'!L$7:L$3656,"&gt;="&amp;O36,'markov model'!L$7:L$3656,"&lt;"&amp;O37)</f>
        <v>66.478855210917757</v>
      </c>
      <c r="S36" s="61">
        <v>16</v>
      </c>
      <c r="T36" s="61">
        <f>COUNTIF(obsdata,"&lt;"&amp;S36)-SUM(T$20:T35)</f>
        <v>5</v>
      </c>
      <c r="U36" s="61">
        <f ca="1">COUNTIF(moddata,"&lt;"&amp;S36)-SUM(U$20:U35)</f>
        <v>16</v>
      </c>
      <c r="V36" s="72"/>
      <c r="W36" s="77">
        <v>35</v>
      </c>
      <c r="X36">
        <v>85.788927335640139</v>
      </c>
      <c r="Y36">
        <v>85.788927335640139</v>
      </c>
    </row>
    <row r="37" spans="13:25" x14ac:dyDescent="0.25">
      <c r="M37" s="59">
        <v>11</v>
      </c>
      <c r="N37" s="59">
        <v>31</v>
      </c>
      <c r="O37" s="59">
        <f>SUM(N$4:N37)</f>
        <v>1034</v>
      </c>
      <c r="P37" s="59">
        <f ca="1">SUMIFS('markov model'!M$7:M$3656, 'markov model'!L$7:L$3656,"&gt;="&amp;O37,'markov model'!L$7:L$3656,"&lt;"&amp;O38)</f>
        <v>102.34347095447581</v>
      </c>
      <c r="S37" s="61">
        <v>17</v>
      </c>
      <c r="T37" s="61">
        <f>COUNTIF(obsdata,"&lt;"&amp;S37)-SUM(T$20:T36)</f>
        <v>2</v>
      </c>
      <c r="U37" s="61">
        <f ca="1">COUNTIF(moddata,"&lt;"&amp;S37)-SUM(U$20:U36)</f>
        <v>8</v>
      </c>
      <c r="V37" s="72"/>
      <c r="W37" s="77">
        <v>36</v>
      </c>
      <c r="X37">
        <v>47.217301038062288</v>
      </c>
      <c r="Y37">
        <v>47.217301038062288</v>
      </c>
    </row>
    <row r="38" spans="13:25" x14ac:dyDescent="0.25">
      <c r="M38" s="59">
        <v>12</v>
      </c>
      <c r="N38" s="59">
        <v>30</v>
      </c>
      <c r="O38" s="59">
        <f>SUM(N$4:N38)</f>
        <v>1064</v>
      </c>
      <c r="P38" s="59">
        <f ca="1">SUMIFS('markov model'!M$7:M$3656, 'markov model'!L$7:L$3656,"&gt;="&amp;O38,'markov model'!L$7:L$3656,"&lt;"&amp;O39)</f>
        <v>84.102217649439055</v>
      </c>
      <c r="S38" s="61">
        <v>18</v>
      </c>
      <c r="T38" s="61">
        <f>COUNTIF(obsdata,"&lt;"&amp;S38)-SUM(T$20:T37)</f>
        <v>1</v>
      </c>
      <c r="U38" s="61">
        <f ca="1">COUNTIF(moddata,"&lt;"&amp;S38)-SUM(U$20:U37)</f>
        <v>8</v>
      </c>
      <c r="V38" s="72"/>
      <c r="W38" s="77">
        <v>37</v>
      </c>
      <c r="X38">
        <v>26.39100346020761</v>
      </c>
      <c r="Y38">
        <v>26.39100346020761</v>
      </c>
    </row>
    <row r="39" spans="13:25" x14ac:dyDescent="0.25">
      <c r="M39" s="59">
        <v>1</v>
      </c>
      <c r="N39" s="59">
        <v>31</v>
      </c>
      <c r="O39" s="59">
        <f>SUM(N$4:N39)</f>
        <v>1095</v>
      </c>
      <c r="P39" s="59">
        <f ca="1">SUMIFS('markov model'!M$7:M$3656, 'markov model'!L$7:L$3656,"&gt;="&amp;O39,'markov model'!L$7:L$3656,"&lt;"&amp;O40)</f>
        <v>69.106427133480153</v>
      </c>
      <c r="S39" s="61">
        <v>19</v>
      </c>
      <c r="T39" s="61">
        <f>COUNTIF(obsdata,"&lt;"&amp;S39)-SUM(T$20:T38)</f>
        <v>2</v>
      </c>
      <c r="U39" s="61">
        <f ca="1">COUNTIF(moddata,"&lt;"&amp;S39)-SUM(U$20:U38)</f>
        <v>3</v>
      </c>
      <c r="V39" s="72"/>
      <c r="W39" s="77">
        <v>38</v>
      </c>
      <c r="X39">
        <v>41.177162629757795</v>
      </c>
      <c r="Y39">
        <v>41.177162629757795</v>
      </c>
    </row>
    <row r="40" spans="13:25" x14ac:dyDescent="0.25">
      <c r="M40" s="59">
        <v>2</v>
      </c>
      <c r="N40" s="59">
        <v>31</v>
      </c>
      <c r="O40" s="59">
        <f>SUM(N$4:N40)</f>
        <v>1126</v>
      </c>
      <c r="P40" s="59">
        <f ca="1">SUMIFS('markov model'!M$7:M$3656, 'markov model'!L$7:L$3656,"&gt;="&amp;O40,'markov model'!L$7:L$3656,"&lt;"&amp;O41)</f>
        <v>99.818319784248317</v>
      </c>
      <c r="S40" s="61">
        <v>20</v>
      </c>
      <c r="T40" s="61">
        <f>COUNTIF(obsdata,"&lt;"&amp;S40)-SUM(T$20:T39)</f>
        <v>1</v>
      </c>
      <c r="U40" s="61">
        <f ca="1">COUNTIF(moddata,"&lt;"&amp;S40)-SUM(U$20:U39)</f>
        <v>3</v>
      </c>
      <c r="V40" s="72"/>
      <c r="W40" s="77">
        <v>39</v>
      </c>
      <c r="X40">
        <v>108.78685121107266</v>
      </c>
      <c r="Y40">
        <v>108.78685121107266</v>
      </c>
    </row>
    <row r="41" spans="13:25" x14ac:dyDescent="0.25">
      <c r="M41" s="59">
        <v>3</v>
      </c>
      <c r="N41" s="59">
        <v>28</v>
      </c>
      <c r="O41" s="59">
        <f>SUM(N$4:N41)</f>
        <v>1154</v>
      </c>
      <c r="P41" s="59">
        <f ca="1">SUMIFS('markov model'!M$7:M$3656, 'markov model'!L$7:L$3656,"&gt;="&amp;O41,'markov model'!L$7:L$3656,"&lt;"&amp;O42)</f>
        <v>91.807104074623666</v>
      </c>
      <c r="S41" s="61">
        <v>21</v>
      </c>
      <c r="T41" s="61">
        <f>COUNTIF(obsdata,"&lt;"&amp;S41)-SUM(T$20:T40)</f>
        <v>0</v>
      </c>
      <c r="U41" s="61">
        <f ca="1">COUNTIF(moddata,"&lt;"&amp;S41)-SUM(U$20:U40)</f>
        <v>2</v>
      </c>
      <c r="V41" s="72"/>
      <c r="W41" s="77">
        <v>40</v>
      </c>
      <c r="X41">
        <v>26.057439446366782</v>
      </c>
      <c r="Y41">
        <v>26.057439446366782</v>
      </c>
    </row>
    <row r="42" spans="13:25" x14ac:dyDescent="0.25">
      <c r="M42" s="59">
        <v>4</v>
      </c>
      <c r="N42" s="59">
        <v>31</v>
      </c>
      <c r="O42" s="59">
        <f>SUM(N$4:N42)</f>
        <v>1185</v>
      </c>
      <c r="P42" s="59">
        <f ca="1">SUMIFS('markov model'!M$7:M$3656, 'markov model'!L$7:L$3656,"&gt;="&amp;O42,'markov model'!L$7:L$3656,"&lt;"&amp;O43)</f>
        <v>65.696913489518678</v>
      </c>
      <c r="S42" s="61">
        <v>22.5</v>
      </c>
      <c r="T42" s="61">
        <f>COUNTIF(obsdata,"&lt;"&amp;S42)-SUM(T$20:T41)</f>
        <v>2</v>
      </c>
      <c r="U42" s="61">
        <f ca="1">COUNTIF(moddata,"&lt;"&amp;S42)-SUM(U$20:U41)</f>
        <v>3</v>
      </c>
      <c r="V42" s="72"/>
      <c r="W42" s="77">
        <v>41</v>
      </c>
      <c r="X42">
        <v>80.241522491349457</v>
      </c>
      <c r="Y42">
        <v>80.241522491349457</v>
      </c>
    </row>
    <row r="43" spans="13:25" x14ac:dyDescent="0.25">
      <c r="M43" s="59">
        <v>5</v>
      </c>
      <c r="N43" s="59">
        <v>30</v>
      </c>
      <c r="O43" s="59">
        <f>SUM(N$4:N43)</f>
        <v>1215</v>
      </c>
      <c r="P43" s="59">
        <f ca="1">SUMIFS('markov model'!M$7:M$3656, 'markov model'!L$7:L$3656,"&gt;="&amp;O43,'markov model'!L$7:L$3656,"&lt;"&amp;O44)</f>
        <v>55.738499423365752</v>
      </c>
      <c r="S43" s="61">
        <v>25</v>
      </c>
      <c r="T43" s="61">
        <f>COUNTIF(obsdata,"&lt;"&amp;S43)-SUM(T$20:T42)</f>
        <v>3</v>
      </c>
      <c r="U43" s="61">
        <f ca="1">COUNTIF(moddata,"&lt;"&amp;S43)-SUM(U$20:U42)</f>
        <v>7</v>
      </c>
      <c r="V43" s="72"/>
      <c r="W43" s="77">
        <v>42</v>
      </c>
      <c r="X43">
        <v>20.817993079584774</v>
      </c>
      <c r="Y43">
        <v>20.817993079584774</v>
      </c>
    </row>
    <row r="44" spans="13:25" x14ac:dyDescent="0.25">
      <c r="M44" s="59">
        <v>6</v>
      </c>
      <c r="N44" s="59">
        <v>31</v>
      </c>
      <c r="O44" s="59">
        <f>SUM(N$4:N44)</f>
        <v>1246</v>
      </c>
      <c r="P44" s="59">
        <f ca="1">SUMIFS('markov model'!M$7:M$3656, 'markov model'!L$7:L$3656,"&gt;="&amp;O44,'markov model'!L$7:L$3656,"&lt;"&amp;O45)</f>
        <v>85.142690024555606</v>
      </c>
      <c r="S44" s="61">
        <v>30</v>
      </c>
      <c r="T44" s="61">
        <f>COUNTIF(obsdata,"&lt;"&amp;S44)-SUM(T$20:T43)</f>
        <v>4</v>
      </c>
      <c r="U44" s="61">
        <f ca="1">COUNTIF(moddata,"&lt;"&amp;S44)-SUM(U$20:U43)</f>
        <v>2</v>
      </c>
      <c r="V44" s="72"/>
      <c r="W44" s="77">
        <v>43</v>
      </c>
      <c r="X44">
        <v>18.423529411764708</v>
      </c>
      <c r="Y44">
        <v>18.423529411764708</v>
      </c>
    </row>
    <row r="45" spans="13:25" x14ac:dyDescent="0.25">
      <c r="M45" s="59">
        <v>7</v>
      </c>
      <c r="N45" s="59">
        <v>30</v>
      </c>
      <c r="O45" s="59">
        <f>SUM(N$4:N45)</f>
        <v>1276</v>
      </c>
      <c r="P45" s="59">
        <f ca="1">SUMIFS('markov model'!M$7:M$3656, 'markov model'!L$7:L$3656,"&gt;="&amp;O45,'markov model'!L$7:L$3656,"&lt;"&amp;O46)</f>
        <v>104.80035605680816</v>
      </c>
      <c r="S45" s="61">
        <v>35</v>
      </c>
      <c r="T45" s="61">
        <f>COUNTIF(obsdata,"&lt;"&amp;S45)-SUM(T$20:T44)</f>
        <v>3</v>
      </c>
      <c r="U45" s="61">
        <f ca="1">COUNTIF(moddata,"&lt;"&amp;S45)-SUM(U$20:U44)</f>
        <v>0</v>
      </c>
      <c r="V45" s="72"/>
      <c r="W45" s="77">
        <v>44</v>
      </c>
      <c r="X45">
        <v>79.457439446366806</v>
      </c>
      <c r="Y45">
        <v>79.457439446366806</v>
      </c>
    </row>
    <row r="46" spans="13:25" x14ac:dyDescent="0.25">
      <c r="M46" s="59">
        <v>8</v>
      </c>
      <c r="N46" s="59">
        <v>31</v>
      </c>
      <c r="O46" s="59">
        <f>SUM(N$4:N46)</f>
        <v>1307</v>
      </c>
      <c r="P46" s="59">
        <f ca="1">SUMIFS('markov model'!M$7:M$3656, 'markov model'!L$7:L$3656,"&gt;="&amp;O46,'markov model'!L$7:L$3656,"&lt;"&amp;O47)</f>
        <v>63.217603836251165</v>
      </c>
      <c r="S46" s="61">
        <v>40</v>
      </c>
      <c r="T46" s="61">
        <f>COUNTIF(obsdata,"&lt;"&amp;S46)-SUM(T$20:T45)</f>
        <v>2</v>
      </c>
      <c r="U46" s="61">
        <f ca="1">COUNTIF(moddata,"&lt;"&amp;S46)-SUM(U$20:U45)</f>
        <v>0</v>
      </c>
      <c r="V46" s="72"/>
      <c r="W46" s="77">
        <v>45</v>
      </c>
      <c r="X46">
        <v>69.205536332179932</v>
      </c>
      <c r="Y46">
        <v>69.205536332179932</v>
      </c>
    </row>
    <row r="47" spans="13:25" x14ac:dyDescent="0.25">
      <c r="M47" s="59">
        <v>9</v>
      </c>
      <c r="N47" s="59">
        <v>31</v>
      </c>
      <c r="O47" s="59">
        <f>SUM(N$4:N47)</f>
        <v>1338</v>
      </c>
      <c r="P47" s="59">
        <f ca="1">SUMIFS('markov model'!M$7:M$3656, 'markov model'!L$7:L$3656,"&gt;="&amp;O47,'markov model'!L$7:L$3656,"&lt;"&amp;O48)</f>
        <v>73.377432565373567</v>
      </c>
      <c r="S47" s="61">
        <v>50</v>
      </c>
      <c r="T47" s="61">
        <f>COUNTIF(obsdata,"&lt;"&amp;S47)-SUM(T$20:T46)</f>
        <v>2</v>
      </c>
      <c r="U47" s="61">
        <f ca="1">COUNTIF(moddata,"&lt;"&amp;S47)-SUM(U$20:U46)</f>
        <v>0</v>
      </c>
      <c r="V47" s="72"/>
      <c r="W47" s="77">
        <v>46</v>
      </c>
      <c r="X47">
        <v>104.27058823529413</v>
      </c>
      <c r="Y47">
        <v>104.27058823529413</v>
      </c>
    </row>
    <row r="48" spans="13:25" x14ac:dyDescent="0.25">
      <c r="M48" s="59">
        <v>10</v>
      </c>
      <c r="N48" s="59">
        <v>30</v>
      </c>
      <c r="O48" s="59">
        <f>SUM(N$4:N48)</f>
        <v>1368</v>
      </c>
      <c r="P48" s="59">
        <f ca="1">SUMIFS('markov model'!M$7:M$3656, 'markov model'!L$7:L$3656,"&gt;="&amp;O48,'markov model'!L$7:L$3656,"&lt;"&amp;O49)</f>
        <v>65.138549268710932</v>
      </c>
      <c r="V48" s="72"/>
      <c r="W48" s="77">
        <v>47</v>
      </c>
      <c r="X48">
        <v>54.815224913494816</v>
      </c>
      <c r="Y48">
        <v>54.815224913494816</v>
      </c>
    </row>
    <row r="49" spans="13:25" x14ac:dyDescent="0.25">
      <c r="M49" s="59">
        <v>11</v>
      </c>
      <c r="N49" s="59">
        <v>31</v>
      </c>
      <c r="O49" s="59">
        <f>SUM(N$4:N49)</f>
        <v>1399</v>
      </c>
      <c r="P49" s="59">
        <f ca="1">SUMIFS('markov model'!M$7:M$3656, 'markov model'!L$7:L$3656,"&gt;="&amp;O49,'markov model'!L$7:L$3656,"&lt;"&amp;O50)</f>
        <v>61.19418047651363</v>
      </c>
      <c r="V49" s="72"/>
      <c r="W49" s="77">
        <v>48</v>
      </c>
      <c r="X49">
        <v>71.263667820069202</v>
      </c>
      <c r="Y49">
        <v>71.263667820069202</v>
      </c>
    </row>
    <row r="50" spans="13:25" x14ac:dyDescent="0.25">
      <c r="M50" s="59">
        <v>12</v>
      </c>
      <c r="N50" s="59">
        <v>30</v>
      </c>
      <c r="O50" s="59">
        <f>SUM(N$4:N50)</f>
        <v>1429</v>
      </c>
      <c r="P50" s="59">
        <f ca="1">SUMIFS('markov model'!M$7:M$3656, 'markov model'!L$7:L$3656,"&gt;="&amp;O50,'markov model'!L$7:L$3656,"&lt;"&amp;O51)</f>
        <v>68.286649245290377</v>
      </c>
      <c r="V50" s="72"/>
      <c r="W50" s="77">
        <v>49</v>
      </c>
      <c r="X50">
        <v>87.636678200692046</v>
      </c>
      <c r="Y50">
        <v>87.636678200692046</v>
      </c>
    </row>
    <row r="51" spans="13:25" x14ac:dyDescent="0.25">
      <c r="M51" s="59">
        <v>1</v>
      </c>
      <c r="N51" s="59">
        <v>31</v>
      </c>
      <c r="O51" s="59">
        <f>SUM(N$4:N51)</f>
        <v>1460</v>
      </c>
      <c r="P51" s="59">
        <f ca="1">SUMIFS('markov model'!M$7:M$3656, 'markov model'!L$7:L$3656,"&gt;="&amp;O51,'markov model'!L$7:L$3656,"&lt;"&amp;O52)</f>
        <v>67.99258825893763</v>
      </c>
      <c r="V51" s="72"/>
      <c r="W51" s="77">
        <v>50</v>
      </c>
      <c r="X51">
        <v>80.773010380622836</v>
      </c>
      <c r="Y51">
        <v>80.773010380622836</v>
      </c>
    </row>
    <row r="52" spans="13:25" x14ac:dyDescent="0.25">
      <c r="M52" s="59">
        <v>2</v>
      </c>
      <c r="N52" s="59">
        <v>31</v>
      </c>
      <c r="O52" s="59">
        <f>SUM(N$4:N52)</f>
        <v>1491</v>
      </c>
      <c r="P52" s="59">
        <f ca="1">SUMIFS('markov model'!M$7:M$3656, 'markov model'!L$7:L$3656,"&gt;="&amp;O52,'markov model'!L$7:L$3656,"&lt;"&amp;O53)</f>
        <v>65.345795211058245</v>
      </c>
      <c r="V52" s="72"/>
      <c r="W52" s="77">
        <v>51</v>
      </c>
      <c r="X52">
        <v>33.956401384083044</v>
      </c>
      <c r="Y52">
        <v>33.956401384083044</v>
      </c>
    </row>
    <row r="53" spans="13:25" x14ac:dyDescent="0.25">
      <c r="M53" s="59">
        <v>3</v>
      </c>
      <c r="N53" s="59">
        <v>28</v>
      </c>
      <c r="O53" s="59">
        <f>SUM(N$4:N53)</f>
        <v>1519</v>
      </c>
      <c r="P53" s="59">
        <f ca="1">SUMIFS('markov model'!M$7:M$3656, 'markov model'!L$7:L$3656,"&gt;="&amp;O53,'markov model'!L$7:L$3656,"&lt;"&amp;O54)</f>
        <v>100.98676201607665</v>
      </c>
      <c r="V53" s="72"/>
      <c r="W53" s="77">
        <v>52</v>
      </c>
      <c r="X53">
        <v>10.181314878892731</v>
      </c>
      <c r="Y53">
        <v>10.181314878892731</v>
      </c>
    </row>
    <row r="54" spans="13:25" x14ac:dyDescent="0.25">
      <c r="M54" s="59">
        <v>4</v>
      </c>
      <c r="N54" s="59">
        <v>31</v>
      </c>
      <c r="O54" s="59">
        <f>SUM(N$4:N54)</f>
        <v>1550</v>
      </c>
      <c r="P54" s="59">
        <f ca="1">SUMIFS('markov model'!M$7:M$3656, 'markov model'!L$7:L$3656,"&gt;="&amp;O54,'markov model'!L$7:L$3656,"&lt;"&amp;O55)</f>
        <v>47.815271050669203</v>
      </c>
      <c r="V54" s="72"/>
      <c r="W54" s="77">
        <v>53</v>
      </c>
      <c r="X54">
        <v>49.55709342560553</v>
      </c>
      <c r="Y54">
        <v>49.55709342560553</v>
      </c>
    </row>
    <row r="55" spans="13:25" x14ac:dyDescent="0.25">
      <c r="M55" s="59">
        <v>5</v>
      </c>
      <c r="N55" s="59">
        <v>30</v>
      </c>
      <c r="O55" s="59">
        <f>SUM(N$4:N55)</f>
        <v>1580</v>
      </c>
      <c r="P55" s="59">
        <f ca="1">SUMIFS('markov model'!M$7:M$3656, 'markov model'!L$7:L$3656,"&gt;="&amp;O55,'markov model'!L$7:L$3656,"&lt;"&amp;O56)</f>
        <v>92.45200514471135</v>
      </c>
      <c r="V55" s="72"/>
      <c r="W55" s="77">
        <v>54</v>
      </c>
      <c r="X55">
        <v>133.50242214532875</v>
      </c>
      <c r="Y55">
        <v>133.50242214532875</v>
      </c>
    </row>
    <row r="56" spans="13:25" x14ac:dyDescent="0.25">
      <c r="M56" s="59">
        <v>6</v>
      </c>
      <c r="N56" s="59">
        <v>31</v>
      </c>
      <c r="O56" s="59">
        <f>SUM(N$4:N56)</f>
        <v>1611</v>
      </c>
      <c r="P56" s="59">
        <f ca="1">SUMIFS('markov model'!M$7:M$3656, 'markov model'!L$7:L$3656,"&gt;="&amp;O56,'markov model'!L$7:L$3656,"&lt;"&amp;O57)</f>
        <v>124.61865414365982</v>
      </c>
      <c r="V56" s="72"/>
      <c r="W56" s="77">
        <v>55</v>
      </c>
      <c r="X56">
        <v>78.97231833910034</v>
      </c>
      <c r="Y56">
        <v>78.97231833910034</v>
      </c>
    </row>
    <row r="57" spans="13:25" x14ac:dyDescent="0.25">
      <c r="M57" s="59">
        <v>7</v>
      </c>
      <c r="N57" s="59">
        <v>30</v>
      </c>
      <c r="O57" s="59">
        <f>SUM(N$4:N57)</f>
        <v>1641</v>
      </c>
      <c r="P57" s="59">
        <f ca="1">SUMIFS('markov model'!M$7:M$3656, 'markov model'!L$7:L$3656,"&gt;="&amp;O57,'markov model'!L$7:L$3656,"&lt;"&amp;O58)</f>
        <v>157.78341090414608</v>
      </c>
      <c r="V57" s="72"/>
      <c r="W57" s="77">
        <v>56</v>
      </c>
      <c r="X57">
        <v>36.293425605536335</v>
      </c>
      <c r="Y57">
        <v>36.293425605536335</v>
      </c>
    </row>
    <row r="58" spans="13:25" x14ac:dyDescent="0.25">
      <c r="M58" s="59">
        <v>8</v>
      </c>
      <c r="N58" s="59">
        <v>31</v>
      </c>
      <c r="O58" s="59">
        <f>SUM(N$4:N58)</f>
        <v>1672</v>
      </c>
      <c r="P58" s="59">
        <f ca="1">SUMIFS('markov model'!M$7:M$3656, 'markov model'!L$7:L$3656,"&gt;="&amp;O58,'markov model'!L$7:L$3656,"&lt;"&amp;O59)</f>
        <v>89.459475788946946</v>
      </c>
      <c r="V58" s="72"/>
      <c r="W58" s="77">
        <v>57</v>
      </c>
      <c r="X58">
        <v>28.389619377162632</v>
      </c>
      <c r="Y58">
        <v>28.389619377162632</v>
      </c>
    </row>
    <row r="59" spans="13:25" x14ac:dyDescent="0.25">
      <c r="M59" s="59">
        <v>9</v>
      </c>
      <c r="N59" s="59">
        <v>31</v>
      </c>
      <c r="O59" s="59">
        <f>SUM(N$4:N59)</f>
        <v>1703</v>
      </c>
      <c r="P59" s="59">
        <f ca="1">SUMIFS('markov model'!M$7:M$3656, 'markov model'!L$7:L$3656,"&gt;="&amp;O59,'markov model'!L$7:L$3656,"&lt;"&amp;O60)</f>
        <v>71.127229925914207</v>
      </c>
      <c r="V59" s="72"/>
      <c r="W59" s="77">
        <v>58</v>
      </c>
      <c r="X59">
        <v>20.271280276816608</v>
      </c>
      <c r="Y59">
        <v>20.271280276816608</v>
      </c>
    </row>
    <row r="60" spans="13:25" x14ac:dyDescent="0.25">
      <c r="M60" s="59">
        <v>10</v>
      </c>
      <c r="N60" s="59">
        <v>30</v>
      </c>
      <c r="O60" s="59">
        <f>SUM(N$4:N60)</f>
        <v>1733</v>
      </c>
      <c r="P60" s="59">
        <f ca="1">SUMIFS('markov model'!M$7:M$3656, 'markov model'!L$7:L$3656,"&gt;="&amp;O60,'markov model'!L$7:L$3656,"&lt;"&amp;O61)</f>
        <v>84.164019448104156</v>
      </c>
      <c r="V60" s="72"/>
      <c r="W60" s="77">
        <v>59</v>
      </c>
      <c r="X60">
        <v>72.512110726643598</v>
      </c>
      <c r="Y60">
        <v>72.512110726643598</v>
      </c>
    </row>
    <row r="61" spans="13:25" x14ac:dyDescent="0.25">
      <c r="M61" s="59">
        <v>11</v>
      </c>
      <c r="N61" s="59">
        <v>31</v>
      </c>
      <c r="O61" s="59">
        <f>SUM(N$4:N61)</f>
        <v>1764</v>
      </c>
      <c r="P61" s="59">
        <f ca="1">SUMIFS('markov model'!M$7:M$3656, 'markov model'!L$7:L$3656,"&gt;="&amp;O61,'markov model'!L$7:L$3656,"&lt;"&amp;O62)</f>
        <v>105.35483015045997</v>
      </c>
      <c r="V61" s="72"/>
      <c r="W61" s="77">
        <v>60</v>
      </c>
      <c r="X61">
        <v>65.119031141868518</v>
      </c>
      <c r="Y61">
        <v>65.119031141868518</v>
      </c>
    </row>
    <row r="62" spans="13:25" x14ac:dyDescent="0.25">
      <c r="M62" s="59">
        <v>12</v>
      </c>
      <c r="N62" s="59">
        <v>30</v>
      </c>
      <c r="O62" s="59">
        <f>SUM(N$4:N62)</f>
        <v>1794</v>
      </c>
      <c r="P62" s="59">
        <f ca="1">SUMIFS('markov model'!M$7:M$3656, 'markov model'!L$7:L$3656,"&gt;="&amp;O62,'markov model'!L$7:L$3656,"&lt;"&amp;O63)</f>
        <v>62.549841093831091</v>
      </c>
      <c r="V62" s="72"/>
      <c r="W62" s="77">
        <v>61</v>
      </c>
      <c r="X62">
        <v>137.61314878892739</v>
      </c>
      <c r="Y62">
        <v>137.61314878892739</v>
      </c>
    </row>
    <row r="63" spans="13:25" x14ac:dyDescent="0.25">
      <c r="M63" s="59">
        <v>1</v>
      </c>
      <c r="N63" s="59">
        <v>31</v>
      </c>
      <c r="O63" s="59">
        <f>SUM(N$4:N63)</f>
        <v>1825</v>
      </c>
      <c r="P63" s="59">
        <f ca="1">SUMIFS('markov model'!M$7:M$3656, 'markov model'!L$7:L$3656,"&gt;="&amp;O63,'markov model'!L$7:L$3656,"&lt;"&amp;O64)</f>
        <v>89.577514283697113</v>
      </c>
      <c r="V63" s="72"/>
      <c r="W63" s="77">
        <v>62</v>
      </c>
      <c r="X63">
        <v>31.535640138408304</v>
      </c>
      <c r="Y63">
        <v>31.535640138408304</v>
      </c>
    </row>
    <row r="64" spans="13:25" x14ac:dyDescent="0.25">
      <c r="M64" s="59">
        <v>2</v>
      </c>
      <c r="N64" s="59">
        <v>31</v>
      </c>
      <c r="O64" s="59">
        <f>SUM(N$4:N64)</f>
        <v>1856</v>
      </c>
      <c r="P64" s="59">
        <f ca="1">SUMIFS('markov model'!M$7:M$3656, 'markov model'!L$7:L$3656,"&gt;="&amp;O64,'markov model'!L$7:L$3656,"&lt;"&amp;O65)</f>
        <v>110.71448475314368</v>
      </c>
      <c r="V64" s="72"/>
      <c r="W64" s="77">
        <v>63</v>
      </c>
      <c r="X64">
        <v>66.166782006920414</v>
      </c>
      <c r="Y64">
        <v>66.166782006920414</v>
      </c>
    </row>
    <row r="65" spans="13:25" x14ac:dyDescent="0.25">
      <c r="M65" s="59">
        <v>3</v>
      </c>
      <c r="N65" s="59">
        <v>28</v>
      </c>
      <c r="O65" s="59">
        <f>SUM(N$4:N65)</f>
        <v>1884</v>
      </c>
      <c r="P65" s="59">
        <f ca="1">SUMIFS('markov model'!M$7:M$3656, 'markov model'!L$7:L$3656,"&gt;="&amp;O65,'markov model'!L$7:L$3656,"&lt;"&amp;O66)</f>
        <v>82.942091143398329</v>
      </c>
      <c r="V65" s="72"/>
      <c r="W65" s="77">
        <v>64</v>
      </c>
      <c r="X65">
        <v>111.90657439446369</v>
      </c>
      <c r="Y65">
        <v>111.90657439446369</v>
      </c>
    </row>
    <row r="66" spans="13:25" x14ac:dyDescent="0.25">
      <c r="M66" s="59">
        <v>4</v>
      </c>
      <c r="N66" s="59">
        <v>31</v>
      </c>
      <c r="O66" s="59">
        <f>SUM(N$4:N66)</f>
        <v>1915</v>
      </c>
      <c r="P66" s="59">
        <f ca="1">SUMIFS('markov model'!M$7:M$3656, 'markov model'!L$7:L$3656,"&gt;="&amp;O66,'markov model'!L$7:L$3656,"&lt;"&amp;O67)</f>
        <v>78.857828030196657</v>
      </c>
      <c r="V66" s="72"/>
      <c r="W66" s="77">
        <v>65</v>
      </c>
      <c r="X66">
        <v>23.867128027681659</v>
      </c>
      <c r="Y66">
        <v>23.867128027681659</v>
      </c>
    </row>
    <row r="67" spans="13:25" x14ac:dyDescent="0.25">
      <c r="M67" s="59">
        <v>5</v>
      </c>
      <c r="N67" s="59">
        <v>30</v>
      </c>
      <c r="O67" s="59">
        <f>SUM(N$4:N67)</f>
        <v>1945</v>
      </c>
      <c r="P67" s="59">
        <f ca="1">SUMIFS('markov model'!M$7:M$3656, 'markov model'!L$7:L$3656,"&gt;="&amp;O67,'markov model'!L$7:L$3656,"&lt;"&amp;O68)</f>
        <v>74.611997644545809</v>
      </c>
      <c r="V67" s="72"/>
      <c r="W67" s="77">
        <v>66</v>
      </c>
      <c r="X67">
        <v>80.805536332179955</v>
      </c>
      <c r="Y67">
        <v>80.805536332179955</v>
      </c>
    </row>
    <row r="68" spans="13:25" x14ac:dyDescent="0.25">
      <c r="M68" s="59">
        <v>6</v>
      </c>
      <c r="N68" s="59">
        <v>31</v>
      </c>
      <c r="O68" s="59">
        <f>SUM(N$4:N68)</f>
        <v>1976</v>
      </c>
      <c r="P68" s="59">
        <f ca="1">SUMIFS('markov model'!M$7:M$3656, 'markov model'!L$7:L$3656,"&gt;="&amp;O68,'markov model'!L$7:L$3656,"&lt;"&amp;O69)</f>
        <v>89.11126508274991</v>
      </c>
      <c r="V68" s="72"/>
      <c r="W68" s="77">
        <v>67</v>
      </c>
      <c r="X68">
        <v>82.804152249134958</v>
      </c>
      <c r="Y68">
        <v>82.804152249134958</v>
      </c>
    </row>
    <row r="69" spans="13:25" x14ac:dyDescent="0.25">
      <c r="M69" s="59">
        <v>7</v>
      </c>
      <c r="N69" s="59">
        <v>30</v>
      </c>
      <c r="O69" s="59">
        <f>SUM(N$4:N69)</f>
        <v>2006</v>
      </c>
      <c r="P69" s="59">
        <f ca="1">SUMIFS('markov model'!M$7:M$3656, 'markov model'!L$7:L$3656,"&gt;="&amp;O69,'markov model'!L$7:L$3656,"&lt;"&amp;O70)</f>
        <v>76.978987584075213</v>
      </c>
      <c r="V69" s="72"/>
      <c r="W69" s="77">
        <v>68</v>
      </c>
      <c r="X69">
        <v>123.9660899653979</v>
      </c>
      <c r="Y69">
        <v>123.9660899653979</v>
      </c>
    </row>
    <row r="70" spans="13:25" x14ac:dyDescent="0.25">
      <c r="M70" s="59">
        <v>8</v>
      </c>
      <c r="N70" s="59">
        <v>31</v>
      </c>
      <c r="O70" s="59">
        <f>SUM(N$4:N70)</f>
        <v>2037</v>
      </c>
      <c r="P70" s="59">
        <f ca="1">SUMIFS('markov model'!M$7:M$3656, 'markov model'!L$7:L$3656,"&gt;="&amp;O70,'markov model'!L$7:L$3656,"&lt;"&amp;O71)</f>
        <v>73.844224171404022</v>
      </c>
      <c r="V70" s="72"/>
      <c r="W70" s="77">
        <v>69</v>
      </c>
      <c r="X70">
        <v>172.84498269896193</v>
      </c>
      <c r="Y70">
        <v>172.84498269896193</v>
      </c>
    </row>
    <row r="71" spans="13:25" x14ac:dyDescent="0.25">
      <c r="M71" s="59">
        <v>9</v>
      </c>
      <c r="N71" s="59">
        <v>31</v>
      </c>
      <c r="O71" s="59">
        <f>SUM(N$4:N71)</f>
        <v>2068</v>
      </c>
      <c r="P71" s="59">
        <f ca="1">SUMIFS('markov model'!M$7:M$3656, 'markov model'!L$7:L$3656,"&gt;="&amp;O71,'markov model'!L$7:L$3656,"&lt;"&amp;O72)</f>
        <v>108.99065985538275</v>
      </c>
      <c r="V71" s="72"/>
      <c r="W71" s="77">
        <v>70</v>
      </c>
      <c r="X71">
        <v>64.908650519031141</v>
      </c>
      <c r="Y71">
        <v>64.908650519031141</v>
      </c>
    </row>
    <row r="72" spans="13:25" x14ac:dyDescent="0.25">
      <c r="M72" s="59">
        <v>10</v>
      </c>
      <c r="N72" s="59">
        <v>30</v>
      </c>
      <c r="O72" s="59">
        <f>SUM(N$4:N72)</f>
        <v>2098</v>
      </c>
      <c r="P72" s="59">
        <f ca="1">SUMIFS('markov model'!M$7:M$3656, 'markov model'!L$7:L$3656,"&gt;="&amp;O72,'markov model'!L$7:L$3656,"&lt;"&amp;O73)</f>
        <v>77.50832932335841</v>
      </c>
      <c r="V72" s="72"/>
      <c r="W72" s="77">
        <v>71</v>
      </c>
      <c r="X72">
        <v>55.587543252595154</v>
      </c>
      <c r="Y72">
        <v>55.587543252595154</v>
      </c>
    </row>
    <row r="73" spans="13:25" x14ac:dyDescent="0.25">
      <c r="M73" s="59">
        <v>11</v>
      </c>
      <c r="N73" s="59">
        <v>31</v>
      </c>
      <c r="O73" s="59">
        <f>SUM(N$4:N73)</f>
        <v>2129</v>
      </c>
      <c r="P73" s="59">
        <f ca="1">SUMIFS('markov model'!M$7:M$3656, 'markov model'!L$7:L$3656,"&gt;="&amp;O73,'markov model'!L$7:L$3656,"&lt;"&amp;O74)</f>
        <v>85.12915898748804</v>
      </c>
      <c r="V73" s="72"/>
      <c r="W73" s="77">
        <v>72</v>
      </c>
      <c r="X73">
        <v>55.351557093425605</v>
      </c>
      <c r="Y73">
        <v>55.351557093425605</v>
      </c>
    </row>
    <row r="74" spans="13:25" x14ac:dyDescent="0.25">
      <c r="M74" s="59">
        <v>12</v>
      </c>
      <c r="N74" s="59">
        <v>30</v>
      </c>
      <c r="O74" s="59">
        <f>SUM(N$4:N74)</f>
        <v>2159</v>
      </c>
      <c r="P74" s="59">
        <f ca="1">SUMIFS('markov model'!M$7:M$3656, 'markov model'!L$7:L$3656,"&gt;="&amp;O74,'markov model'!L$7:L$3656,"&lt;"&amp;O75)</f>
        <v>92.937069392529963</v>
      </c>
      <c r="V74" s="72"/>
      <c r="W74" s="77">
        <v>73</v>
      </c>
      <c r="X74">
        <v>59.311418685121097</v>
      </c>
      <c r="Y74">
        <v>59.311418685121097</v>
      </c>
    </row>
    <row r="75" spans="13:25" x14ac:dyDescent="0.25">
      <c r="M75" s="59">
        <v>1</v>
      </c>
      <c r="N75" s="59">
        <v>31</v>
      </c>
      <c r="O75" s="59">
        <f>SUM(N$4:N75)</f>
        <v>2190</v>
      </c>
      <c r="P75" s="59">
        <f ca="1">SUMIFS('markov model'!M$7:M$3656, 'markov model'!L$7:L$3656,"&gt;="&amp;O75,'markov model'!L$7:L$3656,"&lt;"&amp;O76)</f>
        <v>97.083485786542312</v>
      </c>
      <c r="V75" s="72"/>
      <c r="W75" s="77">
        <v>74</v>
      </c>
      <c r="X75">
        <v>50.402076124567465</v>
      </c>
      <c r="Y75">
        <v>50.402076124567465</v>
      </c>
    </row>
    <row r="76" spans="13:25" x14ac:dyDescent="0.25">
      <c r="M76" s="59">
        <v>2</v>
      </c>
      <c r="N76" s="59">
        <v>31</v>
      </c>
      <c r="O76" s="59">
        <f>SUM(N$4:N76)</f>
        <v>2221</v>
      </c>
      <c r="P76" s="59">
        <f ca="1">SUMIFS('markov model'!M$7:M$3656, 'markov model'!L$7:L$3656,"&gt;="&amp;O76,'markov model'!L$7:L$3656,"&lt;"&amp;O77)</f>
        <v>81.629466990806492</v>
      </c>
      <c r="V76" s="72"/>
      <c r="W76" s="77">
        <v>75</v>
      </c>
      <c r="X76">
        <v>33.615224913494814</v>
      </c>
      <c r="Y76">
        <v>33.615224913494814</v>
      </c>
    </row>
    <row r="77" spans="13:25" x14ac:dyDescent="0.25">
      <c r="M77" s="59">
        <v>3</v>
      </c>
      <c r="N77" s="59">
        <v>28</v>
      </c>
      <c r="O77" s="59">
        <f>SUM(N$4:N77)</f>
        <v>2249</v>
      </c>
      <c r="P77" s="59">
        <f ca="1">SUMIFS('markov model'!M$7:M$3656, 'markov model'!L$7:L$3656,"&gt;="&amp;O77,'markov model'!L$7:L$3656,"&lt;"&amp;O78)</f>
        <v>101.04389389828891</v>
      </c>
      <c r="V77" s="72"/>
      <c r="W77" s="77">
        <v>76</v>
      </c>
      <c r="X77">
        <v>40.101038062283735</v>
      </c>
      <c r="Y77">
        <v>40.101038062283735</v>
      </c>
    </row>
    <row r="78" spans="13:25" x14ac:dyDescent="0.25">
      <c r="M78" s="59">
        <v>4</v>
      </c>
      <c r="N78" s="59">
        <v>31</v>
      </c>
      <c r="O78" s="59">
        <f>SUM(N$4:N78)</f>
        <v>2280</v>
      </c>
      <c r="P78" s="59">
        <f ca="1">SUMIFS('markov model'!M$7:M$3656, 'markov model'!L$7:L$3656,"&gt;="&amp;O78,'markov model'!L$7:L$3656,"&lt;"&amp;O79)</f>
        <v>99.493620031278709</v>
      </c>
      <c r="V78" s="72"/>
      <c r="W78" s="77">
        <v>77</v>
      </c>
      <c r="X78">
        <v>46.7757785467128</v>
      </c>
      <c r="Y78">
        <v>46.7757785467128</v>
      </c>
    </row>
    <row r="79" spans="13:25" x14ac:dyDescent="0.25">
      <c r="M79" s="59">
        <v>5</v>
      </c>
      <c r="N79" s="59">
        <v>30</v>
      </c>
      <c r="O79" s="59">
        <f>SUM(N$4:N79)</f>
        <v>2310</v>
      </c>
      <c r="P79" s="59">
        <f ca="1">SUMIFS('markov model'!M$7:M$3656, 'markov model'!L$7:L$3656,"&gt;="&amp;O79,'markov model'!L$7:L$3656,"&lt;"&amp;O80)</f>
        <v>100.62975421589822</v>
      </c>
      <c r="V79" s="72"/>
      <c r="W79" s="77">
        <v>78</v>
      </c>
      <c r="X79">
        <v>82.093425605536325</v>
      </c>
      <c r="Y79">
        <v>82.093425605536325</v>
      </c>
    </row>
    <row r="80" spans="13:25" x14ac:dyDescent="0.25">
      <c r="M80" s="59">
        <v>6</v>
      </c>
      <c r="N80" s="59">
        <v>31</v>
      </c>
      <c r="O80" s="59">
        <f>SUM(N$4:N80)</f>
        <v>2341</v>
      </c>
      <c r="P80" s="59">
        <f ca="1">SUMIFS('markov model'!M$7:M$3656, 'markov model'!L$7:L$3656,"&gt;="&amp;O80,'markov model'!L$7:L$3656,"&lt;"&amp;O81)</f>
        <v>101.02291043245027</v>
      </c>
      <c r="V80" s="72"/>
      <c r="W80" s="77">
        <v>79</v>
      </c>
      <c r="X80">
        <v>112.80622837370242</v>
      </c>
      <c r="Y80">
        <v>112.80622837370242</v>
      </c>
    </row>
    <row r="81" spans="13:25" x14ac:dyDescent="0.25">
      <c r="M81" s="59">
        <v>7</v>
      </c>
      <c r="N81" s="59">
        <v>30</v>
      </c>
      <c r="O81" s="59">
        <f>SUM(N$4:N81)</f>
        <v>2371</v>
      </c>
      <c r="P81" s="59">
        <f ca="1">SUMIFS('markov model'!M$7:M$3656, 'markov model'!L$7:L$3656,"&gt;="&amp;O81,'markov model'!L$7:L$3656,"&lt;"&amp;O82)</f>
        <v>148.19406292777236</v>
      </c>
      <c r="V81" s="72"/>
      <c r="W81" s="77">
        <v>80</v>
      </c>
      <c r="X81">
        <v>71.419377162629758</v>
      </c>
      <c r="Y81">
        <v>71.419377162629758</v>
      </c>
    </row>
    <row r="82" spans="13:25" x14ac:dyDescent="0.25">
      <c r="M82" s="59">
        <v>8</v>
      </c>
      <c r="N82" s="59">
        <v>31</v>
      </c>
      <c r="O82" s="59">
        <f>SUM(N$4:N82)</f>
        <v>2402</v>
      </c>
      <c r="P82" s="59">
        <f ca="1">SUMIFS('markov model'!M$7:M$3656, 'markov model'!L$7:L$3656,"&gt;="&amp;O82,'markov model'!L$7:L$3656,"&lt;"&amp;O83)</f>
        <v>99.439935352720966</v>
      </c>
      <c r="V82" s="72"/>
      <c r="W82" s="77">
        <v>81</v>
      </c>
      <c r="X82">
        <v>41.447750865051901</v>
      </c>
      <c r="Y82">
        <v>41.447750865051901</v>
      </c>
    </row>
    <row r="83" spans="13:25" x14ac:dyDescent="0.25">
      <c r="M83" s="59">
        <v>9</v>
      </c>
      <c r="N83" s="59">
        <v>31</v>
      </c>
      <c r="O83" s="59">
        <f>SUM(N$4:N83)</f>
        <v>2433</v>
      </c>
      <c r="P83" s="59">
        <f ca="1">SUMIFS('markov model'!M$7:M$3656, 'markov model'!L$7:L$3656,"&gt;="&amp;O83,'markov model'!L$7:L$3656,"&lt;"&amp;O84)</f>
        <v>81.150442059882792</v>
      </c>
      <c r="V83" s="72"/>
      <c r="W83" s="77">
        <v>82</v>
      </c>
      <c r="X83">
        <v>49.462283737024222</v>
      </c>
      <c r="Y83">
        <v>49.462283737024222</v>
      </c>
    </row>
    <row r="84" spans="13:25" x14ac:dyDescent="0.25">
      <c r="M84" s="59">
        <v>10</v>
      </c>
      <c r="N84" s="59">
        <v>30</v>
      </c>
      <c r="O84" s="59">
        <f>SUM(N$4:N84)</f>
        <v>2463</v>
      </c>
      <c r="P84" s="59">
        <f ca="1">SUMIFS('markov model'!M$7:M$3656, 'markov model'!L$7:L$3656,"&gt;="&amp;O84,'markov model'!L$7:L$3656,"&lt;"&amp;O85)</f>
        <v>93.468038653129867</v>
      </c>
      <c r="V84" s="72"/>
      <c r="W84" s="77">
        <v>83</v>
      </c>
      <c r="X84">
        <v>154.71972318339101</v>
      </c>
      <c r="Y84">
        <v>154.71972318339101</v>
      </c>
    </row>
    <row r="85" spans="13:25" x14ac:dyDescent="0.25">
      <c r="M85" s="59">
        <v>11</v>
      </c>
      <c r="N85" s="59">
        <v>31</v>
      </c>
      <c r="O85" s="59">
        <f>SUM(N$4:N85)</f>
        <v>2494</v>
      </c>
      <c r="P85" s="59">
        <f ca="1">SUMIFS('markov model'!M$7:M$3656, 'markov model'!L$7:L$3656,"&gt;="&amp;O85,'markov model'!L$7:L$3656,"&lt;"&amp;O86)</f>
        <v>81.692309499131511</v>
      </c>
      <c r="V85" s="72"/>
      <c r="W85" s="77">
        <v>84</v>
      </c>
      <c r="X85">
        <v>76.164013840830464</v>
      </c>
      <c r="Y85">
        <v>76.164013840830464</v>
      </c>
    </row>
    <row r="86" spans="13:25" x14ac:dyDescent="0.25">
      <c r="M86" s="59">
        <v>12</v>
      </c>
      <c r="N86" s="59">
        <v>30</v>
      </c>
      <c r="O86" s="59">
        <f>SUM(N$4:N86)</f>
        <v>2524</v>
      </c>
      <c r="P86" s="59">
        <f ca="1">SUMIFS('markov model'!M$7:M$3656, 'markov model'!L$7:L$3656,"&gt;="&amp;O86,'markov model'!L$7:L$3656,"&lt;"&amp;O87)</f>
        <v>62.585992316550289</v>
      </c>
      <c r="V86" s="72"/>
      <c r="W86" s="77">
        <v>85</v>
      </c>
      <c r="X86">
        <v>65.37024221453288</v>
      </c>
      <c r="Y86">
        <v>65.37024221453288</v>
      </c>
    </row>
    <row r="87" spans="13:25" x14ac:dyDescent="0.25">
      <c r="M87" s="59">
        <v>1</v>
      </c>
      <c r="N87" s="59">
        <v>31</v>
      </c>
      <c r="O87" s="59">
        <f>SUM(N$4:N87)</f>
        <v>2555</v>
      </c>
      <c r="P87" s="59">
        <f ca="1">SUMIFS('markov model'!M$7:M$3656, 'markov model'!L$7:L$3656,"&gt;="&amp;O87,'markov model'!L$7:L$3656,"&lt;"&amp;O88)</f>
        <v>64.042005310657473</v>
      </c>
      <c r="V87" s="72"/>
      <c r="W87" s="77">
        <v>86</v>
      </c>
      <c r="X87">
        <v>81.676816608996546</v>
      </c>
      <c r="Y87">
        <v>81.676816608996546</v>
      </c>
    </row>
    <row r="88" spans="13:25" x14ac:dyDescent="0.25">
      <c r="M88" s="59">
        <v>2</v>
      </c>
      <c r="N88" s="59">
        <v>31</v>
      </c>
      <c r="O88" s="59">
        <f>SUM(N$4:N88)</f>
        <v>2586</v>
      </c>
      <c r="P88" s="59">
        <f ca="1">SUMIFS('markov model'!M$7:M$3656, 'markov model'!L$7:L$3656,"&gt;="&amp;O88,'markov model'!L$7:L$3656,"&lt;"&amp;O89)</f>
        <v>98.214565922520478</v>
      </c>
      <c r="V88" s="72"/>
      <c r="W88" s="77">
        <v>87</v>
      </c>
      <c r="X88">
        <v>111.24913494809689</v>
      </c>
      <c r="Y88">
        <v>111.24913494809689</v>
      </c>
    </row>
    <row r="89" spans="13:25" x14ac:dyDescent="0.25">
      <c r="M89" s="59">
        <v>3</v>
      </c>
      <c r="N89" s="59">
        <v>28</v>
      </c>
      <c r="O89" s="59">
        <f>SUM(N$4:N89)</f>
        <v>2614</v>
      </c>
      <c r="P89" s="59">
        <f ca="1">SUMIFS('markov model'!M$7:M$3656, 'markov model'!L$7:L$3656,"&gt;="&amp;O89,'markov model'!L$7:L$3656,"&lt;"&amp;O90)</f>
        <v>88.918494562089407</v>
      </c>
      <c r="V89" s="72"/>
      <c r="W89" s="77">
        <v>88</v>
      </c>
      <c r="X89">
        <v>18.758477508650518</v>
      </c>
      <c r="Y89">
        <v>18.758477508650518</v>
      </c>
    </row>
    <row r="90" spans="13:25" x14ac:dyDescent="0.25">
      <c r="M90" s="59">
        <v>4</v>
      </c>
      <c r="N90" s="59">
        <v>31</v>
      </c>
      <c r="O90" s="59">
        <f>SUM(N$4:N90)</f>
        <v>2645</v>
      </c>
      <c r="P90" s="59">
        <f ca="1">SUMIFS('markov model'!M$7:M$3656, 'markov model'!L$7:L$3656,"&gt;="&amp;O90,'markov model'!L$7:L$3656,"&lt;"&amp;O91)</f>
        <v>71.19114415491218</v>
      </c>
      <c r="V90" s="72"/>
      <c r="W90" s="77">
        <v>89</v>
      </c>
      <c r="X90">
        <v>25.274048442906572</v>
      </c>
      <c r="Y90">
        <v>25.274048442906572</v>
      </c>
    </row>
    <row r="91" spans="13:25" x14ac:dyDescent="0.25">
      <c r="M91" s="59">
        <v>5</v>
      </c>
      <c r="N91" s="59">
        <v>30</v>
      </c>
      <c r="O91" s="59">
        <f>SUM(N$4:N91)</f>
        <v>2675</v>
      </c>
      <c r="P91" s="59">
        <f ca="1">SUMIFS('markov model'!M$7:M$3656, 'markov model'!L$7:L$3656,"&gt;="&amp;O91,'markov model'!L$7:L$3656,"&lt;"&amp;O92)</f>
        <v>74.942843579421478</v>
      </c>
      <c r="V91" s="72"/>
      <c r="W91" s="77">
        <v>90</v>
      </c>
      <c r="X91">
        <v>20.834602076124572</v>
      </c>
      <c r="Y91">
        <v>20.834602076124572</v>
      </c>
    </row>
    <row r="92" spans="13:25" x14ac:dyDescent="0.25">
      <c r="M92" s="59">
        <v>6</v>
      </c>
      <c r="N92" s="59">
        <v>31</v>
      </c>
      <c r="O92" s="59">
        <f>SUM(N$4:N92)</f>
        <v>2706</v>
      </c>
      <c r="P92" s="59">
        <f ca="1">SUMIFS('markov model'!M$7:M$3656, 'markov model'!L$7:L$3656,"&gt;="&amp;O92,'markov model'!L$7:L$3656,"&lt;"&amp;O93)</f>
        <v>80.00309278541684</v>
      </c>
      <c r="V92" s="72"/>
      <c r="W92" s="77">
        <v>91</v>
      </c>
      <c r="X92">
        <v>98.847750865051907</v>
      </c>
      <c r="Y92">
        <v>98.847750865051907</v>
      </c>
    </row>
    <row r="93" spans="13:25" x14ac:dyDescent="0.25">
      <c r="M93" s="59">
        <v>7</v>
      </c>
      <c r="N93" s="59">
        <v>30</v>
      </c>
      <c r="O93" s="59">
        <f>SUM(N$4:N93)</f>
        <v>2736</v>
      </c>
      <c r="P93" s="59">
        <f ca="1">SUMIFS('markov model'!M$7:M$3656, 'markov model'!L$7:L$3656,"&gt;="&amp;O93,'markov model'!L$7:L$3656,"&lt;"&amp;O94)</f>
        <v>108.988228028957</v>
      </c>
      <c r="V93" s="72"/>
      <c r="W93" s="77">
        <v>92</v>
      </c>
      <c r="X93">
        <v>68.326643598615931</v>
      </c>
      <c r="Y93">
        <v>68.326643598615931</v>
      </c>
    </row>
    <row r="94" spans="13:25" x14ac:dyDescent="0.25">
      <c r="M94" s="59">
        <v>8</v>
      </c>
      <c r="N94" s="59">
        <v>31</v>
      </c>
      <c r="O94" s="59">
        <f>SUM(N$4:N94)</f>
        <v>2767</v>
      </c>
      <c r="P94" s="59">
        <f ca="1">SUMIFS('markov model'!M$7:M$3656, 'markov model'!L$7:L$3656,"&gt;="&amp;O94,'markov model'!L$7:L$3656,"&lt;"&amp;O95)</f>
        <v>90.568115948473135</v>
      </c>
      <c r="V94" s="72"/>
      <c r="W94" s="77">
        <v>93</v>
      </c>
      <c r="X94">
        <v>76.393771626297564</v>
      </c>
      <c r="Y94">
        <v>76.393771626297564</v>
      </c>
    </row>
    <row r="95" spans="13:25" x14ac:dyDescent="0.25">
      <c r="M95" s="59">
        <v>9</v>
      </c>
      <c r="N95" s="59">
        <v>31</v>
      </c>
      <c r="O95" s="59">
        <f>SUM(N$4:N95)</f>
        <v>2798</v>
      </c>
      <c r="P95" s="59">
        <f ca="1">SUMIFS('markov model'!M$7:M$3656, 'markov model'!L$7:L$3656,"&gt;="&amp;O95,'markov model'!L$7:L$3656,"&lt;"&amp;O96)</f>
        <v>127.97313086974171</v>
      </c>
      <c r="V95" s="72"/>
      <c r="W95" s="77">
        <v>94</v>
      </c>
      <c r="X95">
        <v>64.666435986159172</v>
      </c>
      <c r="Y95">
        <v>64.666435986159172</v>
      </c>
    </row>
    <row r="96" spans="13:25" x14ac:dyDescent="0.25">
      <c r="M96" s="59">
        <v>10</v>
      </c>
      <c r="N96" s="59">
        <v>30</v>
      </c>
      <c r="O96" s="59">
        <f>SUM(N$4:N96)</f>
        <v>2828</v>
      </c>
      <c r="P96" s="59">
        <f ca="1">SUMIFS('markov model'!M$7:M$3656, 'markov model'!L$7:L$3656,"&gt;="&amp;O96,'markov model'!L$7:L$3656,"&lt;"&amp;O97)</f>
        <v>104.53113878025663</v>
      </c>
      <c r="V96" s="72"/>
      <c r="W96" s="77">
        <v>95</v>
      </c>
      <c r="X96">
        <v>143.59238754325258</v>
      </c>
      <c r="Y96">
        <v>143.59238754325258</v>
      </c>
    </row>
    <row r="97" spans="13:25" x14ac:dyDescent="0.25">
      <c r="M97" s="59">
        <v>11</v>
      </c>
      <c r="N97" s="59">
        <v>31</v>
      </c>
      <c r="O97" s="59">
        <f>SUM(N$4:N97)</f>
        <v>2859</v>
      </c>
      <c r="P97" s="59">
        <f ca="1">SUMIFS('markov model'!M$7:M$3656, 'markov model'!L$7:L$3656,"&gt;="&amp;O97,'markov model'!L$7:L$3656,"&lt;"&amp;O98)</f>
        <v>95.621763442881345</v>
      </c>
      <c r="V97" s="72"/>
      <c r="W97" s="77">
        <v>96</v>
      </c>
      <c r="X97">
        <v>67.688581314878917</v>
      </c>
      <c r="Y97">
        <v>67.688581314878917</v>
      </c>
    </row>
    <row r="98" spans="13:25" x14ac:dyDescent="0.25">
      <c r="M98" s="59">
        <v>12</v>
      </c>
      <c r="N98" s="59">
        <v>30</v>
      </c>
      <c r="O98" s="59">
        <f>SUM(N$4:N98)</f>
        <v>2889</v>
      </c>
      <c r="P98" s="59">
        <f ca="1">SUMIFS('markov model'!M$7:M$3656, 'markov model'!L$7:L$3656,"&gt;="&amp;O98,'markov model'!L$7:L$3656,"&lt;"&amp;O99)</f>
        <v>100.72206844780182</v>
      </c>
      <c r="V98" s="72"/>
      <c r="W98" s="77">
        <v>97</v>
      </c>
      <c r="X98">
        <v>55.538408304498269</v>
      </c>
      <c r="Y98">
        <v>55.538408304498269</v>
      </c>
    </row>
    <row r="99" spans="13:25" x14ac:dyDescent="0.25">
      <c r="M99" s="59">
        <v>1</v>
      </c>
      <c r="N99" s="59">
        <v>31</v>
      </c>
      <c r="O99" s="59">
        <f>SUM(N$4:N99)</f>
        <v>2920</v>
      </c>
      <c r="P99" s="59">
        <f ca="1">SUMIFS('markov model'!M$7:M$3656, 'markov model'!L$7:L$3656,"&gt;="&amp;O99,'markov model'!L$7:L$3656,"&lt;"&amp;O100)</f>
        <v>125.83050086379289</v>
      </c>
      <c r="V99" s="72"/>
      <c r="W99" s="77">
        <v>98</v>
      </c>
      <c r="X99">
        <v>80.361245674740488</v>
      </c>
      <c r="Y99">
        <v>80.361245674740488</v>
      </c>
    </row>
    <row r="100" spans="13:25" x14ac:dyDescent="0.25">
      <c r="M100" s="59">
        <v>2</v>
      </c>
      <c r="N100" s="59">
        <v>31</v>
      </c>
      <c r="O100" s="59">
        <f>SUM(N$4:N100)</f>
        <v>2951</v>
      </c>
      <c r="P100" s="59">
        <f ca="1">SUMIFS('markov model'!M$7:M$3656, 'markov model'!L$7:L$3656,"&gt;="&amp;O100,'markov model'!L$7:L$3656,"&lt;"&amp;O101)</f>
        <v>46.141517901066607</v>
      </c>
      <c r="V100" s="72"/>
      <c r="W100" s="77">
        <v>99</v>
      </c>
      <c r="X100">
        <v>41.730103806228371</v>
      </c>
      <c r="Y100">
        <v>41.730103806228371</v>
      </c>
    </row>
    <row r="101" spans="13:25" x14ac:dyDescent="0.25">
      <c r="M101" s="59">
        <v>3</v>
      </c>
      <c r="N101" s="59">
        <v>28</v>
      </c>
      <c r="O101" s="59">
        <f>SUM(N$4:N101)</f>
        <v>2979</v>
      </c>
      <c r="P101" s="59">
        <f ca="1">SUMIFS('markov model'!M$7:M$3656, 'markov model'!L$7:L$3656,"&gt;="&amp;O101,'markov model'!L$7:L$3656,"&lt;"&amp;O102)</f>
        <v>103.68148726927714</v>
      </c>
      <c r="V101" s="72"/>
      <c r="W101" s="77">
        <v>100</v>
      </c>
      <c r="X101">
        <v>13.913494809688581</v>
      </c>
      <c r="Y101">
        <v>13.913494809688581</v>
      </c>
    </row>
    <row r="102" spans="13:25" x14ac:dyDescent="0.25">
      <c r="M102" s="59">
        <v>4</v>
      </c>
      <c r="N102" s="59">
        <v>31</v>
      </c>
      <c r="O102" s="59">
        <f>SUM(N$4:N102)</f>
        <v>3010</v>
      </c>
      <c r="P102" s="59">
        <f ca="1">SUMIFS('markov model'!M$7:M$3656, 'markov model'!L$7:L$3656,"&gt;="&amp;O102,'markov model'!L$7:L$3656,"&lt;"&amp;O103)</f>
        <v>64.161324897217384</v>
      </c>
      <c r="V102" s="72"/>
      <c r="W102" s="77">
        <v>101</v>
      </c>
      <c r="X102">
        <v>64.54671280276817</v>
      </c>
      <c r="Y102">
        <v>64.54671280276817</v>
      </c>
    </row>
    <row r="103" spans="13:25" x14ac:dyDescent="0.25">
      <c r="M103" s="59">
        <v>5</v>
      </c>
      <c r="N103" s="59">
        <v>30</v>
      </c>
      <c r="O103" s="59">
        <f>SUM(N$4:N103)</f>
        <v>3040</v>
      </c>
      <c r="P103" s="59">
        <f ca="1">SUMIFS('markov model'!M$7:M$3656, 'markov model'!L$7:L$3656,"&gt;="&amp;O103,'markov model'!L$7:L$3656,"&lt;"&amp;O104)</f>
        <v>85.422674046601301</v>
      </c>
      <c r="V103" s="72"/>
      <c r="W103" s="77">
        <v>102</v>
      </c>
      <c r="X103">
        <v>78.817993079584795</v>
      </c>
      <c r="Y103">
        <v>78.817993079584795</v>
      </c>
    </row>
    <row r="104" spans="13:25" x14ac:dyDescent="0.25">
      <c r="M104" s="59">
        <v>6</v>
      </c>
      <c r="N104" s="59">
        <v>31</v>
      </c>
      <c r="O104" s="59">
        <f>SUM(N$4:N104)</f>
        <v>3071</v>
      </c>
      <c r="P104" s="59">
        <f ca="1">SUMIFS('markov model'!M$7:M$3656, 'markov model'!L$7:L$3656,"&gt;="&amp;O104,'markov model'!L$7:L$3656,"&lt;"&amp;O105)</f>
        <v>90.687338851453589</v>
      </c>
      <c r="V104" s="72"/>
      <c r="W104" s="77">
        <v>103</v>
      </c>
      <c r="X104">
        <v>99.444290657439439</v>
      </c>
      <c r="Y104">
        <v>99.444290657439439</v>
      </c>
    </row>
    <row r="105" spans="13:25" x14ac:dyDescent="0.25">
      <c r="M105" s="59">
        <v>7</v>
      </c>
      <c r="N105" s="59">
        <v>30</v>
      </c>
      <c r="O105" s="59">
        <f>SUM(N$4:N105)</f>
        <v>3101</v>
      </c>
      <c r="P105" s="59">
        <f ca="1">SUMIFS('markov model'!M$7:M$3656, 'markov model'!L$7:L$3656,"&gt;="&amp;O105,'markov model'!L$7:L$3656,"&lt;"&amp;O106)</f>
        <v>93.33043732871522</v>
      </c>
      <c r="V105" s="72"/>
      <c r="W105" s="77">
        <v>104</v>
      </c>
      <c r="X105">
        <v>104.57162629757788</v>
      </c>
      <c r="Y105">
        <v>104.57162629757788</v>
      </c>
    </row>
    <row r="106" spans="13:25" x14ac:dyDescent="0.25">
      <c r="M106" s="59">
        <v>8</v>
      </c>
      <c r="N106" s="59">
        <v>31</v>
      </c>
      <c r="O106" s="59">
        <f>SUM(N$4:N106)</f>
        <v>3132</v>
      </c>
      <c r="P106" s="59">
        <f ca="1">SUMIFS('markov model'!M$7:M$3656, 'markov model'!L$7:L$3656,"&gt;="&amp;O106,'markov model'!L$7:L$3656,"&lt;"&amp;O107)</f>
        <v>78.955932358632083</v>
      </c>
      <c r="V106" s="72"/>
      <c r="W106" s="77">
        <v>105</v>
      </c>
      <c r="X106">
        <v>44.425605536332178</v>
      </c>
      <c r="Y106">
        <v>44.425605536332178</v>
      </c>
    </row>
    <row r="107" spans="13:25" x14ac:dyDescent="0.25">
      <c r="M107" s="59">
        <v>9</v>
      </c>
      <c r="N107" s="59">
        <v>31</v>
      </c>
      <c r="O107" s="59">
        <f>SUM(N$4:N107)</f>
        <v>3163</v>
      </c>
      <c r="P107" s="59">
        <f ca="1">SUMIFS('markov model'!M$7:M$3656, 'markov model'!L$7:L$3656,"&gt;="&amp;O107,'markov model'!L$7:L$3656,"&lt;"&amp;O108)</f>
        <v>107.29769040386839</v>
      </c>
      <c r="V107" s="72"/>
      <c r="W107" s="77">
        <v>106</v>
      </c>
      <c r="X107">
        <v>50.242214532871969</v>
      </c>
      <c r="Y107">
        <v>50.242214532871969</v>
      </c>
    </row>
    <row r="108" spans="13:25" x14ac:dyDescent="0.25">
      <c r="M108" s="59">
        <v>10</v>
      </c>
      <c r="N108" s="59">
        <v>30</v>
      </c>
      <c r="O108" s="59">
        <f>SUM(N$4:N108)</f>
        <v>3193</v>
      </c>
      <c r="P108" s="59">
        <f ca="1">SUMIFS('markov model'!M$7:M$3656, 'markov model'!L$7:L$3656,"&gt;="&amp;O108,'markov model'!L$7:L$3656,"&lt;"&amp;O109)</f>
        <v>88.37909842737109</v>
      </c>
      <c r="V108" s="72"/>
      <c r="W108" s="77">
        <v>107</v>
      </c>
      <c r="X108">
        <v>48.876816608996542</v>
      </c>
      <c r="Y108">
        <v>48.876816608996542</v>
      </c>
    </row>
    <row r="109" spans="13:25" x14ac:dyDescent="0.25">
      <c r="M109" s="59">
        <v>11</v>
      </c>
      <c r="N109" s="59">
        <v>31</v>
      </c>
      <c r="O109" s="59">
        <f>SUM(N$4:N109)</f>
        <v>3224</v>
      </c>
      <c r="P109" s="59">
        <f ca="1">SUMIFS('markov model'!M$7:M$3656, 'markov model'!L$7:L$3656,"&gt;="&amp;O109,'markov model'!L$7:L$3656,"&lt;"&amp;O110)</f>
        <v>62.96459747766842</v>
      </c>
      <c r="V109" s="72"/>
      <c r="W109" s="77">
        <v>108</v>
      </c>
      <c r="X109">
        <v>81.092733564013841</v>
      </c>
      <c r="Y109">
        <v>81.092733564013841</v>
      </c>
    </row>
    <row r="110" spans="13:25" x14ac:dyDescent="0.25">
      <c r="M110" s="59">
        <v>12</v>
      </c>
      <c r="N110" s="59">
        <v>30</v>
      </c>
      <c r="O110" s="59">
        <f>SUM(N$4:N110)</f>
        <v>3254</v>
      </c>
      <c r="P110" s="59">
        <f ca="1">SUMIFS('markov model'!M$7:M$3656, 'markov model'!L$7:L$3656,"&gt;="&amp;O110,'markov model'!L$7:L$3656,"&lt;"&amp;O111)</f>
        <v>94.994017342561818</v>
      </c>
      <c r="V110" s="72"/>
      <c r="W110" s="77">
        <v>109</v>
      </c>
      <c r="X110">
        <v>45.489965397923875</v>
      </c>
      <c r="Y110">
        <v>45.489965397923875</v>
      </c>
    </row>
    <row r="111" spans="13:25" x14ac:dyDescent="0.25">
      <c r="M111" s="59">
        <v>1</v>
      </c>
      <c r="N111" s="59">
        <v>31</v>
      </c>
      <c r="O111" s="59">
        <f>SUM(N$4:N111)</f>
        <v>3285</v>
      </c>
      <c r="P111" s="59">
        <f ca="1">SUMIFS('markov model'!M$7:M$3656, 'markov model'!L$7:L$3656,"&gt;="&amp;O111,'markov model'!L$7:L$3656,"&lt;"&amp;O112)</f>
        <v>58.742131967766035</v>
      </c>
      <c r="V111" s="72"/>
      <c r="W111" s="77">
        <v>110</v>
      </c>
      <c r="X111">
        <v>21.7598615916955</v>
      </c>
      <c r="Y111">
        <v>21.7598615916955</v>
      </c>
    </row>
    <row r="112" spans="13:25" x14ac:dyDescent="0.25">
      <c r="M112" s="59">
        <v>2</v>
      </c>
      <c r="N112" s="59">
        <v>31</v>
      </c>
      <c r="O112" s="59">
        <f>SUM(N$4:N112)</f>
        <v>3316</v>
      </c>
      <c r="P112" s="59">
        <f ca="1">SUMIFS('markov model'!M$7:M$3656, 'markov model'!L$7:L$3656,"&gt;="&amp;O112,'markov model'!L$7:L$3656,"&lt;"&amp;O113)</f>
        <v>74.013720201025023</v>
      </c>
      <c r="V112" s="72"/>
      <c r="W112" s="77">
        <v>111</v>
      </c>
      <c r="X112">
        <v>9.1245674740484439</v>
      </c>
      <c r="Y112">
        <v>9.1245674740484439</v>
      </c>
    </row>
    <row r="113" spans="13:25" x14ac:dyDescent="0.25">
      <c r="M113" s="59">
        <v>3</v>
      </c>
      <c r="N113" s="59">
        <v>28</v>
      </c>
      <c r="O113" s="59">
        <f>SUM(N$4:N113)</f>
        <v>3344</v>
      </c>
      <c r="P113" s="59">
        <f ca="1">SUMIFS('markov model'!M$7:M$3656, 'markov model'!L$7:L$3656,"&gt;="&amp;O113,'markov model'!L$7:L$3656,"&lt;"&amp;O114)</f>
        <v>81.841015914946098</v>
      </c>
      <c r="V113" s="72"/>
      <c r="W113" s="77">
        <v>112</v>
      </c>
      <c r="X113">
        <v>126.90934256055364</v>
      </c>
      <c r="Y113">
        <v>126.90934256055364</v>
      </c>
    </row>
    <row r="114" spans="13:25" x14ac:dyDescent="0.25">
      <c r="M114" s="59">
        <v>4</v>
      </c>
      <c r="N114" s="59">
        <v>31</v>
      </c>
      <c r="O114" s="59">
        <f>SUM(N$4:N114)</f>
        <v>3375</v>
      </c>
      <c r="P114" s="59">
        <f ca="1">SUMIFS('markov model'!M$7:M$3656, 'markov model'!L$7:L$3656,"&gt;="&amp;O114,'markov model'!L$7:L$3656,"&lt;"&amp;O115)</f>
        <v>87.644610299652243</v>
      </c>
      <c r="V114" s="72"/>
      <c r="W114" s="77">
        <v>113</v>
      </c>
      <c r="X114">
        <v>62.279584775086505</v>
      </c>
      <c r="Y114">
        <v>62.279584775086505</v>
      </c>
    </row>
    <row r="115" spans="13:25" x14ac:dyDescent="0.25">
      <c r="M115" s="59">
        <v>5</v>
      </c>
      <c r="N115" s="59">
        <v>30</v>
      </c>
      <c r="O115" s="59">
        <f>SUM(N$4:N115)</f>
        <v>3405</v>
      </c>
      <c r="P115" s="59">
        <f ca="1">SUMIFS('markov model'!M$7:M$3656, 'markov model'!L$7:L$3656,"&gt;="&amp;O115,'markov model'!L$7:L$3656,"&lt;"&amp;O116)</f>
        <v>120.14611876710039</v>
      </c>
      <c r="V115" s="72"/>
      <c r="W115" s="77">
        <v>114</v>
      </c>
      <c r="X115">
        <v>143.92733564013841</v>
      </c>
      <c r="Y115">
        <v>143.92733564013841</v>
      </c>
    </row>
    <row r="116" spans="13:25" x14ac:dyDescent="0.25">
      <c r="M116" s="59">
        <v>6</v>
      </c>
      <c r="N116" s="59">
        <v>31</v>
      </c>
      <c r="O116" s="59">
        <f>SUM(N$4:N116)</f>
        <v>3436</v>
      </c>
      <c r="P116" s="59">
        <f ca="1">SUMIFS('markov model'!M$7:M$3656, 'markov model'!L$7:L$3656,"&gt;="&amp;O116,'markov model'!L$7:L$3656,"&lt;"&amp;O117)</f>
        <v>95.73389411642269</v>
      </c>
      <c r="V116" s="72"/>
      <c r="W116" s="77">
        <v>115</v>
      </c>
      <c r="X116">
        <v>102.09342560553632</v>
      </c>
      <c r="Y116">
        <v>102.09342560553632</v>
      </c>
    </row>
    <row r="117" spans="13:25" x14ac:dyDescent="0.25">
      <c r="M117" s="59">
        <v>7</v>
      </c>
      <c r="N117" s="59">
        <v>30</v>
      </c>
      <c r="O117" s="59">
        <f>SUM(N$4:N117)</f>
        <v>3466</v>
      </c>
      <c r="P117" s="59">
        <f ca="1">SUMIFS('markov model'!M$7:M$3656, 'markov model'!L$7:L$3656,"&gt;="&amp;O117,'markov model'!L$7:L$3656,"&lt;"&amp;O118)</f>
        <v>122.25554148567606</v>
      </c>
      <c r="V117" s="72"/>
      <c r="W117" s="77">
        <v>116</v>
      </c>
      <c r="X117">
        <v>111.7121107266436</v>
      </c>
      <c r="Y117">
        <v>111.7121107266436</v>
      </c>
    </row>
    <row r="118" spans="13:25" x14ac:dyDescent="0.25">
      <c r="M118" s="59">
        <v>8</v>
      </c>
      <c r="N118" s="59">
        <v>31</v>
      </c>
      <c r="O118" s="59">
        <f>SUM(N$4:N118)</f>
        <v>3497</v>
      </c>
      <c r="P118" s="59">
        <f ca="1">SUMIFS('markov model'!M$7:M$3656, 'markov model'!L$7:L$3656,"&gt;="&amp;O118,'markov model'!L$7:L$3656,"&lt;"&amp;O119)</f>
        <v>158.01198038893173</v>
      </c>
      <c r="V118" s="72"/>
      <c r="W118" s="77">
        <v>117</v>
      </c>
      <c r="X118">
        <v>109.68581314878894</v>
      </c>
      <c r="Y118">
        <v>109.68581314878894</v>
      </c>
    </row>
    <row r="119" spans="13:25" x14ac:dyDescent="0.25">
      <c r="M119" s="59">
        <v>9</v>
      </c>
      <c r="N119" s="59">
        <v>31</v>
      </c>
      <c r="O119" s="59">
        <f>SUM(N$4:N119)</f>
        <v>3528</v>
      </c>
      <c r="P119" s="59">
        <f ca="1">SUMIFS('markov model'!M$7:M$3656, 'markov model'!L$7:L$3656,"&gt;="&amp;O119,'markov model'!L$7:L$3656,"&lt;"&amp;O120)</f>
        <v>98.902234253546851</v>
      </c>
      <c r="V119" s="72"/>
      <c r="W119" s="77">
        <v>118</v>
      </c>
      <c r="X119">
        <v>85.471280276816628</v>
      </c>
      <c r="Y119">
        <v>85.471280276816628</v>
      </c>
    </row>
    <row r="120" spans="13:25" x14ac:dyDescent="0.25">
      <c r="M120" s="59">
        <v>10</v>
      </c>
      <c r="N120" s="59">
        <v>30</v>
      </c>
      <c r="O120" s="59">
        <f>SUM(N$4:N120)</f>
        <v>3558</v>
      </c>
      <c r="P120" s="59">
        <f ca="1">SUMIFS('markov model'!M$7:M$3656, 'markov model'!L$7:L$3656,"&gt;="&amp;O120,'markov model'!L$7:L$3656,"&lt;"&amp;O121)</f>
        <v>81.285039102706676</v>
      </c>
      <c r="V120" s="72"/>
      <c r="W120" s="77">
        <v>119</v>
      </c>
      <c r="X120">
        <v>95.520415224913478</v>
      </c>
      <c r="Y120">
        <v>95.520415224913478</v>
      </c>
    </row>
    <row r="121" spans="13:25" x14ac:dyDescent="0.25">
      <c r="M121" s="59">
        <v>11</v>
      </c>
      <c r="N121" s="59">
        <v>31</v>
      </c>
      <c r="O121" s="59">
        <f>SUM(N$4:N121)</f>
        <v>3589</v>
      </c>
      <c r="P121" s="59">
        <f ca="1">SUMIFS('markov model'!M$7:M$3656, 'markov model'!L$7:L$3656,"&gt;="&amp;O121,'markov model'!L$7:L$3656,"&lt;"&amp;O122)</f>
        <v>83.533187762960125</v>
      </c>
      <c r="V121" s="72"/>
      <c r="W121" s="77">
        <v>120</v>
      </c>
      <c r="X121">
        <v>126.67958477508651</v>
      </c>
      <c r="Y121">
        <v>126.67958477508651</v>
      </c>
    </row>
    <row r="122" spans="13:25" x14ac:dyDescent="0.25">
      <c r="M122" s="59">
        <v>12</v>
      </c>
      <c r="N122" s="59">
        <v>30</v>
      </c>
      <c r="O122" s="59">
        <f>SUM(N$4:N122)</f>
        <v>3619</v>
      </c>
      <c r="P122" s="59">
        <f ca="1">SUMIFS('markov model'!M$7:M$3656, 'markov model'!L$7:L$3656,"&gt;="&amp;O122,'markov model'!L$7:L$3656,"&lt;"&amp;O123)</f>
        <v>127.87857306370896</v>
      </c>
      <c r="V122" s="72"/>
      <c r="W122" s="77" t="s">
        <v>91</v>
      </c>
      <c r="X122">
        <v>8177.2761245674756</v>
      </c>
      <c r="Y122">
        <v>8177.2761245674756</v>
      </c>
    </row>
    <row r="123" spans="13:25" x14ac:dyDescent="0.25">
      <c r="N123">
        <v>31</v>
      </c>
      <c r="O123">
        <f>SUM(N$4:N123)</f>
        <v>3650</v>
      </c>
      <c r="P123">
        <f>SUMIFS('markov model'!M$7:M$3656, 'markov model'!L$7:L$3656,"&gt;="&amp;O123,'markov model'!L$7:L$3656,"&lt;"&amp;O124)</f>
        <v>0</v>
      </c>
      <c r="V123" s="72"/>
    </row>
    <row r="124" spans="13:25" x14ac:dyDescent="0.25">
      <c r="O124" s="74"/>
      <c r="P124" s="74"/>
      <c r="Q124" s="74"/>
      <c r="R124" s="74"/>
      <c r="V124" s="72"/>
    </row>
    <row r="125" spans="13:25" x14ac:dyDescent="0.25">
      <c r="O125" s="74"/>
      <c r="P125" s="74"/>
      <c r="Q125" s="74"/>
      <c r="R125" s="74"/>
      <c r="V125" s="72"/>
    </row>
    <row r="126" spans="13:25" x14ac:dyDescent="0.25">
      <c r="O126" s="74"/>
      <c r="P126" s="74"/>
      <c r="Q126" s="74"/>
      <c r="R126" s="74"/>
      <c r="V126" s="72"/>
    </row>
    <row r="127" spans="13:25" x14ac:dyDescent="0.25">
      <c r="O127" s="74"/>
      <c r="P127" s="74"/>
      <c r="Q127" s="74"/>
      <c r="R127" s="74"/>
      <c r="V127" s="72"/>
    </row>
    <row r="128" spans="13:25" x14ac:dyDescent="0.25">
      <c r="O128" s="74"/>
      <c r="P128" s="74"/>
      <c r="Q128" s="74"/>
      <c r="R128" s="74"/>
      <c r="V128" s="72"/>
    </row>
    <row r="129" spans="15:22" x14ac:dyDescent="0.25">
      <c r="O129" s="74"/>
      <c r="P129" s="74"/>
      <c r="Q129" s="74"/>
      <c r="R129" s="74"/>
      <c r="V129" s="72"/>
    </row>
    <row r="130" spans="15:22" x14ac:dyDescent="0.25">
      <c r="O130" s="74"/>
      <c r="P130" s="74"/>
      <c r="Q130" s="74"/>
      <c r="R130" s="74"/>
      <c r="V130" s="72"/>
    </row>
    <row r="131" spans="15:22" x14ac:dyDescent="0.25">
      <c r="O131" s="74"/>
      <c r="P131" s="74"/>
      <c r="Q131" s="74"/>
      <c r="R131" s="74"/>
      <c r="V131" s="72"/>
    </row>
    <row r="132" spans="15:22" x14ac:dyDescent="0.25">
      <c r="O132" s="74"/>
      <c r="P132" s="74"/>
      <c r="Q132" s="74"/>
      <c r="R132" s="74"/>
      <c r="V132" s="72"/>
    </row>
    <row r="133" spans="15:22" x14ac:dyDescent="0.25">
      <c r="O133" s="74"/>
      <c r="P133" s="74"/>
      <c r="Q133" s="74"/>
      <c r="R133" s="74"/>
      <c r="V133" s="72"/>
    </row>
    <row r="134" spans="15:22" x14ac:dyDescent="0.25">
      <c r="O134" s="74"/>
      <c r="P134" s="74"/>
      <c r="Q134" s="74"/>
      <c r="R134" s="74"/>
      <c r="V134" s="72"/>
    </row>
    <row r="135" spans="15:22" x14ac:dyDescent="0.25">
      <c r="O135" s="74"/>
      <c r="P135" s="74"/>
      <c r="Q135" s="74"/>
      <c r="R135" s="74"/>
      <c r="V135" s="72"/>
    </row>
    <row r="136" spans="15:22" x14ac:dyDescent="0.25">
      <c r="O136" s="74"/>
      <c r="P136" s="74"/>
      <c r="Q136" s="74"/>
      <c r="R136" s="74"/>
      <c r="V136" s="72"/>
    </row>
    <row r="137" spans="15:22" x14ac:dyDescent="0.25">
      <c r="O137" s="74"/>
      <c r="P137" s="74"/>
      <c r="Q137" s="74"/>
      <c r="R137" s="74"/>
      <c r="V137" s="72"/>
    </row>
    <row r="138" spans="15:22" x14ac:dyDescent="0.25">
      <c r="O138" s="74"/>
      <c r="P138" s="74"/>
      <c r="Q138" s="74"/>
      <c r="R138" s="74"/>
      <c r="V138" s="72"/>
    </row>
    <row r="139" spans="15:22" x14ac:dyDescent="0.25">
      <c r="O139" s="74"/>
      <c r="P139" s="74"/>
      <c r="Q139" s="74"/>
      <c r="R139" s="74"/>
      <c r="V139" s="72"/>
    </row>
    <row r="140" spans="15:22" x14ac:dyDescent="0.25">
      <c r="O140" s="74"/>
      <c r="P140" s="74"/>
      <c r="Q140" s="74"/>
      <c r="R140" s="74"/>
      <c r="V140" s="72"/>
    </row>
    <row r="141" spans="15:22" x14ac:dyDescent="0.25">
      <c r="O141" s="74"/>
      <c r="P141" s="74"/>
      <c r="Q141" s="74"/>
      <c r="R141" s="74"/>
      <c r="V141" s="72"/>
    </row>
    <row r="142" spans="15:22" x14ac:dyDescent="0.25">
      <c r="O142" s="74"/>
      <c r="P142" s="74"/>
      <c r="Q142" s="74"/>
      <c r="R142" s="74"/>
      <c r="V142" s="72"/>
    </row>
    <row r="143" spans="15:22" x14ac:dyDescent="0.25">
      <c r="O143" s="74"/>
      <c r="P143" s="74"/>
      <c r="Q143" s="74"/>
      <c r="R143" s="74"/>
      <c r="V143" s="72"/>
    </row>
    <row r="144" spans="15:22" x14ac:dyDescent="0.25">
      <c r="O144" s="74"/>
      <c r="P144" s="74"/>
      <c r="Q144" s="74"/>
      <c r="R144" s="74"/>
      <c r="V144" s="72"/>
    </row>
    <row r="145" spans="15:22" x14ac:dyDescent="0.25">
      <c r="O145" s="74"/>
      <c r="P145" s="74"/>
      <c r="Q145" s="74"/>
      <c r="R145" s="74"/>
      <c r="V145" s="72"/>
    </row>
    <row r="146" spans="15:22" x14ac:dyDescent="0.25">
      <c r="O146" s="74"/>
      <c r="P146" s="74"/>
      <c r="Q146" s="74"/>
      <c r="R146" s="74"/>
      <c r="V146" s="72"/>
    </row>
    <row r="147" spans="15:22" x14ac:dyDescent="0.25">
      <c r="O147" s="74"/>
      <c r="P147" s="74"/>
      <c r="Q147" s="74"/>
      <c r="R147" s="74"/>
      <c r="V147" s="72"/>
    </row>
    <row r="148" spans="15:22" x14ac:dyDescent="0.25">
      <c r="O148" s="74"/>
      <c r="P148" s="74"/>
      <c r="Q148" s="74"/>
      <c r="R148" s="74"/>
      <c r="V148" s="72"/>
    </row>
    <row r="149" spans="15:22" x14ac:dyDescent="0.25">
      <c r="O149" s="74"/>
      <c r="P149" s="74"/>
      <c r="Q149" s="74"/>
      <c r="R149" s="74"/>
      <c r="V149" s="72"/>
    </row>
    <row r="150" spans="15:22" x14ac:dyDescent="0.25">
      <c r="O150" s="74"/>
      <c r="P150" s="74"/>
      <c r="Q150" s="74"/>
      <c r="R150" s="74"/>
      <c r="V150" s="72"/>
    </row>
    <row r="151" spans="15:22" x14ac:dyDescent="0.25">
      <c r="O151" s="74"/>
      <c r="P151" s="74"/>
      <c r="Q151" s="74"/>
      <c r="R151" s="74"/>
      <c r="V151" s="72"/>
    </row>
    <row r="152" spans="15:22" x14ac:dyDescent="0.25">
      <c r="O152" s="74"/>
      <c r="P152" s="74"/>
      <c r="Q152" s="74"/>
      <c r="R152" s="74"/>
      <c r="V152" s="72"/>
    </row>
    <row r="153" spans="15:22" x14ac:dyDescent="0.25">
      <c r="O153" s="74"/>
      <c r="P153" s="74"/>
      <c r="Q153" s="74"/>
      <c r="R153" s="74"/>
      <c r="V153" s="72"/>
    </row>
    <row r="154" spans="15:22" x14ac:dyDescent="0.25">
      <c r="O154" s="74"/>
      <c r="P154" s="74"/>
      <c r="Q154" s="74"/>
      <c r="R154" s="74"/>
      <c r="V154" s="72"/>
    </row>
    <row r="155" spans="15:22" x14ac:dyDescent="0.25">
      <c r="O155" s="74"/>
      <c r="P155" s="74"/>
      <c r="Q155" s="74"/>
      <c r="R155" s="74"/>
      <c r="V155" s="72"/>
    </row>
    <row r="156" spans="15:22" x14ac:dyDescent="0.25">
      <c r="O156" s="74"/>
      <c r="P156" s="74"/>
      <c r="Q156" s="74"/>
      <c r="R156" s="74"/>
      <c r="V156" s="72"/>
    </row>
    <row r="157" spans="15:22" x14ac:dyDescent="0.25">
      <c r="O157" s="74"/>
      <c r="P157" s="74"/>
      <c r="Q157" s="74"/>
      <c r="R157" s="74"/>
      <c r="V157" s="72"/>
    </row>
    <row r="158" spans="15:22" x14ac:dyDescent="0.25">
      <c r="O158" s="74"/>
      <c r="P158" s="74"/>
      <c r="Q158" s="74"/>
      <c r="R158" s="74"/>
      <c r="V158" s="72"/>
    </row>
    <row r="159" spans="15:22" x14ac:dyDescent="0.25">
      <c r="O159" s="74"/>
      <c r="P159" s="74"/>
      <c r="Q159" s="74"/>
      <c r="R159" s="74"/>
      <c r="V159" s="72"/>
    </row>
    <row r="160" spans="15:22" x14ac:dyDescent="0.25">
      <c r="O160" s="74"/>
      <c r="P160" s="74"/>
      <c r="Q160" s="74"/>
      <c r="R160" s="74"/>
      <c r="V160" s="72"/>
    </row>
    <row r="161" spans="15:22" x14ac:dyDescent="0.25">
      <c r="O161" s="74"/>
      <c r="P161" s="74"/>
      <c r="Q161" s="74"/>
      <c r="R161" s="74"/>
      <c r="V161" s="72"/>
    </row>
    <row r="162" spans="15:22" x14ac:dyDescent="0.25">
      <c r="O162" s="74"/>
      <c r="P162" s="74"/>
      <c r="Q162" s="74"/>
      <c r="R162" s="74"/>
      <c r="V162" s="72"/>
    </row>
    <row r="163" spans="15:22" x14ac:dyDescent="0.25">
      <c r="O163" s="74"/>
      <c r="P163" s="74"/>
      <c r="Q163" s="74"/>
      <c r="R163" s="74"/>
      <c r="V163" s="72"/>
    </row>
    <row r="164" spans="15:22" x14ac:dyDescent="0.25">
      <c r="O164" s="74"/>
      <c r="P164" s="74"/>
      <c r="Q164" s="74"/>
      <c r="R164" s="74"/>
      <c r="V164" s="72"/>
    </row>
    <row r="165" spans="15:22" x14ac:dyDescent="0.25">
      <c r="O165" s="74"/>
      <c r="P165" s="74"/>
      <c r="Q165" s="74"/>
      <c r="R165" s="74"/>
      <c r="V165" s="72"/>
    </row>
    <row r="166" spans="15:22" x14ac:dyDescent="0.25">
      <c r="O166" s="74"/>
      <c r="P166" s="74"/>
      <c r="Q166" s="74"/>
      <c r="R166" s="74"/>
      <c r="V166" s="72"/>
    </row>
    <row r="167" spans="15:22" x14ac:dyDescent="0.25">
      <c r="O167" s="74"/>
      <c r="P167" s="74"/>
      <c r="Q167" s="74"/>
      <c r="R167" s="74"/>
      <c r="V167" s="72"/>
    </row>
    <row r="168" spans="15:22" x14ac:dyDescent="0.25">
      <c r="O168" s="74"/>
      <c r="P168" s="74"/>
      <c r="Q168" s="74"/>
      <c r="R168" s="74"/>
      <c r="V168" s="72"/>
    </row>
    <row r="169" spans="15:22" x14ac:dyDescent="0.25">
      <c r="O169" s="74"/>
      <c r="P169" s="74"/>
      <c r="Q169" s="74"/>
      <c r="R169" s="74"/>
      <c r="V169" s="72"/>
    </row>
    <row r="170" spans="15:22" x14ac:dyDescent="0.25">
      <c r="O170" s="74"/>
      <c r="P170" s="74"/>
      <c r="Q170" s="74"/>
      <c r="R170" s="74"/>
      <c r="V170" s="72"/>
    </row>
    <row r="171" spans="15:22" x14ac:dyDescent="0.25">
      <c r="O171" s="74"/>
      <c r="P171" s="74"/>
      <c r="Q171" s="74"/>
      <c r="R171" s="74"/>
      <c r="V171" s="72"/>
    </row>
    <row r="172" spans="15:22" x14ac:dyDescent="0.25">
      <c r="O172" s="74"/>
      <c r="P172" s="74"/>
      <c r="Q172" s="74"/>
      <c r="R172" s="74"/>
      <c r="V172" s="72"/>
    </row>
    <row r="173" spans="15:22" x14ac:dyDescent="0.25">
      <c r="O173" s="74"/>
      <c r="P173" s="74"/>
      <c r="Q173" s="74"/>
      <c r="R173" s="74"/>
      <c r="V173" s="72"/>
    </row>
    <row r="174" spans="15:22" x14ac:dyDescent="0.25">
      <c r="O174" s="74"/>
      <c r="P174" s="74"/>
      <c r="Q174" s="74"/>
      <c r="R174" s="74"/>
      <c r="V174" s="72"/>
    </row>
    <row r="175" spans="15:22" x14ac:dyDescent="0.25">
      <c r="O175" s="74"/>
      <c r="P175" s="74"/>
      <c r="Q175" s="74"/>
      <c r="R175" s="74"/>
      <c r="V175" s="72"/>
    </row>
    <row r="176" spans="15:22" x14ac:dyDescent="0.25">
      <c r="O176" s="74"/>
      <c r="P176" s="74"/>
      <c r="Q176" s="74"/>
      <c r="R176" s="74"/>
      <c r="V176" s="72"/>
    </row>
    <row r="177" spans="15:22" x14ac:dyDescent="0.25">
      <c r="O177" s="74"/>
      <c r="P177" s="74"/>
      <c r="Q177" s="74"/>
      <c r="R177" s="74"/>
      <c r="V177" s="72"/>
    </row>
    <row r="178" spans="15:22" x14ac:dyDescent="0.25">
      <c r="O178" s="74"/>
      <c r="P178" s="74"/>
      <c r="Q178" s="74"/>
      <c r="R178" s="74"/>
      <c r="V178" s="72"/>
    </row>
    <row r="179" spans="15:22" x14ac:dyDescent="0.25">
      <c r="O179" s="74"/>
      <c r="P179" s="74"/>
      <c r="Q179" s="74"/>
      <c r="R179" s="74"/>
      <c r="V179" s="72"/>
    </row>
    <row r="180" spans="15:22" x14ac:dyDescent="0.25">
      <c r="O180" s="74"/>
      <c r="P180" s="74"/>
      <c r="Q180" s="74"/>
      <c r="R180" s="74"/>
      <c r="V180" s="72"/>
    </row>
    <row r="181" spans="15:22" x14ac:dyDescent="0.25">
      <c r="O181" s="74"/>
      <c r="P181" s="74"/>
      <c r="Q181" s="74"/>
      <c r="R181" s="74"/>
      <c r="V181" s="72"/>
    </row>
    <row r="182" spans="15:22" x14ac:dyDescent="0.25">
      <c r="O182" s="74"/>
      <c r="P182" s="74"/>
      <c r="Q182" s="74"/>
      <c r="R182" s="74"/>
      <c r="V182" s="72"/>
    </row>
    <row r="183" spans="15:22" x14ac:dyDescent="0.25">
      <c r="O183" s="74"/>
      <c r="P183" s="74"/>
      <c r="Q183" s="74"/>
      <c r="R183" s="74"/>
      <c r="V183" s="72"/>
    </row>
    <row r="184" spans="15:22" x14ac:dyDescent="0.25">
      <c r="O184" s="74"/>
      <c r="P184" s="74"/>
      <c r="Q184" s="74"/>
      <c r="R184" s="74"/>
      <c r="V184" s="72"/>
    </row>
    <row r="185" spans="15:22" x14ac:dyDescent="0.25">
      <c r="O185" s="74"/>
      <c r="P185" s="74"/>
      <c r="Q185" s="74"/>
      <c r="R185" s="74"/>
      <c r="V185" s="72"/>
    </row>
    <row r="186" spans="15:22" x14ac:dyDescent="0.25">
      <c r="O186" s="74"/>
      <c r="P186" s="74"/>
      <c r="Q186" s="74"/>
      <c r="R186" s="74"/>
      <c r="V186" s="72"/>
    </row>
    <row r="187" spans="15:22" x14ac:dyDescent="0.25">
      <c r="O187" s="74"/>
      <c r="P187" s="74"/>
      <c r="Q187" s="74"/>
      <c r="R187" s="74"/>
      <c r="V187" s="72"/>
    </row>
    <row r="188" spans="15:22" x14ac:dyDescent="0.25">
      <c r="O188" s="74"/>
      <c r="P188" s="74"/>
      <c r="Q188" s="74"/>
      <c r="R188" s="74"/>
      <c r="V188" s="72"/>
    </row>
    <row r="189" spans="15:22" x14ac:dyDescent="0.25">
      <c r="O189" s="74"/>
      <c r="P189" s="74"/>
      <c r="Q189" s="74"/>
      <c r="R189" s="74"/>
      <c r="V189" s="72"/>
    </row>
    <row r="190" spans="15:22" x14ac:dyDescent="0.25">
      <c r="O190" s="74"/>
      <c r="P190" s="74"/>
      <c r="Q190" s="74"/>
      <c r="R190" s="74"/>
      <c r="V190" s="72"/>
    </row>
    <row r="191" spans="15:22" x14ac:dyDescent="0.25">
      <c r="O191" s="74"/>
      <c r="P191" s="74"/>
      <c r="Q191" s="74"/>
      <c r="R191" s="74"/>
      <c r="V191" s="72"/>
    </row>
    <row r="192" spans="15:22" x14ac:dyDescent="0.25">
      <c r="O192" s="74"/>
      <c r="P192" s="74"/>
      <c r="Q192" s="74"/>
      <c r="R192" s="74"/>
      <c r="V192" s="72"/>
    </row>
    <row r="193" spans="15:22" x14ac:dyDescent="0.25">
      <c r="O193" s="74"/>
      <c r="P193" s="74"/>
      <c r="Q193" s="74"/>
      <c r="R193" s="74"/>
      <c r="V193" s="72"/>
    </row>
    <row r="194" spans="15:22" x14ac:dyDescent="0.25">
      <c r="O194" s="74"/>
      <c r="P194" s="74"/>
      <c r="Q194" s="74"/>
      <c r="R194" s="74"/>
      <c r="V194" s="72"/>
    </row>
    <row r="195" spans="15:22" x14ac:dyDescent="0.25">
      <c r="O195" s="74"/>
      <c r="P195" s="74"/>
      <c r="Q195" s="74"/>
      <c r="R195" s="74"/>
      <c r="V195" s="72"/>
    </row>
    <row r="196" spans="15:22" x14ac:dyDescent="0.25">
      <c r="O196" s="74"/>
      <c r="P196" s="74"/>
      <c r="Q196" s="74"/>
      <c r="R196" s="74"/>
      <c r="V196" s="72"/>
    </row>
    <row r="197" spans="15:22" x14ac:dyDescent="0.25">
      <c r="O197" s="74"/>
      <c r="P197" s="74"/>
      <c r="Q197" s="74"/>
      <c r="R197" s="74"/>
      <c r="V197" s="72"/>
    </row>
    <row r="198" spans="15:22" x14ac:dyDescent="0.25">
      <c r="O198" s="74"/>
      <c r="P198" s="74"/>
      <c r="Q198" s="74"/>
      <c r="R198" s="74"/>
      <c r="V198" s="72"/>
    </row>
    <row r="199" spans="15:22" x14ac:dyDescent="0.25">
      <c r="O199" s="74"/>
      <c r="P199" s="74"/>
      <c r="Q199" s="74"/>
      <c r="R199" s="74"/>
      <c r="V199" s="72"/>
    </row>
    <row r="200" spans="15:22" x14ac:dyDescent="0.25">
      <c r="O200" s="74"/>
      <c r="P200" s="74"/>
      <c r="Q200" s="74"/>
      <c r="R200" s="74"/>
      <c r="V200" s="72"/>
    </row>
    <row r="201" spans="15:22" x14ac:dyDescent="0.25">
      <c r="O201" s="74"/>
      <c r="P201" s="74"/>
      <c r="Q201" s="74"/>
      <c r="R201" s="74"/>
      <c r="V201" s="72"/>
    </row>
    <row r="202" spans="15:22" x14ac:dyDescent="0.25">
      <c r="O202" s="74"/>
      <c r="P202" s="74"/>
      <c r="Q202" s="74"/>
      <c r="R202" s="74"/>
      <c r="V202" s="72"/>
    </row>
    <row r="203" spans="15:22" x14ac:dyDescent="0.25">
      <c r="O203" s="74"/>
      <c r="P203" s="74"/>
      <c r="Q203" s="74"/>
      <c r="R203" s="74"/>
      <c r="V203" s="72"/>
    </row>
    <row r="204" spans="15:22" x14ac:dyDescent="0.25">
      <c r="O204" s="74"/>
      <c r="P204" s="74"/>
      <c r="Q204" s="74"/>
      <c r="R204" s="74"/>
      <c r="V204" s="72"/>
    </row>
    <row r="205" spans="15:22" x14ac:dyDescent="0.25">
      <c r="O205" s="74"/>
      <c r="P205" s="74"/>
      <c r="Q205" s="74"/>
      <c r="R205" s="74"/>
      <c r="V205" s="72"/>
    </row>
    <row r="206" spans="15:22" x14ac:dyDescent="0.25">
      <c r="O206" s="74"/>
      <c r="P206" s="74"/>
      <c r="Q206" s="74"/>
      <c r="R206" s="74"/>
      <c r="V206" s="72"/>
    </row>
    <row r="207" spans="15:22" x14ac:dyDescent="0.25">
      <c r="O207" s="74"/>
      <c r="P207" s="74"/>
      <c r="Q207" s="74"/>
      <c r="R207" s="74"/>
      <c r="V207" s="72"/>
    </row>
    <row r="208" spans="15:22" x14ac:dyDescent="0.25">
      <c r="O208" s="74"/>
      <c r="P208" s="74"/>
      <c r="Q208" s="74"/>
      <c r="R208" s="74"/>
      <c r="V208" s="72"/>
    </row>
    <row r="209" spans="15:22" x14ac:dyDescent="0.25">
      <c r="O209" s="74"/>
      <c r="P209" s="74"/>
      <c r="Q209" s="74"/>
      <c r="R209" s="74"/>
      <c r="V209" s="72"/>
    </row>
    <row r="210" spans="15:22" x14ac:dyDescent="0.25">
      <c r="O210" s="74"/>
      <c r="P210" s="74"/>
      <c r="Q210" s="74"/>
      <c r="R210" s="74"/>
      <c r="V210" s="72"/>
    </row>
    <row r="211" spans="15:22" x14ac:dyDescent="0.25">
      <c r="O211" s="74"/>
      <c r="P211" s="74"/>
      <c r="Q211" s="74"/>
      <c r="R211" s="74"/>
      <c r="V211" s="72"/>
    </row>
    <row r="212" spans="15:22" x14ac:dyDescent="0.25">
      <c r="O212" s="74"/>
      <c r="P212" s="74"/>
      <c r="Q212" s="74"/>
      <c r="R212" s="74"/>
      <c r="V212" s="72"/>
    </row>
    <row r="213" spans="15:22" x14ac:dyDescent="0.25">
      <c r="O213" s="74"/>
      <c r="P213" s="74"/>
      <c r="Q213" s="74"/>
      <c r="R213" s="74"/>
      <c r="V213" s="72"/>
    </row>
    <row r="214" spans="15:22" x14ac:dyDescent="0.25">
      <c r="O214" s="74"/>
      <c r="P214" s="74"/>
      <c r="Q214" s="74"/>
      <c r="R214" s="74"/>
      <c r="V214" s="72"/>
    </row>
    <row r="215" spans="15:22" x14ac:dyDescent="0.25">
      <c r="O215" s="74"/>
      <c r="P215" s="74"/>
      <c r="Q215" s="74"/>
      <c r="R215" s="74"/>
      <c r="V215" s="72"/>
    </row>
    <row r="216" spans="15:22" x14ac:dyDescent="0.25">
      <c r="O216" s="74"/>
      <c r="P216" s="74"/>
      <c r="Q216" s="74"/>
      <c r="R216" s="74"/>
      <c r="V216" s="72"/>
    </row>
    <row r="217" spans="15:22" x14ac:dyDescent="0.25">
      <c r="O217" s="74"/>
      <c r="P217" s="74"/>
      <c r="Q217" s="74"/>
      <c r="R217" s="74"/>
      <c r="V217" s="72"/>
    </row>
    <row r="218" spans="15:22" x14ac:dyDescent="0.25">
      <c r="O218" s="74"/>
      <c r="P218" s="74"/>
      <c r="Q218" s="74"/>
      <c r="R218" s="74"/>
      <c r="V218" s="72"/>
    </row>
    <row r="219" spans="15:22" x14ac:dyDescent="0.25">
      <c r="O219" s="74"/>
      <c r="P219" s="74"/>
      <c r="Q219" s="74"/>
      <c r="R219" s="74"/>
      <c r="V219" s="72"/>
    </row>
    <row r="220" spans="15:22" x14ac:dyDescent="0.25">
      <c r="O220" s="74"/>
      <c r="P220" s="74"/>
      <c r="Q220" s="74"/>
      <c r="R220" s="74"/>
      <c r="V220" s="72"/>
    </row>
    <row r="221" spans="15:22" x14ac:dyDescent="0.25">
      <c r="O221" s="74"/>
      <c r="P221" s="74"/>
      <c r="Q221" s="74"/>
      <c r="R221" s="74"/>
      <c r="V221" s="72"/>
    </row>
    <row r="222" spans="15:22" x14ac:dyDescent="0.25">
      <c r="O222" s="74"/>
      <c r="P222" s="74"/>
      <c r="Q222" s="74"/>
      <c r="R222" s="74"/>
      <c r="V222" s="72"/>
    </row>
    <row r="223" spans="15:22" x14ac:dyDescent="0.25">
      <c r="O223" s="74"/>
      <c r="P223" s="74"/>
      <c r="Q223" s="74"/>
      <c r="R223" s="74"/>
      <c r="V223" s="72"/>
    </row>
    <row r="224" spans="15:22" x14ac:dyDescent="0.25">
      <c r="O224" s="74"/>
      <c r="P224" s="74"/>
      <c r="Q224" s="74"/>
      <c r="R224" s="74"/>
      <c r="V224" s="72"/>
    </row>
    <row r="225" spans="15:22" x14ac:dyDescent="0.25">
      <c r="O225" s="74"/>
      <c r="P225" s="74"/>
      <c r="Q225" s="74"/>
      <c r="R225" s="74"/>
      <c r="V225" s="72"/>
    </row>
    <row r="226" spans="15:22" x14ac:dyDescent="0.25">
      <c r="O226" s="74"/>
      <c r="P226" s="74"/>
      <c r="Q226" s="74"/>
      <c r="R226" s="74"/>
      <c r="V226" s="72"/>
    </row>
    <row r="227" spans="15:22" x14ac:dyDescent="0.25">
      <c r="O227" s="74"/>
      <c r="P227" s="74"/>
      <c r="Q227" s="74"/>
      <c r="R227" s="74"/>
      <c r="V227" s="72"/>
    </row>
    <row r="228" spans="15:22" x14ac:dyDescent="0.25">
      <c r="O228" s="74"/>
      <c r="P228" s="74"/>
      <c r="Q228" s="74"/>
      <c r="R228" s="74"/>
      <c r="V228" s="72"/>
    </row>
    <row r="229" spans="15:22" x14ac:dyDescent="0.25">
      <c r="O229" s="74"/>
      <c r="P229" s="74"/>
      <c r="Q229" s="74"/>
      <c r="R229" s="74"/>
      <c r="V229" s="72"/>
    </row>
    <row r="230" spans="15:22" x14ac:dyDescent="0.25">
      <c r="O230" s="74"/>
      <c r="P230" s="74"/>
      <c r="Q230" s="74"/>
      <c r="R230" s="74"/>
      <c r="V230" s="72"/>
    </row>
    <row r="231" spans="15:22" x14ac:dyDescent="0.25">
      <c r="O231" s="74"/>
      <c r="P231" s="74"/>
      <c r="Q231" s="74"/>
      <c r="R231" s="74"/>
      <c r="V231" s="72"/>
    </row>
    <row r="232" spans="15:22" x14ac:dyDescent="0.25">
      <c r="O232" s="74"/>
      <c r="P232" s="74"/>
      <c r="Q232" s="74"/>
      <c r="R232" s="74"/>
      <c r="V232" s="72"/>
    </row>
    <row r="233" spans="15:22" x14ac:dyDescent="0.25">
      <c r="O233" s="74"/>
      <c r="P233" s="74"/>
      <c r="Q233" s="74"/>
      <c r="R233" s="74"/>
      <c r="V233" s="72"/>
    </row>
    <row r="234" spans="15:22" x14ac:dyDescent="0.25">
      <c r="O234" s="74"/>
      <c r="P234" s="74"/>
      <c r="Q234" s="74"/>
      <c r="R234" s="74"/>
      <c r="V234" s="72"/>
    </row>
    <row r="235" spans="15:22" x14ac:dyDescent="0.25">
      <c r="O235" s="74"/>
      <c r="P235" s="74"/>
      <c r="Q235" s="74"/>
      <c r="R235" s="74"/>
      <c r="V235" s="72"/>
    </row>
    <row r="236" spans="15:22" x14ac:dyDescent="0.25">
      <c r="O236" s="74"/>
      <c r="P236" s="74"/>
      <c r="Q236" s="74"/>
      <c r="R236" s="74"/>
      <c r="V236" s="72"/>
    </row>
    <row r="237" spans="15:22" x14ac:dyDescent="0.25">
      <c r="O237" s="74"/>
      <c r="P237" s="74"/>
      <c r="Q237" s="74"/>
      <c r="R237" s="74"/>
      <c r="V237" s="72"/>
    </row>
    <row r="238" spans="15:22" x14ac:dyDescent="0.25">
      <c r="O238" s="74"/>
      <c r="P238" s="74"/>
      <c r="Q238" s="74"/>
      <c r="R238" s="74"/>
      <c r="V238" s="72"/>
    </row>
    <row r="239" spans="15:22" x14ac:dyDescent="0.25">
      <c r="O239" s="74"/>
      <c r="P239" s="74"/>
      <c r="Q239" s="74"/>
      <c r="R239" s="74"/>
      <c r="V239" s="72"/>
    </row>
    <row r="240" spans="15:22" x14ac:dyDescent="0.25">
      <c r="O240" s="74"/>
      <c r="P240" s="74"/>
      <c r="Q240" s="74"/>
      <c r="R240" s="74"/>
      <c r="V240" s="72"/>
    </row>
    <row r="241" spans="15:22" x14ac:dyDescent="0.25">
      <c r="O241" s="74"/>
      <c r="P241" s="74"/>
      <c r="Q241" s="74"/>
      <c r="R241" s="74"/>
      <c r="V241" s="72"/>
    </row>
    <row r="242" spans="15:22" x14ac:dyDescent="0.25">
      <c r="O242" s="74"/>
      <c r="P242" s="74"/>
      <c r="Q242" s="74"/>
      <c r="R242" s="74"/>
      <c r="V242" s="72"/>
    </row>
    <row r="243" spans="15:22" x14ac:dyDescent="0.25">
      <c r="O243" s="74"/>
      <c r="P243" s="74"/>
      <c r="Q243" s="74"/>
      <c r="R243" s="74"/>
      <c r="V243" s="72"/>
    </row>
    <row r="244" spans="15:22" x14ac:dyDescent="0.25">
      <c r="O244" s="74"/>
      <c r="P244" s="74"/>
      <c r="Q244" s="74"/>
      <c r="R244" s="74"/>
      <c r="V244" s="72"/>
    </row>
    <row r="245" spans="15:22" x14ac:dyDescent="0.25">
      <c r="O245" s="74"/>
      <c r="P245" s="74"/>
      <c r="Q245" s="74"/>
      <c r="R245" s="74"/>
      <c r="V245" s="72"/>
    </row>
    <row r="246" spans="15:22" x14ac:dyDescent="0.25">
      <c r="O246" s="74"/>
      <c r="P246" s="74"/>
      <c r="Q246" s="74"/>
      <c r="R246" s="74"/>
      <c r="V246" s="72"/>
    </row>
    <row r="247" spans="15:22" x14ac:dyDescent="0.25">
      <c r="O247" s="74"/>
      <c r="P247" s="74"/>
      <c r="Q247" s="74"/>
      <c r="R247" s="74"/>
      <c r="V247" s="72"/>
    </row>
    <row r="248" spans="15:22" x14ac:dyDescent="0.25">
      <c r="O248" s="74"/>
      <c r="P248" s="74"/>
      <c r="Q248" s="74"/>
      <c r="R248" s="74"/>
      <c r="V248" s="72"/>
    </row>
    <row r="249" spans="15:22" x14ac:dyDescent="0.25">
      <c r="O249" s="74"/>
      <c r="P249" s="74"/>
      <c r="Q249" s="74"/>
      <c r="R249" s="74"/>
      <c r="V249" s="72"/>
    </row>
    <row r="250" spans="15:22" x14ac:dyDescent="0.25">
      <c r="O250" s="74"/>
      <c r="P250" s="74"/>
      <c r="Q250" s="74"/>
      <c r="R250" s="74"/>
      <c r="V250" s="72"/>
    </row>
    <row r="251" spans="15:22" x14ac:dyDescent="0.25">
      <c r="O251" s="74"/>
      <c r="P251" s="74"/>
      <c r="Q251" s="74"/>
      <c r="R251" s="74"/>
      <c r="V251" s="72"/>
    </row>
    <row r="252" spans="15:22" x14ac:dyDescent="0.25">
      <c r="O252" s="74"/>
      <c r="P252" s="74"/>
      <c r="Q252" s="74"/>
      <c r="R252" s="74"/>
      <c r="V252" s="72"/>
    </row>
    <row r="253" spans="15:22" x14ac:dyDescent="0.25">
      <c r="O253" s="74"/>
      <c r="P253" s="74"/>
      <c r="Q253" s="74"/>
      <c r="R253" s="74"/>
      <c r="V253" s="72"/>
    </row>
    <row r="254" spans="15:22" x14ac:dyDescent="0.25">
      <c r="O254" s="74"/>
      <c r="P254" s="74"/>
      <c r="Q254" s="74"/>
      <c r="R254" s="74"/>
      <c r="V254" s="72"/>
    </row>
    <row r="255" spans="15:22" x14ac:dyDescent="0.25">
      <c r="O255" s="74"/>
      <c r="P255" s="74"/>
      <c r="Q255" s="74"/>
      <c r="R255" s="74"/>
      <c r="V255" s="72"/>
    </row>
    <row r="256" spans="15:22" x14ac:dyDescent="0.25">
      <c r="O256" s="74"/>
      <c r="P256" s="74"/>
      <c r="Q256" s="74"/>
      <c r="R256" s="74"/>
      <c r="V256" s="72"/>
    </row>
    <row r="257" spans="15:22" x14ac:dyDescent="0.25">
      <c r="O257" s="74"/>
      <c r="P257" s="74"/>
      <c r="Q257" s="74"/>
      <c r="R257" s="74"/>
      <c r="V257" s="72"/>
    </row>
    <row r="258" spans="15:22" x14ac:dyDescent="0.25">
      <c r="O258" s="74"/>
      <c r="P258" s="74"/>
      <c r="Q258" s="74"/>
      <c r="R258" s="74"/>
      <c r="V258" s="72"/>
    </row>
    <row r="259" spans="15:22" x14ac:dyDescent="0.25">
      <c r="O259" s="74"/>
      <c r="P259" s="74"/>
      <c r="Q259" s="74"/>
      <c r="R259" s="74"/>
      <c r="V259" s="72"/>
    </row>
    <row r="260" spans="15:22" x14ac:dyDescent="0.25">
      <c r="O260" s="74"/>
      <c r="P260" s="74"/>
      <c r="Q260" s="74"/>
      <c r="R260" s="74"/>
      <c r="V260" s="72"/>
    </row>
    <row r="261" spans="15:22" x14ac:dyDescent="0.25">
      <c r="O261" s="74"/>
      <c r="P261" s="74"/>
      <c r="Q261" s="74"/>
      <c r="R261" s="74"/>
      <c r="V261" s="72"/>
    </row>
    <row r="262" spans="15:22" x14ac:dyDescent="0.25">
      <c r="O262" s="74"/>
      <c r="P262" s="74"/>
      <c r="Q262" s="74"/>
      <c r="R262" s="74"/>
      <c r="V262" s="72"/>
    </row>
    <row r="263" spans="15:22" x14ac:dyDescent="0.25">
      <c r="O263" s="74"/>
      <c r="P263" s="74"/>
      <c r="Q263" s="74"/>
      <c r="R263" s="74"/>
      <c r="V263" s="72"/>
    </row>
    <row r="264" spans="15:22" x14ac:dyDescent="0.25">
      <c r="O264" s="74"/>
      <c r="P264" s="74"/>
      <c r="Q264" s="74"/>
      <c r="R264" s="74"/>
      <c r="V264" s="72"/>
    </row>
    <row r="265" spans="15:22" x14ac:dyDescent="0.25">
      <c r="O265" s="74"/>
      <c r="P265" s="74"/>
      <c r="Q265" s="74"/>
      <c r="R265" s="74"/>
      <c r="V265" s="72"/>
    </row>
    <row r="266" spans="15:22" x14ac:dyDescent="0.25">
      <c r="O266" s="74"/>
      <c r="P266" s="74"/>
      <c r="Q266" s="74"/>
      <c r="R266" s="74"/>
      <c r="V266" s="72"/>
    </row>
    <row r="267" spans="15:22" x14ac:dyDescent="0.25">
      <c r="O267" s="74"/>
      <c r="P267" s="74"/>
      <c r="Q267" s="74"/>
      <c r="R267" s="74"/>
      <c r="V267" s="72"/>
    </row>
    <row r="268" spans="15:22" x14ac:dyDescent="0.25">
      <c r="O268" s="74"/>
      <c r="P268" s="74"/>
      <c r="Q268" s="74"/>
      <c r="R268" s="74"/>
      <c r="V268" s="72"/>
    </row>
    <row r="269" spans="15:22" x14ac:dyDescent="0.25">
      <c r="O269" s="74"/>
      <c r="P269" s="74"/>
      <c r="Q269" s="74"/>
      <c r="R269" s="74"/>
      <c r="V269" s="72"/>
    </row>
    <row r="270" spans="15:22" x14ac:dyDescent="0.25">
      <c r="O270" s="74"/>
      <c r="P270" s="74"/>
      <c r="Q270" s="74"/>
      <c r="R270" s="74"/>
      <c r="V270" s="72"/>
    </row>
    <row r="271" spans="15:22" x14ac:dyDescent="0.25">
      <c r="O271" s="74"/>
      <c r="P271" s="74"/>
      <c r="Q271" s="74"/>
      <c r="R271" s="74"/>
      <c r="V271" s="72"/>
    </row>
    <row r="272" spans="15:22" x14ac:dyDescent="0.25">
      <c r="O272" s="74"/>
      <c r="P272" s="74"/>
      <c r="Q272" s="74"/>
      <c r="R272" s="74"/>
      <c r="V272" s="72"/>
    </row>
    <row r="273" spans="15:22" x14ac:dyDescent="0.25">
      <c r="O273" s="74"/>
      <c r="P273" s="74"/>
      <c r="Q273" s="74"/>
      <c r="R273" s="74"/>
      <c r="V273" s="72"/>
    </row>
    <row r="274" spans="15:22" x14ac:dyDescent="0.25">
      <c r="O274" s="74"/>
      <c r="P274" s="74"/>
      <c r="Q274" s="74"/>
      <c r="R274" s="74"/>
      <c r="V274" s="72"/>
    </row>
    <row r="275" spans="15:22" x14ac:dyDescent="0.25">
      <c r="O275" s="74"/>
      <c r="P275" s="74"/>
      <c r="Q275" s="74"/>
      <c r="R275" s="74"/>
      <c r="V275" s="72"/>
    </row>
    <row r="276" spans="15:22" x14ac:dyDescent="0.25">
      <c r="O276" s="74"/>
      <c r="P276" s="74"/>
      <c r="Q276" s="74"/>
      <c r="R276" s="74"/>
      <c r="V276" s="72"/>
    </row>
    <row r="277" spans="15:22" x14ac:dyDescent="0.25">
      <c r="O277" s="74"/>
      <c r="P277" s="74"/>
      <c r="Q277" s="74"/>
      <c r="R277" s="74"/>
      <c r="V277" s="72"/>
    </row>
    <row r="278" spans="15:22" x14ac:dyDescent="0.25">
      <c r="O278" s="74"/>
      <c r="P278" s="74"/>
      <c r="Q278" s="74"/>
      <c r="R278" s="74"/>
      <c r="V278" s="72"/>
    </row>
    <row r="279" spans="15:22" x14ac:dyDescent="0.25">
      <c r="O279" s="74"/>
      <c r="P279" s="74"/>
      <c r="Q279" s="74"/>
      <c r="R279" s="74"/>
      <c r="V279" s="72"/>
    </row>
    <row r="280" spans="15:22" x14ac:dyDescent="0.25">
      <c r="O280" s="74"/>
      <c r="P280" s="74"/>
      <c r="Q280" s="74"/>
      <c r="R280" s="74"/>
      <c r="V280" s="72"/>
    </row>
    <row r="281" spans="15:22" x14ac:dyDescent="0.25">
      <c r="O281" s="74"/>
      <c r="P281" s="74"/>
      <c r="Q281" s="74"/>
      <c r="R281" s="74"/>
      <c r="V281" s="72"/>
    </row>
    <row r="282" spans="15:22" x14ac:dyDescent="0.25">
      <c r="O282" s="74"/>
      <c r="P282" s="74"/>
      <c r="Q282" s="74"/>
      <c r="R282" s="74"/>
      <c r="V282" s="72"/>
    </row>
    <row r="283" spans="15:22" x14ac:dyDescent="0.25">
      <c r="O283" s="74"/>
      <c r="P283" s="74"/>
      <c r="Q283" s="74"/>
      <c r="R283" s="74"/>
      <c r="V283" s="72"/>
    </row>
    <row r="284" spans="15:22" x14ac:dyDescent="0.25">
      <c r="O284" s="74"/>
      <c r="P284" s="74"/>
      <c r="Q284" s="74"/>
      <c r="R284" s="74"/>
      <c r="V284" s="72"/>
    </row>
    <row r="285" spans="15:22" x14ac:dyDescent="0.25">
      <c r="O285" s="74"/>
      <c r="P285" s="74"/>
      <c r="Q285" s="74"/>
      <c r="R285" s="74"/>
      <c r="V285" s="72"/>
    </row>
    <row r="286" spans="15:22" x14ac:dyDescent="0.25">
      <c r="O286" s="74"/>
      <c r="P286" s="74"/>
      <c r="Q286" s="74"/>
      <c r="R286" s="74"/>
      <c r="V286" s="72"/>
    </row>
    <row r="287" spans="15:22" x14ac:dyDescent="0.25">
      <c r="O287" s="74"/>
      <c r="P287" s="74"/>
      <c r="Q287" s="74"/>
      <c r="R287" s="74"/>
      <c r="V287" s="72"/>
    </row>
    <row r="288" spans="15:22" x14ac:dyDescent="0.25">
      <c r="O288" s="74"/>
      <c r="P288" s="74"/>
      <c r="Q288" s="74"/>
      <c r="R288" s="74"/>
      <c r="V288" s="72"/>
    </row>
    <row r="289" spans="15:22" x14ac:dyDescent="0.25">
      <c r="O289" s="74"/>
      <c r="P289" s="74"/>
      <c r="Q289" s="74"/>
      <c r="R289" s="74"/>
      <c r="V289" s="72"/>
    </row>
    <row r="290" spans="15:22" x14ac:dyDescent="0.25">
      <c r="O290" s="74"/>
      <c r="P290" s="74"/>
      <c r="Q290" s="74"/>
      <c r="R290" s="74"/>
      <c r="V290" s="72"/>
    </row>
    <row r="291" spans="15:22" x14ac:dyDescent="0.25">
      <c r="O291" s="74"/>
      <c r="P291" s="74"/>
      <c r="Q291" s="74"/>
      <c r="R291" s="74"/>
      <c r="V291" s="72"/>
    </row>
    <row r="292" spans="15:22" x14ac:dyDescent="0.25">
      <c r="O292" s="74"/>
      <c r="P292" s="74"/>
      <c r="Q292" s="74"/>
      <c r="R292" s="74"/>
      <c r="V292" s="72"/>
    </row>
    <row r="293" spans="15:22" x14ac:dyDescent="0.25">
      <c r="O293" s="74"/>
      <c r="P293" s="74"/>
      <c r="Q293" s="74"/>
      <c r="R293" s="74"/>
      <c r="V293" s="72"/>
    </row>
    <row r="294" spans="15:22" x14ac:dyDescent="0.25">
      <c r="O294" s="74"/>
      <c r="P294" s="74"/>
      <c r="Q294" s="74"/>
      <c r="R294" s="74"/>
      <c r="V294" s="72"/>
    </row>
    <row r="295" spans="15:22" x14ac:dyDescent="0.25">
      <c r="O295" s="74"/>
      <c r="P295" s="74"/>
      <c r="Q295" s="74"/>
      <c r="R295" s="74"/>
      <c r="V295" s="72"/>
    </row>
    <row r="296" spans="15:22" x14ac:dyDescent="0.25">
      <c r="O296" s="74"/>
      <c r="P296" s="74"/>
      <c r="Q296" s="74"/>
      <c r="R296" s="74"/>
      <c r="V296" s="72"/>
    </row>
    <row r="297" spans="15:22" x14ac:dyDescent="0.25">
      <c r="O297" s="74"/>
      <c r="P297" s="74"/>
      <c r="Q297" s="74"/>
      <c r="R297" s="74"/>
      <c r="V297" s="72"/>
    </row>
    <row r="298" spans="15:22" x14ac:dyDescent="0.25">
      <c r="O298" s="74"/>
      <c r="P298" s="74"/>
      <c r="Q298" s="74"/>
      <c r="R298" s="74"/>
      <c r="V298" s="72"/>
    </row>
    <row r="299" spans="15:22" x14ac:dyDescent="0.25">
      <c r="O299" s="74"/>
      <c r="P299" s="74"/>
      <c r="Q299" s="74"/>
      <c r="R299" s="74"/>
      <c r="V299" s="72"/>
    </row>
    <row r="300" spans="15:22" x14ac:dyDescent="0.25">
      <c r="O300" s="74"/>
      <c r="P300" s="74"/>
      <c r="Q300" s="74"/>
      <c r="R300" s="74"/>
      <c r="V300" s="72"/>
    </row>
    <row r="301" spans="15:22" x14ac:dyDescent="0.25">
      <c r="O301" s="74"/>
      <c r="P301" s="74"/>
      <c r="Q301" s="74"/>
      <c r="R301" s="74"/>
      <c r="V301" s="72"/>
    </row>
    <row r="302" spans="15:22" x14ac:dyDescent="0.25">
      <c r="O302" s="74"/>
      <c r="P302" s="74"/>
      <c r="Q302" s="74"/>
      <c r="R302" s="74"/>
      <c r="V302" s="72"/>
    </row>
    <row r="303" spans="15:22" x14ac:dyDescent="0.25">
      <c r="O303" s="74"/>
      <c r="P303" s="74"/>
      <c r="Q303" s="74"/>
      <c r="R303" s="74"/>
      <c r="V303" s="72"/>
    </row>
    <row r="304" spans="15:22" x14ac:dyDescent="0.25">
      <c r="O304" s="74"/>
      <c r="P304" s="74"/>
      <c r="Q304" s="74"/>
      <c r="R304" s="74"/>
      <c r="V304" s="72"/>
    </row>
    <row r="305" spans="15:22" x14ac:dyDescent="0.25">
      <c r="O305" s="74"/>
      <c r="P305" s="74"/>
      <c r="Q305" s="74"/>
      <c r="R305" s="74"/>
      <c r="V305" s="72"/>
    </row>
    <row r="306" spans="15:22" x14ac:dyDescent="0.25">
      <c r="O306" s="74"/>
      <c r="P306" s="74"/>
      <c r="Q306" s="74"/>
      <c r="R306" s="74"/>
      <c r="V306" s="72"/>
    </row>
    <row r="307" spans="15:22" x14ac:dyDescent="0.25">
      <c r="O307" s="74"/>
      <c r="P307" s="74"/>
      <c r="Q307" s="74"/>
      <c r="R307" s="74"/>
      <c r="V307" s="72"/>
    </row>
    <row r="308" spans="15:22" x14ac:dyDescent="0.25">
      <c r="O308" s="74"/>
      <c r="P308" s="74"/>
      <c r="Q308" s="74"/>
      <c r="R308" s="74"/>
      <c r="V308" s="72"/>
    </row>
    <row r="309" spans="15:22" x14ac:dyDescent="0.25">
      <c r="O309" s="74"/>
      <c r="P309" s="74"/>
      <c r="Q309" s="74"/>
      <c r="R309" s="74"/>
      <c r="V309" s="72"/>
    </row>
    <row r="310" spans="15:22" x14ac:dyDescent="0.25">
      <c r="O310" s="74"/>
      <c r="P310" s="74"/>
      <c r="Q310" s="74"/>
      <c r="R310" s="74"/>
      <c r="V310" s="72"/>
    </row>
    <row r="311" spans="15:22" x14ac:dyDescent="0.25">
      <c r="O311" s="74"/>
      <c r="P311" s="74"/>
      <c r="Q311" s="74"/>
      <c r="R311" s="74"/>
      <c r="V311" s="72"/>
    </row>
    <row r="312" spans="15:22" x14ac:dyDescent="0.25">
      <c r="O312" s="74"/>
      <c r="P312" s="74"/>
      <c r="Q312" s="74"/>
      <c r="R312" s="74"/>
      <c r="V312" s="72"/>
    </row>
    <row r="313" spans="15:22" x14ac:dyDescent="0.25">
      <c r="O313" s="74"/>
      <c r="P313" s="74"/>
      <c r="Q313" s="74"/>
      <c r="R313" s="74"/>
      <c r="V313" s="72"/>
    </row>
    <row r="314" spans="15:22" x14ac:dyDescent="0.25">
      <c r="O314" s="74"/>
      <c r="P314" s="74"/>
      <c r="Q314" s="74"/>
      <c r="R314" s="74"/>
      <c r="V314" s="72"/>
    </row>
    <row r="315" spans="15:22" x14ac:dyDescent="0.25">
      <c r="O315" s="74"/>
      <c r="P315" s="74"/>
      <c r="Q315" s="74"/>
      <c r="R315" s="74"/>
      <c r="V315" s="72"/>
    </row>
    <row r="316" spans="15:22" x14ac:dyDescent="0.25">
      <c r="O316" s="74"/>
      <c r="P316" s="74"/>
      <c r="Q316" s="74"/>
      <c r="R316" s="74"/>
      <c r="V316" s="72"/>
    </row>
    <row r="317" spans="15:22" x14ac:dyDescent="0.25">
      <c r="O317" s="74"/>
      <c r="P317" s="74"/>
      <c r="Q317" s="74"/>
      <c r="R317" s="74"/>
      <c r="V317" s="72"/>
    </row>
    <row r="318" spans="15:22" x14ac:dyDescent="0.25">
      <c r="O318" s="74"/>
      <c r="P318" s="74"/>
      <c r="Q318" s="74"/>
      <c r="R318" s="74"/>
      <c r="V318" s="72"/>
    </row>
    <row r="319" spans="15:22" x14ac:dyDescent="0.25">
      <c r="O319" s="74"/>
      <c r="P319" s="74"/>
      <c r="Q319" s="74"/>
      <c r="R319" s="74"/>
      <c r="V319" s="72"/>
    </row>
    <row r="320" spans="15:22" x14ac:dyDescent="0.25">
      <c r="O320" s="74"/>
      <c r="P320" s="74"/>
      <c r="Q320" s="74"/>
      <c r="R320" s="74"/>
      <c r="V320" s="72"/>
    </row>
    <row r="321" spans="15:22" x14ac:dyDescent="0.25">
      <c r="O321" s="74"/>
      <c r="P321" s="74"/>
      <c r="Q321" s="74"/>
      <c r="R321" s="74"/>
      <c r="V321" s="72"/>
    </row>
    <row r="322" spans="15:22" x14ac:dyDescent="0.25">
      <c r="O322" s="74"/>
      <c r="P322" s="74"/>
      <c r="Q322" s="74"/>
      <c r="R322" s="74"/>
      <c r="V322" s="72"/>
    </row>
    <row r="323" spans="15:22" x14ac:dyDescent="0.25">
      <c r="O323" s="74"/>
      <c r="P323" s="74"/>
      <c r="Q323" s="74"/>
      <c r="R323" s="74"/>
      <c r="V323" s="72"/>
    </row>
    <row r="324" spans="15:22" x14ac:dyDescent="0.25">
      <c r="O324" s="74"/>
      <c r="P324" s="74"/>
      <c r="Q324" s="74"/>
      <c r="R324" s="74"/>
      <c r="V324" s="72"/>
    </row>
    <row r="325" spans="15:22" x14ac:dyDescent="0.25">
      <c r="O325" s="74"/>
      <c r="P325" s="74"/>
      <c r="Q325" s="74"/>
      <c r="R325" s="74"/>
      <c r="V325" s="72"/>
    </row>
    <row r="326" spans="15:22" x14ac:dyDescent="0.25">
      <c r="O326" s="74"/>
      <c r="P326" s="74"/>
      <c r="Q326" s="74"/>
      <c r="R326" s="74"/>
      <c r="V326" s="72"/>
    </row>
    <row r="327" spans="15:22" x14ac:dyDescent="0.25">
      <c r="O327" s="74"/>
      <c r="P327" s="74"/>
      <c r="Q327" s="74"/>
      <c r="R327" s="74"/>
      <c r="V327" s="72"/>
    </row>
    <row r="328" spans="15:22" x14ac:dyDescent="0.25">
      <c r="O328" s="74"/>
      <c r="P328" s="74"/>
      <c r="Q328" s="74"/>
      <c r="R328" s="74"/>
      <c r="V328" s="72"/>
    </row>
    <row r="329" spans="15:22" x14ac:dyDescent="0.25">
      <c r="O329" s="74"/>
      <c r="P329" s="74"/>
      <c r="Q329" s="74"/>
      <c r="R329" s="74"/>
      <c r="V329" s="72"/>
    </row>
    <row r="330" spans="15:22" x14ac:dyDescent="0.25">
      <c r="O330" s="74"/>
      <c r="P330" s="74"/>
      <c r="Q330" s="74"/>
      <c r="R330" s="74"/>
      <c r="V330" s="72"/>
    </row>
    <row r="331" spans="15:22" x14ac:dyDescent="0.25">
      <c r="O331" s="74"/>
      <c r="P331" s="74"/>
      <c r="Q331" s="74"/>
      <c r="R331" s="74"/>
      <c r="V331" s="72"/>
    </row>
    <row r="332" spans="15:22" x14ac:dyDescent="0.25">
      <c r="O332" s="74"/>
      <c r="P332" s="74"/>
      <c r="Q332" s="74"/>
      <c r="R332" s="74"/>
      <c r="V332" s="72"/>
    </row>
    <row r="333" spans="15:22" x14ac:dyDescent="0.25">
      <c r="O333" s="74"/>
      <c r="P333" s="74"/>
      <c r="Q333" s="74"/>
      <c r="R333" s="74"/>
      <c r="V333" s="72"/>
    </row>
    <row r="334" spans="15:22" x14ac:dyDescent="0.25">
      <c r="O334" s="74"/>
      <c r="P334" s="74"/>
      <c r="Q334" s="74"/>
      <c r="R334" s="74"/>
      <c r="V334" s="72"/>
    </row>
    <row r="335" spans="15:22" x14ac:dyDescent="0.25">
      <c r="O335" s="74"/>
      <c r="P335" s="74"/>
      <c r="Q335" s="74"/>
      <c r="R335" s="74"/>
      <c r="V335" s="72"/>
    </row>
    <row r="336" spans="15:22" x14ac:dyDescent="0.25">
      <c r="O336" s="74"/>
      <c r="P336" s="74"/>
      <c r="Q336" s="74"/>
      <c r="R336" s="74"/>
      <c r="V336" s="72"/>
    </row>
    <row r="337" spans="15:22" x14ac:dyDescent="0.25">
      <c r="O337" s="74"/>
      <c r="P337" s="74"/>
      <c r="Q337" s="74"/>
      <c r="R337" s="74"/>
      <c r="V337" s="72"/>
    </row>
    <row r="338" spans="15:22" x14ac:dyDescent="0.25">
      <c r="O338" s="74"/>
      <c r="P338" s="74"/>
      <c r="Q338" s="74"/>
      <c r="R338" s="74"/>
      <c r="V338" s="72"/>
    </row>
    <row r="339" spans="15:22" x14ac:dyDescent="0.25">
      <c r="O339" s="74"/>
      <c r="P339" s="74"/>
      <c r="Q339" s="74"/>
      <c r="R339" s="74"/>
      <c r="V339" s="72"/>
    </row>
    <row r="340" spans="15:22" x14ac:dyDescent="0.25">
      <c r="O340" s="74"/>
      <c r="P340" s="74"/>
      <c r="Q340" s="74"/>
      <c r="R340" s="74"/>
      <c r="V340" s="72"/>
    </row>
    <row r="341" spans="15:22" x14ac:dyDescent="0.25">
      <c r="O341" s="74"/>
      <c r="P341" s="74"/>
      <c r="Q341" s="74"/>
      <c r="R341" s="74"/>
      <c r="V341" s="72"/>
    </row>
    <row r="342" spans="15:22" x14ac:dyDescent="0.25">
      <c r="O342" s="74"/>
      <c r="P342" s="74"/>
      <c r="Q342" s="74"/>
      <c r="R342" s="74"/>
      <c r="V342" s="72"/>
    </row>
    <row r="343" spans="15:22" x14ac:dyDescent="0.25">
      <c r="O343" s="74"/>
      <c r="P343" s="74"/>
      <c r="Q343" s="74"/>
      <c r="R343" s="74"/>
      <c r="V343" s="72"/>
    </row>
    <row r="344" spans="15:22" x14ac:dyDescent="0.25">
      <c r="O344" s="74"/>
      <c r="P344" s="74"/>
      <c r="Q344" s="74"/>
      <c r="R344" s="74"/>
      <c r="V344" s="72"/>
    </row>
    <row r="345" spans="15:22" x14ac:dyDescent="0.25">
      <c r="O345" s="74"/>
      <c r="P345" s="74"/>
      <c r="Q345" s="74"/>
      <c r="R345" s="74"/>
      <c r="V345" s="72"/>
    </row>
    <row r="346" spans="15:22" x14ac:dyDescent="0.25">
      <c r="O346" s="74"/>
      <c r="P346" s="74"/>
      <c r="Q346" s="74"/>
      <c r="R346" s="74"/>
      <c r="V346" s="72"/>
    </row>
    <row r="347" spans="15:22" x14ac:dyDescent="0.25">
      <c r="O347" s="74"/>
      <c r="P347" s="74"/>
      <c r="Q347" s="74"/>
      <c r="R347" s="74"/>
      <c r="V347" s="72"/>
    </row>
    <row r="348" spans="15:22" x14ac:dyDescent="0.25">
      <c r="O348" s="74"/>
      <c r="P348" s="74"/>
      <c r="Q348" s="74"/>
      <c r="R348" s="74"/>
      <c r="V348" s="72"/>
    </row>
    <row r="349" spans="15:22" x14ac:dyDescent="0.25">
      <c r="O349" s="74"/>
      <c r="P349" s="74"/>
      <c r="Q349" s="74"/>
      <c r="R349" s="74"/>
      <c r="V349" s="72"/>
    </row>
    <row r="350" spans="15:22" x14ac:dyDescent="0.25">
      <c r="O350" s="74"/>
      <c r="P350" s="74"/>
      <c r="Q350" s="74"/>
      <c r="R350" s="74"/>
      <c r="V350" s="72"/>
    </row>
    <row r="351" spans="15:22" x14ac:dyDescent="0.25">
      <c r="O351" s="74"/>
      <c r="P351" s="74"/>
      <c r="Q351" s="74"/>
      <c r="R351" s="74"/>
      <c r="V351" s="72"/>
    </row>
    <row r="352" spans="15:22" x14ac:dyDescent="0.25">
      <c r="O352" s="74"/>
      <c r="P352" s="74"/>
      <c r="Q352" s="74"/>
      <c r="R352" s="74"/>
      <c r="V352" s="72"/>
    </row>
    <row r="353" spans="15:22" x14ac:dyDescent="0.25">
      <c r="O353" s="74"/>
      <c r="P353" s="74"/>
      <c r="Q353" s="74"/>
      <c r="R353" s="74"/>
      <c r="V353" s="72"/>
    </row>
    <row r="354" spans="15:22" x14ac:dyDescent="0.25">
      <c r="O354" s="74"/>
      <c r="P354" s="74"/>
      <c r="Q354" s="74"/>
      <c r="R354" s="74"/>
      <c r="V354" s="72"/>
    </row>
    <row r="355" spans="15:22" x14ac:dyDescent="0.25">
      <c r="O355" s="74"/>
      <c r="P355" s="74"/>
      <c r="Q355" s="74"/>
      <c r="R355" s="74"/>
      <c r="V355" s="72"/>
    </row>
    <row r="356" spans="15:22" x14ac:dyDescent="0.25">
      <c r="O356" s="74"/>
      <c r="P356" s="74"/>
      <c r="Q356" s="74"/>
      <c r="R356" s="74"/>
      <c r="V356" s="72"/>
    </row>
    <row r="357" spans="15:22" x14ac:dyDescent="0.25">
      <c r="O357" s="74"/>
      <c r="P357" s="74"/>
      <c r="Q357" s="74"/>
      <c r="R357" s="74"/>
      <c r="V357" s="72"/>
    </row>
    <row r="358" spans="15:22" x14ac:dyDescent="0.25">
      <c r="O358" s="74"/>
      <c r="P358" s="74"/>
      <c r="Q358" s="74"/>
      <c r="R358" s="74"/>
      <c r="V358" s="72"/>
    </row>
    <row r="359" spans="15:22" x14ac:dyDescent="0.25">
      <c r="O359" s="74"/>
      <c r="P359" s="74"/>
      <c r="Q359" s="74"/>
      <c r="R359" s="74"/>
      <c r="V359" s="72"/>
    </row>
    <row r="360" spans="15:22" x14ac:dyDescent="0.25">
      <c r="O360" s="74"/>
      <c r="P360" s="74"/>
      <c r="Q360" s="74"/>
      <c r="R360" s="74"/>
      <c r="V360" s="72"/>
    </row>
    <row r="361" spans="15:22" x14ac:dyDescent="0.25">
      <c r="O361" s="74"/>
      <c r="P361" s="74"/>
      <c r="Q361" s="74"/>
      <c r="R361" s="74"/>
      <c r="V361" s="72"/>
    </row>
    <row r="362" spans="15:22" x14ac:dyDescent="0.25">
      <c r="O362" s="74"/>
      <c r="P362" s="74"/>
      <c r="Q362" s="74"/>
      <c r="R362" s="74"/>
      <c r="V362" s="72"/>
    </row>
    <row r="363" spans="15:22" x14ac:dyDescent="0.25">
      <c r="O363" s="74"/>
      <c r="P363" s="74"/>
      <c r="Q363" s="74"/>
      <c r="R363" s="74"/>
      <c r="V363" s="72"/>
    </row>
    <row r="364" spans="15:22" x14ac:dyDescent="0.25">
      <c r="O364" s="74"/>
      <c r="P364" s="74"/>
      <c r="Q364" s="74"/>
      <c r="R364" s="74"/>
      <c r="V364" s="72"/>
    </row>
    <row r="365" spans="15:22" x14ac:dyDescent="0.25">
      <c r="O365" s="74"/>
      <c r="P365" s="74"/>
      <c r="Q365" s="74"/>
      <c r="R365" s="74"/>
      <c r="V365" s="72"/>
    </row>
    <row r="366" spans="15:22" x14ac:dyDescent="0.25">
      <c r="O366" s="74"/>
      <c r="P366" s="74"/>
      <c r="Q366" s="74"/>
      <c r="R366" s="74"/>
      <c r="V366" s="72"/>
    </row>
    <row r="367" spans="15:22" x14ac:dyDescent="0.25">
      <c r="O367" s="74"/>
      <c r="P367" s="74"/>
      <c r="Q367" s="74"/>
      <c r="R367" s="74"/>
      <c r="V367" s="72"/>
    </row>
    <row r="368" spans="15:22" x14ac:dyDescent="0.25">
      <c r="O368" s="74"/>
      <c r="P368" s="74"/>
      <c r="Q368" s="74"/>
      <c r="R368" s="74"/>
      <c r="V368" s="72"/>
    </row>
    <row r="369" spans="15:22" x14ac:dyDescent="0.25">
      <c r="O369" s="74"/>
      <c r="P369" s="74"/>
      <c r="Q369" s="74"/>
      <c r="R369" s="74"/>
      <c r="V369" s="72"/>
    </row>
    <row r="370" spans="15:22" x14ac:dyDescent="0.25">
      <c r="O370" s="74"/>
      <c r="P370" s="74"/>
      <c r="Q370" s="74"/>
      <c r="R370" s="74"/>
      <c r="V370" s="72"/>
    </row>
    <row r="371" spans="15:22" x14ac:dyDescent="0.25">
      <c r="O371" s="74"/>
      <c r="P371" s="74"/>
      <c r="Q371" s="74"/>
      <c r="R371" s="74"/>
      <c r="V371" s="72"/>
    </row>
    <row r="372" spans="15:22" x14ac:dyDescent="0.25">
      <c r="O372" s="74"/>
      <c r="P372" s="74"/>
      <c r="Q372" s="74"/>
      <c r="R372" s="74"/>
      <c r="V372" s="72"/>
    </row>
    <row r="373" spans="15:22" x14ac:dyDescent="0.25">
      <c r="O373" s="74"/>
      <c r="P373" s="74"/>
      <c r="Q373" s="74"/>
      <c r="R373" s="74"/>
      <c r="V373" s="72"/>
    </row>
    <row r="374" spans="15:22" x14ac:dyDescent="0.25">
      <c r="O374" s="74"/>
      <c r="P374" s="74"/>
      <c r="Q374" s="74"/>
      <c r="R374" s="74"/>
      <c r="V374" s="72"/>
    </row>
    <row r="375" spans="15:22" x14ac:dyDescent="0.25">
      <c r="O375" s="74"/>
      <c r="P375" s="74"/>
      <c r="Q375" s="74"/>
      <c r="R375" s="74"/>
      <c r="V375" s="72"/>
    </row>
    <row r="376" spans="15:22" x14ac:dyDescent="0.25">
      <c r="O376" s="74"/>
      <c r="P376" s="74"/>
      <c r="Q376" s="74"/>
      <c r="R376" s="74"/>
      <c r="V376" s="72"/>
    </row>
    <row r="377" spans="15:22" x14ac:dyDescent="0.25">
      <c r="O377" s="74"/>
      <c r="P377" s="74"/>
      <c r="Q377" s="74"/>
      <c r="R377" s="74"/>
      <c r="V377" s="72"/>
    </row>
    <row r="378" spans="15:22" x14ac:dyDescent="0.25">
      <c r="O378" s="74"/>
      <c r="P378" s="74"/>
      <c r="Q378" s="74"/>
      <c r="R378" s="74"/>
      <c r="V378" s="72"/>
    </row>
    <row r="379" spans="15:22" x14ac:dyDescent="0.25">
      <c r="O379" s="74"/>
      <c r="P379" s="74"/>
      <c r="Q379" s="74"/>
      <c r="R379" s="74"/>
      <c r="V379" s="72"/>
    </row>
    <row r="380" spans="15:22" x14ac:dyDescent="0.25">
      <c r="O380" s="74"/>
      <c r="P380" s="74"/>
      <c r="Q380" s="74"/>
      <c r="R380" s="74"/>
      <c r="V380" s="72"/>
    </row>
    <row r="381" spans="15:22" x14ac:dyDescent="0.25">
      <c r="O381" s="74"/>
      <c r="P381" s="74"/>
      <c r="Q381" s="74"/>
      <c r="R381" s="74"/>
      <c r="V381" s="72"/>
    </row>
    <row r="382" spans="15:22" x14ac:dyDescent="0.25">
      <c r="O382" s="74"/>
      <c r="P382" s="74"/>
      <c r="Q382" s="74"/>
      <c r="R382" s="74"/>
      <c r="V382" s="72"/>
    </row>
    <row r="383" spans="15:22" x14ac:dyDescent="0.25">
      <c r="O383" s="74"/>
      <c r="P383" s="74"/>
      <c r="Q383" s="74"/>
      <c r="R383" s="74"/>
      <c r="V383" s="72"/>
    </row>
    <row r="384" spans="15:22" x14ac:dyDescent="0.25">
      <c r="O384" s="74"/>
      <c r="P384" s="74"/>
      <c r="Q384" s="74"/>
      <c r="R384" s="74"/>
      <c r="V384" s="72"/>
    </row>
    <row r="385" spans="15:22" x14ac:dyDescent="0.25">
      <c r="O385" s="74"/>
      <c r="P385" s="74"/>
      <c r="Q385" s="74"/>
      <c r="R385" s="74"/>
      <c r="V385" s="72"/>
    </row>
    <row r="386" spans="15:22" x14ac:dyDescent="0.25">
      <c r="O386" s="74"/>
      <c r="P386" s="74"/>
      <c r="Q386" s="74"/>
      <c r="R386" s="74"/>
      <c r="V386" s="72"/>
    </row>
    <row r="387" spans="15:22" x14ac:dyDescent="0.25">
      <c r="O387" s="74"/>
      <c r="P387" s="74"/>
      <c r="Q387" s="74"/>
      <c r="R387" s="74"/>
      <c r="V387" s="72"/>
    </row>
    <row r="388" spans="15:22" x14ac:dyDescent="0.25">
      <c r="O388" s="74"/>
      <c r="P388" s="74"/>
      <c r="Q388" s="74"/>
      <c r="R388" s="74"/>
      <c r="V388" s="72"/>
    </row>
    <row r="389" spans="15:22" x14ac:dyDescent="0.25">
      <c r="O389" s="74"/>
      <c r="P389" s="74"/>
      <c r="Q389" s="74"/>
      <c r="R389" s="74"/>
      <c r="V389" s="72"/>
    </row>
    <row r="390" spans="15:22" x14ac:dyDescent="0.25">
      <c r="O390" s="74"/>
      <c r="P390" s="74"/>
      <c r="Q390" s="74"/>
      <c r="R390" s="74"/>
      <c r="V390" s="72"/>
    </row>
    <row r="391" spans="15:22" x14ac:dyDescent="0.25">
      <c r="O391" s="74"/>
      <c r="P391" s="74"/>
      <c r="Q391" s="74"/>
      <c r="R391" s="74"/>
      <c r="V391" s="72"/>
    </row>
    <row r="392" spans="15:22" x14ac:dyDescent="0.25">
      <c r="O392" s="74"/>
      <c r="P392" s="74"/>
      <c r="Q392" s="74"/>
      <c r="R392" s="74"/>
      <c r="V392" s="72"/>
    </row>
    <row r="393" spans="15:22" x14ac:dyDescent="0.25">
      <c r="O393" s="74"/>
      <c r="P393" s="74"/>
      <c r="Q393" s="74"/>
      <c r="R393" s="74"/>
      <c r="V393" s="72"/>
    </row>
    <row r="394" spans="15:22" x14ac:dyDescent="0.25">
      <c r="O394" s="74"/>
      <c r="P394" s="74"/>
      <c r="Q394" s="74"/>
      <c r="R394" s="74"/>
      <c r="V394" s="72"/>
    </row>
    <row r="395" spans="15:22" x14ac:dyDescent="0.25">
      <c r="O395" s="74"/>
      <c r="P395" s="74"/>
      <c r="Q395" s="74"/>
      <c r="R395" s="74"/>
      <c r="V395" s="72"/>
    </row>
    <row r="396" spans="15:22" x14ac:dyDescent="0.25">
      <c r="O396" s="74"/>
      <c r="P396" s="74"/>
      <c r="Q396" s="74"/>
      <c r="R396" s="74"/>
      <c r="V396" s="72"/>
    </row>
    <row r="397" spans="15:22" x14ac:dyDescent="0.25">
      <c r="O397" s="74"/>
      <c r="P397" s="74"/>
      <c r="Q397" s="74"/>
      <c r="R397" s="74"/>
      <c r="V397" s="72"/>
    </row>
    <row r="398" spans="15:22" x14ac:dyDescent="0.25">
      <c r="O398" s="74"/>
      <c r="P398" s="74"/>
      <c r="Q398" s="74"/>
      <c r="R398" s="74"/>
      <c r="V398" s="72"/>
    </row>
    <row r="399" spans="15:22" x14ac:dyDescent="0.25">
      <c r="O399" s="74"/>
      <c r="P399" s="74"/>
      <c r="Q399" s="74"/>
      <c r="R399" s="74"/>
      <c r="V399" s="72"/>
    </row>
    <row r="400" spans="15:22" x14ac:dyDescent="0.25">
      <c r="O400" s="74"/>
      <c r="P400" s="74"/>
      <c r="Q400" s="74"/>
      <c r="R400" s="74"/>
      <c r="V400" s="72"/>
    </row>
    <row r="401" spans="15:22" x14ac:dyDescent="0.25">
      <c r="O401" s="74"/>
      <c r="P401" s="74"/>
      <c r="Q401" s="74"/>
      <c r="R401" s="74"/>
      <c r="V401" s="72"/>
    </row>
    <row r="402" spans="15:22" x14ac:dyDescent="0.25">
      <c r="O402" s="74"/>
      <c r="P402" s="74"/>
      <c r="Q402" s="74"/>
      <c r="R402" s="74"/>
      <c r="V402" s="72"/>
    </row>
    <row r="403" spans="15:22" x14ac:dyDescent="0.25">
      <c r="O403" s="74"/>
      <c r="P403" s="74"/>
      <c r="Q403" s="74"/>
      <c r="R403" s="74"/>
      <c r="V403" s="72"/>
    </row>
    <row r="404" spans="15:22" x14ac:dyDescent="0.25">
      <c r="O404" s="74"/>
      <c r="P404" s="74"/>
      <c r="Q404" s="74"/>
      <c r="R404" s="74"/>
      <c r="V404" s="72"/>
    </row>
    <row r="405" spans="15:22" x14ac:dyDescent="0.25">
      <c r="O405" s="74"/>
      <c r="P405" s="74"/>
      <c r="Q405" s="74"/>
      <c r="R405" s="74"/>
      <c r="V405" s="72"/>
    </row>
    <row r="406" spans="15:22" x14ac:dyDescent="0.25">
      <c r="O406" s="74"/>
      <c r="P406" s="74"/>
      <c r="Q406" s="74"/>
      <c r="R406" s="74"/>
      <c r="V406" s="72"/>
    </row>
    <row r="407" spans="15:22" x14ac:dyDescent="0.25">
      <c r="O407" s="74"/>
      <c r="P407" s="74"/>
      <c r="Q407" s="74"/>
      <c r="R407" s="74"/>
      <c r="V407" s="72"/>
    </row>
    <row r="408" spans="15:22" x14ac:dyDescent="0.25">
      <c r="O408" s="74"/>
      <c r="P408" s="74"/>
      <c r="Q408" s="74"/>
      <c r="R408" s="74"/>
      <c r="V408" s="72"/>
    </row>
    <row r="409" spans="15:22" x14ac:dyDescent="0.25">
      <c r="O409" s="74"/>
      <c r="P409" s="74"/>
      <c r="Q409" s="74"/>
      <c r="R409" s="74"/>
      <c r="V409" s="72"/>
    </row>
    <row r="410" spans="15:22" x14ac:dyDescent="0.25">
      <c r="O410" s="74"/>
      <c r="P410" s="74"/>
      <c r="Q410" s="74"/>
      <c r="R410" s="74"/>
      <c r="V410" s="72"/>
    </row>
    <row r="411" spans="15:22" x14ac:dyDescent="0.25">
      <c r="O411" s="74"/>
      <c r="P411" s="74"/>
      <c r="Q411" s="74"/>
      <c r="R411" s="74"/>
      <c r="V411" s="72"/>
    </row>
    <row r="412" spans="15:22" x14ac:dyDescent="0.25">
      <c r="O412" s="74"/>
      <c r="P412" s="74"/>
      <c r="Q412" s="74"/>
      <c r="R412" s="74"/>
      <c r="V412" s="72"/>
    </row>
    <row r="413" spans="15:22" x14ac:dyDescent="0.25">
      <c r="O413" s="74"/>
      <c r="P413" s="74"/>
      <c r="Q413" s="74"/>
      <c r="R413" s="74"/>
      <c r="V413" s="72"/>
    </row>
    <row r="414" spans="15:22" x14ac:dyDescent="0.25">
      <c r="O414" s="74"/>
      <c r="P414" s="74"/>
      <c r="Q414" s="74"/>
      <c r="R414" s="74"/>
      <c r="V414" s="72"/>
    </row>
    <row r="415" spans="15:22" x14ac:dyDescent="0.25">
      <c r="O415" s="74"/>
      <c r="P415" s="74"/>
      <c r="Q415" s="74"/>
      <c r="R415" s="74"/>
      <c r="V415" s="72"/>
    </row>
    <row r="416" spans="15:22" x14ac:dyDescent="0.25">
      <c r="O416" s="74"/>
      <c r="P416" s="74"/>
      <c r="Q416" s="74"/>
      <c r="R416" s="74"/>
      <c r="V416" s="72"/>
    </row>
    <row r="417" spans="15:22" x14ac:dyDescent="0.25">
      <c r="O417" s="74"/>
      <c r="P417" s="74"/>
      <c r="Q417" s="74"/>
      <c r="R417" s="74"/>
      <c r="V417" s="72"/>
    </row>
    <row r="418" spans="15:22" x14ac:dyDescent="0.25">
      <c r="O418" s="74"/>
      <c r="P418" s="74"/>
      <c r="Q418" s="74"/>
      <c r="R418" s="74"/>
      <c r="V418" s="72"/>
    </row>
    <row r="419" spans="15:22" x14ac:dyDescent="0.25">
      <c r="O419" s="74"/>
      <c r="P419" s="74"/>
      <c r="Q419" s="74"/>
      <c r="R419" s="74"/>
      <c r="V419" s="72"/>
    </row>
    <row r="420" spans="15:22" x14ac:dyDescent="0.25">
      <c r="O420" s="74"/>
      <c r="P420" s="74"/>
      <c r="Q420" s="74"/>
      <c r="R420" s="74"/>
      <c r="V420" s="72"/>
    </row>
    <row r="421" spans="15:22" x14ac:dyDescent="0.25">
      <c r="O421" s="74"/>
      <c r="P421" s="74"/>
      <c r="Q421" s="74"/>
      <c r="R421" s="74"/>
      <c r="V421" s="72"/>
    </row>
    <row r="422" spans="15:22" x14ac:dyDescent="0.25">
      <c r="O422" s="74"/>
      <c r="P422" s="74"/>
      <c r="Q422" s="74"/>
      <c r="R422" s="74"/>
      <c r="V422" s="72"/>
    </row>
    <row r="423" spans="15:22" x14ac:dyDescent="0.25">
      <c r="O423" s="74"/>
      <c r="P423" s="74"/>
      <c r="Q423" s="74"/>
      <c r="R423" s="74"/>
      <c r="V423" s="72"/>
    </row>
    <row r="424" spans="15:22" x14ac:dyDescent="0.25">
      <c r="O424" s="74"/>
      <c r="P424" s="74"/>
      <c r="Q424" s="74"/>
      <c r="R424" s="74"/>
      <c r="V424" s="72"/>
    </row>
    <row r="425" spans="15:22" x14ac:dyDescent="0.25">
      <c r="O425" s="74"/>
      <c r="P425" s="74"/>
      <c r="Q425" s="74"/>
      <c r="R425" s="74"/>
      <c r="V425" s="72"/>
    </row>
    <row r="426" spans="15:22" x14ac:dyDescent="0.25">
      <c r="O426" s="74"/>
      <c r="P426" s="74"/>
      <c r="Q426" s="74"/>
      <c r="R426" s="74"/>
      <c r="V426" s="72"/>
    </row>
    <row r="427" spans="15:22" x14ac:dyDescent="0.25">
      <c r="O427" s="74"/>
      <c r="P427" s="74"/>
      <c r="Q427" s="74"/>
      <c r="R427" s="74"/>
      <c r="V427" s="72"/>
    </row>
    <row r="428" spans="15:22" x14ac:dyDescent="0.25">
      <c r="O428" s="74"/>
      <c r="P428" s="74"/>
      <c r="Q428" s="74"/>
      <c r="R428" s="74"/>
      <c r="V428" s="72"/>
    </row>
    <row r="429" spans="15:22" x14ac:dyDescent="0.25">
      <c r="O429" s="74"/>
      <c r="P429" s="74"/>
      <c r="Q429" s="74"/>
      <c r="R429" s="74"/>
      <c r="V429" s="72"/>
    </row>
    <row r="430" spans="15:22" x14ac:dyDescent="0.25">
      <c r="O430" s="74"/>
      <c r="P430" s="74"/>
      <c r="Q430" s="74"/>
      <c r="R430" s="74"/>
      <c r="V430" s="72"/>
    </row>
    <row r="431" spans="15:22" x14ac:dyDescent="0.25">
      <c r="O431" s="74"/>
      <c r="P431" s="74"/>
      <c r="Q431" s="74"/>
      <c r="R431" s="74"/>
      <c r="V431" s="72"/>
    </row>
    <row r="432" spans="15:22" x14ac:dyDescent="0.25">
      <c r="O432" s="74"/>
      <c r="P432" s="74"/>
      <c r="Q432" s="74"/>
      <c r="R432" s="74"/>
      <c r="V432" s="72"/>
    </row>
    <row r="433" spans="15:22" x14ac:dyDescent="0.25">
      <c r="O433" s="74"/>
      <c r="P433" s="74"/>
      <c r="Q433" s="74"/>
      <c r="R433" s="74"/>
      <c r="V433" s="72"/>
    </row>
    <row r="434" spans="15:22" x14ac:dyDescent="0.25">
      <c r="O434" s="74"/>
      <c r="P434" s="74"/>
      <c r="Q434" s="74"/>
      <c r="R434" s="74"/>
      <c r="V434" s="72"/>
    </row>
    <row r="435" spans="15:22" x14ac:dyDescent="0.25">
      <c r="O435" s="74"/>
      <c r="P435" s="74"/>
      <c r="Q435" s="74"/>
      <c r="R435" s="74"/>
      <c r="V435" s="72"/>
    </row>
    <row r="436" spans="15:22" x14ac:dyDescent="0.25">
      <c r="O436" s="74"/>
      <c r="P436" s="74"/>
      <c r="Q436" s="74"/>
      <c r="R436" s="74"/>
      <c r="V436" s="72"/>
    </row>
    <row r="437" spans="15:22" x14ac:dyDescent="0.25">
      <c r="O437" s="74"/>
      <c r="P437" s="74"/>
      <c r="Q437" s="74"/>
      <c r="R437" s="74"/>
      <c r="V437" s="72"/>
    </row>
    <row r="438" spans="15:22" x14ac:dyDescent="0.25">
      <c r="O438" s="74"/>
      <c r="P438" s="74"/>
      <c r="Q438" s="74"/>
      <c r="R438" s="74"/>
      <c r="V438" s="72"/>
    </row>
    <row r="439" spans="15:22" x14ac:dyDescent="0.25">
      <c r="O439" s="74"/>
      <c r="P439" s="74"/>
      <c r="Q439" s="74"/>
      <c r="R439" s="74"/>
      <c r="V439" s="72"/>
    </row>
    <row r="440" spans="15:22" x14ac:dyDescent="0.25">
      <c r="O440" s="74"/>
      <c r="P440" s="74"/>
      <c r="Q440" s="74"/>
      <c r="R440" s="74"/>
      <c r="V440" s="72"/>
    </row>
    <row r="441" spans="15:22" x14ac:dyDescent="0.25">
      <c r="O441" s="74"/>
      <c r="P441" s="74"/>
      <c r="Q441" s="74"/>
      <c r="R441" s="74"/>
      <c r="V441" s="72"/>
    </row>
    <row r="442" spans="15:22" x14ac:dyDescent="0.25">
      <c r="O442" s="74"/>
      <c r="P442" s="74"/>
      <c r="Q442" s="74"/>
      <c r="R442" s="74"/>
      <c r="V442" s="72"/>
    </row>
    <row r="443" spans="15:22" x14ac:dyDescent="0.25">
      <c r="O443" s="74"/>
      <c r="P443" s="74"/>
      <c r="Q443" s="74"/>
      <c r="R443" s="74"/>
      <c r="V443" s="72"/>
    </row>
    <row r="444" spans="15:22" x14ac:dyDescent="0.25">
      <c r="O444" s="74"/>
      <c r="P444" s="74"/>
      <c r="Q444" s="74"/>
      <c r="R444" s="74"/>
      <c r="V444" s="72"/>
    </row>
    <row r="445" spans="15:22" x14ac:dyDescent="0.25">
      <c r="O445" s="74"/>
      <c r="P445" s="74"/>
      <c r="Q445" s="74"/>
      <c r="R445" s="74"/>
      <c r="V445" s="72"/>
    </row>
    <row r="446" spans="15:22" x14ac:dyDescent="0.25">
      <c r="O446" s="74"/>
      <c r="P446" s="74"/>
      <c r="Q446" s="74"/>
      <c r="R446" s="74"/>
      <c r="V446" s="72"/>
    </row>
    <row r="447" spans="15:22" x14ac:dyDescent="0.25">
      <c r="O447" s="74"/>
      <c r="P447" s="74"/>
      <c r="Q447" s="74"/>
      <c r="R447" s="74"/>
      <c r="V447" s="72"/>
    </row>
    <row r="448" spans="15:22" x14ac:dyDescent="0.25">
      <c r="O448" s="74"/>
      <c r="P448" s="74"/>
      <c r="Q448" s="74"/>
      <c r="R448" s="74"/>
      <c r="V448" s="72"/>
    </row>
    <row r="449" spans="15:22" x14ac:dyDescent="0.25">
      <c r="O449" s="74"/>
      <c r="P449" s="74"/>
      <c r="Q449" s="74"/>
      <c r="R449" s="74"/>
      <c r="V449" s="72"/>
    </row>
    <row r="450" spans="15:22" x14ac:dyDescent="0.25">
      <c r="O450" s="74"/>
      <c r="P450" s="74"/>
      <c r="Q450" s="74"/>
      <c r="R450" s="74"/>
      <c r="V450" s="72"/>
    </row>
    <row r="451" spans="15:22" x14ac:dyDescent="0.25">
      <c r="O451" s="74"/>
      <c r="P451" s="74"/>
      <c r="Q451" s="74"/>
      <c r="R451" s="74"/>
      <c r="V451" s="72"/>
    </row>
    <row r="452" spans="15:22" x14ac:dyDescent="0.25">
      <c r="O452" s="74"/>
      <c r="P452" s="74"/>
      <c r="Q452" s="74"/>
      <c r="R452" s="74"/>
      <c r="V452" s="72"/>
    </row>
    <row r="453" spans="15:22" x14ac:dyDescent="0.25">
      <c r="O453" s="74"/>
      <c r="P453" s="74"/>
      <c r="Q453" s="74"/>
      <c r="R453" s="74"/>
      <c r="V453" s="72"/>
    </row>
    <row r="454" spans="15:22" x14ac:dyDescent="0.25">
      <c r="O454" s="74"/>
      <c r="P454" s="74"/>
      <c r="Q454" s="74"/>
      <c r="R454" s="74"/>
      <c r="V454" s="72"/>
    </row>
    <row r="455" spans="15:22" x14ac:dyDescent="0.25">
      <c r="O455" s="74"/>
      <c r="P455" s="74"/>
      <c r="Q455" s="74"/>
      <c r="R455" s="74"/>
      <c r="V455" s="72"/>
    </row>
    <row r="456" spans="15:22" x14ac:dyDescent="0.25">
      <c r="O456" s="74"/>
      <c r="P456" s="74"/>
      <c r="Q456" s="74"/>
      <c r="R456" s="74"/>
      <c r="V456" s="72"/>
    </row>
    <row r="457" spans="15:22" x14ac:dyDescent="0.25">
      <c r="O457" s="74"/>
      <c r="P457" s="74"/>
      <c r="Q457" s="74"/>
      <c r="R457" s="74"/>
      <c r="V457" s="72"/>
    </row>
    <row r="458" spans="15:22" x14ac:dyDescent="0.25">
      <c r="O458" s="74"/>
      <c r="P458" s="74"/>
      <c r="Q458" s="74"/>
      <c r="R458" s="74"/>
      <c r="V458" s="72"/>
    </row>
    <row r="459" spans="15:22" x14ac:dyDescent="0.25">
      <c r="O459" s="74"/>
      <c r="P459" s="74"/>
      <c r="Q459" s="74"/>
      <c r="R459" s="74"/>
      <c r="V459" s="72"/>
    </row>
    <row r="460" spans="15:22" x14ac:dyDescent="0.25">
      <c r="O460" s="74"/>
      <c r="P460" s="74"/>
      <c r="Q460" s="74"/>
      <c r="R460" s="74"/>
      <c r="V460" s="72"/>
    </row>
    <row r="461" spans="15:22" x14ac:dyDescent="0.25">
      <c r="O461" s="74"/>
      <c r="P461" s="74"/>
      <c r="Q461" s="74"/>
      <c r="R461" s="74"/>
      <c r="V461" s="72"/>
    </row>
    <row r="462" spans="15:22" x14ac:dyDescent="0.25">
      <c r="O462" s="74"/>
      <c r="P462" s="74"/>
      <c r="Q462" s="74"/>
      <c r="R462" s="74"/>
      <c r="V462" s="72"/>
    </row>
    <row r="463" spans="15:22" x14ac:dyDescent="0.25">
      <c r="O463" s="74"/>
      <c r="P463" s="74"/>
      <c r="Q463" s="74"/>
      <c r="R463" s="74"/>
      <c r="V463" s="72"/>
    </row>
    <row r="464" spans="15:22" x14ac:dyDescent="0.25">
      <c r="O464" s="74"/>
      <c r="P464" s="74"/>
      <c r="Q464" s="74"/>
      <c r="R464" s="74"/>
      <c r="V464" s="72"/>
    </row>
    <row r="465" spans="15:22" x14ac:dyDescent="0.25">
      <c r="O465" s="74"/>
      <c r="P465" s="74"/>
      <c r="Q465" s="74"/>
      <c r="R465" s="74"/>
      <c r="V465" s="72"/>
    </row>
    <row r="466" spans="15:22" x14ac:dyDescent="0.25">
      <c r="O466" s="74"/>
      <c r="P466" s="74"/>
      <c r="Q466" s="74"/>
      <c r="R466" s="74"/>
      <c r="V466" s="72"/>
    </row>
    <row r="467" spans="15:22" x14ac:dyDescent="0.25">
      <c r="O467" s="74"/>
      <c r="P467" s="74"/>
      <c r="Q467" s="74"/>
      <c r="R467" s="74"/>
      <c r="V467" s="72"/>
    </row>
    <row r="468" spans="15:22" x14ac:dyDescent="0.25">
      <c r="O468" s="74"/>
      <c r="P468" s="74"/>
      <c r="Q468" s="74"/>
      <c r="R468" s="74"/>
      <c r="V468" s="72"/>
    </row>
    <row r="469" spans="15:22" x14ac:dyDescent="0.25">
      <c r="O469" s="74"/>
      <c r="P469" s="74"/>
      <c r="Q469" s="74"/>
      <c r="R469" s="74"/>
      <c r="V469" s="72"/>
    </row>
    <row r="470" spans="15:22" x14ac:dyDescent="0.25">
      <c r="O470" s="74"/>
      <c r="P470" s="74"/>
      <c r="Q470" s="74"/>
      <c r="R470" s="74"/>
      <c r="V470" s="72"/>
    </row>
    <row r="471" spans="15:22" x14ac:dyDescent="0.25">
      <c r="O471" s="74"/>
      <c r="P471" s="74"/>
      <c r="Q471" s="74"/>
      <c r="R471" s="74"/>
      <c r="V471" s="72"/>
    </row>
    <row r="472" spans="15:22" x14ac:dyDescent="0.25">
      <c r="O472" s="74"/>
      <c r="P472" s="74"/>
      <c r="Q472" s="74"/>
      <c r="R472" s="74"/>
      <c r="V472" s="72"/>
    </row>
    <row r="473" spans="15:22" x14ac:dyDescent="0.25">
      <c r="O473" s="74"/>
      <c r="P473" s="74"/>
      <c r="Q473" s="74"/>
      <c r="R473" s="74"/>
      <c r="V473" s="72"/>
    </row>
    <row r="474" spans="15:22" x14ac:dyDescent="0.25">
      <c r="O474" s="74"/>
      <c r="P474" s="74"/>
      <c r="Q474" s="74"/>
      <c r="R474" s="74"/>
      <c r="V474" s="72"/>
    </row>
    <row r="475" spans="15:22" x14ac:dyDescent="0.25">
      <c r="O475" s="74"/>
      <c r="P475" s="74"/>
      <c r="Q475" s="74"/>
      <c r="R475" s="74"/>
      <c r="V475" s="72"/>
    </row>
    <row r="476" spans="15:22" x14ac:dyDescent="0.25">
      <c r="O476" s="74"/>
      <c r="P476" s="74"/>
      <c r="Q476" s="74"/>
      <c r="R476" s="74"/>
      <c r="V476" s="72"/>
    </row>
    <row r="477" spans="15:22" x14ac:dyDescent="0.25">
      <c r="O477" s="74"/>
      <c r="P477" s="74"/>
      <c r="Q477" s="74"/>
      <c r="R477" s="74"/>
      <c r="V477" s="72"/>
    </row>
    <row r="478" spans="15:22" x14ac:dyDescent="0.25">
      <c r="O478" s="74"/>
      <c r="P478" s="74"/>
      <c r="Q478" s="74"/>
      <c r="R478" s="74"/>
      <c r="V478" s="72"/>
    </row>
    <row r="479" spans="15:22" x14ac:dyDescent="0.25">
      <c r="O479" s="74"/>
      <c r="P479" s="74"/>
      <c r="Q479" s="74"/>
      <c r="R479" s="74"/>
      <c r="V479" s="72"/>
    </row>
    <row r="480" spans="15:22" x14ac:dyDescent="0.25">
      <c r="O480" s="74"/>
      <c r="P480" s="74"/>
      <c r="Q480" s="74"/>
      <c r="R480" s="74"/>
      <c r="V480" s="72"/>
    </row>
    <row r="481" spans="15:22" x14ac:dyDescent="0.25">
      <c r="O481" s="74"/>
      <c r="P481" s="74"/>
      <c r="Q481" s="74"/>
      <c r="R481" s="74"/>
      <c r="V481" s="72"/>
    </row>
    <row r="482" spans="15:22" x14ac:dyDescent="0.25">
      <c r="O482" s="74"/>
      <c r="P482" s="74"/>
      <c r="Q482" s="74"/>
      <c r="R482" s="74"/>
      <c r="V482" s="72"/>
    </row>
    <row r="483" spans="15:22" x14ac:dyDescent="0.25">
      <c r="O483" s="74"/>
      <c r="P483" s="74"/>
      <c r="Q483" s="74"/>
      <c r="R483" s="74"/>
      <c r="V483" s="72"/>
    </row>
    <row r="484" spans="15:22" x14ac:dyDescent="0.25">
      <c r="O484" s="74"/>
      <c r="P484" s="74"/>
      <c r="Q484" s="74"/>
      <c r="R484" s="74"/>
      <c r="V484" s="72"/>
    </row>
    <row r="485" spans="15:22" x14ac:dyDescent="0.25">
      <c r="O485" s="74"/>
      <c r="P485" s="74"/>
      <c r="Q485" s="74"/>
      <c r="R485" s="74"/>
      <c r="V485" s="72"/>
    </row>
    <row r="486" spans="15:22" x14ac:dyDescent="0.25">
      <c r="O486" s="74"/>
      <c r="P486" s="74"/>
      <c r="Q486" s="74"/>
      <c r="R486" s="74"/>
      <c r="V486" s="72"/>
    </row>
    <row r="487" spans="15:22" x14ac:dyDescent="0.25">
      <c r="O487" s="74"/>
      <c r="P487" s="74"/>
      <c r="Q487" s="74"/>
      <c r="R487" s="74"/>
      <c r="V487" s="72"/>
    </row>
    <row r="488" spans="15:22" x14ac:dyDescent="0.25">
      <c r="O488" s="74"/>
      <c r="P488" s="74"/>
      <c r="Q488" s="74"/>
      <c r="R488" s="74"/>
      <c r="V488" s="72"/>
    </row>
    <row r="489" spans="15:22" x14ac:dyDescent="0.25">
      <c r="O489" s="74"/>
      <c r="P489" s="74"/>
      <c r="Q489" s="74"/>
      <c r="R489" s="74"/>
      <c r="V489" s="72"/>
    </row>
    <row r="490" spans="15:22" x14ac:dyDescent="0.25">
      <c r="O490" s="74"/>
      <c r="P490" s="74"/>
      <c r="Q490" s="74"/>
      <c r="R490" s="74"/>
      <c r="V490" s="72"/>
    </row>
    <row r="491" spans="15:22" x14ac:dyDescent="0.25">
      <c r="O491" s="74"/>
      <c r="P491" s="74"/>
      <c r="Q491" s="74"/>
      <c r="R491" s="74"/>
      <c r="V491" s="72"/>
    </row>
    <row r="492" spans="15:22" x14ac:dyDescent="0.25">
      <c r="O492" s="74"/>
      <c r="P492" s="74"/>
      <c r="Q492" s="74"/>
      <c r="R492" s="74"/>
      <c r="V492" s="72"/>
    </row>
    <row r="493" spans="15:22" x14ac:dyDescent="0.25">
      <c r="O493" s="74"/>
      <c r="P493" s="74"/>
      <c r="Q493" s="74"/>
      <c r="R493" s="74"/>
      <c r="V493" s="72"/>
    </row>
    <row r="494" spans="15:22" x14ac:dyDescent="0.25">
      <c r="O494" s="74"/>
      <c r="P494" s="74"/>
      <c r="Q494" s="74"/>
      <c r="R494" s="74"/>
      <c r="V494" s="72"/>
    </row>
    <row r="495" spans="15:22" x14ac:dyDescent="0.25">
      <c r="O495" s="74"/>
      <c r="P495" s="74"/>
      <c r="Q495" s="74"/>
      <c r="R495" s="74"/>
      <c r="V495" s="72"/>
    </row>
    <row r="496" spans="15:22" x14ac:dyDescent="0.25">
      <c r="O496" s="74"/>
      <c r="P496" s="74"/>
      <c r="Q496" s="74"/>
      <c r="R496" s="74"/>
      <c r="V496" s="72"/>
    </row>
    <row r="497" spans="15:22" x14ac:dyDescent="0.25">
      <c r="O497" s="74"/>
      <c r="P497" s="74"/>
      <c r="Q497" s="74"/>
      <c r="R497" s="74"/>
      <c r="V497" s="72"/>
    </row>
    <row r="498" spans="15:22" x14ac:dyDescent="0.25">
      <c r="O498" s="74"/>
      <c r="P498" s="74"/>
      <c r="Q498" s="74"/>
      <c r="R498" s="74"/>
      <c r="V498" s="72"/>
    </row>
    <row r="499" spans="15:22" x14ac:dyDescent="0.25">
      <c r="O499" s="74"/>
      <c r="P499" s="74"/>
      <c r="Q499" s="74"/>
      <c r="R499" s="74"/>
      <c r="V499" s="72"/>
    </row>
    <row r="500" spans="15:22" x14ac:dyDescent="0.25">
      <c r="O500" s="74"/>
      <c r="P500" s="74"/>
      <c r="Q500" s="74"/>
      <c r="R500" s="74"/>
      <c r="V500" s="72"/>
    </row>
    <row r="501" spans="15:22" x14ac:dyDescent="0.25">
      <c r="O501" s="74"/>
      <c r="P501" s="74"/>
      <c r="Q501" s="74"/>
      <c r="R501" s="74"/>
      <c r="V501" s="72"/>
    </row>
    <row r="502" spans="15:22" x14ac:dyDescent="0.25">
      <c r="O502" s="74"/>
      <c r="P502" s="74"/>
      <c r="Q502" s="74"/>
      <c r="R502" s="74"/>
      <c r="V502" s="72"/>
    </row>
    <row r="503" spans="15:22" x14ac:dyDescent="0.25">
      <c r="O503" s="74"/>
      <c r="P503" s="74"/>
      <c r="Q503" s="74"/>
      <c r="R503" s="74"/>
      <c r="V503" s="72"/>
    </row>
    <row r="504" spans="15:22" x14ac:dyDescent="0.25">
      <c r="O504" s="74"/>
      <c r="P504" s="74"/>
      <c r="Q504" s="74"/>
      <c r="R504" s="74"/>
      <c r="V504" s="72"/>
    </row>
    <row r="505" spans="15:22" x14ac:dyDescent="0.25">
      <c r="O505" s="74"/>
      <c r="P505" s="74"/>
      <c r="Q505" s="74"/>
      <c r="R505" s="74"/>
      <c r="V505" s="72"/>
    </row>
    <row r="506" spans="15:22" x14ac:dyDescent="0.25">
      <c r="O506" s="74"/>
      <c r="P506" s="74"/>
      <c r="Q506" s="74"/>
      <c r="R506" s="74"/>
      <c r="V506" s="72"/>
    </row>
    <row r="507" spans="15:22" x14ac:dyDescent="0.25">
      <c r="O507" s="74"/>
      <c r="P507" s="74"/>
      <c r="Q507" s="74"/>
      <c r="R507" s="74"/>
      <c r="V507" s="72"/>
    </row>
    <row r="508" spans="15:22" x14ac:dyDescent="0.25">
      <c r="O508" s="74"/>
      <c r="P508" s="74"/>
      <c r="Q508" s="74"/>
      <c r="R508" s="74"/>
      <c r="V508" s="72"/>
    </row>
    <row r="509" spans="15:22" x14ac:dyDescent="0.25">
      <c r="O509" s="74"/>
      <c r="P509" s="74"/>
      <c r="Q509" s="74"/>
      <c r="R509" s="74"/>
      <c r="V509" s="72"/>
    </row>
    <row r="510" spans="15:22" x14ac:dyDescent="0.25">
      <c r="O510" s="74"/>
      <c r="P510" s="74"/>
      <c r="Q510" s="74"/>
      <c r="R510" s="74"/>
      <c r="V510" s="72"/>
    </row>
    <row r="511" spans="15:22" x14ac:dyDescent="0.25">
      <c r="O511" s="74"/>
      <c r="P511" s="74"/>
      <c r="Q511" s="74"/>
      <c r="R511" s="74"/>
      <c r="V511" s="72"/>
    </row>
    <row r="512" spans="15:22" x14ac:dyDescent="0.25">
      <c r="O512" s="74"/>
      <c r="P512" s="74"/>
      <c r="Q512" s="74"/>
      <c r="R512" s="74"/>
      <c r="V512" s="72"/>
    </row>
    <row r="513" spans="15:22" x14ac:dyDescent="0.25">
      <c r="O513" s="74"/>
      <c r="P513" s="74"/>
      <c r="Q513" s="74"/>
      <c r="R513" s="74"/>
      <c r="V513" s="72"/>
    </row>
    <row r="514" spans="15:22" x14ac:dyDescent="0.25">
      <c r="O514" s="74"/>
      <c r="P514" s="74"/>
      <c r="Q514" s="74"/>
      <c r="R514" s="74"/>
      <c r="V514" s="72"/>
    </row>
    <row r="515" spans="15:22" x14ac:dyDescent="0.25">
      <c r="O515" s="74"/>
      <c r="P515" s="74"/>
      <c r="Q515" s="74"/>
      <c r="R515" s="74"/>
      <c r="V515" s="72"/>
    </row>
    <row r="516" spans="15:22" x14ac:dyDescent="0.25">
      <c r="O516" s="74"/>
      <c r="P516" s="74"/>
      <c r="Q516" s="74"/>
      <c r="R516" s="74"/>
      <c r="V516" s="72"/>
    </row>
    <row r="517" spans="15:22" x14ac:dyDescent="0.25">
      <c r="O517" s="74"/>
      <c r="P517" s="74"/>
      <c r="Q517" s="74"/>
      <c r="R517" s="74"/>
      <c r="V517" s="72"/>
    </row>
    <row r="518" spans="15:22" x14ac:dyDescent="0.25">
      <c r="O518" s="74"/>
      <c r="P518" s="74"/>
      <c r="Q518" s="74"/>
      <c r="R518" s="74"/>
      <c r="V518" s="72"/>
    </row>
    <row r="519" spans="15:22" x14ac:dyDescent="0.25">
      <c r="O519" s="74"/>
      <c r="P519" s="74"/>
      <c r="Q519" s="74"/>
      <c r="R519" s="74"/>
      <c r="V519" s="72"/>
    </row>
    <row r="520" spans="15:22" x14ac:dyDescent="0.25">
      <c r="O520" s="74"/>
      <c r="P520" s="74"/>
      <c r="Q520" s="74"/>
      <c r="R520" s="74"/>
      <c r="V520" s="72"/>
    </row>
    <row r="521" spans="15:22" x14ac:dyDescent="0.25">
      <c r="O521" s="74"/>
      <c r="P521" s="74"/>
      <c r="Q521" s="74"/>
      <c r="R521" s="74"/>
      <c r="V521" s="72"/>
    </row>
    <row r="522" spans="15:22" x14ac:dyDescent="0.25">
      <c r="O522" s="74"/>
      <c r="P522" s="74"/>
      <c r="Q522" s="74"/>
      <c r="R522" s="74"/>
      <c r="V522" s="72"/>
    </row>
    <row r="523" spans="15:22" x14ac:dyDescent="0.25">
      <c r="O523" s="74"/>
      <c r="P523" s="74"/>
      <c r="Q523" s="74"/>
      <c r="R523" s="74"/>
      <c r="V523" s="72"/>
    </row>
    <row r="524" spans="15:22" x14ac:dyDescent="0.25">
      <c r="O524" s="74"/>
      <c r="P524" s="74"/>
      <c r="Q524" s="74"/>
      <c r="R524" s="74"/>
      <c r="V524" s="72"/>
    </row>
    <row r="525" spans="15:22" x14ac:dyDescent="0.25">
      <c r="O525" s="74"/>
      <c r="P525" s="74"/>
      <c r="Q525" s="74"/>
      <c r="R525" s="74"/>
      <c r="V525" s="72"/>
    </row>
    <row r="526" spans="15:22" x14ac:dyDescent="0.25">
      <c r="O526" s="74"/>
      <c r="P526" s="74"/>
      <c r="Q526" s="74"/>
      <c r="R526" s="74"/>
      <c r="V526" s="72"/>
    </row>
    <row r="527" spans="15:22" x14ac:dyDescent="0.25">
      <c r="O527" s="74"/>
      <c r="P527" s="74"/>
      <c r="Q527" s="74"/>
      <c r="R527" s="74"/>
      <c r="V527" s="72"/>
    </row>
    <row r="528" spans="15:22" x14ac:dyDescent="0.25">
      <c r="O528" s="74"/>
      <c r="P528" s="74"/>
      <c r="Q528" s="74"/>
      <c r="R528" s="74"/>
      <c r="V528" s="72"/>
    </row>
    <row r="529" spans="15:22" x14ac:dyDescent="0.25">
      <c r="O529" s="74"/>
      <c r="P529" s="74"/>
      <c r="Q529" s="74"/>
      <c r="R529" s="74"/>
      <c r="V529" s="72"/>
    </row>
    <row r="530" spans="15:22" x14ac:dyDescent="0.25">
      <c r="O530" s="74"/>
      <c r="P530" s="74"/>
      <c r="Q530" s="74"/>
      <c r="R530" s="74"/>
      <c r="V530" s="72"/>
    </row>
    <row r="531" spans="15:22" x14ac:dyDescent="0.25">
      <c r="O531" s="74"/>
      <c r="P531" s="74"/>
      <c r="Q531" s="74"/>
      <c r="R531" s="74"/>
      <c r="V531" s="72"/>
    </row>
    <row r="532" spans="15:22" x14ac:dyDescent="0.25">
      <c r="O532" s="74"/>
      <c r="P532" s="74"/>
      <c r="Q532" s="74"/>
      <c r="R532" s="74"/>
      <c r="V532" s="72"/>
    </row>
    <row r="533" spans="15:22" x14ac:dyDescent="0.25">
      <c r="O533" s="74"/>
      <c r="P533" s="74"/>
      <c r="Q533" s="74"/>
      <c r="R533" s="74"/>
      <c r="V533" s="72"/>
    </row>
    <row r="534" spans="15:22" x14ac:dyDescent="0.25">
      <c r="O534" s="74"/>
      <c r="P534" s="74"/>
      <c r="Q534" s="74"/>
      <c r="R534" s="74"/>
      <c r="V534" s="72"/>
    </row>
    <row r="535" spans="15:22" x14ac:dyDescent="0.25">
      <c r="O535" s="74"/>
      <c r="P535" s="74"/>
      <c r="Q535" s="74"/>
      <c r="R535" s="74"/>
      <c r="V535" s="72"/>
    </row>
    <row r="536" spans="15:22" x14ac:dyDescent="0.25">
      <c r="O536" s="74"/>
      <c r="P536" s="74"/>
      <c r="Q536" s="74"/>
      <c r="R536" s="74"/>
      <c r="V536" s="72"/>
    </row>
    <row r="537" spans="15:22" x14ac:dyDescent="0.25">
      <c r="O537" s="74"/>
      <c r="P537" s="74"/>
      <c r="Q537" s="74"/>
      <c r="R537" s="74"/>
      <c r="V537" s="72"/>
    </row>
    <row r="538" spans="15:22" x14ac:dyDescent="0.25">
      <c r="O538" s="74"/>
      <c r="P538" s="74"/>
      <c r="Q538" s="74"/>
      <c r="R538" s="74"/>
      <c r="V538" s="72"/>
    </row>
    <row r="539" spans="15:22" x14ac:dyDescent="0.25">
      <c r="O539" s="74"/>
      <c r="P539" s="74"/>
      <c r="Q539" s="74"/>
      <c r="R539" s="74"/>
      <c r="V539" s="72"/>
    </row>
    <row r="540" spans="15:22" x14ac:dyDescent="0.25">
      <c r="O540" s="74"/>
      <c r="P540" s="74"/>
      <c r="Q540" s="74"/>
      <c r="R540" s="74"/>
      <c r="V540" s="72"/>
    </row>
    <row r="541" spans="15:22" x14ac:dyDescent="0.25">
      <c r="O541" s="74"/>
      <c r="P541" s="74"/>
      <c r="Q541" s="74"/>
      <c r="R541" s="74"/>
      <c r="V541" s="72"/>
    </row>
    <row r="542" spans="15:22" x14ac:dyDescent="0.25">
      <c r="O542" s="74"/>
      <c r="P542" s="74"/>
      <c r="Q542" s="74"/>
      <c r="R542" s="74"/>
      <c r="V542" s="72"/>
    </row>
    <row r="543" spans="15:22" x14ac:dyDescent="0.25">
      <c r="O543" s="74"/>
      <c r="P543" s="74"/>
      <c r="Q543" s="74"/>
      <c r="R543" s="74"/>
      <c r="V543" s="72"/>
    </row>
    <row r="544" spans="15:22" x14ac:dyDescent="0.25">
      <c r="O544" s="74"/>
      <c r="P544" s="74"/>
      <c r="Q544" s="74"/>
      <c r="R544" s="74"/>
      <c r="V544" s="72"/>
    </row>
    <row r="545" spans="15:22" x14ac:dyDescent="0.25">
      <c r="O545" s="74"/>
      <c r="P545" s="74"/>
      <c r="Q545" s="74"/>
      <c r="R545" s="74"/>
      <c r="V545" s="72"/>
    </row>
    <row r="546" spans="15:22" x14ac:dyDescent="0.25">
      <c r="O546" s="74"/>
      <c r="P546" s="74"/>
      <c r="Q546" s="74"/>
      <c r="R546" s="74"/>
      <c r="V546" s="72"/>
    </row>
    <row r="547" spans="15:22" x14ac:dyDescent="0.25">
      <c r="O547" s="74"/>
      <c r="P547" s="74"/>
      <c r="Q547" s="74"/>
      <c r="R547" s="74"/>
      <c r="V547" s="72"/>
    </row>
    <row r="548" spans="15:22" x14ac:dyDescent="0.25">
      <c r="O548" s="74"/>
      <c r="P548" s="74"/>
      <c r="Q548" s="74"/>
      <c r="R548" s="74"/>
      <c r="V548" s="72"/>
    </row>
    <row r="549" spans="15:22" x14ac:dyDescent="0.25">
      <c r="O549" s="74"/>
      <c r="P549" s="74"/>
      <c r="Q549" s="74"/>
      <c r="R549" s="74"/>
      <c r="V549" s="72"/>
    </row>
    <row r="550" spans="15:22" x14ac:dyDescent="0.25">
      <c r="O550" s="74"/>
      <c r="P550" s="74"/>
      <c r="Q550" s="74"/>
      <c r="R550" s="74"/>
      <c r="V550" s="72"/>
    </row>
    <row r="551" spans="15:22" x14ac:dyDescent="0.25">
      <c r="O551" s="74"/>
      <c r="P551" s="74"/>
      <c r="Q551" s="74"/>
      <c r="R551" s="74"/>
      <c r="V551" s="72"/>
    </row>
    <row r="552" spans="15:22" x14ac:dyDescent="0.25">
      <c r="O552" s="74"/>
      <c r="P552" s="74"/>
      <c r="Q552" s="74"/>
      <c r="R552" s="74"/>
      <c r="V552" s="72"/>
    </row>
    <row r="553" spans="15:22" x14ac:dyDescent="0.25">
      <c r="O553" s="74"/>
      <c r="P553" s="74"/>
      <c r="Q553" s="74"/>
      <c r="R553" s="74"/>
      <c r="V553" s="72"/>
    </row>
    <row r="554" spans="15:22" x14ac:dyDescent="0.25">
      <c r="O554" s="74"/>
      <c r="P554" s="74"/>
      <c r="Q554" s="74"/>
      <c r="R554" s="74"/>
      <c r="V554" s="72"/>
    </row>
    <row r="555" spans="15:22" x14ac:dyDescent="0.25">
      <c r="O555" s="74"/>
      <c r="P555" s="74"/>
      <c r="Q555" s="74"/>
      <c r="R555" s="74"/>
      <c r="V555" s="72"/>
    </row>
    <row r="556" spans="15:22" x14ac:dyDescent="0.25">
      <c r="O556" s="74"/>
      <c r="P556" s="74"/>
      <c r="Q556" s="74"/>
      <c r="R556" s="74"/>
      <c r="V556" s="72"/>
    </row>
    <row r="557" spans="15:22" x14ac:dyDescent="0.25">
      <c r="O557" s="74"/>
      <c r="P557" s="74"/>
      <c r="Q557" s="74"/>
      <c r="R557" s="74"/>
      <c r="V557" s="72"/>
    </row>
    <row r="558" spans="15:22" x14ac:dyDescent="0.25">
      <c r="O558" s="74"/>
      <c r="P558" s="74"/>
      <c r="Q558" s="74"/>
      <c r="R558" s="74"/>
      <c r="V558" s="72"/>
    </row>
    <row r="559" spans="15:22" x14ac:dyDescent="0.25">
      <c r="O559" s="74"/>
      <c r="P559" s="74"/>
      <c r="Q559" s="74"/>
      <c r="R559" s="74"/>
      <c r="V559" s="72"/>
    </row>
    <row r="560" spans="15:22" x14ac:dyDescent="0.25">
      <c r="O560" s="74"/>
      <c r="P560" s="74"/>
      <c r="Q560" s="74"/>
      <c r="R560" s="74"/>
      <c r="V560" s="72"/>
    </row>
    <row r="561" spans="15:22" x14ac:dyDescent="0.25">
      <c r="O561" s="74"/>
      <c r="P561" s="74"/>
      <c r="Q561" s="74"/>
      <c r="R561" s="74"/>
      <c r="V561" s="72"/>
    </row>
    <row r="562" spans="15:22" x14ac:dyDescent="0.25">
      <c r="O562" s="74"/>
      <c r="P562" s="74"/>
      <c r="Q562" s="74"/>
      <c r="R562" s="74"/>
      <c r="V562" s="72"/>
    </row>
    <row r="563" spans="15:22" x14ac:dyDescent="0.25">
      <c r="O563" s="74"/>
      <c r="P563" s="74"/>
      <c r="Q563" s="74"/>
      <c r="R563" s="74"/>
      <c r="V563" s="72"/>
    </row>
    <row r="564" spans="15:22" x14ac:dyDescent="0.25">
      <c r="O564" s="74"/>
      <c r="P564" s="74"/>
      <c r="Q564" s="74"/>
      <c r="R564" s="74"/>
      <c r="V564" s="72"/>
    </row>
    <row r="565" spans="15:22" x14ac:dyDescent="0.25">
      <c r="O565" s="74"/>
      <c r="P565" s="74"/>
      <c r="Q565" s="74"/>
      <c r="R565" s="74"/>
      <c r="V565" s="72"/>
    </row>
    <row r="566" spans="15:22" x14ac:dyDescent="0.25">
      <c r="O566" s="74"/>
      <c r="P566" s="74"/>
      <c r="Q566" s="74"/>
      <c r="R566" s="74"/>
      <c r="V566" s="72"/>
    </row>
    <row r="567" spans="15:22" x14ac:dyDescent="0.25">
      <c r="O567" s="74"/>
      <c r="P567" s="74"/>
      <c r="Q567" s="74"/>
      <c r="R567" s="74"/>
      <c r="V567" s="72"/>
    </row>
    <row r="568" spans="15:22" x14ac:dyDescent="0.25">
      <c r="O568" s="74"/>
      <c r="P568" s="74"/>
      <c r="Q568" s="74"/>
      <c r="R568" s="74"/>
      <c r="V568" s="72"/>
    </row>
    <row r="569" spans="15:22" x14ac:dyDescent="0.25">
      <c r="O569" s="74"/>
      <c r="P569" s="74"/>
      <c r="Q569" s="74"/>
      <c r="R569" s="74"/>
      <c r="V569" s="72"/>
    </row>
    <row r="570" spans="15:22" x14ac:dyDescent="0.25">
      <c r="O570" s="74"/>
      <c r="P570" s="74"/>
      <c r="Q570" s="74"/>
      <c r="R570" s="74"/>
      <c r="V570" s="72"/>
    </row>
    <row r="571" spans="15:22" x14ac:dyDescent="0.25">
      <c r="O571" s="74"/>
      <c r="P571" s="74"/>
      <c r="Q571" s="74"/>
      <c r="R571" s="74"/>
      <c r="V571" s="72"/>
    </row>
    <row r="572" spans="15:22" x14ac:dyDescent="0.25">
      <c r="O572" s="74"/>
      <c r="P572" s="74"/>
      <c r="Q572" s="74"/>
      <c r="R572" s="74"/>
      <c r="V572" s="72"/>
    </row>
    <row r="573" spans="15:22" x14ac:dyDescent="0.25">
      <c r="O573" s="74"/>
      <c r="P573" s="74"/>
      <c r="Q573" s="74"/>
      <c r="R573" s="74"/>
      <c r="V573" s="72"/>
    </row>
    <row r="574" spans="15:22" x14ac:dyDescent="0.25">
      <c r="O574" s="74"/>
      <c r="P574" s="74"/>
      <c r="Q574" s="74"/>
      <c r="R574" s="74"/>
      <c r="V574" s="72"/>
    </row>
    <row r="575" spans="15:22" x14ac:dyDescent="0.25">
      <c r="O575" s="74"/>
      <c r="P575" s="74"/>
      <c r="Q575" s="74"/>
      <c r="R575" s="74"/>
      <c r="V575" s="72"/>
    </row>
    <row r="576" spans="15:22" x14ac:dyDescent="0.25">
      <c r="O576" s="74"/>
      <c r="P576" s="74"/>
      <c r="Q576" s="74"/>
      <c r="R576" s="74"/>
      <c r="V576" s="72"/>
    </row>
    <row r="577" spans="15:22" x14ac:dyDescent="0.25">
      <c r="O577" s="74"/>
      <c r="P577" s="74"/>
      <c r="Q577" s="74"/>
      <c r="R577" s="74"/>
      <c r="V577" s="72"/>
    </row>
    <row r="578" spans="15:22" x14ac:dyDescent="0.25">
      <c r="O578" s="74"/>
      <c r="P578" s="74"/>
      <c r="Q578" s="74"/>
      <c r="R578" s="74"/>
      <c r="V578" s="72"/>
    </row>
    <row r="579" spans="15:22" x14ac:dyDescent="0.25">
      <c r="O579" s="74"/>
      <c r="P579" s="74"/>
      <c r="Q579" s="74"/>
      <c r="R579" s="74"/>
      <c r="V579" s="72"/>
    </row>
    <row r="580" spans="15:22" x14ac:dyDescent="0.25">
      <c r="O580" s="74"/>
      <c r="P580" s="74"/>
      <c r="Q580" s="74"/>
      <c r="R580" s="74"/>
      <c r="V580" s="72"/>
    </row>
    <row r="581" spans="15:22" x14ac:dyDescent="0.25">
      <c r="O581" s="74"/>
      <c r="P581" s="74"/>
      <c r="Q581" s="74"/>
      <c r="R581" s="74"/>
      <c r="V581" s="72"/>
    </row>
    <row r="582" spans="15:22" x14ac:dyDescent="0.25">
      <c r="O582" s="74"/>
      <c r="P582" s="74"/>
      <c r="Q582" s="74"/>
      <c r="R582" s="74"/>
      <c r="V582" s="72"/>
    </row>
    <row r="583" spans="15:22" x14ac:dyDescent="0.25">
      <c r="O583" s="74"/>
      <c r="P583" s="74"/>
      <c r="Q583" s="74"/>
      <c r="R583" s="74"/>
      <c r="V583" s="72"/>
    </row>
    <row r="584" spans="15:22" x14ac:dyDescent="0.25">
      <c r="O584" s="74"/>
      <c r="P584" s="74"/>
      <c r="Q584" s="74"/>
      <c r="R584" s="74"/>
      <c r="V584" s="72"/>
    </row>
    <row r="585" spans="15:22" x14ac:dyDescent="0.25">
      <c r="O585" s="74"/>
      <c r="P585" s="74"/>
      <c r="Q585" s="74"/>
      <c r="R585" s="74"/>
      <c r="V585" s="72"/>
    </row>
    <row r="586" spans="15:22" x14ac:dyDescent="0.25">
      <c r="O586" s="74"/>
      <c r="P586" s="74"/>
      <c r="Q586" s="74"/>
      <c r="R586" s="74"/>
      <c r="V586" s="72"/>
    </row>
    <row r="587" spans="15:22" x14ac:dyDescent="0.25">
      <c r="O587" s="74"/>
      <c r="P587" s="74"/>
      <c r="Q587" s="74"/>
      <c r="R587" s="74"/>
      <c r="V587" s="72"/>
    </row>
    <row r="588" spans="15:22" x14ac:dyDescent="0.25">
      <c r="O588" s="74"/>
      <c r="P588" s="74"/>
      <c r="Q588" s="74"/>
      <c r="R588" s="74"/>
      <c r="V588" s="72"/>
    </row>
    <row r="589" spans="15:22" x14ac:dyDescent="0.25">
      <c r="O589" s="74"/>
      <c r="P589" s="74"/>
      <c r="Q589" s="74"/>
      <c r="R589" s="74"/>
      <c r="V589" s="72"/>
    </row>
    <row r="590" spans="15:22" x14ac:dyDescent="0.25">
      <c r="O590" s="74"/>
      <c r="P590" s="74"/>
      <c r="Q590" s="74"/>
      <c r="R590" s="74"/>
      <c r="V590" s="72"/>
    </row>
    <row r="591" spans="15:22" x14ac:dyDescent="0.25">
      <c r="O591" s="74"/>
      <c r="P591" s="74"/>
      <c r="Q591" s="74"/>
      <c r="R591" s="74"/>
      <c r="V591" s="72"/>
    </row>
    <row r="592" spans="15:22" x14ac:dyDescent="0.25">
      <c r="O592" s="74"/>
      <c r="P592" s="74"/>
      <c r="Q592" s="74"/>
      <c r="R592" s="74"/>
      <c r="V592" s="72"/>
    </row>
    <row r="593" spans="15:22" x14ac:dyDescent="0.25">
      <c r="O593" s="74"/>
      <c r="P593" s="74"/>
      <c r="Q593" s="74"/>
      <c r="R593" s="74"/>
      <c r="V593" s="72"/>
    </row>
    <row r="594" spans="15:22" x14ac:dyDescent="0.25">
      <c r="O594" s="74"/>
      <c r="P594" s="74"/>
      <c r="Q594" s="74"/>
      <c r="R594" s="74"/>
      <c r="V594" s="72"/>
    </row>
    <row r="595" spans="15:22" x14ac:dyDescent="0.25">
      <c r="O595" s="74"/>
      <c r="P595" s="74"/>
      <c r="Q595" s="74"/>
      <c r="R595" s="74"/>
      <c r="V595" s="72"/>
    </row>
    <row r="596" spans="15:22" x14ac:dyDescent="0.25">
      <c r="O596" s="74"/>
      <c r="P596" s="74"/>
      <c r="Q596" s="74"/>
      <c r="R596" s="74"/>
      <c r="V596" s="72"/>
    </row>
    <row r="597" spans="15:22" x14ac:dyDescent="0.25">
      <c r="O597" s="74"/>
      <c r="P597" s="74"/>
      <c r="Q597" s="74"/>
      <c r="R597" s="74"/>
      <c r="V597" s="72"/>
    </row>
    <row r="598" spans="15:22" x14ac:dyDescent="0.25">
      <c r="O598" s="74"/>
      <c r="P598" s="74"/>
      <c r="Q598" s="74"/>
      <c r="R598" s="74"/>
      <c r="V598" s="72"/>
    </row>
    <row r="599" spans="15:22" x14ac:dyDescent="0.25">
      <c r="O599" s="74"/>
      <c r="P599" s="74"/>
      <c r="Q599" s="74"/>
      <c r="R599" s="74"/>
      <c r="V599" s="72"/>
    </row>
    <row r="600" spans="15:22" x14ac:dyDescent="0.25">
      <c r="O600" s="74"/>
      <c r="P600" s="74"/>
      <c r="Q600" s="74"/>
      <c r="R600" s="74"/>
      <c r="V600" s="72"/>
    </row>
    <row r="601" spans="15:22" x14ac:dyDescent="0.25">
      <c r="O601" s="74"/>
      <c r="P601" s="74"/>
      <c r="Q601" s="74"/>
      <c r="R601" s="74"/>
      <c r="V601" s="72"/>
    </row>
    <row r="602" spans="15:22" x14ac:dyDescent="0.25">
      <c r="O602" s="74"/>
      <c r="P602" s="74"/>
      <c r="Q602" s="74"/>
      <c r="R602" s="74"/>
      <c r="V602" s="72"/>
    </row>
    <row r="603" spans="15:22" x14ac:dyDescent="0.25">
      <c r="O603" s="74"/>
      <c r="P603" s="74"/>
      <c r="Q603" s="74"/>
      <c r="R603" s="74"/>
      <c r="V603" s="72"/>
    </row>
    <row r="604" spans="15:22" x14ac:dyDescent="0.25">
      <c r="O604" s="74"/>
      <c r="P604" s="74"/>
      <c r="Q604" s="74"/>
      <c r="R604" s="74"/>
      <c r="V604" s="72"/>
    </row>
    <row r="605" spans="15:22" x14ac:dyDescent="0.25">
      <c r="O605" s="74"/>
      <c r="P605" s="74"/>
      <c r="Q605" s="74"/>
      <c r="R605" s="74"/>
      <c r="V605" s="72"/>
    </row>
    <row r="606" spans="15:22" x14ac:dyDescent="0.25">
      <c r="O606" s="74"/>
      <c r="P606" s="74"/>
      <c r="Q606" s="74"/>
      <c r="R606" s="74"/>
      <c r="V606" s="72"/>
    </row>
    <row r="607" spans="15:22" x14ac:dyDescent="0.25">
      <c r="O607" s="74"/>
      <c r="P607" s="74"/>
      <c r="Q607" s="74"/>
      <c r="R607" s="74"/>
      <c r="V607" s="72"/>
    </row>
    <row r="608" spans="15:22" x14ac:dyDescent="0.25">
      <c r="O608" s="74"/>
      <c r="P608" s="74"/>
      <c r="Q608" s="74"/>
      <c r="R608" s="74"/>
      <c r="V608" s="72"/>
    </row>
    <row r="609" spans="15:22" x14ac:dyDescent="0.25">
      <c r="O609" s="74"/>
      <c r="P609" s="74"/>
      <c r="Q609" s="74"/>
      <c r="R609" s="74"/>
      <c r="V609" s="72"/>
    </row>
    <row r="610" spans="15:22" x14ac:dyDescent="0.25">
      <c r="O610" s="74"/>
      <c r="P610" s="74"/>
      <c r="Q610" s="74"/>
      <c r="R610" s="74"/>
      <c r="V610" s="72"/>
    </row>
    <row r="611" spans="15:22" x14ac:dyDescent="0.25">
      <c r="O611" s="74"/>
      <c r="P611" s="74"/>
      <c r="Q611" s="74"/>
      <c r="R611" s="74"/>
      <c r="V611" s="72"/>
    </row>
    <row r="612" spans="15:22" x14ac:dyDescent="0.25">
      <c r="O612" s="74"/>
      <c r="P612" s="74"/>
      <c r="Q612" s="74"/>
      <c r="R612" s="74"/>
      <c r="V612" s="72"/>
    </row>
    <row r="613" spans="15:22" x14ac:dyDescent="0.25">
      <c r="O613" s="74"/>
      <c r="P613" s="74"/>
      <c r="Q613" s="74"/>
      <c r="R613" s="74"/>
      <c r="V613" s="72"/>
    </row>
    <row r="614" spans="15:22" x14ac:dyDescent="0.25">
      <c r="O614" s="74"/>
      <c r="P614" s="74"/>
      <c r="Q614" s="74"/>
      <c r="R614" s="74"/>
      <c r="V614" s="72"/>
    </row>
    <row r="615" spans="15:22" x14ac:dyDescent="0.25">
      <c r="O615" s="74"/>
      <c r="P615" s="74"/>
      <c r="Q615" s="74"/>
      <c r="R615" s="74"/>
      <c r="V615" s="72"/>
    </row>
    <row r="616" spans="15:22" x14ac:dyDescent="0.25">
      <c r="O616" s="74"/>
      <c r="P616" s="74"/>
      <c r="Q616" s="74"/>
      <c r="R616" s="74"/>
      <c r="V616" s="72"/>
    </row>
    <row r="617" spans="15:22" x14ac:dyDescent="0.25">
      <c r="O617" s="74"/>
      <c r="P617" s="74"/>
      <c r="Q617" s="74"/>
      <c r="R617" s="74"/>
      <c r="V617" s="72"/>
    </row>
    <row r="618" spans="15:22" x14ac:dyDescent="0.25">
      <c r="O618" s="74"/>
      <c r="P618" s="74"/>
      <c r="Q618" s="74"/>
      <c r="R618" s="74"/>
      <c r="V618" s="72"/>
    </row>
    <row r="619" spans="15:22" x14ac:dyDescent="0.25">
      <c r="O619" s="74"/>
      <c r="P619" s="74"/>
      <c r="Q619" s="74"/>
      <c r="R619" s="74"/>
      <c r="V619" s="72"/>
    </row>
    <row r="620" spans="15:22" x14ac:dyDescent="0.25">
      <c r="O620" s="74"/>
      <c r="P620" s="74"/>
      <c r="Q620" s="74"/>
      <c r="R620" s="74"/>
      <c r="V620" s="72"/>
    </row>
    <row r="621" spans="15:22" x14ac:dyDescent="0.25">
      <c r="O621" s="74"/>
      <c r="P621" s="74"/>
      <c r="Q621" s="74"/>
      <c r="R621" s="74"/>
      <c r="V621" s="72"/>
    </row>
    <row r="622" spans="15:22" x14ac:dyDescent="0.25">
      <c r="O622" s="74"/>
      <c r="P622" s="74"/>
      <c r="Q622" s="74"/>
      <c r="R622" s="74"/>
      <c r="V622" s="72"/>
    </row>
    <row r="623" spans="15:22" x14ac:dyDescent="0.25">
      <c r="O623" s="74"/>
      <c r="P623" s="74"/>
      <c r="Q623" s="74"/>
      <c r="R623" s="74"/>
      <c r="V623" s="72"/>
    </row>
    <row r="624" spans="15:22" x14ac:dyDescent="0.25">
      <c r="O624" s="74"/>
      <c r="P624" s="74"/>
      <c r="Q624" s="74"/>
      <c r="R624" s="74"/>
      <c r="V624" s="72"/>
    </row>
    <row r="625" spans="15:22" x14ac:dyDescent="0.25">
      <c r="O625" s="74"/>
      <c r="P625" s="74"/>
      <c r="Q625" s="74"/>
      <c r="R625" s="74"/>
      <c r="V625" s="72"/>
    </row>
    <row r="626" spans="15:22" x14ac:dyDescent="0.25">
      <c r="O626" s="74"/>
      <c r="P626" s="74"/>
      <c r="Q626" s="74"/>
      <c r="R626" s="74"/>
      <c r="V626" s="72"/>
    </row>
    <row r="627" spans="15:22" x14ac:dyDescent="0.25">
      <c r="O627" s="74"/>
      <c r="P627" s="74"/>
      <c r="Q627" s="74"/>
      <c r="R627" s="74"/>
      <c r="V627" s="72"/>
    </row>
    <row r="628" spans="15:22" x14ac:dyDescent="0.25">
      <c r="O628" s="74"/>
      <c r="P628" s="74"/>
      <c r="Q628" s="74"/>
      <c r="R628" s="74"/>
      <c r="V628" s="72"/>
    </row>
    <row r="629" spans="15:22" x14ac:dyDescent="0.25">
      <c r="O629" s="74"/>
      <c r="P629" s="74"/>
      <c r="Q629" s="74"/>
      <c r="R629" s="74"/>
      <c r="V629" s="72"/>
    </row>
    <row r="630" spans="15:22" x14ac:dyDescent="0.25">
      <c r="O630" s="74"/>
      <c r="P630" s="74"/>
      <c r="Q630" s="74"/>
      <c r="R630" s="74"/>
      <c r="V630" s="72"/>
    </row>
    <row r="631" spans="15:22" x14ac:dyDescent="0.25">
      <c r="O631" s="74"/>
      <c r="P631" s="74"/>
      <c r="Q631" s="74"/>
      <c r="R631" s="74"/>
      <c r="V631" s="72"/>
    </row>
    <row r="632" spans="15:22" x14ac:dyDescent="0.25">
      <c r="O632" s="74"/>
      <c r="P632" s="74"/>
      <c r="Q632" s="74"/>
      <c r="R632" s="74"/>
      <c r="V632" s="72"/>
    </row>
    <row r="633" spans="15:22" x14ac:dyDescent="0.25">
      <c r="O633" s="74"/>
      <c r="P633" s="74"/>
      <c r="Q633" s="74"/>
      <c r="R633" s="74"/>
      <c r="V633" s="72"/>
    </row>
    <row r="634" spans="15:22" x14ac:dyDescent="0.25">
      <c r="O634" s="74"/>
      <c r="P634" s="74"/>
      <c r="Q634" s="74"/>
      <c r="R634" s="74"/>
      <c r="V634" s="72"/>
    </row>
    <row r="635" spans="15:22" x14ac:dyDescent="0.25">
      <c r="O635" s="74"/>
      <c r="P635" s="74"/>
      <c r="Q635" s="74"/>
      <c r="R635" s="74"/>
      <c r="V635" s="72"/>
    </row>
    <row r="636" spans="15:22" x14ac:dyDescent="0.25">
      <c r="O636" s="74"/>
      <c r="P636" s="74"/>
      <c r="Q636" s="74"/>
      <c r="R636" s="74"/>
      <c r="V636" s="72"/>
    </row>
    <row r="637" spans="15:22" x14ac:dyDescent="0.25">
      <c r="O637" s="74"/>
      <c r="P637" s="74"/>
      <c r="Q637" s="74"/>
      <c r="R637" s="74"/>
      <c r="V637" s="72"/>
    </row>
    <row r="638" spans="15:22" x14ac:dyDescent="0.25">
      <c r="O638" s="74"/>
      <c r="P638" s="74"/>
      <c r="Q638" s="74"/>
      <c r="R638" s="74"/>
      <c r="V638" s="72"/>
    </row>
    <row r="639" spans="15:22" x14ac:dyDescent="0.25">
      <c r="O639" s="74"/>
      <c r="P639" s="74"/>
      <c r="Q639" s="74"/>
      <c r="R639" s="74"/>
      <c r="V639" s="72"/>
    </row>
    <row r="640" spans="15:22" x14ac:dyDescent="0.25">
      <c r="O640" s="74"/>
      <c r="P640" s="74"/>
      <c r="Q640" s="74"/>
      <c r="R640" s="74"/>
      <c r="V640" s="72"/>
    </row>
    <row r="641" spans="15:22" x14ac:dyDescent="0.25">
      <c r="O641" s="74"/>
      <c r="P641" s="74"/>
      <c r="Q641" s="74"/>
      <c r="R641" s="74"/>
      <c r="V641" s="72"/>
    </row>
    <row r="642" spans="15:22" x14ac:dyDescent="0.25">
      <c r="O642" s="74"/>
      <c r="P642" s="74"/>
      <c r="Q642" s="74"/>
      <c r="R642" s="74"/>
      <c r="V642" s="72"/>
    </row>
    <row r="643" spans="15:22" x14ac:dyDescent="0.25">
      <c r="O643" s="74"/>
      <c r="P643" s="74"/>
      <c r="Q643" s="74"/>
      <c r="R643" s="74"/>
      <c r="V643" s="72"/>
    </row>
    <row r="644" spans="15:22" x14ac:dyDescent="0.25">
      <c r="O644" s="74"/>
      <c r="P644" s="74"/>
      <c r="Q644" s="74"/>
      <c r="R644" s="74"/>
      <c r="V644" s="72"/>
    </row>
    <row r="645" spans="15:22" x14ac:dyDescent="0.25">
      <c r="O645" s="74"/>
      <c r="P645" s="74"/>
      <c r="Q645" s="74"/>
      <c r="R645" s="74"/>
      <c r="V645" s="72"/>
    </row>
    <row r="646" spans="15:22" x14ac:dyDescent="0.25">
      <c r="O646" s="74"/>
      <c r="P646" s="74"/>
      <c r="Q646" s="74"/>
      <c r="R646" s="74"/>
      <c r="V646" s="72"/>
    </row>
    <row r="647" spans="15:22" x14ac:dyDescent="0.25">
      <c r="O647" s="74"/>
      <c r="P647" s="74"/>
      <c r="Q647" s="74"/>
      <c r="R647" s="74"/>
      <c r="V647" s="72"/>
    </row>
    <row r="648" spans="15:22" x14ac:dyDescent="0.25">
      <c r="O648" s="74"/>
      <c r="P648" s="74"/>
      <c r="Q648" s="74"/>
      <c r="R648" s="74"/>
      <c r="V648" s="72"/>
    </row>
    <row r="649" spans="15:22" x14ac:dyDescent="0.25">
      <c r="O649" s="74"/>
      <c r="P649" s="74"/>
      <c r="Q649" s="74"/>
      <c r="R649" s="74"/>
      <c r="V649" s="72"/>
    </row>
    <row r="650" spans="15:22" x14ac:dyDescent="0.25">
      <c r="O650" s="74"/>
      <c r="P650" s="74"/>
      <c r="Q650" s="74"/>
      <c r="R650" s="74"/>
      <c r="V650" s="72"/>
    </row>
    <row r="651" spans="15:22" x14ac:dyDescent="0.25">
      <c r="O651" s="74"/>
      <c r="P651" s="74"/>
      <c r="Q651" s="74"/>
      <c r="R651" s="74"/>
      <c r="V651" s="72"/>
    </row>
    <row r="652" spans="15:22" x14ac:dyDescent="0.25">
      <c r="O652" s="74"/>
      <c r="P652" s="74"/>
      <c r="Q652" s="74"/>
      <c r="R652" s="74"/>
      <c r="V652" s="72"/>
    </row>
    <row r="653" spans="15:22" x14ac:dyDescent="0.25">
      <c r="O653" s="74"/>
      <c r="P653" s="74"/>
      <c r="Q653" s="74"/>
      <c r="R653" s="74"/>
      <c r="V653" s="72"/>
    </row>
    <row r="654" spans="15:22" x14ac:dyDescent="0.25">
      <c r="O654" s="74"/>
      <c r="P654" s="74"/>
      <c r="Q654" s="74"/>
      <c r="R654" s="74"/>
      <c r="V654" s="72"/>
    </row>
    <row r="655" spans="15:22" x14ac:dyDescent="0.25">
      <c r="O655" s="74"/>
      <c r="P655" s="74"/>
      <c r="Q655" s="74"/>
      <c r="R655" s="74"/>
      <c r="V655" s="72"/>
    </row>
    <row r="656" spans="15:22" x14ac:dyDescent="0.25">
      <c r="O656" s="74"/>
      <c r="P656" s="74"/>
      <c r="Q656" s="74"/>
      <c r="R656" s="74"/>
      <c r="V656" s="72"/>
    </row>
    <row r="657" spans="15:22" x14ac:dyDescent="0.25">
      <c r="O657" s="74"/>
      <c r="P657" s="74"/>
      <c r="Q657" s="74"/>
      <c r="R657" s="74"/>
      <c r="V657" s="72"/>
    </row>
    <row r="658" spans="15:22" x14ac:dyDescent="0.25">
      <c r="O658" s="74"/>
      <c r="P658" s="74"/>
      <c r="Q658" s="74"/>
      <c r="R658" s="74"/>
      <c r="V658" s="72"/>
    </row>
    <row r="659" spans="15:22" x14ac:dyDescent="0.25">
      <c r="O659" s="74"/>
      <c r="P659" s="74"/>
      <c r="Q659" s="74"/>
      <c r="R659" s="74"/>
      <c r="V659" s="72"/>
    </row>
    <row r="660" spans="15:22" x14ac:dyDescent="0.25">
      <c r="O660" s="74"/>
      <c r="P660" s="74"/>
      <c r="Q660" s="74"/>
      <c r="R660" s="74"/>
      <c r="V660" s="72"/>
    </row>
    <row r="661" spans="15:22" x14ac:dyDescent="0.25">
      <c r="O661" s="74"/>
      <c r="P661" s="74"/>
      <c r="Q661" s="74"/>
      <c r="R661" s="74"/>
      <c r="V661" s="72"/>
    </row>
    <row r="662" spans="15:22" x14ac:dyDescent="0.25">
      <c r="O662" s="74"/>
      <c r="P662" s="74"/>
      <c r="Q662" s="74"/>
      <c r="R662" s="74"/>
      <c r="V662" s="72"/>
    </row>
    <row r="663" spans="15:22" x14ac:dyDescent="0.25">
      <c r="O663" s="74"/>
      <c r="P663" s="74"/>
      <c r="Q663" s="74"/>
      <c r="R663" s="74"/>
      <c r="V663" s="72"/>
    </row>
    <row r="664" spans="15:22" x14ac:dyDescent="0.25">
      <c r="O664" s="74"/>
      <c r="P664" s="74"/>
      <c r="Q664" s="74"/>
      <c r="R664" s="74"/>
      <c r="V664" s="72"/>
    </row>
    <row r="665" spans="15:22" x14ac:dyDescent="0.25">
      <c r="O665" s="74"/>
      <c r="P665" s="74"/>
      <c r="Q665" s="74"/>
      <c r="R665" s="74"/>
      <c r="V665" s="72"/>
    </row>
    <row r="666" spans="15:22" x14ac:dyDescent="0.25">
      <c r="O666" s="74"/>
      <c r="P666" s="74"/>
      <c r="Q666" s="74"/>
      <c r="R666" s="74"/>
      <c r="V666" s="72"/>
    </row>
    <row r="667" spans="15:22" x14ac:dyDescent="0.25">
      <c r="O667" s="74"/>
      <c r="P667" s="74"/>
      <c r="Q667" s="74"/>
      <c r="R667" s="74"/>
      <c r="V667" s="72"/>
    </row>
    <row r="668" spans="15:22" x14ac:dyDescent="0.25">
      <c r="O668" s="74"/>
      <c r="P668" s="74"/>
      <c r="Q668" s="74"/>
      <c r="R668" s="74"/>
      <c r="V668" s="72"/>
    </row>
    <row r="669" spans="15:22" x14ac:dyDescent="0.25">
      <c r="O669" s="74"/>
      <c r="P669" s="74"/>
      <c r="Q669" s="74"/>
      <c r="R669" s="74"/>
      <c r="V669" s="72"/>
    </row>
    <row r="670" spans="15:22" x14ac:dyDescent="0.25">
      <c r="O670" s="74"/>
      <c r="P670" s="74"/>
      <c r="Q670" s="74"/>
      <c r="R670" s="74"/>
      <c r="V670" s="72"/>
    </row>
    <row r="671" spans="15:22" x14ac:dyDescent="0.25">
      <c r="O671" s="74"/>
      <c r="P671" s="74"/>
      <c r="Q671" s="74"/>
      <c r="R671" s="74"/>
      <c r="V671" s="72"/>
    </row>
    <row r="672" spans="15:22" x14ac:dyDescent="0.25">
      <c r="O672" s="74"/>
      <c r="P672" s="74"/>
      <c r="Q672" s="74"/>
      <c r="R672" s="74"/>
      <c r="V672" s="72"/>
    </row>
    <row r="673" spans="15:22" x14ac:dyDescent="0.25">
      <c r="O673" s="74"/>
      <c r="P673" s="74"/>
      <c r="Q673" s="74"/>
      <c r="R673" s="74"/>
      <c r="V673" s="72"/>
    </row>
    <row r="674" spans="15:22" x14ac:dyDescent="0.25">
      <c r="O674" s="74"/>
      <c r="P674" s="74"/>
      <c r="Q674" s="74"/>
      <c r="R674" s="74"/>
      <c r="V674" s="72"/>
    </row>
    <row r="675" spans="15:22" x14ac:dyDescent="0.25">
      <c r="O675" s="74"/>
      <c r="P675" s="74"/>
      <c r="Q675" s="74"/>
      <c r="R675" s="74"/>
      <c r="V675" s="72"/>
    </row>
    <row r="676" spans="15:22" x14ac:dyDescent="0.25">
      <c r="O676" s="74"/>
      <c r="P676" s="74"/>
      <c r="Q676" s="74"/>
      <c r="R676" s="74"/>
      <c r="V676" s="72"/>
    </row>
    <row r="677" spans="15:22" x14ac:dyDescent="0.25">
      <c r="O677" s="74"/>
      <c r="P677" s="74"/>
      <c r="Q677" s="74"/>
      <c r="R677" s="74"/>
      <c r="V677" s="72"/>
    </row>
    <row r="678" spans="15:22" x14ac:dyDescent="0.25">
      <c r="O678" s="74"/>
      <c r="P678" s="74"/>
      <c r="Q678" s="74"/>
      <c r="R678" s="74"/>
      <c r="V678" s="72"/>
    </row>
    <row r="679" spans="15:22" x14ac:dyDescent="0.25">
      <c r="O679" s="74"/>
      <c r="P679" s="74"/>
      <c r="Q679" s="74"/>
      <c r="R679" s="74"/>
      <c r="V679" s="72"/>
    </row>
    <row r="680" spans="15:22" x14ac:dyDescent="0.25">
      <c r="O680" s="74"/>
      <c r="P680" s="74"/>
      <c r="Q680" s="74"/>
      <c r="R680" s="74"/>
      <c r="V680" s="72"/>
    </row>
    <row r="681" spans="15:22" x14ac:dyDescent="0.25">
      <c r="O681" s="74"/>
      <c r="P681" s="74"/>
      <c r="Q681" s="74"/>
      <c r="R681" s="74"/>
      <c r="V681" s="72"/>
    </row>
    <row r="682" spans="15:22" x14ac:dyDescent="0.25">
      <c r="O682" s="74"/>
      <c r="P682" s="74"/>
      <c r="Q682" s="74"/>
      <c r="R682" s="74"/>
      <c r="V682" s="72"/>
    </row>
    <row r="683" spans="15:22" x14ac:dyDescent="0.25">
      <c r="O683" s="74"/>
      <c r="P683" s="74"/>
      <c r="Q683" s="74"/>
      <c r="R683" s="74"/>
      <c r="V683" s="72"/>
    </row>
    <row r="684" spans="15:22" x14ac:dyDescent="0.25">
      <c r="O684" s="74"/>
      <c r="P684" s="74"/>
      <c r="Q684" s="74"/>
      <c r="R684" s="74"/>
      <c r="V684" s="72"/>
    </row>
    <row r="685" spans="15:22" x14ac:dyDescent="0.25">
      <c r="O685" s="74"/>
      <c r="P685" s="74"/>
      <c r="Q685" s="74"/>
      <c r="R685" s="74"/>
      <c r="V685" s="72"/>
    </row>
    <row r="686" spans="15:22" x14ac:dyDescent="0.25">
      <c r="O686" s="74"/>
      <c r="P686" s="74"/>
      <c r="Q686" s="74"/>
      <c r="R686" s="74"/>
      <c r="V686" s="72"/>
    </row>
    <row r="687" spans="15:22" x14ac:dyDescent="0.25">
      <c r="O687" s="74"/>
      <c r="P687" s="74"/>
      <c r="Q687" s="74"/>
      <c r="R687" s="74"/>
      <c r="V687" s="72"/>
    </row>
    <row r="688" spans="15:22" x14ac:dyDescent="0.25">
      <c r="O688" s="74"/>
      <c r="P688" s="74"/>
      <c r="Q688" s="74"/>
      <c r="R688" s="74"/>
      <c r="V688" s="72"/>
    </row>
    <row r="689" spans="15:22" x14ac:dyDescent="0.25">
      <c r="O689" s="74"/>
      <c r="P689" s="74"/>
      <c r="Q689" s="74"/>
      <c r="R689" s="74"/>
      <c r="V689" s="72"/>
    </row>
    <row r="690" spans="15:22" x14ac:dyDescent="0.25">
      <c r="O690" s="74"/>
      <c r="P690" s="74"/>
      <c r="Q690" s="74"/>
      <c r="R690" s="74"/>
      <c r="V690" s="72"/>
    </row>
    <row r="691" spans="15:22" x14ac:dyDescent="0.25">
      <c r="O691" s="74"/>
      <c r="P691" s="74"/>
      <c r="Q691" s="74"/>
      <c r="R691" s="74"/>
      <c r="V691" s="72"/>
    </row>
    <row r="692" spans="15:22" x14ac:dyDescent="0.25">
      <c r="O692" s="74"/>
      <c r="P692" s="74"/>
      <c r="Q692" s="74"/>
      <c r="R692" s="74"/>
      <c r="V692" s="72"/>
    </row>
    <row r="693" spans="15:22" x14ac:dyDescent="0.25">
      <c r="O693" s="74"/>
      <c r="P693" s="74"/>
      <c r="Q693" s="74"/>
      <c r="R693" s="74"/>
      <c r="V693" s="72"/>
    </row>
    <row r="694" spans="15:22" x14ac:dyDescent="0.25">
      <c r="O694" s="74"/>
      <c r="P694" s="74"/>
      <c r="Q694" s="74"/>
      <c r="R694" s="74"/>
      <c r="V694" s="72"/>
    </row>
    <row r="695" spans="15:22" x14ac:dyDescent="0.25">
      <c r="O695" s="74"/>
      <c r="P695" s="74"/>
      <c r="Q695" s="74"/>
      <c r="R695" s="74"/>
      <c r="V695" s="72"/>
    </row>
    <row r="696" spans="15:22" x14ac:dyDescent="0.25">
      <c r="O696" s="74"/>
      <c r="P696" s="74"/>
      <c r="Q696" s="74"/>
      <c r="R696" s="74"/>
      <c r="V696" s="72"/>
    </row>
    <row r="697" spans="15:22" x14ac:dyDescent="0.25">
      <c r="O697" s="74"/>
      <c r="P697" s="74"/>
      <c r="Q697" s="74"/>
      <c r="R697" s="74"/>
      <c r="V697" s="72"/>
    </row>
    <row r="698" spans="15:22" x14ac:dyDescent="0.25">
      <c r="O698" s="74"/>
      <c r="P698" s="74"/>
      <c r="Q698" s="74"/>
      <c r="R698" s="74"/>
      <c r="V698" s="72"/>
    </row>
    <row r="699" spans="15:22" x14ac:dyDescent="0.25">
      <c r="O699" s="74"/>
      <c r="P699" s="74"/>
      <c r="Q699" s="74"/>
      <c r="R699" s="74"/>
      <c r="V699" s="72"/>
    </row>
    <row r="700" spans="15:22" x14ac:dyDescent="0.25">
      <c r="O700" s="74"/>
      <c r="P700" s="74"/>
      <c r="Q700" s="74"/>
      <c r="R700" s="74"/>
      <c r="V700" s="72"/>
    </row>
    <row r="701" spans="15:22" x14ac:dyDescent="0.25">
      <c r="O701" s="74"/>
      <c r="P701" s="74"/>
      <c r="Q701" s="74"/>
      <c r="R701" s="74"/>
      <c r="V701" s="72"/>
    </row>
    <row r="702" spans="15:22" x14ac:dyDescent="0.25">
      <c r="O702" s="74"/>
      <c r="P702" s="74"/>
      <c r="Q702" s="74"/>
      <c r="R702" s="74"/>
      <c r="V702" s="72"/>
    </row>
    <row r="703" spans="15:22" x14ac:dyDescent="0.25">
      <c r="O703" s="74"/>
      <c r="P703" s="74"/>
      <c r="Q703" s="74"/>
      <c r="R703" s="74"/>
      <c r="V703" s="72"/>
    </row>
    <row r="704" spans="15:22" x14ac:dyDescent="0.25">
      <c r="O704" s="74"/>
      <c r="P704" s="74"/>
      <c r="Q704" s="74"/>
      <c r="R704" s="74"/>
      <c r="V704" s="72"/>
    </row>
    <row r="705" spans="15:22" x14ac:dyDescent="0.25">
      <c r="O705" s="74"/>
      <c r="P705" s="74"/>
      <c r="Q705" s="74"/>
      <c r="R705" s="74"/>
      <c r="V705" s="72"/>
    </row>
    <row r="706" spans="15:22" x14ac:dyDescent="0.25">
      <c r="O706" s="74"/>
      <c r="P706" s="74"/>
      <c r="Q706" s="74"/>
      <c r="R706" s="74"/>
      <c r="V706" s="72"/>
    </row>
    <row r="707" spans="15:22" x14ac:dyDescent="0.25">
      <c r="O707" s="74"/>
      <c r="P707" s="74"/>
      <c r="Q707" s="74"/>
      <c r="R707" s="74"/>
      <c r="V707" s="72"/>
    </row>
    <row r="708" spans="15:22" x14ac:dyDescent="0.25">
      <c r="O708" s="74"/>
      <c r="P708" s="74"/>
      <c r="Q708" s="74"/>
      <c r="R708" s="74"/>
      <c r="V708" s="72"/>
    </row>
    <row r="709" spans="15:22" x14ac:dyDescent="0.25">
      <c r="O709" s="74"/>
      <c r="P709" s="74"/>
      <c r="Q709" s="74"/>
      <c r="R709" s="74"/>
      <c r="V709" s="72"/>
    </row>
    <row r="710" spans="15:22" x14ac:dyDescent="0.25">
      <c r="O710" s="74"/>
      <c r="P710" s="74"/>
      <c r="Q710" s="74"/>
      <c r="R710" s="74"/>
      <c r="V710" s="72"/>
    </row>
    <row r="711" spans="15:22" x14ac:dyDescent="0.25">
      <c r="O711" s="74"/>
      <c r="P711" s="74"/>
      <c r="Q711" s="74"/>
      <c r="R711" s="74"/>
      <c r="V711" s="72"/>
    </row>
    <row r="712" spans="15:22" x14ac:dyDescent="0.25">
      <c r="O712" s="74"/>
      <c r="P712" s="74"/>
      <c r="Q712" s="74"/>
      <c r="R712" s="74"/>
      <c r="V712" s="72"/>
    </row>
    <row r="713" spans="15:22" x14ac:dyDescent="0.25">
      <c r="O713" s="74"/>
      <c r="P713" s="74"/>
      <c r="Q713" s="74"/>
      <c r="R713" s="74"/>
      <c r="V713" s="72"/>
    </row>
    <row r="714" spans="15:22" x14ac:dyDescent="0.25">
      <c r="O714" s="74"/>
      <c r="P714" s="74"/>
      <c r="Q714" s="74"/>
      <c r="R714" s="74"/>
      <c r="V714" s="72"/>
    </row>
    <row r="715" spans="15:22" x14ac:dyDescent="0.25">
      <c r="O715" s="74"/>
      <c r="P715" s="74"/>
      <c r="Q715" s="74"/>
      <c r="R715" s="74"/>
      <c r="V715" s="72"/>
    </row>
    <row r="716" spans="15:22" x14ac:dyDescent="0.25">
      <c r="O716" s="74"/>
      <c r="P716" s="74"/>
      <c r="Q716" s="74"/>
      <c r="R716" s="74"/>
      <c r="V716" s="72"/>
    </row>
    <row r="717" spans="15:22" x14ac:dyDescent="0.25">
      <c r="O717" s="74"/>
      <c r="P717" s="74"/>
      <c r="Q717" s="74"/>
      <c r="R717" s="74"/>
      <c r="V717" s="72"/>
    </row>
    <row r="718" spans="15:22" x14ac:dyDescent="0.25">
      <c r="O718" s="74"/>
      <c r="P718" s="74"/>
      <c r="Q718" s="74"/>
      <c r="R718" s="74"/>
      <c r="V718" s="72"/>
    </row>
    <row r="719" spans="15:22" x14ac:dyDescent="0.25">
      <c r="O719" s="74"/>
      <c r="P719" s="74"/>
      <c r="Q719" s="74"/>
      <c r="R719" s="74"/>
      <c r="V719" s="72"/>
    </row>
    <row r="720" spans="15:22" x14ac:dyDescent="0.25">
      <c r="O720" s="74"/>
      <c r="P720" s="74"/>
      <c r="Q720" s="74"/>
      <c r="R720" s="74"/>
      <c r="V720" s="72"/>
    </row>
    <row r="721" spans="15:22" x14ac:dyDescent="0.25">
      <c r="O721" s="74"/>
      <c r="P721" s="74"/>
      <c r="Q721" s="74"/>
      <c r="R721" s="74"/>
      <c r="V721" s="72"/>
    </row>
    <row r="722" spans="15:22" x14ac:dyDescent="0.25">
      <c r="O722" s="74"/>
      <c r="P722" s="74"/>
      <c r="Q722" s="74"/>
      <c r="R722" s="74"/>
      <c r="V722" s="72"/>
    </row>
    <row r="723" spans="15:22" x14ac:dyDescent="0.25">
      <c r="O723" s="74"/>
      <c r="P723" s="74"/>
      <c r="Q723" s="74"/>
      <c r="R723" s="74"/>
      <c r="V723" s="72"/>
    </row>
    <row r="724" spans="15:22" x14ac:dyDescent="0.25">
      <c r="O724" s="74"/>
      <c r="P724" s="74"/>
      <c r="Q724" s="74"/>
      <c r="R724" s="74"/>
      <c r="V724" s="72"/>
    </row>
    <row r="725" spans="15:22" x14ac:dyDescent="0.25">
      <c r="O725" s="74"/>
      <c r="P725" s="74"/>
      <c r="Q725" s="74"/>
      <c r="R725" s="74"/>
      <c r="V725" s="72"/>
    </row>
    <row r="726" spans="15:22" x14ac:dyDescent="0.25">
      <c r="O726" s="74"/>
      <c r="P726" s="74"/>
      <c r="Q726" s="74"/>
      <c r="R726" s="74"/>
      <c r="V726" s="72"/>
    </row>
    <row r="727" spans="15:22" x14ac:dyDescent="0.25">
      <c r="O727" s="74"/>
      <c r="P727" s="74"/>
      <c r="Q727" s="74"/>
      <c r="R727" s="74"/>
      <c r="V727" s="72"/>
    </row>
    <row r="728" spans="15:22" x14ac:dyDescent="0.25">
      <c r="O728" s="74"/>
      <c r="P728" s="74"/>
      <c r="Q728" s="74"/>
      <c r="R728" s="74"/>
      <c r="V728" s="72"/>
    </row>
    <row r="729" spans="15:22" x14ac:dyDescent="0.25">
      <c r="O729" s="74"/>
      <c r="P729" s="74"/>
      <c r="Q729" s="74"/>
      <c r="R729" s="74"/>
      <c r="V729" s="72"/>
    </row>
    <row r="730" spans="15:22" x14ac:dyDescent="0.25">
      <c r="O730" s="74"/>
      <c r="P730" s="74"/>
      <c r="Q730" s="74"/>
      <c r="R730" s="74"/>
      <c r="V730" s="72"/>
    </row>
    <row r="731" spans="15:22" x14ac:dyDescent="0.25">
      <c r="O731" s="74"/>
      <c r="P731" s="74"/>
      <c r="Q731" s="74"/>
      <c r="R731" s="74"/>
      <c r="V731" s="72"/>
    </row>
    <row r="732" spans="15:22" x14ac:dyDescent="0.25">
      <c r="O732" s="74"/>
      <c r="P732" s="74"/>
      <c r="Q732" s="74"/>
      <c r="R732" s="74"/>
      <c r="V732" s="72"/>
    </row>
    <row r="733" spans="15:22" x14ac:dyDescent="0.25">
      <c r="O733" s="74"/>
      <c r="P733" s="74"/>
      <c r="Q733" s="74"/>
      <c r="R733" s="74"/>
      <c r="V733" s="72"/>
    </row>
    <row r="734" spans="15:22" x14ac:dyDescent="0.25">
      <c r="O734" s="74"/>
      <c r="P734" s="74"/>
      <c r="Q734" s="74"/>
      <c r="R734" s="74"/>
      <c r="V734" s="72"/>
    </row>
    <row r="735" spans="15:22" x14ac:dyDescent="0.25">
      <c r="O735" s="74"/>
      <c r="P735" s="74"/>
      <c r="Q735" s="74"/>
      <c r="R735" s="74"/>
      <c r="V735" s="72"/>
    </row>
    <row r="736" spans="15:22" x14ac:dyDescent="0.25">
      <c r="O736" s="74"/>
      <c r="P736" s="74"/>
      <c r="Q736" s="74"/>
      <c r="R736" s="74"/>
      <c r="V736" s="72"/>
    </row>
    <row r="737" spans="15:22" x14ac:dyDescent="0.25">
      <c r="O737" s="74"/>
      <c r="P737" s="74"/>
      <c r="Q737" s="74"/>
      <c r="R737" s="74"/>
      <c r="V737" s="72"/>
    </row>
    <row r="738" spans="15:22" x14ac:dyDescent="0.25">
      <c r="O738" s="74"/>
      <c r="P738" s="74"/>
      <c r="Q738" s="74"/>
      <c r="R738" s="74"/>
      <c r="V738" s="72"/>
    </row>
    <row r="739" spans="15:22" x14ac:dyDescent="0.25">
      <c r="O739" s="74"/>
      <c r="P739" s="74"/>
      <c r="Q739" s="74"/>
      <c r="R739" s="74"/>
      <c r="V739" s="72"/>
    </row>
    <row r="740" spans="15:22" x14ac:dyDescent="0.25">
      <c r="O740" s="74"/>
      <c r="P740" s="74"/>
      <c r="Q740" s="74"/>
      <c r="R740" s="74"/>
      <c r="V740" s="72"/>
    </row>
    <row r="741" spans="15:22" x14ac:dyDescent="0.25">
      <c r="O741" s="74"/>
      <c r="P741" s="74"/>
      <c r="Q741" s="74"/>
      <c r="R741" s="74"/>
      <c r="V741" s="72"/>
    </row>
    <row r="742" spans="15:22" x14ac:dyDescent="0.25">
      <c r="O742" s="74"/>
      <c r="P742" s="74"/>
      <c r="Q742" s="74"/>
      <c r="R742" s="74"/>
      <c r="V742" s="72"/>
    </row>
    <row r="743" spans="15:22" x14ac:dyDescent="0.25">
      <c r="O743" s="74"/>
      <c r="P743" s="74"/>
      <c r="Q743" s="74"/>
      <c r="R743" s="74"/>
      <c r="V743" s="72"/>
    </row>
    <row r="744" spans="15:22" x14ac:dyDescent="0.25">
      <c r="O744" s="74"/>
      <c r="P744" s="74"/>
      <c r="Q744" s="74"/>
      <c r="R744" s="74"/>
      <c r="V744" s="72"/>
    </row>
    <row r="745" spans="15:22" x14ac:dyDescent="0.25">
      <c r="O745" s="74"/>
      <c r="P745" s="74"/>
      <c r="Q745" s="74"/>
      <c r="R745" s="74"/>
      <c r="V745" s="72"/>
    </row>
    <row r="746" spans="15:22" x14ac:dyDescent="0.25">
      <c r="O746" s="74"/>
      <c r="P746" s="74"/>
      <c r="Q746" s="74"/>
      <c r="R746" s="74"/>
      <c r="V746" s="72"/>
    </row>
    <row r="747" spans="15:22" x14ac:dyDescent="0.25">
      <c r="O747" s="74"/>
      <c r="P747" s="74"/>
      <c r="Q747" s="74"/>
      <c r="R747" s="74"/>
      <c r="V747" s="72"/>
    </row>
    <row r="748" spans="15:22" x14ac:dyDescent="0.25">
      <c r="O748" s="74"/>
      <c r="P748" s="74"/>
      <c r="Q748" s="74"/>
      <c r="R748" s="74"/>
      <c r="V748" s="72"/>
    </row>
    <row r="749" spans="15:22" x14ac:dyDescent="0.25">
      <c r="O749" s="74"/>
      <c r="P749" s="74"/>
      <c r="Q749" s="74"/>
      <c r="R749" s="74"/>
      <c r="V749" s="72"/>
    </row>
    <row r="750" spans="15:22" x14ac:dyDescent="0.25">
      <c r="O750" s="74"/>
      <c r="P750" s="74"/>
      <c r="Q750" s="74"/>
      <c r="R750" s="74"/>
      <c r="V750" s="72"/>
    </row>
    <row r="751" spans="15:22" x14ac:dyDescent="0.25">
      <c r="O751" s="74"/>
      <c r="P751" s="74"/>
      <c r="Q751" s="74"/>
      <c r="R751" s="74"/>
      <c r="V751" s="72"/>
    </row>
    <row r="752" spans="15:22" x14ac:dyDescent="0.25">
      <c r="O752" s="74"/>
      <c r="P752" s="74"/>
      <c r="Q752" s="74"/>
      <c r="R752" s="74"/>
      <c r="V752" s="72"/>
    </row>
    <row r="753" spans="15:22" x14ac:dyDescent="0.25">
      <c r="O753" s="74"/>
      <c r="P753" s="74"/>
      <c r="Q753" s="74"/>
      <c r="R753" s="74"/>
      <c r="V753" s="72"/>
    </row>
    <row r="754" spans="15:22" x14ac:dyDescent="0.25">
      <c r="O754" s="74"/>
      <c r="P754" s="74"/>
      <c r="Q754" s="74"/>
      <c r="R754" s="74"/>
      <c r="V754" s="72"/>
    </row>
    <row r="755" spans="15:22" x14ac:dyDescent="0.25">
      <c r="O755" s="74"/>
      <c r="P755" s="74"/>
      <c r="Q755" s="74"/>
      <c r="R755" s="74"/>
      <c r="V755" s="72"/>
    </row>
    <row r="756" spans="15:22" x14ac:dyDescent="0.25">
      <c r="O756" s="74"/>
      <c r="P756" s="74"/>
      <c r="Q756" s="74"/>
      <c r="R756" s="74"/>
      <c r="V756" s="72"/>
    </row>
    <row r="757" spans="15:22" x14ac:dyDescent="0.25">
      <c r="O757" s="74"/>
      <c r="P757" s="74"/>
      <c r="Q757" s="74"/>
      <c r="R757" s="74"/>
      <c r="V757" s="72"/>
    </row>
    <row r="758" spans="15:22" x14ac:dyDescent="0.25">
      <c r="O758" s="74"/>
      <c r="P758" s="74"/>
      <c r="Q758" s="74"/>
      <c r="R758" s="74"/>
      <c r="V758" s="72"/>
    </row>
    <row r="759" spans="15:22" x14ac:dyDescent="0.25">
      <c r="O759" s="74"/>
      <c r="P759" s="74"/>
      <c r="Q759" s="74"/>
      <c r="R759" s="74"/>
      <c r="V759" s="72"/>
    </row>
    <row r="760" spans="15:22" x14ac:dyDescent="0.25">
      <c r="O760" s="74"/>
      <c r="P760" s="74"/>
      <c r="Q760" s="74"/>
      <c r="R760" s="74"/>
      <c r="V760" s="72"/>
    </row>
    <row r="761" spans="15:22" x14ac:dyDescent="0.25">
      <c r="O761" s="74"/>
      <c r="P761" s="74"/>
      <c r="Q761" s="74"/>
      <c r="R761" s="74"/>
      <c r="V761" s="72"/>
    </row>
    <row r="762" spans="15:22" x14ac:dyDescent="0.25">
      <c r="O762" s="74"/>
      <c r="P762" s="74"/>
      <c r="Q762" s="74"/>
      <c r="R762" s="74"/>
      <c r="V762" s="72"/>
    </row>
    <row r="763" spans="15:22" x14ac:dyDescent="0.25">
      <c r="O763" s="74"/>
      <c r="P763" s="74"/>
      <c r="Q763" s="74"/>
      <c r="R763" s="74"/>
      <c r="V763" s="72"/>
    </row>
    <row r="764" spans="15:22" x14ac:dyDescent="0.25">
      <c r="O764" s="74"/>
      <c r="P764" s="74"/>
      <c r="Q764" s="74"/>
      <c r="R764" s="74"/>
      <c r="V764" s="72"/>
    </row>
    <row r="765" spans="15:22" x14ac:dyDescent="0.25">
      <c r="O765" s="74"/>
      <c r="P765" s="74"/>
      <c r="Q765" s="74"/>
      <c r="R765" s="74"/>
      <c r="V765" s="72"/>
    </row>
    <row r="766" spans="15:22" x14ac:dyDescent="0.25">
      <c r="O766" s="74"/>
      <c r="P766" s="74"/>
      <c r="Q766" s="74"/>
      <c r="R766" s="74"/>
      <c r="V766" s="72"/>
    </row>
    <row r="767" spans="15:22" x14ac:dyDescent="0.25">
      <c r="O767" s="74"/>
      <c r="P767" s="74"/>
      <c r="Q767" s="74"/>
      <c r="R767" s="74"/>
      <c r="V767" s="72"/>
    </row>
    <row r="768" spans="15:22" x14ac:dyDescent="0.25">
      <c r="O768" s="74"/>
      <c r="P768" s="74"/>
      <c r="Q768" s="74"/>
      <c r="R768" s="74"/>
      <c r="V768" s="72"/>
    </row>
    <row r="769" spans="15:22" x14ac:dyDescent="0.25">
      <c r="O769" s="74"/>
      <c r="P769" s="74"/>
      <c r="Q769" s="74"/>
      <c r="R769" s="74"/>
      <c r="V769" s="72"/>
    </row>
    <row r="770" spans="15:22" x14ac:dyDescent="0.25">
      <c r="O770" s="74"/>
      <c r="P770" s="74"/>
      <c r="Q770" s="74"/>
      <c r="R770" s="74"/>
      <c r="V770" s="72"/>
    </row>
    <row r="771" spans="15:22" x14ac:dyDescent="0.25">
      <c r="O771" s="74"/>
      <c r="P771" s="74"/>
      <c r="Q771" s="74"/>
      <c r="R771" s="74"/>
      <c r="V771" s="72"/>
    </row>
    <row r="772" spans="15:22" x14ac:dyDescent="0.25">
      <c r="O772" s="74"/>
      <c r="P772" s="74"/>
      <c r="Q772" s="74"/>
      <c r="R772" s="74"/>
      <c r="V772" s="72"/>
    </row>
    <row r="773" spans="15:22" x14ac:dyDescent="0.25">
      <c r="O773" s="74"/>
      <c r="P773" s="74"/>
      <c r="Q773" s="74"/>
      <c r="R773" s="74"/>
      <c r="V773" s="72"/>
    </row>
    <row r="774" spans="15:22" x14ac:dyDescent="0.25">
      <c r="O774" s="74"/>
      <c r="P774" s="74"/>
      <c r="Q774" s="74"/>
      <c r="R774" s="74"/>
      <c r="V774" s="72"/>
    </row>
    <row r="775" spans="15:22" x14ac:dyDescent="0.25">
      <c r="O775" s="74"/>
      <c r="P775" s="74"/>
      <c r="Q775" s="74"/>
      <c r="R775" s="74"/>
      <c r="V775" s="72"/>
    </row>
    <row r="776" spans="15:22" x14ac:dyDescent="0.25">
      <c r="O776" s="74"/>
      <c r="P776" s="74"/>
      <c r="Q776" s="74"/>
      <c r="R776" s="74"/>
      <c r="V776" s="72"/>
    </row>
    <row r="777" spans="15:22" x14ac:dyDescent="0.25">
      <c r="O777" s="74"/>
      <c r="P777" s="74"/>
      <c r="Q777" s="74"/>
      <c r="R777" s="74"/>
      <c r="V777" s="72"/>
    </row>
    <row r="778" spans="15:22" x14ac:dyDescent="0.25">
      <c r="O778" s="74"/>
      <c r="P778" s="74"/>
      <c r="Q778" s="74"/>
      <c r="R778" s="74"/>
      <c r="V778" s="72"/>
    </row>
    <row r="779" spans="15:22" x14ac:dyDescent="0.25">
      <c r="O779" s="74"/>
      <c r="P779" s="74"/>
      <c r="Q779" s="74"/>
      <c r="R779" s="74"/>
      <c r="V779" s="72"/>
    </row>
    <row r="780" spans="15:22" x14ac:dyDescent="0.25">
      <c r="O780" s="74"/>
      <c r="P780" s="74"/>
      <c r="Q780" s="74"/>
      <c r="R780" s="74"/>
      <c r="V780" s="72"/>
    </row>
    <row r="781" spans="15:22" x14ac:dyDescent="0.25">
      <c r="O781" s="74"/>
      <c r="P781" s="74"/>
      <c r="Q781" s="74"/>
      <c r="R781" s="74"/>
      <c r="V781" s="72"/>
    </row>
    <row r="782" spans="15:22" x14ac:dyDescent="0.25">
      <c r="O782" s="74"/>
      <c r="P782" s="74"/>
      <c r="Q782" s="74"/>
      <c r="R782" s="74"/>
      <c r="V782" s="72"/>
    </row>
    <row r="783" spans="15:22" x14ac:dyDescent="0.25">
      <c r="O783" s="74"/>
      <c r="P783" s="74"/>
      <c r="Q783" s="74"/>
      <c r="R783" s="74"/>
      <c r="V783" s="72"/>
    </row>
    <row r="784" spans="15:22" x14ac:dyDescent="0.25">
      <c r="O784" s="74"/>
      <c r="P784" s="74"/>
      <c r="Q784" s="74"/>
      <c r="R784" s="74"/>
      <c r="V784" s="72"/>
    </row>
    <row r="785" spans="15:22" x14ac:dyDescent="0.25">
      <c r="O785" s="74"/>
      <c r="P785" s="74"/>
      <c r="Q785" s="74"/>
      <c r="R785" s="74"/>
      <c r="V785" s="72"/>
    </row>
    <row r="786" spans="15:22" x14ac:dyDescent="0.25">
      <c r="O786" s="74"/>
      <c r="P786" s="74"/>
      <c r="Q786" s="74"/>
      <c r="R786" s="74"/>
      <c r="V786" s="72"/>
    </row>
    <row r="787" spans="15:22" x14ac:dyDescent="0.25">
      <c r="O787" s="74"/>
      <c r="P787" s="74"/>
      <c r="Q787" s="74"/>
      <c r="R787" s="74"/>
      <c r="V787" s="72"/>
    </row>
    <row r="788" spans="15:22" x14ac:dyDescent="0.25">
      <c r="O788" s="74"/>
      <c r="P788" s="74"/>
      <c r="Q788" s="74"/>
      <c r="R788" s="74"/>
      <c r="V788" s="72"/>
    </row>
    <row r="789" spans="15:22" x14ac:dyDescent="0.25">
      <c r="O789" s="74"/>
      <c r="P789" s="74"/>
      <c r="Q789" s="74"/>
      <c r="R789" s="74"/>
      <c r="V789" s="72"/>
    </row>
    <row r="790" spans="15:22" x14ac:dyDescent="0.25">
      <c r="O790" s="74"/>
      <c r="P790" s="74"/>
      <c r="Q790" s="74"/>
      <c r="R790" s="74"/>
      <c r="V790" s="72"/>
    </row>
    <row r="791" spans="15:22" x14ac:dyDescent="0.25">
      <c r="O791" s="74"/>
      <c r="P791" s="74"/>
      <c r="Q791" s="74"/>
      <c r="R791" s="74"/>
      <c r="V791" s="72"/>
    </row>
    <row r="792" spans="15:22" x14ac:dyDescent="0.25">
      <c r="O792" s="74"/>
      <c r="P792" s="74"/>
      <c r="Q792" s="74"/>
      <c r="R792" s="74"/>
      <c r="V792" s="72"/>
    </row>
    <row r="793" spans="15:22" x14ac:dyDescent="0.25">
      <c r="O793" s="74"/>
      <c r="P793" s="74"/>
      <c r="Q793" s="74"/>
      <c r="R793" s="74"/>
      <c r="V793" s="72"/>
    </row>
    <row r="794" spans="15:22" x14ac:dyDescent="0.25">
      <c r="O794" s="74"/>
      <c r="P794" s="74"/>
      <c r="Q794" s="74"/>
      <c r="R794" s="74"/>
      <c r="V794" s="72"/>
    </row>
    <row r="795" spans="15:22" x14ac:dyDescent="0.25">
      <c r="O795" s="74"/>
      <c r="P795" s="74"/>
      <c r="Q795" s="74"/>
      <c r="R795" s="74"/>
      <c r="V795" s="72"/>
    </row>
    <row r="796" spans="15:22" x14ac:dyDescent="0.25">
      <c r="O796" s="74"/>
      <c r="P796" s="74"/>
      <c r="Q796" s="74"/>
      <c r="R796" s="74"/>
      <c r="V796" s="72"/>
    </row>
    <row r="797" spans="15:22" x14ac:dyDescent="0.25">
      <c r="O797" s="74"/>
      <c r="P797" s="74"/>
      <c r="Q797" s="74"/>
      <c r="R797" s="74"/>
      <c r="V797" s="72"/>
    </row>
    <row r="798" spans="15:22" x14ac:dyDescent="0.25">
      <c r="O798" s="74"/>
      <c r="P798" s="74"/>
      <c r="Q798" s="74"/>
      <c r="R798" s="74"/>
      <c r="V798" s="72"/>
    </row>
    <row r="799" spans="15:22" x14ac:dyDescent="0.25">
      <c r="O799" s="74"/>
      <c r="P799" s="74"/>
      <c r="Q799" s="74"/>
      <c r="R799" s="74"/>
      <c r="V799" s="72"/>
    </row>
    <row r="800" spans="15:22" x14ac:dyDescent="0.25">
      <c r="O800" s="74"/>
      <c r="P800" s="74"/>
      <c r="Q800" s="74"/>
      <c r="R800" s="74"/>
      <c r="V800" s="72"/>
    </row>
    <row r="801" spans="15:22" x14ac:dyDescent="0.25">
      <c r="O801" s="74"/>
      <c r="P801" s="74"/>
      <c r="Q801" s="74"/>
      <c r="R801" s="74"/>
      <c r="V801" s="72"/>
    </row>
    <row r="802" spans="15:22" x14ac:dyDescent="0.25">
      <c r="O802" s="74"/>
      <c r="P802" s="74"/>
      <c r="Q802" s="74"/>
      <c r="R802" s="74"/>
      <c r="V802" s="72"/>
    </row>
    <row r="803" spans="15:22" x14ac:dyDescent="0.25">
      <c r="O803" s="74"/>
      <c r="P803" s="74"/>
      <c r="Q803" s="74"/>
      <c r="R803" s="74"/>
      <c r="V803" s="72"/>
    </row>
    <row r="804" spans="15:22" x14ac:dyDescent="0.25">
      <c r="O804" s="74"/>
      <c r="P804" s="74"/>
      <c r="Q804" s="74"/>
      <c r="R804" s="74"/>
      <c r="V804" s="72"/>
    </row>
    <row r="805" spans="15:22" x14ac:dyDescent="0.25">
      <c r="O805" s="74"/>
      <c r="P805" s="74"/>
      <c r="Q805" s="74"/>
      <c r="R805" s="74"/>
      <c r="V805" s="72"/>
    </row>
    <row r="806" spans="15:22" x14ac:dyDescent="0.25">
      <c r="O806" s="74"/>
      <c r="P806" s="74"/>
      <c r="Q806" s="74"/>
      <c r="R806" s="74"/>
      <c r="V806" s="72"/>
    </row>
    <row r="807" spans="15:22" x14ac:dyDescent="0.25">
      <c r="O807" s="74"/>
      <c r="P807" s="74"/>
      <c r="Q807" s="74"/>
      <c r="R807" s="74"/>
      <c r="V807" s="72"/>
    </row>
    <row r="808" spans="15:22" x14ac:dyDescent="0.25">
      <c r="O808" s="74"/>
      <c r="P808" s="74"/>
      <c r="Q808" s="74"/>
      <c r="R808" s="74"/>
      <c r="V808" s="72"/>
    </row>
    <row r="809" spans="15:22" x14ac:dyDescent="0.25">
      <c r="O809" s="74"/>
      <c r="P809" s="74"/>
      <c r="Q809" s="74"/>
      <c r="R809" s="74"/>
      <c r="V809" s="72"/>
    </row>
    <row r="810" spans="15:22" x14ac:dyDescent="0.25">
      <c r="O810" s="74"/>
      <c r="P810" s="74"/>
      <c r="Q810" s="74"/>
      <c r="R810" s="74"/>
      <c r="V810" s="72"/>
    </row>
    <row r="811" spans="15:22" x14ac:dyDescent="0.25">
      <c r="O811" s="74"/>
      <c r="P811" s="74"/>
      <c r="Q811" s="74"/>
      <c r="R811" s="74"/>
      <c r="V811" s="72"/>
    </row>
    <row r="812" spans="15:22" x14ac:dyDescent="0.25">
      <c r="O812" s="74"/>
      <c r="P812" s="74"/>
      <c r="Q812" s="74"/>
      <c r="R812" s="74"/>
      <c r="V812" s="72"/>
    </row>
    <row r="813" spans="15:22" x14ac:dyDescent="0.25">
      <c r="O813" s="74"/>
      <c r="P813" s="74"/>
      <c r="Q813" s="74"/>
      <c r="R813" s="74"/>
      <c r="V813" s="72"/>
    </row>
    <row r="814" spans="15:22" x14ac:dyDescent="0.25">
      <c r="O814" s="74"/>
      <c r="P814" s="74"/>
      <c r="Q814" s="74"/>
      <c r="R814" s="74"/>
      <c r="V814" s="72"/>
    </row>
    <row r="815" spans="15:22" x14ac:dyDescent="0.25">
      <c r="O815" s="74"/>
      <c r="P815" s="74"/>
      <c r="Q815" s="74"/>
      <c r="R815" s="74"/>
      <c r="V815" s="72"/>
    </row>
    <row r="816" spans="15:22" x14ac:dyDescent="0.25">
      <c r="O816" s="74"/>
      <c r="P816" s="74"/>
      <c r="Q816" s="74"/>
      <c r="R816" s="74"/>
      <c r="V816" s="72"/>
    </row>
    <row r="817" spans="15:22" x14ac:dyDescent="0.25">
      <c r="O817" s="74"/>
      <c r="P817" s="74"/>
      <c r="Q817" s="74"/>
      <c r="R817" s="74"/>
      <c r="V817" s="72"/>
    </row>
    <row r="818" spans="15:22" x14ac:dyDescent="0.25">
      <c r="O818" s="74"/>
      <c r="P818" s="74"/>
      <c r="Q818" s="74"/>
      <c r="R818" s="74"/>
      <c r="V818" s="72"/>
    </row>
    <row r="819" spans="15:22" x14ac:dyDescent="0.25">
      <c r="O819" s="74"/>
      <c r="P819" s="74"/>
      <c r="Q819" s="74"/>
      <c r="R819" s="74"/>
      <c r="V819" s="72"/>
    </row>
    <row r="820" spans="15:22" x14ac:dyDescent="0.25">
      <c r="O820" s="74"/>
      <c r="P820" s="74"/>
      <c r="Q820" s="74"/>
      <c r="R820" s="74"/>
      <c r="V820" s="72"/>
    </row>
    <row r="821" spans="15:22" x14ac:dyDescent="0.25">
      <c r="O821" s="74"/>
      <c r="P821" s="74"/>
      <c r="Q821" s="74"/>
      <c r="R821" s="74"/>
      <c r="V821" s="72"/>
    </row>
    <row r="822" spans="15:22" x14ac:dyDescent="0.25">
      <c r="O822" s="74"/>
      <c r="P822" s="74"/>
      <c r="Q822" s="74"/>
      <c r="R822" s="74"/>
      <c r="V822" s="72"/>
    </row>
    <row r="823" spans="15:22" x14ac:dyDescent="0.25">
      <c r="O823" s="74"/>
      <c r="P823" s="74"/>
      <c r="Q823" s="74"/>
      <c r="R823" s="74"/>
      <c r="V823" s="72"/>
    </row>
    <row r="824" spans="15:22" x14ac:dyDescent="0.25">
      <c r="O824" s="74"/>
      <c r="P824" s="74"/>
      <c r="Q824" s="74"/>
      <c r="R824" s="74"/>
      <c r="V824" s="72"/>
    </row>
    <row r="825" spans="15:22" x14ac:dyDescent="0.25">
      <c r="O825" s="74"/>
      <c r="P825" s="74"/>
      <c r="Q825" s="74"/>
      <c r="R825" s="74"/>
      <c r="V825" s="72"/>
    </row>
    <row r="826" spans="15:22" x14ac:dyDescent="0.25">
      <c r="O826" s="74"/>
      <c r="P826" s="74"/>
      <c r="Q826" s="74"/>
      <c r="R826" s="74"/>
      <c r="V826" s="72"/>
    </row>
    <row r="827" spans="15:22" x14ac:dyDescent="0.25">
      <c r="O827" s="74"/>
      <c r="P827" s="74"/>
      <c r="Q827" s="74"/>
      <c r="R827" s="74"/>
      <c r="V827" s="72"/>
    </row>
    <row r="828" spans="15:22" x14ac:dyDescent="0.25">
      <c r="O828" s="74"/>
      <c r="P828" s="74"/>
      <c r="Q828" s="74"/>
      <c r="R828" s="74"/>
      <c r="V828" s="72"/>
    </row>
    <row r="829" spans="15:22" x14ac:dyDescent="0.25">
      <c r="O829" s="74"/>
      <c r="P829" s="74"/>
      <c r="Q829" s="74"/>
      <c r="R829" s="74"/>
      <c r="V829" s="72"/>
    </row>
    <row r="830" spans="15:22" x14ac:dyDescent="0.25">
      <c r="O830" s="74"/>
      <c r="P830" s="74"/>
      <c r="Q830" s="74"/>
      <c r="R830" s="74"/>
      <c r="V830" s="72"/>
    </row>
    <row r="831" spans="15:22" x14ac:dyDescent="0.25">
      <c r="O831" s="74"/>
      <c r="P831" s="74"/>
      <c r="Q831" s="74"/>
      <c r="R831" s="74"/>
      <c r="V831" s="72"/>
    </row>
    <row r="832" spans="15:22" x14ac:dyDescent="0.25">
      <c r="O832" s="74"/>
      <c r="P832" s="74"/>
      <c r="Q832" s="74"/>
      <c r="R832" s="74"/>
      <c r="V832" s="72"/>
    </row>
    <row r="833" spans="15:22" x14ac:dyDescent="0.25">
      <c r="O833" s="74"/>
      <c r="P833" s="74"/>
      <c r="Q833" s="74"/>
      <c r="R833" s="74"/>
      <c r="V833" s="72"/>
    </row>
    <row r="834" spans="15:22" x14ac:dyDescent="0.25">
      <c r="O834" s="74"/>
      <c r="P834" s="74"/>
      <c r="Q834" s="74"/>
      <c r="R834" s="74"/>
      <c r="V834" s="72"/>
    </row>
    <row r="835" spans="15:22" x14ac:dyDescent="0.25">
      <c r="O835" s="74"/>
      <c r="P835" s="74"/>
      <c r="Q835" s="74"/>
      <c r="R835" s="74"/>
      <c r="V835" s="72"/>
    </row>
    <row r="836" spans="15:22" x14ac:dyDescent="0.25">
      <c r="O836" s="74"/>
      <c r="P836" s="74"/>
      <c r="Q836" s="74"/>
      <c r="R836" s="74"/>
      <c r="V836" s="72"/>
    </row>
    <row r="837" spans="15:22" x14ac:dyDescent="0.25">
      <c r="O837" s="74"/>
      <c r="P837" s="74"/>
      <c r="Q837" s="74"/>
      <c r="R837" s="74"/>
      <c r="V837" s="72"/>
    </row>
    <row r="838" spans="15:22" x14ac:dyDescent="0.25">
      <c r="O838" s="74"/>
      <c r="P838" s="74"/>
      <c r="Q838" s="74"/>
      <c r="R838" s="74"/>
      <c r="V838" s="72"/>
    </row>
    <row r="839" spans="15:22" x14ac:dyDescent="0.25">
      <c r="O839" s="74"/>
      <c r="P839" s="74"/>
      <c r="Q839" s="74"/>
      <c r="R839" s="74"/>
      <c r="V839" s="72"/>
    </row>
    <row r="840" spans="15:22" x14ac:dyDescent="0.25">
      <c r="O840" s="74"/>
      <c r="P840" s="74"/>
      <c r="Q840" s="74"/>
      <c r="R840" s="74"/>
      <c r="V840" s="72"/>
    </row>
    <row r="841" spans="15:22" x14ac:dyDescent="0.25">
      <c r="O841" s="74"/>
      <c r="P841" s="74"/>
      <c r="Q841" s="74"/>
      <c r="R841" s="74"/>
      <c r="V841" s="72"/>
    </row>
    <row r="842" spans="15:22" x14ac:dyDescent="0.25">
      <c r="O842" s="74"/>
      <c r="P842" s="74"/>
      <c r="Q842" s="74"/>
      <c r="R842" s="74"/>
      <c r="V842" s="72"/>
    </row>
    <row r="843" spans="15:22" x14ac:dyDescent="0.25">
      <c r="O843" s="74"/>
      <c r="P843" s="74"/>
      <c r="Q843" s="74"/>
      <c r="R843" s="74"/>
      <c r="V843" s="72"/>
    </row>
    <row r="844" spans="15:22" x14ac:dyDescent="0.25">
      <c r="O844" s="74"/>
      <c r="P844" s="74"/>
      <c r="Q844" s="74"/>
      <c r="R844" s="74"/>
      <c r="V844" s="72"/>
    </row>
    <row r="845" spans="15:22" x14ac:dyDescent="0.25">
      <c r="O845" s="74"/>
      <c r="P845" s="74"/>
      <c r="Q845" s="74"/>
      <c r="R845" s="74"/>
      <c r="V845" s="72"/>
    </row>
    <row r="846" spans="15:22" x14ac:dyDescent="0.25">
      <c r="O846" s="74"/>
      <c r="P846" s="74"/>
      <c r="Q846" s="74"/>
      <c r="R846" s="74"/>
      <c r="V846" s="72"/>
    </row>
    <row r="847" spans="15:22" x14ac:dyDescent="0.25">
      <c r="O847" s="74"/>
      <c r="P847" s="74"/>
      <c r="Q847" s="74"/>
      <c r="R847" s="74"/>
      <c r="V847" s="72"/>
    </row>
    <row r="848" spans="15:22" x14ac:dyDescent="0.25">
      <c r="O848" s="74"/>
      <c r="P848" s="74"/>
      <c r="Q848" s="74"/>
      <c r="R848" s="74"/>
      <c r="V848" s="72"/>
    </row>
    <row r="849" spans="15:22" x14ac:dyDescent="0.25">
      <c r="O849" s="74"/>
      <c r="P849" s="74"/>
      <c r="Q849" s="74"/>
      <c r="R849" s="74"/>
      <c r="V849" s="72"/>
    </row>
    <row r="850" spans="15:22" x14ac:dyDescent="0.25">
      <c r="O850" s="74"/>
      <c r="P850" s="74"/>
      <c r="Q850" s="74"/>
      <c r="R850" s="74"/>
      <c r="V850" s="72"/>
    </row>
    <row r="851" spans="15:22" x14ac:dyDescent="0.25">
      <c r="O851" s="74"/>
      <c r="P851" s="74"/>
      <c r="Q851" s="74"/>
      <c r="R851" s="74"/>
      <c r="V851" s="72"/>
    </row>
    <row r="852" spans="15:22" x14ac:dyDescent="0.25">
      <c r="O852" s="74"/>
      <c r="P852" s="74"/>
      <c r="Q852" s="74"/>
      <c r="R852" s="74"/>
      <c r="V852" s="72"/>
    </row>
    <row r="853" spans="15:22" x14ac:dyDescent="0.25">
      <c r="O853" s="74"/>
      <c r="P853" s="74"/>
      <c r="Q853" s="74"/>
      <c r="R853" s="74"/>
      <c r="V853" s="72"/>
    </row>
    <row r="854" spans="15:22" x14ac:dyDescent="0.25">
      <c r="O854" s="74"/>
      <c r="P854" s="74"/>
      <c r="Q854" s="74"/>
      <c r="R854" s="74"/>
      <c r="V854" s="72"/>
    </row>
    <row r="855" spans="15:22" x14ac:dyDescent="0.25">
      <c r="O855" s="74"/>
      <c r="P855" s="74"/>
      <c r="Q855" s="74"/>
      <c r="R855" s="74"/>
      <c r="V855" s="72"/>
    </row>
    <row r="856" spans="15:22" x14ac:dyDescent="0.25">
      <c r="O856" s="74"/>
      <c r="P856" s="74"/>
      <c r="Q856" s="74"/>
      <c r="R856" s="74"/>
      <c r="V856" s="72"/>
    </row>
    <row r="857" spans="15:22" x14ac:dyDescent="0.25">
      <c r="O857" s="74"/>
      <c r="P857" s="74"/>
      <c r="Q857" s="74"/>
      <c r="R857" s="74"/>
      <c r="V857" s="72"/>
    </row>
    <row r="858" spans="15:22" x14ac:dyDescent="0.25">
      <c r="O858" s="74"/>
      <c r="P858" s="74"/>
      <c r="Q858" s="74"/>
      <c r="R858" s="74"/>
      <c r="V858" s="72"/>
    </row>
    <row r="859" spans="15:22" x14ac:dyDescent="0.25">
      <c r="O859" s="74"/>
      <c r="P859" s="74"/>
      <c r="Q859" s="74"/>
      <c r="R859" s="74"/>
      <c r="V859" s="72"/>
    </row>
    <row r="860" spans="15:22" x14ac:dyDescent="0.25">
      <c r="O860" s="74"/>
      <c r="P860" s="74"/>
      <c r="Q860" s="74"/>
      <c r="R860" s="74"/>
      <c r="V860" s="72"/>
    </row>
    <row r="861" spans="15:22" x14ac:dyDescent="0.25">
      <c r="O861" s="74"/>
      <c r="P861" s="74"/>
      <c r="Q861" s="74"/>
      <c r="R861" s="74"/>
      <c r="V861" s="72"/>
    </row>
    <row r="862" spans="15:22" x14ac:dyDescent="0.25">
      <c r="O862" s="74"/>
      <c r="P862" s="74"/>
      <c r="Q862" s="74"/>
      <c r="R862" s="74"/>
      <c r="V862" s="72"/>
    </row>
    <row r="863" spans="15:22" x14ac:dyDescent="0.25">
      <c r="O863" s="74"/>
      <c r="P863" s="74"/>
      <c r="Q863" s="74"/>
      <c r="R863" s="74"/>
      <c r="V863" s="72"/>
    </row>
    <row r="864" spans="15:22" x14ac:dyDescent="0.25">
      <c r="O864" s="74"/>
      <c r="P864" s="74"/>
      <c r="Q864" s="74"/>
      <c r="R864" s="74"/>
      <c r="V864" s="72"/>
    </row>
    <row r="865" spans="15:22" x14ac:dyDescent="0.25">
      <c r="O865" s="74"/>
      <c r="P865" s="74"/>
      <c r="Q865" s="74"/>
      <c r="R865" s="74"/>
      <c r="V865" s="72"/>
    </row>
    <row r="866" spans="15:22" x14ac:dyDescent="0.25">
      <c r="O866" s="74"/>
      <c r="P866" s="74"/>
      <c r="Q866" s="74"/>
      <c r="R866" s="74"/>
      <c r="V866" s="72"/>
    </row>
    <row r="867" spans="15:22" x14ac:dyDescent="0.25">
      <c r="O867" s="74"/>
      <c r="P867" s="74"/>
      <c r="Q867" s="74"/>
      <c r="R867" s="74"/>
      <c r="V867" s="72"/>
    </row>
    <row r="868" spans="15:22" x14ac:dyDescent="0.25">
      <c r="O868" s="74"/>
      <c r="P868" s="74"/>
      <c r="Q868" s="74"/>
      <c r="R868" s="74"/>
      <c r="V868" s="72"/>
    </row>
    <row r="869" spans="15:22" x14ac:dyDescent="0.25">
      <c r="O869" s="74"/>
      <c r="P869" s="74"/>
      <c r="Q869" s="74"/>
      <c r="R869" s="74"/>
      <c r="V869" s="72"/>
    </row>
    <row r="870" spans="15:22" x14ac:dyDescent="0.25">
      <c r="O870" s="74"/>
      <c r="P870" s="74"/>
      <c r="Q870" s="74"/>
      <c r="R870" s="74"/>
      <c r="V870" s="72"/>
    </row>
    <row r="871" spans="15:22" x14ac:dyDescent="0.25">
      <c r="O871" s="74"/>
      <c r="P871" s="74"/>
      <c r="Q871" s="74"/>
      <c r="R871" s="74"/>
      <c r="V871" s="72"/>
    </row>
    <row r="872" spans="15:22" x14ac:dyDescent="0.25">
      <c r="O872" s="74"/>
      <c r="P872" s="74"/>
      <c r="Q872" s="74"/>
      <c r="R872" s="74"/>
      <c r="V872" s="72"/>
    </row>
    <row r="873" spans="15:22" x14ac:dyDescent="0.25">
      <c r="O873" s="74"/>
      <c r="P873" s="74"/>
      <c r="Q873" s="74"/>
      <c r="R873" s="74"/>
      <c r="V873" s="72"/>
    </row>
    <row r="874" spans="15:22" x14ac:dyDescent="0.25">
      <c r="O874" s="74"/>
      <c r="P874" s="74"/>
      <c r="Q874" s="74"/>
      <c r="R874" s="74"/>
      <c r="V874" s="72"/>
    </row>
    <row r="875" spans="15:22" x14ac:dyDescent="0.25">
      <c r="O875" s="74"/>
      <c r="P875" s="74"/>
      <c r="Q875" s="74"/>
      <c r="R875" s="74"/>
      <c r="V875" s="72"/>
    </row>
    <row r="876" spans="15:22" x14ac:dyDescent="0.25">
      <c r="O876" s="74"/>
      <c r="P876" s="74"/>
      <c r="Q876" s="74"/>
      <c r="R876" s="74"/>
      <c r="V876" s="72"/>
    </row>
    <row r="877" spans="15:22" x14ac:dyDescent="0.25">
      <c r="O877" s="74"/>
      <c r="P877" s="74"/>
      <c r="Q877" s="74"/>
      <c r="R877" s="74"/>
      <c r="V877" s="72"/>
    </row>
    <row r="878" spans="15:22" x14ac:dyDescent="0.25">
      <c r="O878" s="74"/>
      <c r="P878" s="74"/>
      <c r="Q878" s="74"/>
      <c r="R878" s="74"/>
      <c r="V878" s="72"/>
    </row>
    <row r="879" spans="15:22" x14ac:dyDescent="0.25">
      <c r="O879" s="74"/>
      <c r="P879" s="74"/>
      <c r="Q879" s="74"/>
      <c r="R879" s="74"/>
      <c r="V879" s="72"/>
    </row>
    <row r="880" spans="15:22" x14ac:dyDescent="0.25">
      <c r="O880" s="74"/>
      <c r="P880" s="74"/>
      <c r="Q880" s="74"/>
      <c r="R880" s="74"/>
      <c r="V880" s="72"/>
    </row>
    <row r="881" spans="15:22" x14ac:dyDescent="0.25">
      <c r="O881" s="74"/>
      <c r="P881" s="74"/>
      <c r="Q881" s="74"/>
      <c r="R881" s="74"/>
      <c r="V881" s="72"/>
    </row>
    <row r="882" spans="15:22" x14ac:dyDescent="0.25">
      <c r="O882" s="74"/>
      <c r="P882" s="74"/>
      <c r="Q882" s="74"/>
      <c r="R882" s="74"/>
      <c r="V882" s="72"/>
    </row>
    <row r="883" spans="15:22" x14ac:dyDescent="0.25">
      <c r="O883" s="74"/>
      <c r="P883" s="74"/>
      <c r="Q883" s="74"/>
      <c r="R883" s="74"/>
      <c r="V883" s="72"/>
    </row>
    <row r="884" spans="15:22" x14ac:dyDescent="0.25">
      <c r="O884" s="74"/>
      <c r="P884" s="74"/>
      <c r="Q884" s="74"/>
      <c r="R884" s="74"/>
      <c r="V884" s="72"/>
    </row>
    <row r="885" spans="15:22" x14ac:dyDescent="0.25">
      <c r="O885" s="74"/>
      <c r="P885" s="74"/>
      <c r="Q885" s="74"/>
      <c r="R885" s="74"/>
      <c r="V885" s="72"/>
    </row>
    <row r="886" spans="15:22" x14ac:dyDescent="0.25">
      <c r="O886" s="74"/>
      <c r="P886" s="74"/>
      <c r="Q886" s="74"/>
      <c r="R886" s="74"/>
      <c r="V886" s="72"/>
    </row>
    <row r="887" spans="15:22" x14ac:dyDescent="0.25">
      <c r="O887" s="74"/>
      <c r="P887" s="74"/>
      <c r="Q887" s="74"/>
      <c r="R887" s="74"/>
      <c r="V887" s="72"/>
    </row>
    <row r="888" spans="15:22" x14ac:dyDescent="0.25">
      <c r="O888" s="74"/>
      <c r="P888" s="74"/>
      <c r="Q888" s="74"/>
      <c r="R888" s="74"/>
      <c r="V888" s="72"/>
    </row>
    <row r="889" spans="15:22" x14ac:dyDescent="0.25">
      <c r="O889" s="74"/>
      <c r="P889" s="74"/>
      <c r="Q889" s="74"/>
      <c r="R889" s="74"/>
      <c r="V889" s="72"/>
    </row>
    <row r="890" spans="15:22" x14ac:dyDescent="0.25">
      <c r="O890" s="74"/>
      <c r="P890" s="74"/>
      <c r="Q890" s="74"/>
      <c r="R890" s="74"/>
      <c r="V890" s="72"/>
    </row>
    <row r="891" spans="15:22" x14ac:dyDescent="0.25">
      <c r="O891" s="74"/>
      <c r="P891" s="74"/>
      <c r="Q891" s="74"/>
      <c r="R891" s="74"/>
      <c r="V891" s="72"/>
    </row>
    <row r="892" spans="15:22" x14ac:dyDescent="0.25">
      <c r="O892" s="74"/>
      <c r="P892" s="74"/>
      <c r="Q892" s="74"/>
      <c r="R892" s="74"/>
      <c r="V892" s="72"/>
    </row>
    <row r="893" spans="15:22" x14ac:dyDescent="0.25">
      <c r="O893" s="74"/>
      <c r="P893" s="74"/>
      <c r="Q893" s="74"/>
      <c r="R893" s="74"/>
      <c r="V893" s="72"/>
    </row>
    <row r="894" spans="15:22" x14ac:dyDescent="0.25">
      <c r="O894" s="74"/>
      <c r="P894" s="74"/>
      <c r="Q894" s="74"/>
      <c r="R894" s="74"/>
      <c r="V894" s="72"/>
    </row>
    <row r="895" spans="15:22" x14ac:dyDescent="0.25">
      <c r="O895" s="74"/>
      <c r="P895" s="74"/>
      <c r="Q895" s="74"/>
      <c r="R895" s="74"/>
      <c r="V895" s="72"/>
    </row>
    <row r="896" spans="15:22" x14ac:dyDescent="0.25">
      <c r="O896" s="74"/>
      <c r="P896" s="74"/>
      <c r="Q896" s="74"/>
      <c r="R896" s="74"/>
      <c r="V896" s="72"/>
    </row>
    <row r="897" spans="15:22" x14ac:dyDescent="0.25">
      <c r="O897" s="74"/>
      <c r="P897" s="74"/>
      <c r="Q897" s="74"/>
      <c r="R897" s="74"/>
      <c r="V897" s="72"/>
    </row>
    <row r="898" spans="15:22" x14ac:dyDescent="0.25">
      <c r="O898" s="74"/>
      <c r="P898" s="74"/>
      <c r="Q898" s="74"/>
      <c r="R898" s="74"/>
      <c r="V898" s="72"/>
    </row>
    <row r="899" spans="15:22" x14ac:dyDescent="0.25">
      <c r="O899" s="74"/>
      <c r="P899" s="74"/>
      <c r="Q899" s="74"/>
      <c r="R899" s="74"/>
      <c r="V899" s="72"/>
    </row>
    <row r="900" spans="15:22" x14ac:dyDescent="0.25">
      <c r="O900" s="74"/>
      <c r="P900" s="74"/>
      <c r="Q900" s="74"/>
      <c r="R900" s="74"/>
      <c r="V900" s="72"/>
    </row>
    <row r="901" spans="15:22" x14ac:dyDescent="0.25">
      <c r="O901" s="74"/>
      <c r="P901" s="74"/>
      <c r="Q901" s="74"/>
      <c r="R901" s="74"/>
      <c r="V901" s="72"/>
    </row>
    <row r="902" spans="15:22" x14ac:dyDescent="0.25">
      <c r="O902" s="74"/>
      <c r="P902" s="74"/>
      <c r="Q902" s="74"/>
      <c r="R902" s="74"/>
      <c r="V902" s="72"/>
    </row>
    <row r="903" spans="15:22" x14ac:dyDescent="0.25">
      <c r="O903" s="74"/>
      <c r="P903" s="74"/>
      <c r="Q903" s="74"/>
      <c r="R903" s="74"/>
      <c r="V903" s="72"/>
    </row>
    <row r="904" spans="15:22" x14ac:dyDescent="0.25">
      <c r="O904" s="74"/>
      <c r="P904" s="74"/>
      <c r="Q904" s="74"/>
      <c r="R904" s="74"/>
      <c r="V904" s="72"/>
    </row>
    <row r="905" spans="15:22" x14ac:dyDescent="0.25">
      <c r="O905" s="74"/>
      <c r="P905" s="74"/>
      <c r="Q905" s="74"/>
      <c r="R905" s="74"/>
      <c r="V905" s="72"/>
    </row>
    <row r="906" spans="15:22" x14ac:dyDescent="0.25">
      <c r="O906" s="74"/>
      <c r="P906" s="74"/>
      <c r="Q906" s="74"/>
      <c r="R906" s="74"/>
      <c r="V906" s="72"/>
    </row>
    <row r="907" spans="15:22" x14ac:dyDescent="0.25">
      <c r="O907" s="74"/>
      <c r="P907" s="74"/>
      <c r="Q907" s="74"/>
      <c r="R907" s="74"/>
      <c r="V907" s="72"/>
    </row>
    <row r="908" spans="15:22" x14ac:dyDescent="0.25">
      <c r="O908" s="74"/>
      <c r="P908" s="74"/>
      <c r="Q908" s="74"/>
      <c r="R908" s="74"/>
      <c r="V908" s="72"/>
    </row>
    <row r="909" spans="15:22" x14ac:dyDescent="0.25">
      <c r="O909" s="74"/>
      <c r="P909" s="74"/>
      <c r="Q909" s="74"/>
      <c r="R909" s="74"/>
      <c r="V909" s="72"/>
    </row>
    <row r="910" spans="15:22" x14ac:dyDescent="0.25">
      <c r="O910" s="74"/>
      <c r="P910" s="74"/>
      <c r="Q910" s="74"/>
      <c r="R910" s="74"/>
      <c r="V910" s="72"/>
    </row>
    <row r="911" spans="15:22" x14ac:dyDescent="0.25">
      <c r="O911" s="74"/>
      <c r="P911" s="74"/>
      <c r="Q911" s="74"/>
      <c r="R911" s="74"/>
      <c r="V911" s="72"/>
    </row>
    <row r="912" spans="15:22" x14ac:dyDescent="0.25">
      <c r="O912" s="74"/>
      <c r="P912" s="74"/>
      <c r="Q912" s="74"/>
      <c r="R912" s="74"/>
      <c r="V912" s="72"/>
    </row>
    <row r="913" spans="15:22" x14ac:dyDescent="0.25">
      <c r="O913" s="74"/>
      <c r="P913" s="74"/>
      <c r="Q913" s="74"/>
      <c r="R913" s="74"/>
      <c r="V913" s="72"/>
    </row>
    <row r="914" spans="15:22" x14ac:dyDescent="0.25">
      <c r="O914" s="74"/>
      <c r="P914" s="74"/>
      <c r="Q914" s="74"/>
      <c r="R914" s="74"/>
      <c r="V914" s="72"/>
    </row>
    <row r="915" spans="15:22" x14ac:dyDescent="0.25">
      <c r="O915" s="74"/>
      <c r="P915" s="74"/>
      <c r="Q915" s="74"/>
      <c r="R915" s="74"/>
      <c r="V915" s="72"/>
    </row>
    <row r="916" spans="15:22" x14ac:dyDescent="0.25">
      <c r="O916" s="74"/>
      <c r="P916" s="74"/>
      <c r="Q916" s="74"/>
      <c r="R916" s="74"/>
      <c r="V916" s="72"/>
    </row>
    <row r="917" spans="15:22" x14ac:dyDescent="0.25">
      <c r="O917" s="74"/>
      <c r="P917" s="74"/>
      <c r="Q917" s="74"/>
      <c r="R917" s="74"/>
      <c r="V917" s="72"/>
    </row>
    <row r="918" spans="15:22" x14ac:dyDescent="0.25">
      <c r="O918" s="74"/>
      <c r="P918" s="74"/>
      <c r="Q918" s="74"/>
      <c r="R918" s="74"/>
      <c r="V918" s="72"/>
    </row>
    <row r="919" spans="15:22" x14ac:dyDescent="0.25">
      <c r="O919" s="74"/>
      <c r="P919" s="74"/>
      <c r="Q919" s="74"/>
      <c r="R919" s="74"/>
      <c r="V919" s="72"/>
    </row>
    <row r="920" spans="15:22" x14ac:dyDescent="0.25">
      <c r="O920" s="74"/>
      <c r="P920" s="74"/>
      <c r="Q920" s="74"/>
      <c r="R920" s="74"/>
      <c r="V920" s="72"/>
    </row>
    <row r="921" spans="15:22" x14ac:dyDescent="0.25">
      <c r="O921" s="74"/>
      <c r="P921" s="74"/>
      <c r="Q921" s="74"/>
      <c r="R921" s="74"/>
      <c r="V921" s="72"/>
    </row>
    <row r="922" spans="15:22" x14ac:dyDescent="0.25">
      <c r="O922" s="74"/>
      <c r="P922" s="74"/>
      <c r="Q922" s="74"/>
      <c r="R922" s="74"/>
      <c r="V922" s="72"/>
    </row>
    <row r="923" spans="15:22" x14ac:dyDescent="0.25">
      <c r="O923" s="74"/>
      <c r="P923" s="74"/>
      <c r="Q923" s="74"/>
      <c r="R923" s="74"/>
      <c r="V923" s="72"/>
    </row>
    <row r="924" spans="15:22" x14ac:dyDescent="0.25">
      <c r="O924" s="74"/>
      <c r="P924" s="74"/>
      <c r="Q924" s="74"/>
      <c r="R924" s="74"/>
      <c r="V924" s="72"/>
    </row>
    <row r="925" spans="15:22" x14ac:dyDescent="0.25">
      <c r="O925" s="74"/>
      <c r="P925" s="74"/>
      <c r="Q925" s="74"/>
      <c r="R925" s="74"/>
      <c r="V925" s="72"/>
    </row>
    <row r="926" spans="15:22" x14ac:dyDescent="0.25">
      <c r="O926" s="74"/>
      <c r="P926" s="74"/>
      <c r="Q926" s="74"/>
      <c r="R926" s="74"/>
      <c r="V926" s="72"/>
    </row>
    <row r="927" spans="15:22" x14ac:dyDescent="0.25">
      <c r="O927" s="74"/>
      <c r="P927" s="74"/>
      <c r="Q927" s="74"/>
      <c r="R927" s="74"/>
      <c r="V927" s="72"/>
    </row>
    <row r="928" spans="15:22" x14ac:dyDescent="0.25">
      <c r="O928" s="74"/>
      <c r="P928" s="74"/>
      <c r="Q928" s="74"/>
      <c r="R928" s="74"/>
      <c r="V928" s="72"/>
    </row>
    <row r="929" spans="15:22" x14ac:dyDescent="0.25">
      <c r="O929" s="74"/>
      <c r="P929" s="74"/>
      <c r="Q929" s="74"/>
      <c r="R929" s="74"/>
      <c r="V929" s="72"/>
    </row>
    <row r="930" spans="15:22" x14ac:dyDescent="0.25">
      <c r="O930" s="74"/>
      <c r="P930" s="74"/>
      <c r="Q930" s="74"/>
      <c r="R930" s="74"/>
      <c r="V930" s="72"/>
    </row>
    <row r="931" spans="15:22" x14ac:dyDescent="0.25">
      <c r="O931" s="74"/>
      <c r="P931" s="74"/>
      <c r="Q931" s="74"/>
      <c r="R931" s="74"/>
      <c r="V931" s="72"/>
    </row>
    <row r="932" spans="15:22" x14ac:dyDescent="0.25">
      <c r="O932" s="74"/>
      <c r="P932" s="74"/>
      <c r="Q932" s="74"/>
      <c r="R932" s="74"/>
      <c r="V932" s="72"/>
    </row>
    <row r="933" spans="15:22" x14ac:dyDescent="0.25">
      <c r="O933" s="74"/>
      <c r="P933" s="74"/>
      <c r="Q933" s="74"/>
      <c r="R933" s="74"/>
      <c r="V933" s="72"/>
    </row>
    <row r="934" spans="15:22" x14ac:dyDescent="0.25">
      <c r="O934" s="74"/>
      <c r="P934" s="74"/>
      <c r="Q934" s="74"/>
      <c r="R934" s="74"/>
      <c r="V934" s="72"/>
    </row>
    <row r="935" spans="15:22" x14ac:dyDescent="0.25">
      <c r="O935" s="74"/>
      <c r="P935" s="74"/>
      <c r="Q935" s="74"/>
      <c r="R935" s="74"/>
      <c r="V935" s="72"/>
    </row>
    <row r="936" spans="15:22" x14ac:dyDescent="0.25">
      <c r="O936" s="74"/>
      <c r="P936" s="74"/>
      <c r="Q936" s="74"/>
      <c r="R936" s="74"/>
      <c r="V936" s="72"/>
    </row>
    <row r="937" spans="15:22" x14ac:dyDescent="0.25">
      <c r="O937" s="74"/>
      <c r="P937" s="74"/>
      <c r="Q937" s="74"/>
      <c r="R937" s="74"/>
      <c r="V937" s="72"/>
    </row>
    <row r="938" spans="15:22" x14ac:dyDescent="0.25">
      <c r="O938" s="74"/>
      <c r="P938" s="74"/>
      <c r="Q938" s="74"/>
      <c r="R938" s="74"/>
      <c r="V938" s="72"/>
    </row>
    <row r="939" spans="15:22" x14ac:dyDescent="0.25">
      <c r="O939" s="74"/>
      <c r="P939" s="74"/>
      <c r="Q939" s="74"/>
      <c r="R939" s="74"/>
      <c r="V939" s="72"/>
    </row>
    <row r="940" spans="15:22" x14ac:dyDescent="0.25">
      <c r="O940" s="74"/>
      <c r="P940" s="74"/>
      <c r="Q940" s="74"/>
      <c r="R940" s="74"/>
      <c r="V940" s="72"/>
    </row>
    <row r="941" spans="15:22" x14ac:dyDescent="0.25">
      <c r="O941" s="74"/>
      <c r="P941" s="74"/>
      <c r="Q941" s="74"/>
      <c r="R941" s="74"/>
      <c r="V941" s="72"/>
    </row>
    <row r="942" spans="15:22" x14ac:dyDescent="0.25">
      <c r="O942" s="74"/>
      <c r="P942" s="74"/>
      <c r="Q942" s="74"/>
      <c r="R942" s="74"/>
      <c r="V942" s="72"/>
    </row>
    <row r="943" spans="15:22" x14ac:dyDescent="0.25">
      <c r="O943" s="74"/>
      <c r="P943" s="74"/>
      <c r="Q943" s="74"/>
      <c r="R943" s="74"/>
      <c r="V943" s="72"/>
    </row>
    <row r="944" spans="15:22" x14ac:dyDescent="0.25">
      <c r="O944" s="74"/>
      <c r="P944" s="74"/>
      <c r="Q944" s="74"/>
      <c r="R944" s="74"/>
      <c r="V944" s="72"/>
    </row>
    <row r="945" spans="15:22" x14ac:dyDescent="0.25">
      <c r="O945" s="74"/>
      <c r="P945" s="74"/>
      <c r="Q945" s="74"/>
      <c r="R945" s="74"/>
      <c r="V945" s="72"/>
    </row>
    <row r="946" spans="15:22" x14ac:dyDescent="0.25">
      <c r="O946" s="74"/>
      <c r="P946" s="74"/>
      <c r="Q946" s="74"/>
      <c r="R946" s="74"/>
      <c r="V946" s="72"/>
    </row>
    <row r="947" spans="15:22" x14ac:dyDescent="0.25">
      <c r="O947" s="74"/>
      <c r="P947" s="74"/>
      <c r="Q947" s="74"/>
      <c r="R947" s="74"/>
      <c r="V947" s="72"/>
    </row>
    <row r="948" spans="15:22" x14ac:dyDescent="0.25">
      <c r="O948" s="74"/>
      <c r="P948" s="74"/>
      <c r="Q948" s="74"/>
      <c r="R948" s="74"/>
      <c r="V948" s="72"/>
    </row>
    <row r="949" spans="15:22" x14ac:dyDescent="0.25">
      <c r="O949" s="74"/>
      <c r="P949" s="74"/>
      <c r="Q949" s="74"/>
      <c r="R949" s="74"/>
      <c r="V949" s="72"/>
    </row>
    <row r="950" spans="15:22" x14ac:dyDescent="0.25">
      <c r="O950" s="74"/>
      <c r="P950" s="74"/>
      <c r="Q950" s="74"/>
      <c r="R950" s="74"/>
      <c r="V950" s="72"/>
    </row>
    <row r="951" spans="15:22" x14ac:dyDescent="0.25">
      <c r="O951" s="74"/>
      <c r="P951" s="74"/>
      <c r="Q951" s="74"/>
      <c r="R951" s="74"/>
      <c r="V951" s="72"/>
    </row>
    <row r="952" spans="15:22" x14ac:dyDescent="0.25">
      <c r="O952" s="74"/>
      <c r="P952" s="74"/>
      <c r="Q952" s="74"/>
      <c r="R952" s="74"/>
      <c r="V952" s="72"/>
    </row>
    <row r="953" spans="15:22" x14ac:dyDescent="0.25">
      <c r="O953" s="74"/>
      <c r="P953" s="74"/>
      <c r="Q953" s="74"/>
      <c r="R953" s="74"/>
      <c r="V953" s="72"/>
    </row>
    <row r="954" spans="15:22" x14ac:dyDescent="0.25">
      <c r="O954" s="74"/>
      <c r="P954" s="74"/>
      <c r="Q954" s="74"/>
      <c r="R954" s="74"/>
      <c r="V954" s="72"/>
    </row>
    <row r="955" spans="15:22" x14ac:dyDescent="0.25">
      <c r="O955" s="74"/>
      <c r="P955" s="74"/>
      <c r="Q955" s="74"/>
      <c r="R955" s="74"/>
      <c r="V955" s="72"/>
    </row>
    <row r="956" spans="15:22" x14ac:dyDescent="0.25">
      <c r="O956" s="74"/>
      <c r="P956" s="74"/>
      <c r="Q956" s="74"/>
      <c r="R956" s="74"/>
      <c r="V956" s="72"/>
    </row>
    <row r="957" spans="15:22" x14ac:dyDescent="0.25">
      <c r="O957" s="74"/>
      <c r="P957" s="74"/>
      <c r="Q957" s="74"/>
      <c r="R957" s="74"/>
      <c r="V957" s="72"/>
    </row>
    <row r="958" spans="15:22" x14ac:dyDescent="0.25">
      <c r="O958" s="74"/>
      <c r="P958" s="74"/>
      <c r="Q958" s="74"/>
      <c r="R958" s="74"/>
      <c r="V958" s="72"/>
    </row>
    <row r="959" spans="15:22" x14ac:dyDescent="0.25">
      <c r="O959" s="74"/>
      <c r="P959" s="74"/>
      <c r="Q959" s="74"/>
      <c r="R959" s="74"/>
      <c r="V959" s="72"/>
    </row>
    <row r="960" spans="15:22" x14ac:dyDescent="0.25">
      <c r="O960" s="74"/>
      <c r="P960" s="74"/>
      <c r="Q960" s="74"/>
      <c r="R960" s="74"/>
      <c r="V960" s="72"/>
    </row>
    <row r="961" spans="15:22" x14ac:dyDescent="0.25">
      <c r="O961" s="74"/>
      <c r="P961" s="74"/>
      <c r="Q961" s="74"/>
      <c r="R961" s="74"/>
      <c r="V961" s="72"/>
    </row>
    <row r="962" spans="15:22" x14ac:dyDescent="0.25">
      <c r="O962" s="74"/>
      <c r="P962" s="74"/>
      <c r="Q962" s="74"/>
      <c r="R962" s="74"/>
      <c r="V962" s="72"/>
    </row>
    <row r="963" spans="15:22" x14ac:dyDescent="0.25">
      <c r="O963" s="74"/>
      <c r="P963" s="74"/>
      <c r="Q963" s="74"/>
      <c r="R963" s="74"/>
      <c r="V963" s="72"/>
    </row>
    <row r="964" spans="15:22" x14ac:dyDescent="0.25">
      <c r="O964" s="74"/>
      <c r="P964" s="74"/>
      <c r="Q964" s="74"/>
      <c r="R964" s="74"/>
      <c r="V964" s="72"/>
    </row>
    <row r="965" spans="15:22" x14ac:dyDescent="0.25">
      <c r="O965" s="74"/>
      <c r="P965" s="74"/>
      <c r="Q965" s="74"/>
      <c r="R965" s="74"/>
      <c r="V965" s="72"/>
    </row>
    <row r="966" spans="15:22" x14ac:dyDescent="0.25">
      <c r="O966" s="74"/>
      <c r="P966" s="74"/>
      <c r="Q966" s="74"/>
      <c r="R966" s="74"/>
      <c r="V966" s="72"/>
    </row>
    <row r="967" spans="15:22" x14ac:dyDescent="0.25">
      <c r="O967" s="74"/>
      <c r="P967" s="74"/>
      <c r="Q967" s="74"/>
      <c r="R967" s="74"/>
      <c r="V967" s="72"/>
    </row>
    <row r="968" spans="15:22" x14ac:dyDescent="0.25">
      <c r="O968" s="74"/>
      <c r="P968" s="74"/>
      <c r="Q968" s="74"/>
      <c r="R968" s="74"/>
      <c r="V968" s="72"/>
    </row>
    <row r="969" spans="15:22" x14ac:dyDescent="0.25">
      <c r="O969" s="74"/>
      <c r="P969" s="74"/>
      <c r="Q969" s="74"/>
      <c r="R969" s="74"/>
      <c r="V969" s="72"/>
    </row>
    <row r="970" spans="15:22" x14ac:dyDescent="0.25">
      <c r="O970" s="74"/>
      <c r="P970" s="74"/>
      <c r="Q970" s="74"/>
      <c r="R970" s="74"/>
      <c r="V970" s="72"/>
    </row>
    <row r="971" spans="15:22" x14ac:dyDescent="0.25">
      <c r="O971" s="74"/>
      <c r="P971" s="74"/>
      <c r="Q971" s="74"/>
      <c r="R971" s="74"/>
      <c r="V971" s="72"/>
    </row>
    <row r="972" spans="15:22" x14ac:dyDescent="0.25">
      <c r="O972" s="74"/>
      <c r="P972" s="74"/>
      <c r="Q972" s="74"/>
      <c r="R972" s="74"/>
      <c r="V972" s="72"/>
    </row>
    <row r="973" spans="15:22" x14ac:dyDescent="0.25">
      <c r="O973" s="74"/>
      <c r="P973" s="74"/>
      <c r="Q973" s="74"/>
      <c r="R973" s="74"/>
      <c r="V973" s="72"/>
    </row>
    <row r="974" spans="15:22" x14ac:dyDescent="0.25">
      <c r="O974" s="74"/>
      <c r="P974" s="74"/>
      <c r="Q974" s="74"/>
      <c r="R974" s="74"/>
      <c r="V974" s="72"/>
    </row>
    <row r="975" spans="15:22" x14ac:dyDescent="0.25">
      <c r="O975" s="74"/>
      <c r="P975" s="74"/>
      <c r="Q975" s="74"/>
      <c r="R975" s="74"/>
      <c r="V975" s="72"/>
    </row>
    <row r="976" spans="15:22" x14ac:dyDescent="0.25">
      <c r="O976" s="74"/>
      <c r="P976" s="74"/>
      <c r="Q976" s="74"/>
      <c r="R976" s="74"/>
      <c r="V976" s="72"/>
    </row>
    <row r="977" spans="15:22" x14ac:dyDescent="0.25">
      <c r="O977" s="74"/>
      <c r="P977" s="74"/>
      <c r="Q977" s="74"/>
      <c r="R977" s="74"/>
      <c r="V977" s="72"/>
    </row>
    <row r="978" spans="15:22" x14ac:dyDescent="0.25">
      <c r="O978" s="74"/>
      <c r="P978" s="74"/>
      <c r="Q978" s="74"/>
      <c r="R978" s="74"/>
      <c r="V978" s="72"/>
    </row>
    <row r="979" spans="15:22" x14ac:dyDescent="0.25">
      <c r="O979" s="74"/>
      <c r="P979" s="74"/>
      <c r="Q979" s="74"/>
      <c r="R979" s="74"/>
      <c r="V979" s="72"/>
    </row>
    <row r="980" spans="15:22" x14ac:dyDescent="0.25">
      <c r="O980" s="74"/>
      <c r="P980" s="74"/>
      <c r="Q980" s="74"/>
      <c r="R980" s="74"/>
      <c r="V980" s="72"/>
    </row>
    <row r="981" spans="15:22" x14ac:dyDescent="0.25">
      <c r="O981" s="74"/>
      <c r="P981" s="74"/>
      <c r="Q981" s="74"/>
      <c r="R981" s="74"/>
      <c r="V981" s="72"/>
    </row>
    <row r="982" spans="15:22" x14ac:dyDescent="0.25">
      <c r="O982" s="74"/>
      <c r="P982" s="74"/>
      <c r="Q982" s="74"/>
      <c r="R982" s="74"/>
      <c r="V982" s="72"/>
    </row>
    <row r="983" spans="15:22" x14ac:dyDescent="0.25">
      <c r="O983" s="74"/>
      <c r="P983" s="74"/>
      <c r="Q983" s="74"/>
      <c r="R983" s="74"/>
      <c r="V983" s="72"/>
    </row>
    <row r="984" spans="15:22" x14ac:dyDescent="0.25">
      <c r="O984" s="74"/>
      <c r="P984" s="74"/>
      <c r="Q984" s="74"/>
      <c r="R984" s="74"/>
      <c r="V984" s="72"/>
    </row>
    <row r="985" spans="15:22" x14ac:dyDescent="0.25">
      <c r="O985" s="74"/>
      <c r="P985" s="74"/>
      <c r="Q985" s="74"/>
      <c r="R985" s="74"/>
      <c r="V985" s="72"/>
    </row>
    <row r="986" spans="15:22" x14ac:dyDescent="0.25">
      <c r="O986" s="74"/>
      <c r="P986" s="74"/>
      <c r="Q986" s="74"/>
      <c r="R986" s="74"/>
      <c r="V986" s="72"/>
    </row>
    <row r="987" spans="15:22" x14ac:dyDescent="0.25">
      <c r="O987" s="74"/>
      <c r="P987" s="74"/>
      <c r="Q987" s="74"/>
      <c r="R987" s="74"/>
      <c r="V987" s="72"/>
    </row>
    <row r="988" spans="15:22" x14ac:dyDescent="0.25">
      <c r="O988" s="74"/>
      <c r="P988" s="74"/>
      <c r="Q988" s="74"/>
      <c r="R988" s="74"/>
      <c r="V988" s="72"/>
    </row>
    <row r="989" spans="15:22" x14ac:dyDescent="0.25">
      <c r="O989" s="74"/>
      <c r="P989" s="74"/>
      <c r="Q989" s="74"/>
      <c r="R989" s="74"/>
      <c r="V989" s="72"/>
    </row>
    <row r="990" spans="15:22" x14ac:dyDescent="0.25">
      <c r="O990" s="74"/>
      <c r="P990" s="74"/>
      <c r="Q990" s="74"/>
      <c r="R990" s="74"/>
      <c r="V990" s="72"/>
    </row>
    <row r="991" spans="15:22" x14ac:dyDescent="0.25">
      <c r="O991" s="74"/>
      <c r="P991" s="74"/>
      <c r="Q991" s="74"/>
      <c r="R991" s="74"/>
      <c r="V991" s="72"/>
    </row>
    <row r="992" spans="15:22" x14ac:dyDescent="0.25">
      <c r="O992" s="74"/>
      <c r="P992" s="74"/>
      <c r="Q992" s="74"/>
      <c r="R992" s="74"/>
      <c r="V992" s="72"/>
    </row>
    <row r="993" spans="15:22" x14ac:dyDescent="0.25">
      <c r="O993" s="74"/>
      <c r="P993" s="74"/>
      <c r="Q993" s="74"/>
      <c r="R993" s="74"/>
      <c r="V993" s="72"/>
    </row>
    <row r="994" spans="15:22" x14ac:dyDescent="0.25">
      <c r="O994" s="74"/>
      <c r="P994" s="74"/>
      <c r="Q994" s="74"/>
      <c r="R994" s="74"/>
      <c r="V994" s="72"/>
    </row>
    <row r="995" spans="15:22" x14ac:dyDescent="0.25">
      <c r="O995" s="74"/>
      <c r="P995" s="74"/>
      <c r="Q995" s="74"/>
      <c r="R995" s="74"/>
      <c r="V995" s="72"/>
    </row>
    <row r="996" spans="15:22" x14ac:dyDescent="0.25">
      <c r="O996" s="74"/>
      <c r="P996" s="74"/>
      <c r="Q996" s="74"/>
      <c r="R996" s="74"/>
      <c r="V996" s="72"/>
    </row>
    <row r="997" spans="15:22" x14ac:dyDescent="0.25">
      <c r="O997" s="74"/>
      <c r="P997" s="74"/>
      <c r="Q997" s="74"/>
      <c r="R997" s="74"/>
      <c r="V997" s="72"/>
    </row>
    <row r="998" spans="15:22" x14ac:dyDescent="0.25">
      <c r="O998" s="74"/>
      <c r="P998" s="74"/>
      <c r="Q998" s="74"/>
      <c r="R998" s="74"/>
      <c r="V998" s="72"/>
    </row>
    <row r="999" spans="15:22" x14ac:dyDescent="0.25">
      <c r="O999" s="74"/>
      <c r="P999" s="74"/>
      <c r="Q999" s="74"/>
      <c r="R999" s="74"/>
      <c r="V999" s="72"/>
    </row>
    <row r="1000" spans="15:22" x14ac:dyDescent="0.25">
      <c r="O1000" s="74"/>
      <c r="P1000" s="74"/>
      <c r="Q1000" s="74"/>
      <c r="R1000" s="74"/>
      <c r="V1000" s="72"/>
    </row>
    <row r="1001" spans="15:22" x14ac:dyDescent="0.25">
      <c r="O1001" s="74"/>
      <c r="P1001" s="74"/>
      <c r="Q1001" s="74"/>
      <c r="R1001" s="74"/>
      <c r="V1001" s="72"/>
    </row>
    <row r="1002" spans="15:22" x14ac:dyDescent="0.25">
      <c r="O1002" s="74"/>
      <c r="P1002" s="74"/>
      <c r="Q1002" s="74"/>
      <c r="R1002" s="74"/>
      <c r="V1002" s="72"/>
    </row>
    <row r="1003" spans="15:22" x14ac:dyDescent="0.25">
      <c r="O1003" s="74"/>
      <c r="P1003" s="74"/>
      <c r="Q1003" s="74"/>
      <c r="R1003" s="74"/>
      <c r="V1003" s="72"/>
    </row>
    <row r="1004" spans="15:22" x14ac:dyDescent="0.25">
      <c r="O1004" s="74"/>
      <c r="P1004" s="74"/>
      <c r="Q1004" s="74"/>
      <c r="R1004" s="74"/>
      <c r="V1004" s="72"/>
    </row>
    <row r="1005" spans="15:22" x14ac:dyDescent="0.25">
      <c r="O1005" s="74"/>
      <c r="P1005" s="74"/>
      <c r="Q1005" s="74"/>
      <c r="R1005" s="74"/>
      <c r="V1005" s="72"/>
    </row>
    <row r="1006" spans="15:22" x14ac:dyDescent="0.25">
      <c r="O1006" s="74"/>
      <c r="P1006" s="74"/>
      <c r="Q1006" s="74"/>
      <c r="R1006" s="74"/>
      <c r="V1006" s="72"/>
    </row>
    <row r="1007" spans="15:22" x14ac:dyDescent="0.25">
      <c r="O1007" s="74"/>
      <c r="P1007" s="74"/>
      <c r="Q1007" s="74"/>
      <c r="R1007" s="74"/>
      <c r="V1007" s="72"/>
    </row>
    <row r="1008" spans="15:22" x14ac:dyDescent="0.25">
      <c r="O1008" s="74"/>
      <c r="P1008" s="74"/>
      <c r="Q1008" s="74"/>
      <c r="R1008" s="74"/>
      <c r="V1008" s="72"/>
    </row>
    <row r="1009" spans="15:22" x14ac:dyDescent="0.25">
      <c r="O1009" s="74"/>
      <c r="P1009" s="74"/>
      <c r="Q1009" s="74"/>
      <c r="R1009" s="74"/>
      <c r="V1009" s="72"/>
    </row>
    <row r="1010" spans="15:22" x14ac:dyDescent="0.25">
      <c r="O1010" s="74"/>
      <c r="P1010" s="74"/>
      <c r="Q1010" s="74"/>
      <c r="R1010" s="74"/>
      <c r="V1010" s="72"/>
    </row>
    <row r="1011" spans="15:22" x14ac:dyDescent="0.25">
      <c r="O1011" s="74"/>
      <c r="P1011" s="74"/>
      <c r="Q1011" s="74"/>
      <c r="R1011" s="74"/>
      <c r="V1011" s="72"/>
    </row>
    <row r="1012" spans="15:22" x14ac:dyDescent="0.25">
      <c r="O1012" s="74"/>
      <c r="P1012" s="74"/>
      <c r="Q1012" s="74"/>
      <c r="R1012" s="74"/>
      <c r="V1012" s="72"/>
    </row>
    <row r="1013" spans="15:22" x14ac:dyDescent="0.25">
      <c r="O1013" s="74"/>
      <c r="P1013" s="74"/>
      <c r="Q1013" s="74"/>
      <c r="R1013" s="74"/>
      <c r="V1013" s="72"/>
    </row>
    <row r="1014" spans="15:22" x14ac:dyDescent="0.25">
      <c r="O1014" s="74"/>
      <c r="P1014" s="74"/>
      <c r="Q1014" s="74"/>
      <c r="R1014" s="74"/>
      <c r="V1014" s="72"/>
    </row>
    <row r="1015" spans="15:22" x14ac:dyDescent="0.25">
      <c r="O1015" s="74"/>
      <c r="P1015" s="74"/>
      <c r="Q1015" s="74"/>
      <c r="R1015" s="74"/>
      <c r="V1015" s="72"/>
    </row>
    <row r="1016" spans="15:22" x14ac:dyDescent="0.25">
      <c r="O1016" s="74"/>
      <c r="P1016" s="74"/>
      <c r="Q1016" s="74"/>
      <c r="R1016" s="74"/>
      <c r="V1016" s="72"/>
    </row>
    <row r="1017" spans="15:22" x14ac:dyDescent="0.25">
      <c r="O1017" s="74"/>
      <c r="P1017" s="74"/>
      <c r="Q1017" s="74"/>
      <c r="R1017" s="74"/>
      <c r="V1017" s="72"/>
    </row>
    <row r="1018" spans="15:22" x14ac:dyDescent="0.25">
      <c r="O1018" s="74"/>
      <c r="P1018" s="74"/>
      <c r="Q1018" s="74"/>
      <c r="R1018" s="74"/>
      <c r="V1018" s="72"/>
    </row>
    <row r="1019" spans="15:22" x14ac:dyDescent="0.25">
      <c r="O1019" s="74"/>
      <c r="P1019" s="74"/>
      <c r="Q1019" s="74"/>
      <c r="R1019" s="74"/>
      <c r="V1019" s="72"/>
    </row>
    <row r="1020" spans="15:22" x14ac:dyDescent="0.25">
      <c r="O1020" s="74"/>
      <c r="P1020" s="74"/>
      <c r="Q1020" s="74"/>
      <c r="R1020" s="74"/>
      <c r="V1020" s="72"/>
    </row>
    <row r="1021" spans="15:22" x14ac:dyDescent="0.25">
      <c r="O1021" s="74"/>
      <c r="P1021" s="74"/>
      <c r="Q1021" s="74"/>
      <c r="R1021" s="74"/>
      <c r="V1021" s="72"/>
    </row>
    <row r="1022" spans="15:22" x14ac:dyDescent="0.25">
      <c r="O1022" s="74"/>
      <c r="P1022" s="74"/>
      <c r="Q1022" s="74"/>
      <c r="R1022" s="74"/>
      <c r="V1022" s="72"/>
    </row>
    <row r="1023" spans="15:22" x14ac:dyDescent="0.25">
      <c r="O1023" s="74"/>
      <c r="P1023" s="74"/>
      <c r="Q1023" s="74"/>
      <c r="R1023" s="74"/>
      <c r="V1023" s="72"/>
    </row>
    <row r="1024" spans="15:22" x14ac:dyDescent="0.25">
      <c r="O1024" s="74"/>
      <c r="P1024" s="74"/>
      <c r="Q1024" s="74"/>
      <c r="R1024" s="74"/>
      <c r="V1024" s="72"/>
    </row>
    <row r="1025" spans="15:22" x14ac:dyDescent="0.25">
      <c r="O1025" s="74"/>
      <c r="P1025" s="74"/>
      <c r="Q1025" s="74"/>
      <c r="R1025" s="74"/>
      <c r="V1025" s="72"/>
    </row>
    <row r="1026" spans="15:22" x14ac:dyDescent="0.25">
      <c r="O1026" s="74"/>
      <c r="P1026" s="74"/>
      <c r="Q1026" s="74"/>
      <c r="R1026" s="74"/>
      <c r="V1026" s="72"/>
    </row>
    <row r="1027" spans="15:22" x14ac:dyDescent="0.25">
      <c r="O1027" s="74"/>
      <c r="P1027" s="74"/>
      <c r="Q1027" s="74"/>
      <c r="R1027" s="74"/>
      <c r="V1027" s="72"/>
    </row>
    <row r="1028" spans="15:22" x14ac:dyDescent="0.25">
      <c r="O1028" s="74"/>
      <c r="P1028" s="74"/>
      <c r="Q1028" s="74"/>
      <c r="R1028" s="74"/>
      <c r="V1028" s="72"/>
    </row>
    <row r="1029" spans="15:22" x14ac:dyDescent="0.25">
      <c r="O1029" s="74"/>
      <c r="P1029" s="74"/>
      <c r="Q1029" s="74"/>
      <c r="R1029" s="74"/>
      <c r="V1029" s="72"/>
    </row>
    <row r="1030" spans="15:22" x14ac:dyDescent="0.25">
      <c r="O1030" s="74"/>
      <c r="P1030" s="74"/>
      <c r="Q1030" s="74"/>
      <c r="R1030" s="74"/>
      <c r="V1030" s="72"/>
    </row>
    <row r="1031" spans="15:22" x14ac:dyDescent="0.25">
      <c r="O1031" s="74"/>
      <c r="P1031" s="74"/>
      <c r="Q1031" s="74"/>
      <c r="R1031" s="74"/>
      <c r="V1031" s="72"/>
    </row>
    <row r="1032" spans="15:22" x14ac:dyDescent="0.25">
      <c r="O1032" s="74"/>
      <c r="P1032" s="74"/>
      <c r="Q1032" s="74"/>
      <c r="R1032" s="74"/>
      <c r="V1032" s="72"/>
    </row>
    <row r="1033" spans="15:22" x14ac:dyDescent="0.25">
      <c r="O1033" s="74"/>
      <c r="P1033" s="74"/>
      <c r="Q1033" s="74"/>
      <c r="R1033" s="74"/>
      <c r="V1033" s="72"/>
    </row>
    <row r="1034" spans="15:22" x14ac:dyDescent="0.25">
      <c r="O1034" s="74"/>
      <c r="P1034" s="74"/>
      <c r="Q1034" s="74"/>
      <c r="R1034" s="74"/>
      <c r="V1034" s="72"/>
    </row>
    <row r="1035" spans="15:22" x14ac:dyDescent="0.25">
      <c r="O1035" s="74"/>
      <c r="P1035" s="74"/>
      <c r="Q1035" s="74"/>
      <c r="R1035" s="74"/>
      <c r="V1035" s="72"/>
    </row>
    <row r="1036" spans="15:22" x14ac:dyDescent="0.25">
      <c r="O1036" s="74"/>
      <c r="P1036" s="74"/>
      <c r="Q1036" s="74"/>
      <c r="R1036" s="74"/>
      <c r="V1036" s="72"/>
    </row>
    <row r="1037" spans="15:22" x14ac:dyDescent="0.25">
      <c r="O1037" s="74"/>
      <c r="P1037" s="74"/>
      <c r="Q1037" s="74"/>
      <c r="R1037" s="74"/>
      <c r="V1037" s="72"/>
    </row>
    <row r="1038" spans="15:22" x14ac:dyDescent="0.25">
      <c r="O1038" s="74"/>
      <c r="P1038" s="74"/>
      <c r="Q1038" s="74"/>
      <c r="R1038" s="74"/>
      <c r="V1038" s="72"/>
    </row>
    <row r="1039" spans="15:22" x14ac:dyDescent="0.25">
      <c r="O1039" s="74"/>
      <c r="P1039" s="74"/>
      <c r="Q1039" s="74"/>
      <c r="R1039" s="74"/>
      <c r="V1039" s="72"/>
    </row>
    <row r="1040" spans="15:22" x14ac:dyDescent="0.25">
      <c r="O1040" s="74"/>
      <c r="P1040" s="74"/>
      <c r="Q1040" s="74"/>
      <c r="R1040" s="74"/>
      <c r="V1040" s="72"/>
    </row>
    <row r="1041" spans="15:22" x14ac:dyDescent="0.25">
      <c r="O1041" s="74"/>
      <c r="P1041" s="74"/>
      <c r="Q1041" s="74"/>
      <c r="R1041" s="74"/>
      <c r="V1041" s="72"/>
    </row>
    <row r="1042" spans="15:22" x14ac:dyDescent="0.25">
      <c r="O1042" s="74"/>
      <c r="P1042" s="74"/>
      <c r="Q1042" s="74"/>
      <c r="R1042" s="74"/>
      <c r="V1042" s="72"/>
    </row>
    <row r="1043" spans="15:22" x14ac:dyDescent="0.25">
      <c r="O1043" s="74"/>
      <c r="P1043" s="74"/>
      <c r="Q1043" s="74"/>
      <c r="R1043" s="74"/>
      <c r="V1043" s="72"/>
    </row>
    <row r="1044" spans="15:22" x14ac:dyDescent="0.25">
      <c r="O1044" s="74"/>
      <c r="P1044" s="74"/>
      <c r="Q1044" s="74"/>
      <c r="R1044" s="74"/>
      <c r="V1044" s="72"/>
    </row>
    <row r="1045" spans="15:22" x14ac:dyDescent="0.25">
      <c r="O1045" s="74"/>
      <c r="P1045" s="74"/>
      <c r="Q1045" s="74"/>
      <c r="R1045" s="74"/>
      <c r="V1045" s="72"/>
    </row>
    <row r="1046" spans="15:22" x14ac:dyDescent="0.25">
      <c r="O1046" s="74"/>
      <c r="P1046" s="74"/>
      <c r="Q1046" s="74"/>
      <c r="R1046" s="74"/>
      <c r="V1046" s="72"/>
    </row>
    <row r="1047" spans="15:22" x14ac:dyDescent="0.25">
      <c r="O1047" s="74"/>
      <c r="P1047" s="74"/>
      <c r="Q1047" s="74"/>
      <c r="R1047" s="74"/>
      <c r="V1047" s="72"/>
    </row>
    <row r="1048" spans="15:22" x14ac:dyDescent="0.25">
      <c r="O1048" s="74"/>
      <c r="P1048" s="74"/>
      <c r="Q1048" s="74"/>
      <c r="R1048" s="74"/>
      <c r="V1048" s="72"/>
    </row>
    <row r="1049" spans="15:22" x14ac:dyDescent="0.25">
      <c r="O1049" s="74"/>
      <c r="P1049" s="74"/>
      <c r="Q1049" s="74"/>
      <c r="R1049" s="74"/>
      <c r="V1049" s="72"/>
    </row>
    <row r="1050" spans="15:22" x14ac:dyDescent="0.25">
      <c r="O1050" s="74"/>
      <c r="P1050" s="74"/>
      <c r="Q1050" s="74"/>
      <c r="R1050" s="74"/>
      <c r="V1050" s="72"/>
    </row>
    <row r="1051" spans="15:22" x14ac:dyDescent="0.25">
      <c r="O1051" s="74"/>
      <c r="P1051" s="74"/>
      <c r="Q1051" s="74"/>
      <c r="R1051" s="74"/>
      <c r="V1051" s="72"/>
    </row>
    <row r="1052" spans="15:22" x14ac:dyDescent="0.25">
      <c r="O1052" s="74"/>
      <c r="P1052" s="74"/>
      <c r="Q1052" s="74"/>
      <c r="R1052" s="74"/>
      <c r="V1052" s="72"/>
    </row>
    <row r="1053" spans="15:22" x14ac:dyDescent="0.25">
      <c r="O1053" s="74"/>
      <c r="P1053" s="74"/>
      <c r="Q1053" s="74"/>
      <c r="R1053" s="74"/>
      <c r="V1053" s="72"/>
    </row>
    <row r="1054" spans="15:22" x14ac:dyDescent="0.25">
      <c r="O1054" s="74"/>
      <c r="P1054" s="74"/>
      <c r="Q1054" s="74"/>
      <c r="R1054" s="74"/>
      <c r="V1054" s="72"/>
    </row>
    <row r="1055" spans="15:22" x14ac:dyDescent="0.25">
      <c r="O1055" s="74"/>
      <c r="P1055" s="74"/>
      <c r="Q1055" s="74"/>
      <c r="R1055" s="74"/>
      <c r="V1055" s="72"/>
    </row>
    <row r="1056" spans="15:22" x14ac:dyDescent="0.25">
      <c r="O1056" s="74"/>
      <c r="P1056" s="74"/>
      <c r="Q1056" s="74"/>
      <c r="R1056" s="74"/>
      <c r="V1056" s="72"/>
    </row>
    <row r="1057" spans="15:22" x14ac:dyDescent="0.25">
      <c r="O1057" s="74"/>
      <c r="P1057" s="74"/>
      <c r="Q1057" s="74"/>
      <c r="R1057" s="74"/>
      <c r="V1057" s="72"/>
    </row>
    <row r="1058" spans="15:22" x14ac:dyDescent="0.25">
      <c r="O1058" s="74"/>
      <c r="P1058" s="74"/>
      <c r="Q1058" s="74"/>
      <c r="R1058" s="74"/>
      <c r="V1058" s="72"/>
    </row>
    <row r="1059" spans="15:22" x14ac:dyDescent="0.25">
      <c r="O1059" s="74"/>
      <c r="P1059" s="74"/>
      <c r="Q1059" s="74"/>
      <c r="R1059" s="74"/>
      <c r="V1059" s="72"/>
    </row>
    <row r="1060" spans="15:22" x14ac:dyDescent="0.25">
      <c r="O1060" s="74"/>
      <c r="P1060" s="74"/>
      <c r="Q1060" s="74"/>
      <c r="R1060" s="74"/>
      <c r="V1060" s="72"/>
    </row>
    <row r="1061" spans="15:22" x14ac:dyDescent="0.25">
      <c r="O1061" s="74"/>
      <c r="P1061" s="74"/>
      <c r="Q1061" s="74"/>
      <c r="R1061" s="74"/>
      <c r="V1061" s="72"/>
    </row>
    <row r="1062" spans="15:22" x14ac:dyDescent="0.25">
      <c r="O1062" s="74"/>
      <c r="P1062" s="74"/>
      <c r="Q1062" s="74"/>
      <c r="R1062" s="74"/>
      <c r="V1062" s="72"/>
    </row>
    <row r="1063" spans="15:22" x14ac:dyDescent="0.25">
      <c r="O1063" s="74"/>
      <c r="P1063" s="74"/>
      <c r="Q1063" s="74"/>
      <c r="R1063" s="74"/>
      <c r="V1063" s="72"/>
    </row>
    <row r="1064" spans="15:22" x14ac:dyDescent="0.25">
      <c r="O1064" s="74"/>
      <c r="P1064" s="74"/>
      <c r="Q1064" s="74"/>
      <c r="R1064" s="74"/>
      <c r="V1064" s="72"/>
    </row>
    <row r="1065" spans="15:22" x14ac:dyDescent="0.25">
      <c r="O1065" s="74"/>
      <c r="P1065" s="74"/>
      <c r="Q1065" s="74"/>
      <c r="R1065" s="74"/>
      <c r="V1065" s="72"/>
    </row>
    <row r="1066" spans="15:22" x14ac:dyDescent="0.25">
      <c r="O1066" s="74"/>
      <c r="P1066" s="74"/>
      <c r="Q1066" s="74"/>
      <c r="R1066" s="74"/>
      <c r="V1066" s="72"/>
    </row>
    <row r="1067" spans="15:22" x14ac:dyDescent="0.25">
      <c r="O1067" s="74"/>
      <c r="P1067" s="74"/>
      <c r="Q1067" s="74"/>
      <c r="R1067" s="74"/>
      <c r="V1067" s="72"/>
    </row>
    <row r="1068" spans="15:22" x14ac:dyDescent="0.25">
      <c r="O1068" s="74"/>
      <c r="P1068" s="74"/>
      <c r="Q1068" s="74"/>
      <c r="R1068" s="74"/>
      <c r="V1068" s="72"/>
    </row>
    <row r="1069" spans="15:22" x14ac:dyDescent="0.25">
      <c r="O1069" s="74"/>
      <c r="P1069" s="74"/>
      <c r="Q1069" s="74"/>
      <c r="R1069" s="74"/>
      <c r="V1069" s="72"/>
    </row>
    <row r="1070" spans="15:22" x14ac:dyDescent="0.25">
      <c r="O1070" s="74"/>
      <c r="P1070" s="74"/>
      <c r="Q1070" s="74"/>
      <c r="R1070" s="74"/>
      <c r="V1070" s="72"/>
    </row>
    <row r="1071" spans="15:22" x14ac:dyDescent="0.25">
      <c r="O1071" s="74"/>
      <c r="P1071" s="74"/>
      <c r="Q1071" s="74"/>
      <c r="R1071" s="74"/>
      <c r="V1071" s="72"/>
    </row>
    <row r="1072" spans="15:22" x14ac:dyDescent="0.25">
      <c r="O1072" s="74"/>
      <c r="P1072" s="74"/>
      <c r="Q1072" s="74"/>
      <c r="R1072" s="74"/>
      <c r="V1072" s="72"/>
    </row>
    <row r="1073" spans="15:22" x14ac:dyDescent="0.25">
      <c r="O1073" s="74"/>
      <c r="P1073" s="74"/>
      <c r="Q1073" s="74"/>
      <c r="R1073" s="74"/>
      <c r="V1073" s="72"/>
    </row>
    <row r="1074" spans="15:22" x14ac:dyDescent="0.25">
      <c r="O1074" s="74"/>
      <c r="P1074" s="74"/>
      <c r="Q1074" s="74"/>
      <c r="R1074" s="74"/>
      <c r="V1074" s="72"/>
    </row>
    <row r="1075" spans="15:22" x14ac:dyDescent="0.25">
      <c r="O1075" s="74"/>
      <c r="P1075" s="74"/>
      <c r="Q1075" s="74"/>
      <c r="R1075" s="74"/>
      <c r="V1075" s="72"/>
    </row>
    <row r="1076" spans="15:22" x14ac:dyDescent="0.25">
      <c r="O1076" s="74"/>
      <c r="P1076" s="74"/>
      <c r="Q1076" s="74"/>
      <c r="R1076" s="74"/>
      <c r="V1076" s="72"/>
    </row>
    <row r="1077" spans="15:22" x14ac:dyDescent="0.25">
      <c r="O1077" s="74"/>
      <c r="P1077" s="74"/>
      <c r="Q1077" s="74"/>
      <c r="R1077" s="74"/>
      <c r="V1077" s="72"/>
    </row>
    <row r="1078" spans="15:22" x14ac:dyDescent="0.25">
      <c r="O1078" s="74"/>
      <c r="P1078" s="74"/>
      <c r="Q1078" s="74"/>
      <c r="R1078" s="74"/>
      <c r="V1078" s="72"/>
    </row>
    <row r="1079" spans="15:22" x14ac:dyDescent="0.25">
      <c r="O1079" s="74"/>
      <c r="P1079" s="74"/>
      <c r="Q1079" s="74"/>
      <c r="R1079" s="74"/>
      <c r="V1079" s="72"/>
    </row>
    <row r="1080" spans="15:22" x14ac:dyDescent="0.25">
      <c r="O1080" s="74"/>
      <c r="P1080" s="74"/>
      <c r="Q1080" s="74"/>
      <c r="R1080" s="74"/>
      <c r="V1080" s="72"/>
    </row>
    <row r="1081" spans="15:22" x14ac:dyDescent="0.25">
      <c r="O1081" s="74"/>
      <c r="P1081" s="74"/>
      <c r="Q1081" s="74"/>
      <c r="R1081" s="74"/>
      <c r="V1081" s="72"/>
    </row>
    <row r="1082" spans="15:22" x14ac:dyDescent="0.25">
      <c r="O1082" s="74"/>
      <c r="P1082" s="74"/>
      <c r="Q1082" s="74"/>
      <c r="R1082" s="74"/>
      <c r="V1082" s="72"/>
    </row>
    <row r="1083" spans="15:22" x14ac:dyDescent="0.25">
      <c r="O1083" s="74"/>
      <c r="P1083" s="74"/>
      <c r="Q1083" s="74"/>
      <c r="R1083" s="74"/>
      <c r="V1083" s="72"/>
    </row>
    <row r="1084" spans="15:22" x14ac:dyDescent="0.25">
      <c r="O1084" s="74"/>
      <c r="P1084" s="74"/>
      <c r="Q1084" s="74"/>
      <c r="R1084" s="74"/>
      <c r="V1084" s="72"/>
    </row>
    <row r="1085" spans="15:22" x14ac:dyDescent="0.25">
      <c r="O1085" s="74"/>
      <c r="P1085" s="74"/>
      <c r="Q1085" s="74"/>
      <c r="R1085" s="74"/>
      <c r="V1085" s="72"/>
    </row>
    <row r="1086" spans="15:22" x14ac:dyDescent="0.25">
      <c r="O1086" s="74"/>
      <c r="P1086" s="74"/>
      <c r="Q1086" s="74"/>
      <c r="R1086" s="74"/>
      <c r="V1086" s="72"/>
    </row>
    <row r="1087" spans="15:22" x14ac:dyDescent="0.25">
      <c r="O1087" s="74"/>
      <c r="P1087" s="74"/>
      <c r="Q1087" s="74"/>
      <c r="R1087" s="74"/>
      <c r="V1087" s="72"/>
    </row>
    <row r="1088" spans="15:22" x14ac:dyDescent="0.25">
      <c r="O1088" s="74"/>
      <c r="P1088" s="74"/>
      <c r="Q1088" s="74"/>
      <c r="R1088" s="74"/>
      <c r="V1088" s="72"/>
    </row>
    <row r="1089" spans="15:22" x14ac:dyDescent="0.25">
      <c r="O1089" s="74"/>
      <c r="P1089" s="74"/>
      <c r="Q1089" s="74"/>
      <c r="R1089" s="74"/>
      <c r="V1089" s="72"/>
    </row>
    <row r="1090" spans="15:22" x14ac:dyDescent="0.25">
      <c r="O1090" s="74"/>
      <c r="P1090" s="74"/>
      <c r="Q1090" s="74"/>
      <c r="R1090" s="74"/>
      <c r="V1090" s="72"/>
    </row>
    <row r="1091" spans="15:22" x14ac:dyDescent="0.25">
      <c r="O1091" s="74"/>
      <c r="P1091" s="74"/>
      <c r="Q1091" s="74"/>
      <c r="R1091" s="74"/>
      <c r="V1091" s="72"/>
    </row>
    <row r="1092" spans="15:22" x14ac:dyDescent="0.25">
      <c r="O1092" s="74"/>
      <c r="P1092" s="74"/>
      <c r="Q1092" s="74"/>
      <c r="R1092" s="74"/>
      <c r="V1092" s="72"/>
    </row>
    <row r="1093" spans="15:22" x14ac:dyDescent="0.25">
      <c r="O1093" s="74"/>
      <c r="P1093" s="74"/>
      <c r="Q1093" s="74"/>
      <c r="R1093" s="74"/>
      <c r="V1093" s="72"/>
    </row>
    <row r="1094" spans="15:22" x14ac:dyDescent="0.25">
      <c r="O1094" s="74"/>
      <c r="P1094" s="74"/>
      <c r="Q1094" s="74"/>
      <c r="R1094" s="74"/>
      <c r="V1094" s="72"/>
    </row>
    <row r="1095" spans="15:22" x14ac:dyDescent="0.25">
      <c r="O1095" s="74"/>
      <c r="P1095" s="74"/>
      <c r="Q1095" s="74"/>
      <c r="R1095" s="74"/>
      <c r="V1095" s="72"/>
    </row>
    <row r="1096" spans="15:22" x14ac:dyDescent="0.25">
      <c r="O1096" s="74"/>
      <c r="P1096" s="74"/>
      <c r="Q1096" s="74"/>
      <c r="R1096" s="74"/>
      <c r="V1096" s="72"/>
    </row>
    <row r="1097" spans="15:22" x14ac:dyDescent="0.25">
      <c r="O1097" s="74"/>
      <c r="P1097" s="74"/>
      <c r="Q1097" s="74"/>
      <c r="R1097" s="74"/>
      <c r="V1097" s="72"/>
    </row>
    <row r="1098" spans="15:22" x14ac:dyDescent="0.25">
      <c r="O1098" s="74"/>
      <c r="P1098" s="74"/>
      <c r="Q1098" s="74"/>
      <c r="R1098" s="74"/>
      <c r="V1098" s="72"/>
    </row>
    <row r="1099" spans="15:22" x14ac:dyDescent="0.25">
      <c r="O1099" s="74"/>
      <c r="P1099" s="74"/>
      <c r="Q1099" s="74"/>
      <c r="R1099" s="74"/>
      <c r="V1099" s="72"/>
    </row>
    <row r="1100" spans="15:22" x14ac:dyDescent="0.25">
      <c r="O1100" s="74"/>
      <c r="P1100" s="74"/>
      <c r="Q1100" s="74"/>
      <c r="R1100" s="74"/>
      <c r="V1100" s="72"/>
    </row>
    <row r="1101" spans="15:22" x14ac:dyDescent="0.25">
      <c r="O1101" s="74"/>
      <c r="P1101" s="74"/>
      <c r="Q1101" s="74"/>
      <c r="R1101" s="74"/>
      <c r="V1101" s="72"/>
    </row>
    <row r="1102" spans="15:22" x14ac:dyDescent="0.25">
      <c r="O1102" s="74"/>
      <c r="P1102" s="74"/>
      <c r="Q1102" s="74"/>
      <c r="R1102" s="74"/>
      <c r="V1102" s="72"/>
    </row>
    <row r="1103" spans="15:22" x14ac:dyDescent="0.25">
      <c r="O1103" s="74"/>
      <c r="P1103" s="74"/>
      <c r="Q1103" s="74"/>
      <c r="R1103" s="74"/>
      <c r="V1103" s="72"/>
    </row>
    <row r="1104" spans="15:22" x14ac:dyDescent="0.25">
      <c r="O1104" s="74"/>
      <c r="P1104" s="74"/>
      <c r="Q1104" s="74"/>
      <c r="R1104" s="74"/>
      <c r="V1104" s="72"/>
    </row>
    <row r="1105" spans="15:22" x14ac:dyDescent="0.25">
      <c r="O1105" s="74"/>
      <c r="P1105" s="74"/>
      <c r="Q1105" s="74"/>
      <c r="R1105" s="74"/>
      <c r="V1105" s="72"/>
    </row>
    <row r="1106" spans="15:22" x14ac:dyDescent="0.25">
      <c r="O1106" s="74"/>
      <c r="P1106" s="74"/>
      <c r="Q1106" s="74"/>
      <c r="R1106" s="74"/>
      <c r="V1106" s="72"/>
    </row>
    <row r="1107" spans="15:22" x14ac:dyDescent="0.25">
      <c r="O1107" s="74"/>
      <c r="P1107" s="74"/>
      <c r="Q1107" s="74"/>
      <c r="R1107" s="74"/>
      <c r="V1107" s="72"/>
    </row>
    <row r="1108" spans="15:22" x14ac:dyDescent="0.25">
      <c r="O1108" s="74"/>
      <c r="P1108" s="74"/>
      <c r="Q1108" s="74"/>
      <c r="R1108" s="74"/>
      <c r="V1108" s="72"/>
    </row>
    <row r="1109" spans="15:22" x14ac:dyDescent="0.25">
      <c r="O1109" s="74"/>
      <c r="P1109" s="74"/>
      <c r="Q1109" s="74"/>
      <c r="R1109" s="74"/>
      <c r="V1109" s="72"/>
    </row>
    <row r="1110" spans="15:22" x14ac:dyDescent="0.25">
      <c r="O1110" s="74"/>
      <c r="P1110" s="74"/>
      <c r="Q1110" s="74"/>
      <c r="R1110" s="74"/>
      <c r="V1110" s="72"/>
    </row>
    <row r="1111" spans="15:22" x14ac:dyDescent="0.25">
      <c r="O1111" s="74"/>
      <c r="P1111" s="74"/>
      <c r="Q1111" s="74"/>
      <c r="R1111" s="74"/>
      <c r="V1111" s="72"/>
    </row>
    <row r="1112" spans="15:22" x14ac:dyDescent="0.25">
      <c r="O1112" s="74"/>
      <c r="P1112" s="74"/>
      <c r="Q1112" s="74"/>
      <c r="R1112" s="74"/>
      <c r="V1112" s="72"/>
    </row>
    <row r="1113" spans="15:22" x14ac:dyDescent="0.25">
      <c r="O1113" s="74"/>
      <c r="P1113" s="74"/>
      <c r="Q1113" s="74"/>
      <c r="R1113" s="74"/>
      <c r="V1113" s="72"/>
    </row>
    <row r="1114" spans="15:22" x14ac:dyDescent="0.25">
      <c r="O1114" s="74"/>
      <c r="P1114" s="74"/>
      <c r="Q1114" s="74"/>
      <c r="R1114" s="74"/>
      <c r="V1114" s="72"/>
    </row>
    <row r="1115" spans="15:22" x14ac:dyDescent="0.25">
      <c r="O1115" s="74"/>
      <c r="P1115" s="74"/>
      <c r="Q1115" s="74"/>
      <c r="R1115" s="74"/>
      <c r="V1115" s="72"/>
    </row>
    <row r="1116" spans="15:22" x14ac:dyDescent="0.25">
      <c r="O1116" s="74"/>
      <c r="P1116" s="74"/>
      <c r="Q1116" s="74"/>
      <c r="R1116" s="74"/>
      <c r="V1116" s="72"/>
    </row>
    <row r="1117" spans="15:22" x14ac:dyDescent="0.25">
      <c r="O1117" s="74"/>
      <c r="P1117" s="74"/>
      <c r="Q1117" s="74"/>
      <c r="R1117" s="74"/>
      <c r="V1117" s="72"/>
    </row>
    <row r="1118" spans="15:22" x14ac:dyDescent="0.25">
      <c r="O1118" s="74"/>
      <c r="P1118" s="74"/>
      <c r="Q1118" s="74"/>
      <c r="R1118" s="74"/>
      <c r="V1118" s="72"/>
    </row>
    <row r="1119" spans="15:22" x14ac:dyDescent="0.25">
      <c r="O1119" s="74"/>
      <c r="P1119" s="74"/>
      <c r="Q1119" s="74"/>
      <c r="R1119" s="74"/>
      <c r="V1119" s="72"/>
    </row>
    <row r="1120" spans="15:22" x14ac:dyDescent="0.25">
      <c r="O1120" s="74"/>
      <c r="P1120" s="74"/>
      <c r="Q1120" s="74"/>
      <c r="R1120" s="74"/>
      <c r="V1120" s="72"/>
    </row>
    <row r="1121" spans="15:22" x14ac:dyDescent="0.25">
      <c r="O1121" s="74"/>
      <c r="P1121" s="74"/>
      <c r="Q1121" s="74"/>
      <c r="R1121" s="74"/>
      <c r="V1121" s="72"/>
    </row>
    <row r="1122" spans="15:22" x14ac:dyDescent="0.25">
      <c r="O1122" s="74"/>
      <c r="P1122" s="74"/>
      <c r="Q1122" s="74"/>
      <c r="R1122" s="74"/>
      <c r="V1122" s="72"/>
    </row>
    <row r="1123" spans="15:22" x14ac:dyDescent="0.25">
      <c r="O1123" s="74"/>
      <c r="P1123" s="74"/>
      <c r="Q1123" s="74"/>
      <c r="R1123" s="74"/>
      <c r="V1123" s="72"/>
    </row>
    <row r="1124" spans="15:22" x14ac:dyDescent="0.25">
      <c r="O1124" s="74"/>
      <c r="P1124" s="74"/>
      <c r="Q1124" s="74"/>
      <c r="R1124" s="74"/>
      <c r="V1124" s="72"/>
    </row>
    <row r="1125" spans="15:22" x14ac:dyDescent="0.25">
      <c r="O1125" s="74"/>
      <c r="P1125" s="74"/>
      <c r="Q1125" s="74"/>
      <c r="R1125" s="74"/>
      <c r="V1125" s="72"/>
    </row>
    <row r="1126" spans="15:22" x14ac:dyDescent="0.25">
      <c r="O1126" s="74"/>
      <c r="P1126" s="74"/>
      <c r="Q1126" s="74"/>
      <c r="R1126" s="74"/>
      <c r="V1126" s="72"/>
    </row>
    <row r="1127" spans="15:22" x14ac:dyDescent="0.25">
      <c r="O1127" s="74"/>
      <c r="P1127" s="74"/>
      <c r="Q1127" s="74"/>
      <c r="R1127" s="74"/>
      <c r="V1127" s="72"/>
    </row>
    <row r="1128" spans="15:22" x14ac:dyDescent="0.25">
      <c r="O1128" s="74"/>
      <c r="P1128" s="74"/>
      <c r="Q1128" s="74"/>
      <c r="R1128" s="74"/>
      <c r="V1128" s="72"/>
    </row>
    <row r="1129" spans="15:22" x14ac:dyDescent="0.25">
      <c r="O1129" s="74"/>
      <c r="P1129" s="74"/>
      <c r="Q1129" s="74"/>
      <c r="R1129" s="74"/>
      <c r="V1129" s="72"/>
    </row>
    <row r="1130" spans="15:22" x14ac:dyDescent="0.25">
      <c r="O1130" s="74"/>
      <c r="P1130" s="74"/>
      <c r="Q1130" s="74"/>
      <c r="R1130" s="74"/>
      <c r="V1130" s="72"/>
    </row>
    <row r="1131" spans="15:22" x14ac:dyDescent="0.25">
      <c r="O1131" s="74"/>
      <c r="P1131" s="74"/>
      <c r="Q1131" s="74"/>
      <c r="R1131" s="74"/>
      <c r="V1131" s="72"/>
    </row>
    <row r="1132" spans="15:22" x14ac:dyDescent="0.25">
      <c r="O1132" s="74"/>
      <c r="P1132" s="74"/>
      <c r="Q1132" s="74"/>
      <c r="R1132" s="74"/>
      <c r="V1132" s="72"/>
    </row>
    <row r="1133" spans="15:22" x14ac:dyDescent="0.25">
      <c r="O1133" s="74"/>
      <c r="P1133" s="74"/>
      <c r="Q1133" s="74"/>
      <c r="R1133" s="74"/>
      <c r="V1133" s="72"/>
    </row>
    <row r="1134" spans="15:22" x14ac:dyDescent="0.25">
      <c r="O1134" s="74"/>
      <c r="P1134" s="74"/>
      <c r="Q1134" s="74"/>
      <c r="R1134" s="74"/>
      <c r="V1134" s="72"/>
    </row>
    <row r="1135" spans="15:22" x14ac:dyDescent="0.25">
      <c r="O1135" s="74"/>
      <c r="P1135" s="74"/>
      <c r="Q1135" s="74"/>
      <c r="R1135" s="74"/>
      <c r="V1135" s="72"/>
    </row>
    <row r="1136" spans="15:22" x14ac:dyDescent="0.25">
      <c r="O1136" s="74"/>
      <c r="P1136" s="74"/>
      <c r="Q1136" s="74"/>
      <c r="R1136" s="74"/>
      <c r="V1136" s="72"/>
    </row>
    <row r="1137" spans="15:22" x14ac:dyDescent="0.25">
      <c r="O1137" s="74"/>
      <c r="P1137" s="74"/>
      <c r="Q1137" s="74"/>
      <c r="R1137" s="74"/>
      <c r="V1137" s="72"/>
    </row>
    <row r="1138" spans="15:22" x14ac:dyDescent="0.25">
      <c r="O1138" s="74"/>
      <c r="P1138" s="74"/>
      <c r="Q1138" s="74"/>
      <c r="R1138" s="74"/>
      <c r="V1138" s="72"/>
    </row>
    <row r="1139" spans="15:22" x14ac:dyDescent="0.25">
      <c r="O1139" s="74"/>
      <c r="P1139" s="74"/>
      <c r="Q1139" s="74"/>
      <c r="R1139" s="74"/>
      <c r="V1139" s="72"/>
    </row>
    <row r="1140" spans="15:22" x14ac:dyDescent="0.25">
      <c r="O1140" s="74"/>
      <c r="P1140" s="74"/>
      <c r="Q1140" s="74"/>
      <c r="R1140" s="74"/>
      <c r="V1140" s="72"/>
    </row>
    <row r="1141" spans="15:22" x14ac:dyDescent="0.25">
      <c r="O1141" s="74"/>
      <c r="P1141" s="74"/>
      <c r="Q1141" s="74"/>
      <c r="R1141" s="74"/>
      <c r="V1141" s="72"/>
    </row>
    <row r="1142" spans="15:22" x14ac:dyDescent="0.25">
      <c r="O1142" s="74"/>
      <c r="P1142" s="74"/>
      <c r="Q1142" s="74"/>
      <c r="R1142" s="74"/>
      <c r="V1142" s="72"/>
    </row>
    <row r="1143" spans="15:22" x14ac:dyDescent="0.25">
      <c r="O1143" s="74"/>
      <c r="P1143" s="74"/>
      <c r="Q1143" s="74"/>
      <c r="R1143" s="74"/>
      <c r="V1143" s="72"/>
    </row>
    <row r="1144" spans="15:22" x14ac:dyDescent="0.25">
      <c r="O1144" s="74"/>
      <c r="P1144" s="74"/>
      <c r="Q1144" s="74"/>
      <c r="R1144" s="74"/>
      <c r="V1144" s="72"/>
    </row>
    <row r="1145" spans="15:22" x14ac:dyDescent="0.25">
      <c r="O1145" s="74"/>
      <c r="P1145" s="74"/>
      <c r="Q1145" s="74"/>
      <c r="R1145" s="74"/>
      <c r="V1145" s="72"/>
    </row>
    <row r="1146" spans="15:22" x14ac:dyDescent="0.25">
      <c r="O1146" s="74"/>
      <c r="P1146" s="74"/>
      <c r="Q1146" s="74"/>
      <c r="R1146" s="74"/>
      <c r="V1146" s="72"/>
    </row>
    <row r="1147" spans="15:22" x14ac:dyDescent="0.25">
      <c r="O1147" s="74"/>
      <c r="P1147" s="74"/>
      <c r="Q1147" s="74"/>
      <c r="R1147" s="74"/>
      <c r="V1147" s="72"/>
    </row>
    <row r="1148" spans="15:22" x14ac:dyDescent="0.25">
      <c r="O1148" s="74"/>
      <c r="P1148" s="74"/>
      <c r="Q1148" s="74"/>
      <c r="R1148" s="74"/>
      <c r="V1148" s="72"/>
    </row>
    <row r="1149" spans="15:22" x14ac:dyDescent="0.25">
      <c r="O1149" s="74"/>
      <c r="P1149" s="74"/>
      <c r="Q1149" s="74"/>
      <c r="R1149" s="74"/>
      <c r="V1149" s="72"/>
    </row>
    <row r="1150" spans="15:22" x14ac:dyDescent="0.25">
      <c r="O1150" s="74"/>
      <c r="P1150" s="74"/>
      <c r="Q1150" s="74"/>
      <c r="R1150" s="74"/>
      <c r="V1150" s="72"/>
    </row>
    <row r="1151" spans="15:22" x14ac:dyDescent="0.25">
      <c r="O1151" s="74"/>
      <c r="P1151" s="74"/>
      <c r="Q1151" s="74"/>
      <c r="R1151" s="74"/>
      <c r="V1151" s="72"/>
    </row>
    <row r="1152" spans="15:22" x14ac:dyDescent="0.25">
      <c r="O1152" s="74"/>
      <c r="P1152" s="74"/>
      <c r="Q1152" s="74"/>
      <c r="R1152" s="74"/>
      <c r="V1152" s="72"/>
    </row>
    <row r="1153" spans="15:22" x14ac:dyDescent="0.25">
      <c r="O1153" s="74"/>
      <c r="P1153" s="74"/>
      <c r="Q1153" s="74"/>
      <c r="R1153" s="74"/>
      <c r="V1153" s="72"/>
    </row>
    <row r="1154" spans="15:22" x14ac:dyDescent="0.25">
      <c r="O1154" s="74"/>
      <c r="P1154" s="74"/>
      <c r="Q1154" s="74"/>
      <c r="R1154" s="74"/>
      <c r="V1154" s="72"/>
    </row>
    <row r="1155" spans="15:22" x14ac:dyDescent="0.25">
      <c r="O1155" s="74"/>
      <c r="P1155" s="74"/>
      <c r="Q1155" s="74"/>
      <c r="R1155" s="74"/>
      <c r="V1155" s="72"/>
    </row>
    <row r="1156" spans="15:22" x14ac:dyDescent="0.25">
      <c r="O1156" s="74"/>
      <c r="P1156" s="74"/>
      <c r="Q1156" s="74"/>
      <c r="R1156" s="74"/>
      <c r="V1156" s="72"/>
    </row>
    <row r="1157" spans="15:22" x14ac:dyDescent="0.25">
      <c r="O1157" s="74"/>
      <c r="P1157" s="74"/>
      <c r="Q1157" s="74"/>
      <c r="R1157" s="74"/>
      <c r="V1157" s="72"/>
    </row>
    <row r="1158" spans="15:22" x14ac:dyDescent="0.25">
      <c r="O1158" s="74"/>
      <c r="P1158" s="74"/>
      <c r="Q1158" s="74"/>
      <c r="R1158" s="74"/>
      <c r="V1158" s="72"/>
    </row>
    <row r="1159" spans="15:22" x14ac:dyDescent="0.25">
      <c r="O1159" s="74"/>
      <c r="P1159" s="74"/>
      <c r="Q1159" s="74"/>
      <c r="R1159" s="74"/>
      <c r="V1159" s="72"/>
    </row>
    <row r="1160" spans="15:22" x14ac:dyDescent="0.25">
      <c r="O1160" s="74"/>
      <c r="P1160" s="74"/>
      <c r="Q1160" s="74"/>
      <c r="R1160" s="74"/>
      <c r="V1160" s="72"/>
    </row>
    <row r="1161" spans="15:22" x14ac:dyDescent="0.25">
      <c r="O1161" s="74"/>
      <c r="P1161" s="74"/>
      <c r="Q1161" s="74"/>
      <c r="R1161" s="74"/>
      <c r="V1161" s="72"/>
    </row>
    <row r="1162" spans="15:22" x14ac:dyDescent="0.25">
      <c r="O1162" s="74"/>
      <c r="P1162" s="74"/>
      <c r="Q1162" s="74"/>
      <c r="R1162" s="74"/>
      <c r="V1162" s="72"/>
    </row>
    <row r="1163" spans="15:22" x14ac:dyDescent="0.25">
      <c r="O1163" s="74"/>
      <c r="P1163" s="74"/>
      <c r="Q1163" s="74"/>
      <c r="R1163" s="74"/>
      <c r="V1163" s="72"/>
    </row>
    <row r="1164" spans="15:22" x14ac:dyDescent="0.25">
      <c r="O1164" s="74"/>
      <c r="P1164" s="74"/>
      <c r="Q1164" s="74"/>
      <c r="R1164" s="74"/>
      <c r="V1164" s="72"/>
    </row>
    <row r="1165" spans="15:22" x14ac:dyDescent="0.25">
      <c r="O1165" s="74"/>
      <c r="P1165" s="74"/>
      <c r="Q1165" s="74"/>
      <c r="R1165" s="74"/>
      <c r="V1165" s="72"/>
    </row>
    <row r="1166" spans="15:22" x14ac:dyDescent="0.25">
      <c r="O1166" s="74"/>
      <c r="P1166" s="74"/>
      <c r="Q1166" s="74"/>
      <c r="R1166" s="74"/>
      <c r="V1166" s="72"/>
    </row>
    <row r="1167" spans="15:22" x14ac:dyDescent="0.25">
      <c r="O1167" s="74"/>
      <c r="P1167" s="74"/>
      <c r="Q1167" s="74"/>
      <c r="R1167" s="74"/>
      <c r="V1167" s="72"/>
    </row>
    <row r="1168" spans="15:22" x14ac:dyDescent="0.25">
      <c r="O1168" s="74"/>
      <c r="P1168" s="74"/>
      <c r="Q1168" s="74"/>
      <c r="R1168" s="74"/>
      <c r="V1168" s="72"/>
    </row>
    <row r="1169" spans="15:22" x14ac:dyDescent="0.25">
      <c r="O1169" s="74"/>
      <c r="P1169" s="74"/>
      <c r="Q1169" s="74"/>
      <c r="R1169" s="74"/>
      <c r="V1169" s="72"/>
    </row>
    <row r="1170" spans="15:22" x14ac:dyDescent="0.25">
      <c r="O1170" s="74"/>
      <c r="P1170" s="74"/>
      <c r="Q1170" s="74"/>
      <c r="R1170" s="74"/>
      <c r="V1170" s="72"/>
    </row>
    <row r="1171" spans="15:22" x14ac:dyDescent="0.25">
      <c r="O1171" s="74"/>
      <c r="P1171" s="74"/>
      <c r="Q1171" s="74"/>
      <c r="R1171" s="74"/>
      <c r="V1171" s="72"/>
    </row>
    <row r="1172" spans="15:22" x14ac:dyDescent="0.25">
      <c r="O1172" s="74"/>
      <c r="P1172" s="74"/>
      <c r="Q1172" s="74"/>
      <c r="R1172" s="74"/>
      <c r="V1172" s="72"/>
    </row>
    <row r="1173" spans="15:22" x14ac:dyDescent="0.25">
      <c r="O1173" s="74"/>
      <c r="P1173" s="74"/>
      <c r="Q1173" s="74"/>
      <c r="R1173" s="74"/>
      <c r="V1173" s="72"/>
    </row>
    <row r="1174" spans="15:22" x14ac:dyDescent="0.25">
      <c r="O1174" s="74"/>
      <c r="P1174" s="74"/>
      <c r="Q1174" s="74"/>
      <c r="R1174" s="74"/>
      <c r="V1174" s="72"/>
    </row>
    <row r="1175" spans="15:22" x14ac:dyDescent="0.25">
      <c r="O1175" s="74"/>
      <c r="P1175" s="74"/>
      <c r="Q1175" s="74"/>
      <c r="R1175" s="74"/>
      <c r="V1175" s="72"/>
    </row>
    <row r="1176" spans="15:22" x14ac:dyDescent="0.25">
      <c r="O1176" s="74"/>
      <c r="P1176" s="74"/>
      <c r="Q1176" s="74"/>
      <c r="R1176" s="74"/>
      <c r="V1176" s="72"/>
    </row>
    <row r="1177" spans="15:22" x14ac:dyDescent="0.25">
      <c r="O1177" s="74"/>
      <c r="P1177" s="74"/>
      <c r="Q1177" s="74"/>
      <c r="R1177" s="74"/>
      <c r="V1177" s="72"/>
    </row>
    <row r="1178" spans="15:22" x14ac:dyDescent="0.25">
      <c r="O1178" s="74"/>
      <c r="P1178" s="74"/>
      <c r="Q1178" s="74"/>
      <c r="R1178" s="74"/>
      <c r="V1178" s="72"/>
    </row>
    <row r="1179" spans="15:22" x14ac:dyDescent="0.25">
      <c r="O1179" s="74"/>
      <c r="P1179" s="74"/>
      <c r="Q1179" s="74"/>
      <c r="R1179" s="74"/>
      <c r="V1179" s="72"/>
    </row>
    <row r="1180" spans="15:22" x14ac:dyDescent="0.25">
      <c r="O1180" s="74"/>
      <c r="P1180" s="74"/>
      <c r="Q1180" s="74"/>
      <c r="R1180" s="74"/>
      <c r="V1180" s="72"/>
    </row>
    <row r="1181" spans="15:22" x14ac:dyDescent="0.25">
      <c r="O1181" s="74"/>
      <c r="P1181" s="74"/>
      <c r="Q1181" s="74"/>
      <c r="R1181" s="74"/>
      <c r="V1181" s="72"/>
    </row>
    <row r="1182" spans="15:22" x14ac:dyDescent="0.25">
      <c r="O1182" s="74"/>
      <c r="P1182" s="74"/>
      <c r="Q1182" s="74"/>
      <c r="R1182" s="74"/>
      <c r="V1182" s="72"/>
    </row>
    <row r="1183" spans="15:22" x14ac:dyDescent="0.25">
      <c r="O1183" s="74"/>
      <c r="P1183" s="74"/>
      <c r="Q1183" s="74"/>
      <c r="R1183" s="74"/>
      <c r="V1183" s="72"/>
    </row>
    <row r="1184" spans="15:22" x14ac:dyDescent="0.25">
      <c r="O1184" s="74"/>
      <c r="P1184" s="74"/>
      <c r="Q1184" s="74"/>
      <c r="R1184" s="74"/>
      <c r="V1184" s="72"/>
    </row>
    <row r="1185" spans="15:22" x14ac:dyDescent="0.25">
      <c r="O1185" s="74"/>
      <c r="P1185" s="74"/>
      <c r="Q1185" s="74"/>
      <c r="R1185" s="74"/>
      <c r="V1185" s="72"/>
    </row>
    <row r="1186" spans="15:22" x14ac:dyDescent="0.25">
      <c r="O1186" s="74"/>
      <c r="P1186" s="74"/>
      <c r="Q1186" s="74"/>
      <c r="R1186" s="74"/>
      <c r="V1186" s="72"/>
    </row>
    <row r="1187" spans="15:22" x14ac:dyDescent="0.25">
      <c r="O1187" s="74"/>
      <c r="P1187" s="74"/>
      <c r="Q1187" s="74"/>
      <c r="R1187" s="74"/>
      <c r="V1187" s="72"/>
    </row>
    <row r="1188" spans="15:22" x14ac:dyDescent="0.25">
      <c r="O1188" s="74"/>
      <c r="P1188" s="74"/>
      <c r="Q1188" s="74"/>
      <c r="R1188" s="74"/>
      <c r="V1188" s="72"/>
    </row>
    <row r="1189" spans="15:22" x14ac:dyDescent="0.25">
      <c r="O1189" s="74"/>
      <c r="P1189" s="74"/>
      <c r="Q1189" s="74"/>
      <c r="R1189" s="74"/>
      <c r="V1189" s="72"/>
    </row>
    <row r="1190" spans="15:22" x14ac:dyDescent="0.25">
      <c r="O1190" s="74"/>
      <c r="P1190" s="74"/>
      <c r="Q1190" s="74"/>
      <c r="R1190" s="74"/>
      <c r="V1190" s="72"/>
    </row>
    <row r="1191" spans="15:22" x14ac:dyDescent="0.25">
      <c r="O1191" s="74"/>
      <c r="P1191" s="74"/>
      <c r="Q1191" s="74"/>
      <c r="R1191" s="74"/>
      <c r="V1191" s="72"/>
    </row>
    <row r="1192" spans="15:22" x14ac:dyDescent="0.25">
      <c r="O1192" s="74"/>
      <c r="P1192" s="74"/>
      <c r="Q1192" s="74"/>
      <c r="R1192" s="74"/>
      <c r="V1192" s="72"/>
    </row>
    <row r="1193" spans="15:22" x14ac:dyDescent="0.25">
      <c r="O1193" s="74"/>
      <c r="P1193" s="74"/>
      <c r="Q1193" s="74"/>
      <c r="R1193" s="74"/>
      <c r="V1193" s="72"/>
    </row>
    <row r="1194" spans="15:22" x14ac:dyDescent="0.25">
      <c r="O1194" s="74"/>
      <c r="P1194" s="74"/>
      <c r="Q1194" s="74"/>
      <c r="R1194" s="74"/>
      <c r="V1194" s="72"/>
    </row>
    <row r="1195" spans="15:22" x14ac:dyDescent="0.25">
      <c r="O1195" s="74"/>
      <c r="P1195" s="74"/>
      <c r="Q1195" s="74"/>
      <c r="R1195" s="74"/>
      <c r="V1195" s="72"/>
    </row>
    <row r="1196" spans="15:22" x14ac:dyDescent="0.25">
      <c r="O1196" s="74"/>
      <c r="P1196" s="74"/>
      <c r="Q1196" s="74"/>
      <c r="R1196" s="74"/>
      <c r="V1196" s="72"/>
    </row>
    <row r="1197" spans="15:22" x14ac:dyDescent="0.25">
      <c r="O1197" s="74"/>
      <c r="P1197" s="74"/>
      <c r="Q1197" s="74"/>
      <c r="R1197" s="74"/>
      <c r="V1197" s="72"/>
    </row>
    <row r="1198" spans="15:22" x14ac:dyDescent="0.25">
      <c r="O1198" s="74"/>
      <c r="P1198" s="74"/>
      <c r="Q1198" s="74"/>
      <c r="R1198" s="74"/>
      <c r="V1198" s="72"/>
    </row>
    <row r="1199" spans="15:22" x14ac:dyDescent="0.25">
      <c r="O1199" s="74"/>
      <c r="P1199" s="74"/>
      <c r="Q1199" s="74"/>
      <c r="R1199" s="74"/>
      <c r="V1199" s="72"/>
    </row>
    <row r="1200" spans="15:22" x14ac:dyDescent="0.25">
      <c r="O1200" s="74"/>
      <c r="P1200" s="74"/>
      <c r="Q1200" s="74"/>
      <c r="R1200" s="74"/>
      <c r="V1200" s="72"/>
    </row>
    <row r="1201" spans="15:22" x14ac:dyDescent="0.25">
      <c r="O1201" s="74"/>
      <c r="P1201" s="74"/>
      <c r="Q1201" s="74"/>
      <c r="R1201" s="74"/>
      <c r="V1201" s="72"/>
    </row>
    <row r="1202" spans="15:22" x14ac:dyDescent="0.25">
      <c r="O1202" s="74"/>
      <c r="P1202" s="74"/>
      <c r="Q1202" s="74"/>
      <c r="R1202" s="74"/>
      <c r="V1202" s="72"/>
    </row>
    <row r="1203" spans="15:22" x14ac:dyDescent="0.25">
      <c r="O1203" s="74"/>
      <c r="P1203" s="74"/>
      <c r="Q1203" s="74"/>
      <c r="R1203" s="74"/>
      <c r="V1203" s="72"/>
    </row>
    <row r="1204" spans="15:22" x14ac:dyDescent="0.25">
      <c r="O1204" s="74"/>
      <c r="P1204" s="74"/>
      <c r="Q1204" s="74"/>
      <c r="R1204" s="74"/>
      <c r="V1204" s="72"/>
    </row>
    <row r="1205" spans="15:22" x14ac:dyDescent="0.25">
      <c r="O1205" s="74"/>
      <c r="P1205" s="74"/>
      <c r="Q1205" s="74"/>
      <c r="R1205" s="74"/>
      <c r="V1205" s="72"/>
    </row>
    <row r="1206" spans="15:22" x14ac:dyDescent="0.25">
      <c r="O1206" s="74"/>
      <c r="P1206" s="74"/>
      <c r="Q1206" s="74"/>
      <c r="R1206" s="74"/>
      <c r="V1206" s="72"/>
    </row>
    <row r="1207" spans="15:22" x14ac:dyDescent="0.25">
      <c r="O1207" s="74"/>
      <c r="P1207" s="74"/>
      <c r="Q1207" s="74"/>
      <c r="R1207" s="74"/>
      <c r="V1207" s="72"/>
    </row>
    <row r="1208" spans="15:22" x14ac:dyDescent="0.25">
      <c r="O1208" s="74"/>
      <c r="P1208" s="74"/>
      <c r="Q1208" s="74"/>
      <c r="R1208" s="74"/>
      <c r="V1208" s="72"/>
    </row>
    <row r="1209" spans="15:22" x14ac:dyDescent="0.25">
      <c r="O1209" s="74"/>
      <c r="P1209" s="74"/>
      <c r="Q1209" s="74"/>
      <c r="R1209" s="74"/>
      <c r="V1209" s="72"/>
    </row>
    <row r="1210" spans="15:22" x14ac:dyDescent="0.25">
      <c r="O1210" s="74"/>
      <c r="P1210" s="74"/>
      <c r="Q1210" s="74"/>
      <c r="R1210" s="74"/>
      <c r="V1210" s="72"/>
    </row>
    <row r="1211" spans="15:22" x14ac:dyDescent="0.25">
      <c r="O1211" s="74"/>
      <c r="P1211" s="74"/>
      <c r="Q1211" s="74"/>
      <c r="R1211" s="74"/>
      <c r="V1211" s="72"/>
    </row>
    <row r="1212" spans="15:22" x14ac:dyDescent="0.25">
      <c r="O1212" s="74"/>
      <c r="P1212" s="74"/>
      <c r="Q1212" s="74"/>
      <c r="R1212" s="74"/>
      <c r="V1212" s="72"/>
    </row>
    <row r="1213" spans="15:22" x14ac:dyDescent="0.25">
      <c r="O1213" s="74"/>
      <c r="P1213" s="74"/>
      <c r="Q1213" s="74"/>
      <c r="R1213" s="74"/>
      <c r="V1213" s="72"/>
    </row>
    <row r="1214" spans="15:22" x14ac:dyDescent="0.25">
      <c r="O1214" s="74"/>
      <c r="P1214" s="74"/>
      <c r="Q1214" s="74"/>
      <c r="R1214" s="74"/>
      <c r="V1214" s="72"/>
    </row>
    <row r="1215" spans="15:22" x14ac:dyDescent="0.25">
      <c r="O1215" s="74"/>
      <c r="P1215" s="74"/>
      <c r="Q1215" s="74"/>
      <c r="R1215" s="74"/>
      <c r="V1215" s="72"/>
    </row>
    <row r="1216" spans="15:22" x14ac:dyDescent="0.25">
      <c r="O1216" s="74"/>
      <c r="P1216" s="74"/>
      <c r="Q1216" s="74"/>
      <c r="R1216" s="74"/>
      <c r="V1216" s="72"/>
    </row>
    <row r="1217" spans="15:22" x14ac:dyDescent="0.25">
      <c r="O1217" s="74"/>
      <c r="P1217" s="74"/>
      <c r="Q1217" s="74"/>
      <c r="R1217" s="74"/>
      <c r="V1217" s="72"/>
    </row>
    <row r="1218" spans="15:22" x14ac:dyDescent="0.25">
      <c r="O1218" s="74"/>
      <c r="P1218" s="74"/>
      <c r="Q1218" s="74"/>
      <c r="R1218" s="74"/>
      <c r="V1218" s="72"/>
    </row>
    <row r="1219" spans="15:22" x14ac:dyDescent="0.25">
      <c r="O1219" s="74"/>
      <c r="P1219" s="74"/>
      <c r="Q1219" s="74"/>
      <c r="R1219" s="74"/>
      <c r="V1219" s="72"/>
    </row>
    <row r="1220" spans="15:22" x14ac:dyDescent="0.25">
      <c r="O1220" s="74"/>
      <c r="P1220" s="74"/>
      <c r="Q1220" s="74"/>
      <c r="R1220" s="74"/>
      <c r="V1220" s="72"/>
    </row>
    <row r="1221" spans="15:22" x14ac:dyDescent="0.25">
      <c r="O1221" s="74"/>
      <c r="P1221" s="74"/>
      <c r="Q1221" s="74"/>
      <c r="R1221" s="74"/>
      <c r="V1221" s="72"/>
    </row>
    <row r="1222" spans="15:22" x14ac:dyDescent="0.25">
      <c r="O1222" s="74"/>
      <c r="P1222" s="74"/>
      <c r="Q1222" s="74"/>
      <c r="R1222" s="74"/>
      <c r="V1222" s="72"/>
    </row>
    <row r="1223" spans="15:22" x14ac:dyDescent="0.25">
      <c r="O1223" s="74"/>
      <c r="P1223" s="74"/>
      <c r="Q1223" s="74"/>
      <c r="R1223" s="74"/>
      <c r="V1223" s="72"/>
    </row>
    <row r="1224" spans="15:22" x14ac:dyDescent="0.25">
      <c r="O1224" s="74"/>
      <c r="P1224" s="74"/>
      <c r="Q1224" s="74"/>
      <c r="R1224" s="74"/>
      <c r="V1224" s="72"/>
    </row>
    <row r="1225" spans="15:22" x14ac:dyDescent="0.25">
      <c r="O1225" s="74"/>
      <c r="P1225" s="74"/>
      <c r="Q1225" s="74"/>
      <c r="R1225" s="74"/>
      <c r="V1225" s="72"/>
    </row>
    <row r="1226" spans="15:22" x14ac:dyDescent="0.25">
      <c r="O1226" s="74"/>
      <c r="P1226" s="74"/>
      <c r="Q1226" s="74"/>
      <c r="R1226" s="74"/>
      <c r="V1226" s="72"/>
    </row>
    <row r="1227" spans="15:22" x14ac:dyDescent="0.25">
      <c r="O1227" s="74"/>
      <c r="P1227" s="74"/>
      <c r="Q1227" s="74"/>
      <c r="R1227" s="74"/>
      <c r="V1227" s="72"/>
    </row>
    <row r="1228" spans="15:22" x14ac:dyDescent="0.25">
      <c r="O1228" s="74"/>
      <c r="P1228" s="74"/>
      <c r="Q1228" s="74"/>
      <c r="R1228" s="74"/>
      <c r="V1228" s="72"/>
    </row>
    <row r="1229" spans="15:22" x14ac:dyDescent="0.25">
      <c r="O1229" s="74"/>
      <c r="P1229" s="74"/>
      <c r="Q1229" s="74"/>
      <c r="R1229" s="74"/>
      <c r="V1229" s="72"/>
    </row>
    <row r="1230" spans="15:22" x14ac:dyDescent="0.25">
      <c r="O1230" s="74"/>
      <c r="P1230" s="74"/>
      <c r="Q1230" s="74"/>
      <c r="R1230" s="74"/>
      <c r="V1230" s="72"/>
    </row>
    <row r="1231" spans="15:22" x14ac:dyDescent="0.25">
      <c r="O1231" s="74"/>
      <c r="P1231" s="74"/>
      <c r="Q1231" s="74"/>
      <c r="R1231" s="74"/>
      <c r="V1231" s="72"/>
    </row>
    <row r="1232" spans="15:22" x14ac:dyDescent="0.25">
      <c r="O1232" s="74"/>
      <c r="P1232" s="74"/>
      <c r="Q1232" s="74"/>
      <c r="R1232" s="74"/>
      <c r="V1232" s="72"/>
    </row>
    <row r="1233" spans="15:22" x14ac:dyDescent="0.25">
      <c r="O1233" s="74"/>
      <c r="P1233" s="74"/>
      <c r="Q1233" s="74"/>
      <c r="R1233" s="74"/>
      <c r="V1233" s="72"/>
    </row>
    <row r="1234" spans="15:22" x14ac:dyDescent="0.25">
      <c r="O1234" s="74"/>
      <c r="P1234" s="74"/>
      <c r="Q1234" s="74"/>
      <c r="R1234" s="74"/>
      <c r="V1234" s="72"/>
    </row>
    <row r="1235" spans="15:22" x14ac:dyDescent="0.25">
      <c r="O1235" s="74"/>
      <c r="P1235" s="74"/>
      <c r="Q1235" s="74"/>
      <c r="R1235" s="74"/>
      <c r="V1235" s="72"/>
    </row>
    <row r="1236" spans="15:22" x14ac:dyDescent="0.25">
      <c r="O1236" s="74"/>
      <c r="P1236" s="74"/>
      <c r="Q1236" s="74"/>
      <c r="R1236" s="74"/>
      <c r="V1236" s="72"/>
    </row>
    <row r="1237" spans="15:22" x14ac:dyDescent="0.25">
      <c r="O1237" s="74"/>
      <c r="P1237" s="74"/>
      <c r="Q1237" s="74"/>
      <c r="R1237" s="74"/>
      <c r="V1237" s="72"/>
    </row>
    <row r="1238" spans="15:22" x14ac:dyDescent="0.25">
      <c r="O1238" s="74"/>
      <c r="P1238" s="74"/>
      <c r="Q1238" s="74"/>
      <c r="R1238" s="74"/>
      <c r="V1238" s="72"/>
    </row>
    <row r="1239" spans="15:22" x14ac:dyDescent="0.25">
      <c r="O1239" s="74"/>
      <c r="P1239" s="74"/>
      <c r="Q1239" s="74"/>
      <c r="R1239" s="74"/>
      <c r="V1239" s="72"/>
    </row>
    <row r="1240" spans="15:22" x14ac:dyDescent="0.25">
      <c r="O1240" s="74"/>
      <c r="P1240" s="74"/>
      <c r="Q1240" s="74"/>
      <c r="R1240" s="74"/>
      <c r="V1240" s="72"/>
    </row>
    <row r="1241" spans="15:22" x14ac:dyDescent="0.25">
      <c r="O1241" s="74"/>
      <c r="P1241" s="74"/>
      <c r="Q1241" s="74"/>
      <c r="R1241" s="74"/>
      <c r="V1241" s="72"/>
    </row>
    <row r="1242" spans="15:22" x14ac:dyDescent="0.25">
      <c r="O1242" s="74"/>
      <c r="P1242" s="74"/>
      <c r="Q1242" s="74"/>
      <c r="R1242" s="74"/>
      <c r="V1242" s="72"/>
    </row>
    <row r="1243" spans="15:22" x14ac:dyDescent="0.25">
      <c r="O1243" s="74"/>
      <c r="P1243" s="74"/>
      <c r="Q1243" s="74"/>
      <c r="R1243" s="74"/>
      <c r="V1243" s="72"/>
    </row>
    <row r="1244" spans="15:22" x14ac:dyDescent="0.25">
      <c r="O1244" s="74"/>
      <c r="P1244" s="74"/>
      <c r="Q1244" s="74"/>
      <c r="R1244" s="74"/>
      <c r="V1244" s="72"/>
    </row>
    <row r="1245" spans="15:22" x14ac:dyDescent="0.25">
      <c r="O1245" s="74"/>
      <c r="P1245" s="74"/>
      <c r="Q1245" s="74"/>
      <c r="R1245" s="74"/>
      <c r="V1245" s="72"/>
    </row>
    <row r="1246" spans="15:22" x14ac:dyDescent="0.25">
      <c r="O1246" s="74"/>
      <c r="P1246" s="74"/>
      <c r="Q1246" s="74"/>
      <c r="R1246" s="74"/>
      <c r="V1246" s="72"/>
    </row>
    <row r="1247" spans="15:22" x14ac:dyDescent="0.25">
      <c r="O1247" s="74"/>
      <c r="P1247" s="74"/>
      <c r="Q1247" s="74"/>
      <c r="R1247" s="74"/>
      <c r="V1247" s="72"/>
    </row>
    <row r="1248" spans="15:22" x14ac:dyDescent="0.25">
      <c r="O1248" s="74"/>
      <c r="P1248" s="74"/>
      <c r="Q1248" s="74"/>
      <c r="R1248" s="74"/>
      <c r="V1248" s="72"/>
    </row>
    <row r="1249" spans="15:22" x14ac:dyDescent="0.25">
      <c r="O1249" s="74"/>
      <c r="P1249" s="74"/>
      <c r="Q1249" s="74"/>
      <c r="R1249" s="74"/>
      <c r="V1249" s="72"/>
    </row>
    <row r="1250" spans="15:22" x14ac:dyDescent="0.25">
      <c r="O1250" s="74"/>
      <c r="P1250" s="74"/>
      <c r="Q1250" s="74"/>
      <c r="R1250" s="74"/>
      <c r="V1250" s="72"/>
    </row>
    <row r="1251" spans="15:22" x14ac:dyDescent="0.25">
      <c r="O1251" s="74"/>
      <c r="P1251" s="74"/>
      <c r="Q1251" s="74"/>
      <c r="R1251" s="74"/>
      <c r="V1251" s="72"/>
    </row>
    <row r="1252" spans="15:22" x14ac:dyDescent="0.25">
      <c r="O1252" s="74"/>
      <c r="P1252" s="74"/>
      <c r="Q1252" s="74"/>
      <c r="R1252" s="74"/>
      <c r="V1252" s="72"/>
    </row>
    <row r="1253" spans="15:22" x14ac:dyDescent="0.25">
      <c r="O1253" s="74"/>
      <c r="P1253" s="74"/>
      <c r="Q1253" s="74"/>
      <c r="R1253" s="74"/>
      <c r="V1253" s="72"/>
    </row>
    <row r="1254" spans="15:22" x14ac:dyDescent="0.25">
      <c r="O1254" s="74"/>
      <c r="P1254" s="74"/>
      <c r="Q1254" s="74"/>
      <c r="R1254" s="74"/>
      <c r="V1254" s="72"/>
    </row>
    <row r="1255" spans="15:22" x14ac:dyDescent="0.25">
      <c r="O1255" s="74"/>
      <c r="P1255" s="74"/>
      <c r="Q1255" s="74"/>
      <c r="R1255" s="74"/>
      <c r="V1255" s="72"/>
    </row>
    <row r="1256" spans="15:22" x14ac:dyDescent="0.25">
      <c r="O1256" s="74"/>
      <c r="P1256" s="74"/>
      <c r="Q1256" s="74"/>
      <c r="R1256" s="74"/>
      <c r="V1256" s="72"/>
    </row>
    <row r="1257" spans="15:22" x14ac:dyDescent="0.25">
      <c r="O1257" s="74"/>
      <c r="P1257" s="74"/>
      <c r="Q1257" s="74"/>
      <c r="R1257" s="74"/>
      <c r="V1257" s="72"/>
    </row>
    <row r="1258" spans="15:22" x14ac:dyDescent="0.25">
      <c r="O1258" s="74"/>
      <c r="P1258" s="74"/>
      <c r="Q1258" s="74"/>
      <c r="R1258" s="74"/>
      <c r="V1258" s="72"/>
    </row>
    <row r="1259" spans="15:22" x14ac:dyDescent="0.25">
      <c r="O1259" s="74"/>
      <c r="P1259" s="74"/>
      <c r="Q1259" s="74"/>
      <c r="R1259" s="74"/>
      <c r="V1259" s="72"/>
    </row>
    <row r="1260" spans="15:22" x14ac:dyDescent="0.25">
      <c r="O1260" s="74"/>
      <c r="P1260" s="74"/>
      <c r="Q1260" s="74"/>
      <c r="R1260" s="74"/>
      <c r="V1260" s="72"/>
    </row>
    <row r="1261" spans="15:22" x14ac:dyDescent="0.25">
      <c r="O1261" s="74"/>
      <c r="P1261" s="74"/>
      <c r="Q1261" s="74"/>
      <c r="R1261" s="74"/>
      <c r="V1261" s="72"/>
    </row>
    <row r="1262" spans="15:22" x14ac:dyDescent="0.25">
      <c r="O1262" s="74"/>
      <c r="P1262" s="74"/>
      <c r="Q1262" s="74"/>
      <c r="R1262" s="74"/>
      <c r="V1262" s="72"/>
    </row>
    <row r="1263" spans="15:22" x14ac:dyDescent="0.25">
      <c r="O1263" s="74"/>
      <c r="P1263" s="74"/>
      <c r="Q1263" s="74"/>
      <c r="R1263" s="74"/>
      <c r="V1263" s="72"/>
    </row>
    <row r="1264" spans="15:22" x14ac:dyDescent="0.25">
      <c r="O1264" s="74"/>
      <c r="P1264" s="74"/>
      <c r="Q1264" s="74"/>
      <c r="R1264" s="74"/>
      <c r="V1264" s="72"/>
    </row>
    <row r="1265" spans="15:22" x14ac:dyDescent="0.25">
      <c r="O1265" s="74"/>
      <c r="P1265" s="74"/>
      <c r="Q1265" s="74"/>
      <c r="R1265" s="74"/>
      <c r="V1265" s="72"/>
    </row>
    <row r="1266" spans="15:22" x14ac:dyDescent="0.25">
      <c r="O1266" s="74"/>
      <c r="P1266" s="74"/>
      <c r="Q1266" s="74"/>
      <c r="R1266" s="74"/>
      <c r="V1266" s="72"/>
    </row>
    <row r="1267" spans="15:22" x14ac:dyDescent="0.25">
      <c r="O1267" s="74"/>
      <c r="P1267" s="74"/>
      <c r="Q1267" s="74"/>
      <c r="R1267" s="74"/>
      <c r="V1267" s="72"/>
    </row>
    <row r="1268" spans="15:22" x14ac:dyDescent="0.25">
      <c r="O1268" s="74"/>
      <c r="P1268" s="74"/>
      <c r="Q1268" s="74"/>
      <c r="R1268" s="74"/>
      <c r="V1268" s="72"/>
    </row>
    <row r="1269" spans="15:22" x14ac:dyDescent="0.25">
      <c r="O1269" s="74"/>
      <c r="P1269" s="74"/>
      <c r="Q1269" s="74"/>
      <c r="R1269" s="74"/>
      <c r="V1269" s="72"/>
    </row>
    <row r="1270" spans="15:22" x14ac:dyDescent="0.25">
      <c r="O1270" s="74"/>
      <c r="P1270" s="74"/>
      <c r="Q1270" s="74"/>
      <c r="R1270" s="74"/>
      <c r="V1270" s="72"/>
    </row>
    <row r="1271" spans="15:22" x14ac:dyDescent="0.25">
      <c r="O1271" s="74"/>
      <c r="P1271" s="74"/>
      <c r="Q1271" s="74"/>
      <c r="R1271" s="74"/>
      <c r="V1271" s="72"/>
    </row>
    <row r="1272" spans="15:22" x14ac:dyDescent="0.25">
      <c r="O1272" s="74"/>
      <c r="P1272" s="74"/>
      <c r="Q1272" s="74"/>
      <c r="R1272" s="74"/>
      <c r="V1272" s="72"/>
    </row>
    <row r="1273" spans="15:22" x14ac:dyDescent="0.25">
      <c r="O1273" s="74"/>
      <c r="P1273" s="74"/>
      <c r="Q1273" s="74"/>
      <c r="R1273" s="74"/>
      <c r="V1273" s="72"/>
    </row>
    <row r="1274" spans="15:22" x14ac:dyDescent="0.25">
      <c r="O1274" s="74"/>
      <c r="P1274" s="74"/>
      <c r="Q1274" s="74"/>
      <c r="R1274" s="74"/>
      <c r="V1274" s="72"/>
    </row>
    <row r="1275" spans="15:22" x14ac:dyDescent="0.25">
      <c r="O1275" s="74"/>
      <c r="P1275" s="74"/>
      <c r="Q1275" s="74"/>
      <c r="R1275" s="74"/>
      <c r="V1275" s="72"/>
    </row>
    <row r="1276" spans="15:22" x14ac:dyDescent="0.25">
      <c r="O1276" s="74"/>
      <c r="P1276" s="74"/>
      <c r="Q1276" s="74"/>
      <c r="R1276" s="74"/>
      <c r="V1276" s="72"/>
    </row>
    <row r="1277" spans="15:22" x14ac:dyDescent="0.25">
      <c r="O1277" s="74"/>
      <c r="P1277" s="74"/>
      <c r="Q1277" s="74"/>
      <c r="R1277" s="74"/>
      <c r="V1277" s="72"/>
    </row>
    <row r="1278" spans="15:22" x14ac:dyDescent="0.25">
      <c r="O1278" s="74"/>
      <c r="P1278" s="74"/>
      <c r="Q1278" s="74"/>
      <c r="R1278" s="74"/>
      <c r="V1278" s="72"/>
    </row>
    <row r="1279" spans="15:22" x14ac:dyDescent="0.25">
      <c r="O1279" s="74"/>
      <c r="P1279" s="74"/>
      <c r="Q1279" s="74"/>
      <c r="R1279" s="74"/>
      <c r="V1279" s="72"/>
    </row>
    <row r="1280" spans="15:22" x14ac:dyDescent="0.25">
      <c r="O1280" s="74"/>
      <c r="P1280" s="74"/>
      <c r="Q1280" s="74"/>
      <c r="R1280" s="74"/>
      <c r="V1280" s="72"/>
    </row>
    <row r="1281" spans="15:22" x14ac:dyDescent="0.25">
      <c r="O1281" s="74"/>
      <c r="P1281" s="74"/>
      <c r="Q1281" s="74"/>
      <c r="R1281" s="74"/>
      <c r="V1281" s="72"/>
    </row>
    <row r="1282" spans="15:22" x14ac:dyDescent="0.25">
      <c r="O1282" s="74"/>
      <c r="P1282" s="74"/>
      <c r="Q1282" s="74"/>
      <c r="R1282" s="74"/>
      <c r="V1282" s="72"/>
    </row>
    <row r="1283" spans="15:22" x14ac:dyDescent="0.25">
      <c r="O1283" s="74"/>
      <c r="P1283" s="74"/>
      <c r="Q1283" s="74"/>
      <c r="R1283" s="74"/>
      <c r="V1283" s="72"/>
    </row>
    <row r="1284" spans="15:22" x14ac:dyDescent="0.25">
      <c r="O1284" s="74"/>
      <c r="P1284" s="74"/>
      <c r="Q1284" s="74"/>
      <c r="R1284" s="74"/>
      <c r="V1284" s="72"/>
    </row>
    <row r="1285" spans="15:22" x14ac:dyDescent="0.25">
      <c r="O1285" s="74"/>
      <c r="P1285" s="74"/>
      <c r="Q1285" s="74"/>
      <c r="R1285" s="74"/>
      <c r="V1285" s="72"/>
    </row>
    <row r="1286" spans="15:22" x14ac:dyDescent="0.25">
      <c r="O1286" s="74"/>
      <c r="P1286" s="74"/>
      <c r="Q1286" s="74"/>
      <c r="R1286" s="74"/>
      <c r="V1286" s="72"/>
    </row>
    <row r="1287" spans="15:22" x14ac:dyDescent="0.25">
      <c r="O1287" s="74"/>
      <c r="P1287" s="74"/>
      <c r="Q1287" s="74"/>
      <c r="R1287" s="74"/>
      <c r="V1287" s="72"/>
    </row>
    <row r="1288" spans="15:22" x14ac:dyDescent="0.25">
      <c r="O1288" s="74"/>
      <c r="P1288" s="74"/>
      <c r="Q1288" s="74"/>
      <c r="R1288" s="74"/>
      <c r="V1288" s="72"/>
    </row>
    <row r="1289" spans="15:22" x14ac:dyDescent="0.25">
      <c r="O1289" s="74"/>
      <c r="P1289" s="74"/>
      <c r="Q1289" s="74"/>
      <c r="R1289" s="74"/>
      <c r="V1289" s="72"/>
    </row>
    <row r="1290" spans="15:22" x14ac:dyDescent="0.25">
      <c r="O1290" s="74"/>
      <c r="P1290" s="74"/>
      <c r="Q1290" s="74"/>
      <c r="R1290" s="74"/>
      <c r="V1290" s="72"/>
    </row>
    <row r="1291" spans="15:22" x14ac:dyDescent="0.25">
      <c r="O1291" s="74"/>
      <c r="P1291" s="74"/>
      <c r="Q1291" s="74"/>
      <c r="R1291" s="74"/>
      <c r="V1291" s="72"/>
    </row>
    <row r="1292" spans="15:22" x14ac:dyDescent="0.25">
      <c r="O1292" s="74"/>
      <c r="P1292" s="74"/>
      <c r="Q1292" s="74"/>
      <c r="R1292" s="74"/>
      <c r="V1292" s="72"/>
    </row>
    <row r="1293" spans="15:22" x14ac:dyDescent="0.25">
      <c r="O1293" s="74"/>
      <c r="P1293" s="74"/>
      <c r="Q1293" s="74"/>
      <c r="R1293" s="74"/>
      <c r="V1293" s="72"/>
    </row>
    <row r="1294" spans="15:22" x14ac:dyDescent="0.25">
      <c r="O1294" s="74"/>
      <c r="P1294" s="74"/>
      <c r="Q1294" s="74"/>
      <c r="R1294" s="74"/>
      <c r="V1294" s="72"/>
    </row>
    <row r="1295" spans="15:22" x14ac:dyDescent="0.25">
      <c r="O1295" s="74"/>
      <c r="P1295" s="74"/>
      <c r="Q1295" s="74"/>
      <c r="R1295" s="74"/>
      <c r="V1295" s="72"/>
    </row>
    <row r="1296" spans="15:22" x14ac:dyDescent="0.25">
      <c r="O1296" s="74"/>
      <c r="P1296" s="74"/>
      <c r="Q1296" s="74"/>
      <c r="R1296" s="74"/>
      <c r="V1296" s="72"/>
    </row>
    <row r="1297" spans="15:22" x14ac:dyDescent="0.25">
      <c r="O1297" s="74"/>
      <c r="P1297" s="74"/>
      <c r="Q1297" s="74"/>
      <c r="R1297" s="74"/>
      <c r="V1297" s="72"/>
    </row>
    <row r="1298" spans="15:22" x14ac:dyDescent="0.25">
      <c r="O1298" s="74"/>
      <c r="P1298" s="74"/>
      <c r="Q1298" s="74"/>
      <c r="R1298" s="74"/>
      <c r="V1298" s="72"/>
    </row>
    <row r="1299" spans="15:22" x14ac:dyDescent="0.25">
      <c r="O1299" s="74"/>
      <c r="P1299" s="74"/>
      <c r="Q1299" s="74"/>
      <c r="R1299" s="74"/>
      <c r="V1299" s="72"/>
    </row>
    <row r="1300" spans="15:22" x14ac:dyDescent="0.25">
      <c r="O1300" s="74"/>
      <c r="P1300" s="74"/>
      <c r="Q1300" s="74"/>
      <c r="R1300" s="74"/>
      <c r="V1300" s="72"/>
    </row>
    <row r="1301" spans="15:22" x14ac:dyDescent="0.25">
      <c r="O1301" s="74"/>
      <c r="P1301" s="74"/>
      <c r="Q1301" s="74"/>
      <c r="R1301" s="74"/>
      <c r="V1301" s="72"/>
    </row>
    <row r="1302" spans="15:22" x14ac:dyDescent="0.25">
      <c r="O1302" s="74"/>
      <c r="P1302" s="74"/>
      <c r="Q1302" s="74"/>
      <c r="R1302" s="74"/>
      <c r="V1302" s="72"/>
    </row>
    <row r="1303" spans="15:22" x14ac:dyDescent="0.25">
      <c r="O1303" s="74"/>
      <c r="P1303" s="74"/>
      <c r="Q1303" s="74"/>
      <c r="R1303" s="74"/>
      <c r="V1303" s="72"/>
    </row>
    <row r="1304" spans="15:22" x14ac:dyDescent="0.25">
      <c r="O1304" s="74"/>
      <c r="P1304" s="74"/>
      <c r="Q1304" s="74"/>
      <c r="R1304" s="74"/>
      <c r="V1304" s="72"/>
    </row>
    <row r="1305" spans="15:22" x14ac:dyDescent="0.25">
      <c r="O1305" s="74"/>
      <c r="P1305" s="74"/>
      <c r="Q1305" s="74"/>
      <c r="R1305" s="74"/>
      <c r="V1305" s="72"/>
    </row>
    <row r="1306" spans="15:22" x14ac:dyDescent="0.25">
      <c r="O1306" s="74"/>
      <c r="P1306" s="74"/>
      <c r="Q1306" s="74"/>
      <c r="R1306" s="74"/>
      <c r="V1306" s="72"/>
    </row>
    <row r="1307" spans="15:22" x14ac:dyDescent="0.25">
      <c r="O1307" s="74"/>
      <c r="P1307" s="74"/>
      <c r="Q1307" s="74"/>
      <c r="R1307" s="74"/>
      <c r="V1307" s="72"/>
    </row>
    <row r="1308" spans="15:22" x14ac:dyDescent="0.25">
      <c r="O1308" s="74"/>
      <c r="P1308" s="74"/>
      <c r="Q1308" s="74"/>
      <c r="R1308" s="74"/>
      <c r="V1308" s="72"/>
    </row>
    <row r="1309" spans="15:22" x14ac:dyDescent="0.25">
      <c r="O1309" s="74"/>
      <c r="P1309" s="74"/>
      <c r="Q1309" s="74"/>
      <c r="R1309" s="74"/>
      <c r="V1309" s="72"/>
    </row>
    <row r="1310" spans="15:22" x14ac:dyDescent="0.25">
      <c r="O1310" s="74"/>
      <c r="P1310" s="74"/>
      <c r="Q1310" s="74"/>
      <c r="R1310" s="74"/>
      <c r="V1310" s="72"/>
    </row>
    <row r="1311" spans="15:22" x14ac:dyDescent="0.25">
      <c r="O1311" s="74"/>
      <c r="P1311" s="74"/>
      <c r="Q1311" s="74"/>
      <c r="R1311" s="74"/>
      <c r="V1311" s="72"/>
    </row>
    <row r="1312" spans="15:22" x14ac:dyDescent="0.25">
      <c r="O1312" s="74"/>
      <c r="P1312" s="74"/>
      <c r="Q1312" s="74"/>
      <c r="R1312" s="74"/>
      <c r="V1312" s="72"/>
    </row>
    <row r="1313" spans="15:22" x14ac:dyDescent="0.25">
      <c r="O1313" s="74"/>
      <c r="P1313" s="74"/>
      <c r="Q1313" s="74"/>
      <c r="R1313" s="74"/>
      <c r="V1313" s="72"/>
    </row>
    <row r="1314" spans="15:22" x14ac:dyDescent="0.25">
      <c r="O1314" s="74"/>
      <c r="P1314" s="74"/>
      <c r="Q1314" s="74"/>
      <c r="R1314" s="74"/>
      <c r="V1314" s="72"/>
    </row>
    <row r="1315" spans="15:22" x14ac:dyDescent="0.25">
      <c r="O1315" s="74"/>
      <c r="P1315" s="74"/>
      <c r="Q1315" s="74"/>
      <c r="R1315" s="74"/>
      <c r="V1315" s="72"/>
    </row>
    <row r="1316" spans="15:22" x14ac:dyDescent="0.25">
      <c r="O1316" s="74"/>
      <c r="P1316" s="74"/>
      <c r="Q1316" s="74"/>
      <c r="R1316" s="74"/>
      <c r="V1316" s="72"/>
    </row>
    <row r="1317" spans="15:22" x14ac:dyDescent="0.25">
      <c r="O1317" s="74"/>
      <c r="P1317" s="74"/>
      <c r="Q1317" s="74"/>
      <c r="R1317" s="74"/>
      <c r="V1317" s="72"/>
    </row>
    <row r="1318" spans="15:22" x14ac:dyDescent="0.25">
      <c r="O1318" s="74"/>
      <c r="P1318" s="74"/>
      <c r="Q1318" s="74"/>
      <c r="R1318" s="74"/>
      <c r="V1318" s="72"/>
    </row>
    <row r="1319" spans="15:22" x14ac:dyDescent="0.25">
      <c r="O1319" s="74"/>
      <c r="P1319" s="74"/>
      <c r="Q1319" s="74"/>
      <c r="R1319" s="74"/>
      <c r="V1319" s="72"/>
    </row>
    <row r="1320" spans="15:22" x14ac:dyDescent="0.25">
      <c r="O1320" s="74"/>
      <c r="P1320" s="74"/>
      <c r="Q1320" s="74"/>
      <c r="R1320" s="74"/>
      <c r="V1320" s="72"/>
    </row>
    <row r="1321" spans="15:22" x14ac:dyDescent="0.25">
      <c r="O1321" s="74"/>
      <c r="P1321" s="74"/>
      <c r="Q1321" s="74"/>
      <c r="R1321" s="74"/>
      <c r="V1321" s="72"/>
    </row>
    <row r="1322" spans="15:22" x14ac:dyDescent="0.25">
      <c r="O1322" s="74"/>
      <c r="P1322" s="74"/>
      <c r="Q1322" s="74"/>
      <c r="R1322" s="74"/>
      <c r="V1322" s="72"/>
    </row>
    <row r="1323" spans="15:22" x14ac:dyDescent="0.25">
      <c r="O1323" s="74"/>
      <c r="P1323" s="74"/>
      <c r="Q1323" s="74"/>
      <c r="R1323" s="74"/>
      <c r="V1323" s="72"/>
    </row>
    <row r="1324" spans="15:22" x14ac:dyDescent="0.25">
      <c r="O1324" s="74"/>
      <c r="P1324" s="74"/>
      <c r="Q1324" s="74"/>
      <c r="R1324" s="74"/>
      <c r="V1324" s="72"/>
    </row>
    <row r="1325" spans="15:22" x14ac:dyDescent="0.25">
      <c r="O1325" s="74"/>
      <c r="P1325" s="74"/>
      <c r="Q1325" s="74"/>
      <c r="R1325" s="74"/>
      <c r="V1325" s="72"/>
    </row>
    <row r="1326" spans="15:22" x14ac:dyDescent="0.25">
      <c r="O1326" s="74"/>
      <c r="P1326" s="74"/>
      <c r="Q1326" s="74"/>
      <c r="R1326" s="74"/>
      <c r="V1326" s="72"/>
    </row>
    <row r="1327" spans="15:22" x14ac:dyDescent="0.25">
      <c r="O1327" s="74"/>
      <c r="P1327" s="74"/>
      <c r="Q1327" s="74"/>
      <c r="R1327" s="74"/>
      <c r="V1327" s="72"/>
    </row>
    <row r="1328" spans="15:22" x14ac:dyDescent="0.25">
      <c r="O1328" s="74"/>
      <c r="P1328" s="74"/>
      <c r="Q1328" s="74"/>
      <c r="R1328" s="74"/>
      <c r="V1328" s="72"/>
    </row>
    <row r="1329" spans="15:22" x14ac:dyDescent="0.25">
      <c r="O1329" s="74"/>
      <c r="P1329" s="74"/>
      <c r="Q1329" s="74"/>
      <c r="R1329" s="74"/>
      <c r="V1329" s="72"/>
    </row>
    <row r="1330" spans="15:22" x14ac:dyDescent="0.25">
      <c r="O1330" s="74"/>
      <c r="P1330" s="74"/>
      <c r="Q1330" s="74"/>
      <c r="R1330" s="74"/>
      <c r="V1330" s="72"/>
    </row>
    <row r="1331" spans="15:22" x14ac:dyDescent="0.25">
      <c r="O1331" s="74"/>
      <c r="P1331" s="74"/>
      <c r="Q1331" s="74"/>
      <c r="R1331" s="74"/>
      <c r="V1331" s="72"/>
    </row>
    <row r="1332" spans="15:22" x14ac:dyDescent="0.25">
      <c r="O1332" s="74"/>
      <c r="P1332" s="74"/>
      <c r="Q1332" s="74"/>
      <c r="R1332" s="74"/>
      <c r="V1332" s="72"/>
    </row>
    <row r="1333" spans="15:22" x14ac:dyDescent="0.25">
      <c r="O1333" s="74"/>
      <c r="P1333" s="74"/>
      <c r="Q1333" s="74"/>
      <c r="R1333" s="74"/>
      <c r="V1333" s="72"/>
    </row>
    <row r="1334" spans="15:22" x14ac:dyDescent="0.25">
      <c r="O1334" s="74"/>
      <c r="P1334" s="74"/>
      <c r="Q1334" s="74"/>
      <c r="R1334" s="74"/>
      <c r="V1334" s="72"/>
    </row>
    <row r="1335" spans="15:22" x14ac:dyDescent="0.25">
      <c r="O1335" s="74"/>
      <c r="P1335" s="74"/>
      <c r="Q1335" s="74"/>
      <c r="R1335" s="74"/>
      <c r="V1335" s="72"/>
    </row>
    <row r="1336" spans="15:22" x14ac:dyDescent="0.25">
      <c r="O1336" s="74"/>
      <c r="P1336" s="74"/>
      <c r="Q1336" s="74"/>
      <c r="R1336" s="74"/>
      <c r="V1336" s="72"/>
    </row>
    <row r="1337" spans="15:22" x14ac:dyDescent="0.25">
      <c r="O1337" s="74"/>
      <c r="P1337" s="74"/>
      <c r="Q1337" s="74"/>
      <c r="R1337" s="74"/>
      <c r="V1337" s="72"/>
    </row>
    <row r="1338" spans="15:22" x14ac:dyDescent="0.25">
      <c r="O1338" s="74"/>
      <c r="P1338" s="74"/>
      <c r="Q1338" s="74"/>
      <c r="R1338" s="74"/>
      <c r="V1338" s="72"/>
    </row>
    <row r="1339" spans="15:22" x14ac:dyDescent="0.25">
      <c r="O1339" s="74"/>
      <c r="P1339" s="74"/>
      <c r="Q1339" s="74"/>
      <c r="R1339" s="74"/>
      <c r="V1339" s="72"/>
    </row>
    <row r="1340" spans="15:22" x14ac:dyDescent="0.25">
      <c r="O1340" s="74"/>
      <c r="P1340" s="74"/>
      <c r="Q1340" s="74"/>
      <c r="R1340" s="74"/>
      <c r="V1340" s="72"/>
    </row>
    <row r="1341" spans="15:22" x14ac:dyDescent="0.25">
      <c r="O1341" s="74"/>
      <c r="P1341" s="74"/>
      <c r="Q1341" s="74"/>
      <c r="R1341" s="74"/>
      <c r="V1341" s="72"/>
    </row>
    <row r="1342" spans="15:22" x14ac:dyDescent="0.25">
      <c r="O1342" s="74"/>
      <c r="P1342" s="74"/>
      <c r="Q1342" s="74"/>
      <c r="R1342" s="74"/>
      <c r="V1342" s="72"/>
    </row>
    <row r="1343" spans="15:22" x14ac:dyDescent="0.25">
      <c r="O1343" s="74"/>
      <c r="P1343" s="74"/>
      <c r="Q1343" s="74"/>
      <c r="R1343" s="74"/>
      <c r="V1343" s="72"/>
    </row>
    <row r="1344" spans="15:22" x14ac:dyDescent="0.25">
      <c r="O1344" s="74"/>
      <c r="P1344" s="74"/>
      <c r="Q1344" s="74"/>
      <c r="R1344" s="74"/>
      <c r="V1344" s="72"/>
    </row>
    <row r="1345" spans="15:22" x14ac:dyDescent="0.25">
      <c r="O1345" s="74"/>
      <c r="P1345" s="74"/>
      <c r="Q1345" s="74"/>
      <c r="R1345" s="74"/>
      <c r="V1345" s="72"/>
    </row>
    <row r="1346" spans="15:22" x14ac:dyDescent="0.25">
      <c r="O1346" s="74"/>
      <c r="P1346" s="74"/>
      <c r="Q1346" s="74"/>
      <c r="R1346" s="74"/>
      <c r="V1346" s="72"/>
    </row>
    <row r="1347" spans="15:22" x14ac:dyDescent="0.25">
      <c r="O1347" s="74"/>
      <c r="P1347" s="74"/>
      <c r="Q1347" s="74"/>
      <c r="R1347" s="74"/>
      <c r="V1347" s="72"/>
    </row>
    <row r="1348" spans="15:22" x14ac:dyDescent="0.25">
      <c r="O1348" s="74"/>
      <c r="P1348" s="74"/>
      <c r="Q1348" s="74"/>
      <c r="R1348" s="74"/>
      <c r="V1348" s="72"/>
    </row>
    <row r="1349" spans="15:22" x14ac:dyDescent="0.25">
      <c r="O1349" s="74"/>
      <c r="P1349" s="74"/>
      <c r="Q1349" s="74"/>
      <c r="R1349" s="74"/>
      <c r="V1349" s="72"/>
    </row>
    <row r="1350" spans="15:22" x14ac:dyDescent="0.25">
      <c r="O1350" s="74"/>
      <c r="P1350" s="74"/>
      <c r="Q1350" s="74"/>
      <c r="R1350" s="74"/>
      <c r="V1350" s="72"/>
    </row>
    <row r="1351" spans="15:22" x14ac:dyDescent="0.25">
      <c r="O1351" s="74"/>
      <c r="P1351" s="74"/>
      <c r="Q1351" s="74"/>
      <c r="R1351" s="74"/>
      <c r="V1351" s="72"/>
    </row>
    <row r="1352" spans="15:22" x14ac:dyDescent="0.25">
      <c r="O1352" s="74"/>
      <c r="P1352" s="74"/>
      <c r="Q1352" s="74"/>
      <c r="R1352" s="74"/>
      <c r="V1352" s="72"/>
    </row>
    <row r="1353" spans="15:22" x14ac:dyDescent="0.25">
      <c r="O1353" s="74"/>
      <c r="P1353" s="74"/>
      <c r="Q1353" s="74"/>
      <c r="R1353" s="74"/>
      <c r="V1353" s="72"/>
    </row>
    <row r="1354" spans="15:22" x14ac:dyDescent="0.25">
      <c r="O1354" s="74"/>
      <c r="P1354" s="74"/>
      <c r="Q1354" s="74"/>
      <c r="R1354" s="74"/>
      <c r="V1354" s="72"/>
    </row>
    <row r="1355" spans="15:22" x14ac:dyDescent="0.25">
      <c r="O1355" s="74"/>
      <c r="P1355" s="74"/>
      <c r="Q1355" s="74"/>
      <c r="R1355" s="74"/>
      <c r="V1355" s="72"/>
    </row>
    <row r="1356" spans="15:22" x14ac:dyDescent="0.25">
      <c r="O1356" s="74"/>
      <c r="P1356" s="74"/>
      <c r="Q1356" s="74"/>
      <c r="R1356" s="74"/>
      <c r="V1356" s="72"/>
    </row>
    <row r="1357" spans="15:22" x14ac:dyDescent="0.25">
      <c r="O1357" s="74"/>
      <c r="P1357" s="74"/>
      <c r="Q1357" s="74"/>
      <c r="R1357" s="74"/>
      <c r="V1357" s="72"/>
    </row>
    <row r="1358" spans="15:22" x14ac:dyDescent="0.25">
      <c r="O1358" s="74"/>
      <c r="P1358" s="74"/>
      <c r="Q1358" s="74"/>
      <c r="R1358" s="74"/>
      <c r="V1358" s="72"/>
    </row>
    <row r="1359" spans="15:22" x14ac:dyDescent="0.25">
      <c r="O1359" s="74"/>
      <c r="P1359" s="74"/>
      <c r="Q1359" s="74"/>
      <c r="R1359" s="74"/>
      <c r="V1359" s="72"/>
    </row>
    <row r="1360" spans="15:22" x14ac:dyDescent="0.25">
      <c r="O1360" s="74"/>
      <c r="P1360" s="74"/>
      <c r="Q1360" s="74"/>
      <c r="R1360" s="74"/>
      <c r="V1360" s="72"/>
    </row>
    <row r="1361" spans="15:22" x14ac:dyDescent="0.25">
      <c r="O1361" s="74"/>
      <c r="P1361" s="74"/>
      <c r="Q1361" s="74"/>
      <c r="R1361" s="74"/>
      <c r="V1361" s="72"/>
    </row>
    <row r="1362" spans="15:22" x14ac:dyDescent="0.25">
      <c r="O1362" s="74"/>
      <c r="P1362" s="74"/>
      <c r="Q1362" s="74"/>
      <c r="R1362" s="74"/>
      <c r="V1362" s="72"/>
    </row>
    <row r="1363" spans="15:22" x14ac:dyDescent="0.25">
      <c r="O1363" s="74"/>
      <c r="P1363" s="74"/>
      <c r="Q1363" s="74"/>
      <c r="R1363" s="74"/>
      <c r="V1363" s="72"/>
    </row>
    <row r="1364" spans="15:22" x14ac:dyDescent="0.25">
      <c r="O1364" s="74"/>
      <c r="P1364" s="74"/>
      <c r="Q1364" s="74"/>
      <c r="R1364" s="74"/>
      <c r="V1364" s="72"/>
    </row>
    <row r="1365" spans="15:22" x14ac:dyDescent="0.25">
      <c r="O1365" s="74"/>
      <c r="P1365" s="74"/>
      <c r="Q1365" s="74"/>
      <c r="R1365" s="74"/>
      <c r="V1365" s="72"/>
    </row>
    <row r="1366" spans="15:22" x14ac:dyDescent="0.25">
      <c r="O1366" s="74"/>
      <c r="P1366" s="74"/>
      <c r="Q1366" s="74"/>
      <c r="R1366" s="74"/>
      <c r="V1366" s="72"/>
    </row>
    <row r="1367" spans="15:22" x14ac:dyDescent="0.25">
      <c r="O1367" s="74"/>
      <c r="P1367" s="74"/>
      <c r="Q1367" s="74"/>
      <c r="R1367" s="74"/>
      <c r="V1367" s="72"/>
    </row>
    <row r="1368" spans="15:22" x14ac:dyDescent="0.25">
      <c r="O1368" s="74"/>
      <c r="P1368" s="74"/>
      <c r="Q1368" s="74"/>
      <c r="R1368" s="74"/>
      <c r="V1368" s="72"/>
    </row>
    <row r="1369" spans="15:22" x14ac:dyDescent="0.25">
      <c r="O1369" s="74"/>
      <c r="P1369" s="74"/>
      <c r="Q1369" s="74"/>
      <c r="R1369" s="74"/>
      <c r="V1369" s="72"/>
    </row>
    <row r="1370" spans="15:22" x14ac:dyDescent="0.25">
      <c r="O1370" s="74"/>
      <c r="P1370" s="74"/>
      <c r="Q1370" s="74"/>
      <c r="R1370" s="74"/>
      <c r="V1370" s="72"/>
    </row>
    <row r="1371" spans="15:22" x14ac:dyDescent="0.25">
      <c r="O1371" s="74"/>
      <c r="P1371" s="74"/>
      <c r="Q1371" s="74"/>
      <c r="R1371" s="74"/>
      <c r="V1371" s="72"/>
    </row>
    <row r="1372" spans="15:22" x14ac:dyDescent="0.25">
      <c r="O1372" s="74"/>
      <c r="P1372" s="74"/>
      <c r="Q1372" s="74"/>
      <c r="R1372" s="74"/>
      <c r="V1372" s="72"/>
    </row>
    <row r="1373" spans="15:22" x14ac:dyDescent="0.25">
      <c r="O1373" s="74"/>
      <c r="P1373" s="74"/>
      <c r="Q1373" s="74"/>
      <c r="R1373" s="74"/>
      <c r="V1373" s="72"/>
    </row>
    <row r="1374" spans="15:22" x14ac:dyDescent="0.25">
      <c r="O1374" s="74"/>
      <c r="P1374" s="74"/>
      <c r="Q1374" s="74"/>
      <c r="R1374" s="74"/>
      <c r="V1374" s="72"/>
    </row>
    <row r="1375" spans="15:22" x14ac:dyDescent="0.25">
      <c r="O1375" s="74"/>
      <c r="P1375" s="74"/>
      <c r="Q1375" s="74"/>
      <c r="R1375" s="74"/>
      <c r="V1375" s="72"/>
    </row>
    <row r="1376" spans="15:22" x14ac:dyDescent="0.25">
      <c r="O1376" s="74"/>
      <c r="P1376" s="74"/>
      <c r="Q1376" s="74"/>
      <c r="R1376" s="74"/>
      <c r="V1376" s="72"/>
    </row>
    <row r="1377" spans="15:22" x14ac:dyDescent="0.25">
      <c r="O1377" s="74"/>
      <c r="P1377" s="74"/>
      <c r="Q1377" s="74"/>
      <c r="R1377" s="74"/>
      <c r="V1377" s="72"/>
    </row>
    <row r="1378" spans="15:22" x14ac:dyDescent="0.25">
      <c r="O1378" s="74"/>
      <c r="P1378" s="74"/>
      <c r="Q1378" s="74"/>
      <c r="R1378" s="74"/>
      <c r="V1378" s="72"/>
    </row>
    <row r="1379" spans="15:22" x14ac:dyDescent="0.25">
      <c r="O1379" s="74"/>
      <c r="P1379" s="74"/>
      <c r="Q1379" s="74"/>
      <c r="R1379" s="74"/>
      <c r="V1379" s="72"/>
    </row>
    <row r="1380" spans="15:22" x14ac:dyDescent="0.25">
      <c r="O1380" s="74"/>
      <c r="P1380" s="74"/>
      <c r="Q1380" s="74"/>
      <c r="R1380" s="74"/>
      <c r="V1380" s="72"/>
    </row>
    <row r="1381" spans="15:22" x14ac:dyDescent="0.25">
      <c r="O1381" s="74"/>
      <c r="P1381" s="74"/>
      <c r="Q1381" s="74"/>
      <c r="R1381" s="74"/>
      <c r="V1381" s="72"/>
    </row>
    <row r="1382" spans="15:22" x14ac:dyDescent="0.25">
      <c r="O1382" s="74"/>
      <c r="P1382" s="74"/>
      <c r="Q1382" s="74"/>
      <c r="R1382" s="74"/>
      <c r="V1382" s="72"/>
    </row>
    <row r="1383" spans="15:22" x14ac:dyDescent="0.25">
      <c r="O1383" s="74"/>
      <c r="P1383" s="74"/>
      <c r="Q1383" s="74"/>
      <c r="R1383" s="74"/>
      <c r="V1383" s="72"/>
    </row>
    <row r="1384" spans="15:22" x14ac:dyDescent="0.25">
      <c r="O1384" s="74"/>
      <c r="P1384" s="74"/>
      <c r="Q1384" s="74"/>
      <c r="R1384" s="74"/>
      <c r="V1384" s="72"/>
    </row>
    <row r="1385" spans="15:22" x14ac:dyDescent="0.25">
      <c r="O1385" s="74"/>
      <c r="P1385" s="74"/>
      <c r="Q1385" s="74"/>
      <c r="R1385" s="74"/>
      <c r="V1385" s="72"/>
    </row>
    <row r="1386" spans="15:22" x14ac:dyDescent="0.25">
      <c r="O1386" s="74"/>
      <c r="P1386" s="74"/>
      <c r="Q1386" s="74"/>
      <c r="R1386" s="74"/>
      <c r="V1386" s="72"/>
    </row>
    <row r="1387" spans="15:22" x14ac:dyDescent="0.25">
      <c r="O1387" s="74"/>
      <c r="P1387" s="74"/>
      <c r="Q1387" s="74"/>
      <c r="R1387" s="74"/>
      <c r="V1387" s="72"/>
    </row>
    <row r="1388" spans="15:22" x14ac:dyDescent="0.25">
      <c r="O1388" s="74"/>
      <c r="P1388" s="74"/>
      <c r="Q1388" s="74"/>
      <c r="R1388" s="74"/>
      <c r="V1388" s="72"/>
    </row>
    <row r="1389" spans="15:22" x14ac:dyDescent="0.25">
      <c r="O1389" s="74"/>
      <c r="P1389" s="74"/>
      <c r="Q1389" s="74"/>
      <c r="R1389" s="74"/>
      <c r="V1389" s="72"/>
    </row>
    <row r="1390" spans="15:22" x14ac:dyDescent="0.25">
      <c r="O1390" s="74"/>
      <c r="P1390" s="74"/>
      <c r="Q1390" s="74"/>
      <c r="R1390" s="74"/>
      <c r="V1390" s="72"/>
    </row>
    <row r="1391" spans="15:22" x14ac:dyDescent="0.25">
      <c r="O1391" s="74"/>
      <c r="P1391" s="74"/>
      <c r="Q1391" s="74"/>
      <c r="R1391" s="74"/>
      <c r="V1391" s="72"/>
    </row>
    <row r="1392" spans="15:22" x14ac:dyDescent="0.25">
      <c r="O1392" s="74"/>
      <c r="P1392" s="74"/>
      <c r="Q1392" s="74"/>
      <c r="R1392" s="74"/>
      <c r="V1392" s="72"/>
    </row>
    <row r="1393" spans="15:22" x14ac:dyDescent="0.25">
      <c r="O1393" s="74"/>
      <c r="P1393" s="74"/>
      <c r="Q1393" s="74"/>
      <c r="R1393" s="74"/>
      <c r="V1393" s="72"/>
    </row>
    <row r="1394" spans="15:22" x14ac:dyDescent="0.25">
      <c r="O1394" s="74"/>
      <c r="P1394" s="74"/>
      <c r="Q1394" s="74"/>
      <c r="R1394" s="74"/>
      <c r="V1394" s="72"/>
    </row>
    <row r="1395" spans="15:22" x14ac:dyDescent="0.25">
      <c r="O1395" s="74"/>
      <c r="P1395" s="74"/>
      <c r="Q1395" s="74"/>
      <c r="R1395" s="74"/>
      <c r="V1395" s="72"/>
    </row>
    <row r="1396" spans="15:22" x14ac:dyDescent="0.25">
      <c r="O1396" s="74"/>
      <c r="P1396" s="74"/>
      <c r="Q1396" s="74"/>
      <c r="R1396" s="74"/>
      <c r="V1396" s="72"/>
    </row>
    <row r="1397" spans="15:22" x14ac:dyDescent="0.25">
      <c r="O1397" s="74"/>
      <c r="P1397" s="74"/>
      <c r="Q1397" s="74"/>
      <c r="R1397" s="74"/>
      <c r="V1397" s="72"/>
    </row>
    <row r="1398" spans="15:22" x14ac:dyDescent="0.25">
      <c r="O1398" s="74"/>
      <c r="P1398" s="74"/>
      <c r="Q1398" s="74"/>
      <c r="R1398" s="74"/>
      <c r="V1398" s="72"/>
    </row>
    <row r="1399" spans="15:22" x14ac:dyDescent="0.25">
      <c r="O1399" s="74"/>
      <c r="P1399" s="74"/>
      <c r="Q1399" s="74"/>
      <c r="R1399" s="74"/>
      <c r="V1399" s="72"/>
    </row>
    <row r="1400" spans="15:22" x14ac:dyDescent="0.25">
      <c r="O1400" s="74"/>
      <c r="P1400" s="74"/>
      <c r="Q1400" s="74"/>
      <c r="R1400" s="74"/>
      <c r="V1400" s="72"/>
    </row>
    <row r="1401" spans="15:22" x14ac:dyDescent="0.25">
      <c r="O1401" s="74"/>
      <c r="P1401" s="74"/>
      <c r="Q1401" s="74"/>
      <c r="R1401" s="74"/>
      <c r="V1401" s="72"/>
    </row>
    <row r="1402" spans="15:22" x14ac:dyDescent="0.25">
      <c r="O1402" s="74"/>
      <c r="P1402" s="74"/>
      <c r="Q1402" s="74"/>
      <c r="R1402" s="74"/>
      <c r="V1402" s="72"/>
    </row>
    <row r="1403" spans="15:22" x14ac:dyDescent="0.25">
      <c r="O1403" s="74"/>
      <c r="P1403" s="74"/>
      <c r="Q1403" s="74"/>
      <c r="R1403" s="74"/>
      <c r="V1403" s="72"/>
    </row>
    <row r="1404" spans="15:22" x14ac:dyDescent="0.25">
      <c r="O1404" s="74"/>
      <c r="P1404" s="74"/>
      <c r="Q1404" s="74"/>
      <c r="R1404" s="74"/>
      <c r="V1404" s="72"/>
    </row>
    <row r="1405" spans="15:22" x14ac:dyDescent="0.25">
      <c r="O1405" s="74"/>
      <c r="P1405" s="74"/>
      <c r="Q1405" s="74"/>
      <c r="R1405" s="74"/>
      <c r="V1405" s="72"/>
    </row>
    <row r="1406" spans="15:22" x14ac:dyDescent="0.25">
      <c r="O1406" s="74"/>
      <c r="P1406" s="74"/>
      <c r="Q1406" s="74"/>
      <c r="R1406" s="74"/>
      <c r="V1406" s="72"/>
    </row>
    <row r="1407" spans="15:22" x14ac:dyDescent="0.25">
      <c r="O1407" s="74"/>
      <c r="P1407" s="74"/>
      <c r="Q1407" s="74"/>
      <c r="R1407" s="74"/>
      <c r="V1407" s="72"/>
    </row>
    <row r="1408" spans="15:22" x14ac:dyDescent="0.25">
      <c r="O1408" s="74"/>
      <c r="P1408" s="74"/>
      <c r="Q1408" s="74"/>
      <c r="R1408" s="74"/>
      <c r="V1408" s="72"/>
    </row>
    <row r="1409" spans="15:22" x14ac:dyDescent="0.25">
      <c r="O1409" s="74"/>
      <c r="P1409" s="74"/>
      <c r="Q1409" s="74"/>
      <c r="R1409" s="74"/>
      <c r="V1409" s="72"/>
    </row>
    <row r="1410" spans="15:22" x14ac:dyDescent="0.25">
      <c r="O1410" s="74"/>
      <c r="P1410" s="74"/>
      <c r="Q1410" s="74"/>
      <c r="R1410" s="74"/>
      <c r="V1410" s="72"/>
    </row>
    <row r="1411" spans="15:22" x14ac:dyDescent="0.25">
      <c r="O1411" s="74"/>
      <c r="P1411" s="74"/>
      <c r="Q1411" s="74"/>
      <c r="R1411" s="74"/>
      <c r="V1411" s="72"/>
    </row>
    <row r="1412" spans="15:22" x14ac:dyDescent="0.25">
      <c r="O1412" s="74"/>
      <c r="P1412" s="74"/>
      <c r="Q1412" s="74"/>
      <c r="R1412" s="74"/>
      <c r="V1412" s="72"/>
    </row>
    <row r="1413" spans="15:22" x14ac:dyDescent="0.25">
      <c r="O1413" s="74"/>
      <c r="P1413" s="74"/>
      <c r="Q1413" s="74"/>
      <c r="R1413" s="74"/>
      <c r="V1413" s="72"/>
    </row>
    <row r="1414" spans="15:22" x14ac:dyDescent="0.25">
      <c r="O1414" s="74"/>
      <c r="P1414" s="74"/>
      <c r="Q1414" s="74"/>
      <c r="R1414" s="74"/>
      <c r="V1414" s="72"/>
    </row>
    <row r="1415" spans="15:22" x14ac:dyDescent="0.25">
      <c r="O1415" s="74"/>
      <c r="P1415" s="74"/>
      <c r="Q1415" s="74"/>
      <c r="R1415" s="74"/>
      <c r="V1415" s="72"/>
    </row>
    <row r="1416" spans="15:22" x14ac:dyDescent="0.25">
      <c r="O1416" s="74"/>
      <c r="P1416" s="74"/>
      <c r="Q1416" s="74"/>
      <c r="R1416" s="74"/>
      <c r="V1416" s="72"/>
    </row>
    <row r="1417" spans="15:22" x14ac:dyDescent="0.25">
      <c r="O1417" s="74"/>
      <c r="P1417" s="74"/>
      <c r="Q1417" s="74"/>
      <c r="R1417" s="74"/>
      <c r="V1417" s="72"/>
    </row>
    <row r="1418" spans="15:22" x14ac:dyDescent="0.25">
      <c r="O1418" s="74"/>
      <c r="P1418" s="74"/>
      <c r="Q1418" s="74"/>
      <c r="R1418" s="74"/>
      <c r="V1418" s="72"/>
    </row>
    <row r="1419" spans="15:22" x14ac:dyDescent="0.25">
      <c r="O1419" s="74"/>
      <c r="P1419" s="74"/>
      <c r="Q1419" s="74"/>
      <c r="R1419" s="74"/>
      <c r="V1419" s="72"/>
    </row>
    <row r="1420" spans="15:22" x14ac:dyDescent="0.25">
      <c r="O1420" s="74"/>
      <c r="P1420" s="74"/>
      <c r="Q1420" s="74"/>
      <c r="R1420" s="74"/>
      <c r="V1420" s="72"/>
    </row>
    <row r="1421" spans="15:22" x14ac:dyDescent="0.25">
      <c r="O1421" s="74"/>
      <c r="P1421" s="74"/>
      <c r="Q1421" s="74"/>
      <c r="R1421" s="74"/>
      <c r="V1421" s="72"/>
    </row>
    <row r="1422" spans="15:22" x14ac:dyDescent="0.25">
      <c r="O1422" s="74"/>
      <c r="P1422" s="74"/>
      <c r="Q1422" s="74"/>
      <c r="R1422" s="74"/>
      <c r="V1422" s="72"/>
    </row>
    <row r="1423" spans="15:22" x14ac:dyDescent="0.25">
      <c r="O1423" s="74"/>
      <c r="P1423" s="74"/>
      <c r="Q1423" s="74"/>
      <c r="R1423" s="74"/>
      <c r="V1423" s="72"/>
    </row>
    <row r="1424" spans="15:22" x14ac:dyDescent="0.25">
      <c r="O1424" s="74"/>
      <c r="P1424" s="74"/>
      <c r="Q1424" s="74"/>
      <c r="R1424" s="74"/>
      <c r="V1424" s="72"/>
    </row>
    <row r="1425" spans="15:22" x14ac:dyDescent="0.25">
      <c r="O1425" s="74"/>
      <c r="P1425" s="74"/>
      <c r="Q1425" s="74"/>
      <c r="R1425" s="74"/>
      <c r="V1425" s="72"/>
    </row>
    <row r="1426" spans="15:22" x14ac:dyDescent="0.25">
      <c r="O1426" s="74"/>
      <c r="P1426" s="74"/>
      <c r="Q1426" s="74"/>
      <c r="R1426" s="74"/>
      <c r="V1426" s="72"/>
    </row>
    <row r="1427" spans="15:22" x14ac:dyDescent="0.25">
      <c r="O1427" s="74"/>
      <c r="P1427" s="74"/>
      <c r="Q1427" s="74"/>
      <c r="R1427" s="74"/>
      <c r="V1427" s="72"/>
    </row>
    <row r="1428" spans="15:22" x14ac:dyDescent="0.25">
      <c r="O1428" s="74"/>
      <c r="P1428" s="74"/>
      <c r="Q1428" s="74"/>
      <c r="R1428" s="74"/>
      <c r="V1428" s="72"/>
    </row>
    <row r="1429" spans="15:22" x14ac:dyDescent="0.25">
      <c r="O1429" s="74"/>
      <c r="P1429" s="74"/>
      <c r="Q1429" s="74"/>
      <c r="R1429" s="74"/>
      <c r="V1429" s="72"/>
    </row>
    <row r="1430" spans="15:22" x14ac:dyDescent="0.25">
      <c r="O1430" s="74"/>
      <c r="P1430" s="74"/>
      <c r="Q1430" s="74"/>
      <c r="R1430" s="74"/>
      <c r="V1430" s="72"/>
    </row>
    <row r="1431" spans="15:22" x14ac:dyDescent="0.25">
      <c r="O1431" s="74"/>
      <c r="P1431" s="74"/>
      <c r="Q1431" s="74"/>
      <c r="R1431" s="74"/>
      <c r="V1431" s="72"/>
    </row>
    <row r="1432" spans="15:22" x14ac:dyDescent="0.25">
      <c r="O1432" s="74"/>
      <c r="P1432" s="74"/>
      <c r="Q1432" s="74"/>
      <c r="R1432" s="74"/>
      <c r="V1432" s="72"/>
    </row>
    <row r="1433" spans="15:22" x14ac:dyDescent="0.25">
      <c r="O1433" s="74"/>
      <c r="P1433" s="74"/>
      <c r="Q1433" s="74"/>
      <c r="R1433" s="74"/>
      <c r="V1433" s="72"/>
    </row>
    <row r="1434" spans="15:22" x14ac:dyDescent="0.25">
      <c r="O1434" s="74"/>
      <c r="P1434" s="74"/>
      <c r="Q1434" s="74"/>
      <c r="R1434" s="74"/>
      <c r="V1434" s="72"/>
    </row>
    <row r="1435" spans="15:22" x14ac:dyDescent="0.25">
      <c r="O1435" s="74"/>
      <c r="P1435" s="74"/>
      <c r="Q1435" s="74"/>
      <c r="R1435" s="74"/>
      <c r="V1435" s="72"/>
    </row>
    <row r="1436" spans="15:22" x14ac:dyDescent="0.25">
      <c r="O1436" s="74"/>
      <c r="P1436" s="74"/>
      <c r="Q1436" s="74"/>
      <c r="R1436" s="74"/>
      <c r="V1436" s="72"/>
    </row>
    <row r="1437" spans="15:22" x14ac:dyDescent="0.25">
      <c r="O1437" s="74"/>
      <c r="P1437" s="74"/>
      <c r="Q1437" s="74"/>
      <c r="R1437" s="74"/>
      <c r="V1437" s="72"/>
    </row>
    <row r="1438" spans="15:22" x14ac:dyDescent="0.25">
      <c r="O1438" s="74"/>
      <c r="P1438" s="74"/>
      <c r="Q1438" s="74"/>
      <c r="R1438" s="74"/>
      <c r="V1438" s="72"/>
    </row>
    <row r="1439" spans="15:22" x14ac:dyDescent="0.25">
      <c r="O1439" s="74"/>
      <c r="P1439" s="74"/>
      <c r="Q1439" s="74"/>
      <c r="R1439" s="74"/>
      <c r="V1439" s="72"/>
    </row>
    <row r="1440" spans="15:22" x14ac:dyDescent="0.25">
      <c r="O1440" s="74"/>
      <c r="P1440" s="74"/>
      <c r="Q1440" s="74"/>
      <c r="R1440" s="74"/>
      <c r="V1440" s="72"/>
    </row>
    <row r="1441" spans="15:22" x14ac:dyDescent="0.25">
      <c r="O1441" s="74"/>
      <c r="P1441" s="74"/>
      <c r="Q1441" s="74"/>
      <c r="R1441" s="74"/>
      <c r="V1441" s="72"/>
    </row>
    <row r="1442" spans="15:22" x14ac:dyDescent="0.25">
      <c r="O1442" s="74"/>
      <c r="P1442" s="74"/>
      <c r="Q1442" s="74"/>
      <c r="R1442" s="74"/>
      <c r="V1442" s="72"/>
    </row>
    <row r="1443" spans="15:22" x14ac:dyDescent="0.25">
      <c r="O1443" s="74"/>
      <c r="P1443" s="74"/>
      <c r="Q1443" s="74"/>
      <c r="R1443" s="74"/>
      <c r="V1443" s="72"/>
    </row>
    <row r="1444" spans="15:22" x14ac:dyDescent="0.25">
      <c r="O1444" s="74"/>
      <c r="P1444" s="74"/>
      <c r="Q1444" s="74"/>
      <c r="R1444" s="74"/>
      <c r="V1444" s="72"/>
    </row>
    <row r="1445" spans="15:22" x14ac:dyDescent="0.25">
      <c r="O1445" s="74"/>
      <c r="P1445" s="74"/>
      <c r="Q1445" s="74"/>
      <c r="R1445" s="74"/>
      <c r="V1445" s="72"/>
    </row>
    <row r="1446" spans="15:22" x14ac:dyDescent="0.25">
      <c r="O1446" s="74"/>
      <c r="P1446" s="74"/>
      <c r="Q1446" s="74"/>
      <c r="R1446" s="74"/>
      <c r="V1446" s="72"/>
    </row>
    <row r="1447" spans="15:22" x14ac:dyDescent="0.25">
      <c r="O1447" s="74"/>
      <c r="P1447" s="74"/>
      <c r="Q1447" s="74"/>
      <c r="R1447" s="74"/>
      <c r="V1447" s="72"/>
    </row>
    <row r="1448" spans="15:22" x14ac:dyDescent="0.25">
      <c r="O1448" s="74"/>
      <c r="P1448" s="74"/>
      <c r="Q1448" s="74"/>
      <c r="R1448" s="74"/>
      <c r="V1448" s="72"/>
    </row>
    <row r="1449" spans="15:22" x14ac:dyDescent="0.25">
      <c r="O1449" s="74"/>
      <c r="P1449" s="74"/>
      <c r="Q1449" s="74"/>
      <c r="R1449" s="74"/>
      <c r="V1449" s="72"/>
    </row>
    <row r="1450" spans="15:22" x14ac:dyDescent="0.25">
      <c r="O1450" s="74"/>
      <c r="P1450" s="74"/>
      <c r="Q1450" s="74"/>
      <c r="R1450" s="74"/>
      <c r="V1450" s="72"/>
    </row>
    <row r="1451" spans="15:22" x14ac:dyDescent="0.25">
      <c r="O1451" s="74"/>
      <c r="P1451" s="74"/>
      <c r="Q1451" s="74"/>
      <c r="R1451" s="74"/>
      <c r="V1451" s="72"/>
    </row>
    <row r="1452" spans="15:22" x14ac:dyDescent="0.25">
      <c r="O1452" s="74"/>
      <c r="P1452" s="74"/>
      <c r="Q1452" s="74"/>
      <c r="R1452" s="74"/>
      <c r="V1452" s="72"/>
    </row>
    <row r="1453" spans="15:22" x14ac:dyDescent="0.25">
      <c r="O1453" s="74"/>
      <c r="P1453" s="74"/>
      <c r="Q1453" s="74"/>
      <c r="R1453" s="74"/>
      <c r="V1453" s="72"/>
    </row>
    <row r="1454" spans="15:22" x14ac:dyDescent="0.25">
      <c r="O1454" s="74"/>
      <c r="P1454" s="74"/>
      <c r="Q1454" s="74"/>
      <c r="R1454" s="74"/>
      <c r="V1454" s="72"/>
    </row>
    <row r="1455" spans="15:22" x14ac:dyDescent="0.25">
      <c r="O1455" s="74"/>
      <c r="P1455" s="74"/>
      <c r="Q1455" s="74"/>
      <c r="R1455" s="74"/>
      <c r="V1455" s="72"/>
    </row>
    <row r="1456" spans="15:22" x14ac:dyDescent="0.25">
      <c r="O1456" s="74"/>
      <c r="P1456" s="74"/>
      <c r="Q1456" s="74"/>
      <c r="R1456" s="74"/>
      <c r="V1456" s="72"/>
    </row>
    <row r="1457" spans="15:22" x14ac:dyDescent="0.25">
      <c r="O1457" s="74"/>
      <c r="P1457" s="74"/>
      <c r="Q1457" s="74"/>
      <c r="R1457" s="74"/>
      <c r="V1457" s="72"/>
    </row>
    <row r="1458" spans="15:22" x14ac:dyDescent="0.25">
      <c r="O1458" s="74"/>
      <c r="P1458" s="74"/>
      <c r="Q1458" s="74"/>
      <c r="R1458" s="74"/>
      <c r="V1458" s="72"/>
    </row>
    <row r="1459" spans="15:22" x14ac:dyDescent="0.25">
      <c r="O1459" s="74"/>
      <c r="P1459" s="74"/>
      <c r="Q1459" s="74"/>
      <c r="R1459" s="74"/>
      <c r="V1459" s="72"/>
    </row>
    <row r="1460" spans="15:22" x14ac:dyDescent="0.25">
      <c r="O1460" s="74"/>
      <c r="P1460" s="74"/>
      <c r="Q1460" s="74"/>
      <c r="R1460" s="74"/>
      <c r="V1460" s="72"/>
    </row>
    <row r="1461" spans="15:22" x14ac:dyDescent="0.25">
      <c r="O1461" s="74"/>
      <c r="P1461" s="74"/>
      <c r="Q1461" s="74"/>
      <c r="R1461" s="74"/>
      <c r="V1461" s="72"/>
    </row>
    <row r="1462" spans="15:22" x14ac:dyDescent="0.25">
      <c r="O1462" s="74"/>
      <c r="P1462" s="74"/>
      <c r="Q1462" s="74"/>
      <c r="R1462" s="74"/>
      <c r="V1462" s="72"/>
    </row>
    <row r="1463" spans="15:22" x14ac:dyDescent="0.25">
      <c r="O1463" s="74"/>
      <c r="P1463" s="74"/>
      <c r="Q1463" s="74"/>
      <c r="R1463" s="74"/>
      <c r="V1463" s="72"/>
    </row>
    <row r="1464" spans="15:22" x14ac:dyDescent="0.25">
      <c r="O1464" s="74"/>
      <c r="P1464" s="74"/>
      <c r="Q1464" s="74"/>
      <c r="R1464" s="74"/>
      <c r="V1464" s="72"/>
    </row>
    <row r="1465" spans="15:22" x14ac:dyDescent="0.25">
      <c r="O1465" s="74"/>
      <c r="P1465" s="74"/>
      <c r="Q1465" s="74"/>
      <c r="R1465" s="74"/>
      <c r="V1465" s="72"/>
    </row>
    <row r="1466" spans="15:22" x14ac:dyDescent="0.25">
      <c r="O1466" s="74"/>
      <c r="P1466" s="74"/>
      <c r="Q1466" s="74"/>
      <c r="R1466" s="74"/>
      <c r="V1466" s="72"/>
    </row>
    <row r="1467" spans="15:22" x14ac:dyDescent="0.25">
      <c r="O1467" s="74"/>
      <c r="P1467" s="74"/>
      <c r="Q1467" s="74"/>
      <c r="R1467" s="74"/>
      <c r="V1467" s="72"/>
    </row>
    <row r="1468" spans="15:22" x14ac:dyDescent="0.25">
      <c r="O1468" s="74"/>
      <c r="P1468" s="74"/>
      <c r="Q1468" s="74"/>
      <c r="R1468" s="74"/>
      <c r="V1468" s="72"/>
    </row>
    <row r="1469" spans="15:22" x14ac:dyDescent="0.25">
      <c r="O1469" s="74"/>
      <c r="P1469" s="74"/>
      <c r="Q1469" s="74"/>
      <c r="R1469" s="74"/>
      <c r="V1469" s="72"/>
    </row>
    <row r="1470" spans="15:22" x14ac:dyDescent="0.25">
      <c r="O1470" s="74"/>
      <c r="P1470" s="74"/>
      <c r="Q1470" s="74"/>
      <c r="R1470" s="74"/>
      <c r="V1470" s="72"/>
    </row>
    <row r="1471" spans="15:22" x14ac:dyDescent="0.25">
      <c r="O1471" s="74"/>
      <c r="P1471" s="74"/>
      <c r="Q1471" s="74"/>
      <c r="R1471" s="74"/>
      <c r="V1471" s="72"/>
    </row>
    <row r="1472" spans="15:22" x14ac:dyDescent="0.25">
      <c r="O1472" s="74"/>
      <c r="P1472" s="74"/>
      <c r="Q1472" s="74"/>
      <c r="R1472" s="74"/>
      <c r="V1472" s="72"/>
    </row>
    <row r="1473" spans="15:22" x14ac:dyDescent="0.25">
      <c r="O1473" s="74"/>
      <c r="P1473" s="74"/>
      <c r="Q1473" s="74"/>
      <c r="R1473" s="74"/>
      <c r="V1473" s="72"/>
    </row>
    <row r="1474" spans="15:22" x14ac:dyDescent="0.25">
      <c r="O1474" s="74"/>
      <c r="P1474" s="74"/>
      <c r="Q1474" s="74"/>
      <c r="R1474" s="74"/>
      <c r="V1474" s="72"/>
    </row>
    <row r="1475" spans="15:22" x14ac:dyDescent="0.25">
      <c r="O1475" s="74"/>
      <c r="P1475" s="74"/>
      <c r="Q1475" s="74"/>
      <c r="R1475" s="74"/>
      <c r="V1475" s="72"/>
    </row>
    <row r="1476" spans="15:22" x14ac:dyDescent="0.25">
      <c r="O1476" s="74"/>
      <c r="P1476" s="74"/>
      <c r="Q1476" s="74"/>
      <c r="R1476" s="74"/>
      <c r="V1476" s="72"/>
    </row>
    <row r="1477" spans="15:22" x14ac:dyDescent="0.25">
      <c r="O1477" s="74"/>
      <c r="P1477" s="74"/>
      <c r="Q1477" s="74"/>
      <c r="R1477" s="74"/>
      <c r="V1477" s="72"/>
    </row>
    <row r="1478" spans="15:22" x14ac:dyDescent="0.25">
      <c r="O1478" s="74"/>
      <c r="P1478" s="74"/>
      <c r="Q1478" s="74"/>
      <c r="R1478" s="74"/>
      <c r="V1478" s="72"/>
    </row>
    <row r="1479" spans="15:22" x14ac:dyDescent="0.25">
      <c r="O1479" s="74"/>
      <c r="P1479" s="74"/>
      <c r="Q1479" s="74"/>
      <c r="R1479" s="74"/>
      <c r="V1479" s="72"/>
    </row>
    <row r="1480" spans="15:22" x14ac:dyDescent="0.25">
      <c r="O1480" s="74"/>
      <c r="P1480" s="74"/>
      <c r="Q1480" s="74"/>
      <c r="R1480" s="74"/>
      <c r="V1480" s="72"/>
    </row>
    <row r="1481" spans="15:22" x14ac:dyDescent="0.25">
      <c r="O1481" s="74"/>
      <c r="P1481" s="74"/>
      <c r="Q1481" s="74"/>
      <c r="R1481" s="74"/>
      <c r="V1481" s="72"/>
    </row>
    <row r="1482" spans="15:22" x14ac:dyDescent="0.25">
      <c r="O1482" s="74"/>
      <c r="P1482" s="74"/>
      <c r="Q1482" s="74"/>
      <c r="R1482" s="74"/>
      <c r="V1482" s="72"/>
    </row>
    <row r="1483" spans="15:22" x14ac:dyDescent="0.25">
      <c r="O1483" s="74"/>
      <c r="P1483" s="74"/>
      <c r="Q1483" s="74"/>
      <c r="R1483" s="74"/>
      <c r="V1483" s="72"/>
    </row>
    <row r="1484" spans="15:22" x14ac:dyDescent="0.25">
      <c r="O1484" s="74"/>
      <c r="P1484" s="74"/>
      <c r="Q1484" s="74"/>
      <c r="R1484" s="74"/>
      <c r="V1484" s="72"/>
    </row>
    <row r="1485" spans="15:22" x14ac:dyDescent="0.25">
      <c r="O1485" s="74"/>
      <c r="P1485" s="74"/>
      <c r="Q1485" s="74"/>
      <c r="R1485" s="74"/>
      <c r="V1485" s="72"/>
    </row>
    <row r="1486" spans="15:22" x14ac:dyDescent="0.25">
      <c r="O1486" s="74"/>
      <c r="P1486" s="74"/>
      <c r="Q1486" s="74"/>
      <c r="R1486" s="74"/>
      <c r="V1486" s="72"/>
    </row>
    <row r="1487" spans="15:22" x14ac:dyDescent="0.25">
      <c r="O1487" s="74"/>
      <c r="P1487" s="74"/>
      <c r="Q1487" s="74"/>
      <c r="R1487" s="74"/>
      <c r="V1487" s="72"/>
    </row>
    <row r="1488" spans="15:22" x14ac:dyDescent="0.25">
      <c r="O1488" s="74"/>
      <c r="P1488" s="74"/>
      <c r="Q1488" s="74"/>
      <c r="R1488" s="74"/>
      <c r="V1488" s="72"/>
    </row>
    <row r="1489" spans="15:22" x14ac:dyDescent="0.25">
      <c r="O1489" s="74"/>
      <c r="P1489" s="74"/>
      <c r="Q1489" s="74"/>
      <c r="R1489" s="74"/>
      <c r="V1489" s="72"/>
    </row>
    <row r="1490" spans="15:22" x14ac:dyDescent="0.25">
      <c r="O1490" s="74"/>
      <c r="P1490" s="74"/>
      <c r="Q1490" s="74"/>
      <c r="R1490" s="74"/>
      <c r="V1490" s="72"/>
    </row>
    <row r="1491" spans="15:22" x14ac:dyDescent="0.25">
      <c r="O1491" s="74"/>
      <c r="P1491" s="74"/>
      <c r="Q1491" s="74"/>
      <c r="R1491" s="74"/>
      <c r="V1491" s="72"/>
    </row>
    <row r="1492" spans="15:22" x14ac:dyDescent="0.25">
      <c r="O1492" s="74"/>
      <c r="P1492" s="74"/>
      <c r="Q1492" s="74"/>
      <c r="R1492" s="74"/>
      <c r="V1492" s="72"/>
    </row>
    <row r="1493" spans="15:22" x14ac:dyDescent="0.25">
      <c r="O1493" s="74"/>
      <c r="P1493" s="74"/>
      <c r="Q1493" s="74"/>
      <c r="R1493" s="74"/>
      <c r="V1493" s="72"/>
    </row>
    <row r="1494" spans="15:22" x14ac:dyDescent="0.25">
      <c r="O1494" s="74"/>
      <c r="P1494" s="74"/>
      <c r="Q1494" s="74"/>
      <c r="R1494" s="74"/>
      <c r="V1494" s="72"/>
    </row>
    <row r="1495" spans="15:22" x14ac:dyDescent="0.25">
      <c r="O1495" s="74"/>
      <c r="P1495" s="74"/>
      <c r="Q1495" s="74"/>
      <c r="R1495" s="74"/>
      <c r="V1495" s="72"/>
    </row>
    <row r="1496" spans="15:22" x14ac:dyDescent="0.25">
      <c r="O1496" s="74"/>
      <c r="P1496" s="74"/>
      <c r="Q1496" s="74"/>
      <c r="R1496" s="74"/>
      <c r="V1496" s="72"/>
    </row>
    <row r="1497" spans="15:22" x14ac:dyDescent="0.25">
      <c r="O1497" s="74"/>
      <c r="P1497" s="74"/>
      <c r="Q1497" s="74"/>
      <c r="R1497" s="74"/>
      <c r="V1497" s="72"/>
    </row>
    <row r="1498" spans="15:22" x14ac:dyDescent="0.25">
      <c r="O1498" s="74"/>
      <c r="P1498" s="74"/>
      <c r="Q1498" s="74"/>
      <c r="R1498" s="74"/>
      <c r="V1498" s="72"/>
    </row>
    <row r="1499" spans="15:22" x14ac:dyDescent="0.25">
      <c r="O1499" s="74"/>
      <c r="P1499" s="74"/>
      <c r="Q1499" s="74"/>
      <c r="R1499" s="74"/>
      <c r="V1499" s="72"/>
    </row>
    <row r="1500" spans="15:22" x14ac:dyDescent="0.25">
      <c r="O1500" s="74"/>
      <c r="P1500" s="74"/>
      <c r="Q1500" s="74"/>
      <c r="R1500" s="74"/>
      <c r="V1500" s="72"/>
    </row>
    <row r="1501" spans="15:22" x14ac:dyDescent="0.25">
      <c r="O1501" s="74"/>
      <c r="P1501" s="74"/>
      <c r="Q1501" s="74"/>
      <c r="R1501" s="74"/>
      <c r="V1501" s="72"/>
    </row>
    <row r="1502" spans="15:22" x14ac:dyDescent="0.25">
      <c r="O1502" s="74"/>
      <c r="P1502" s="74"/>
      <c r="Q1502" s="74"/>
      <c r="R1502" s="74"/>
      <c r="V1502" s="72"/>
    </row>
    <row r="1503" spans="15:22" x14ac:dyDescent="0.25">
      <c r="O1503" s="74"/>
      <c r="P1503" s="74"/>
      <c r="Q1503" s="74"/>
      <c r="R1503" s="74"/>
      <c r="V1503" s="72"/>
    </row>
    <row r="1504" spans="15:22" x14ac:dyDescent="0.25">
      <c r="O1504" s="74"/>
      <c r="P1504" s="74"/>
      <c r="Q1504" s="74"/>
      <c r="R1504" s="74"/>
      <c r="V1504" s="72"/>
    </row>
    <row r="1505" spans="15:22" x14ac:dyDescent="0.25">
      <c r="O1505" s="74"/>
      <c r="P1505" s="74"/>
      <c r="Q1505" s="74"/>
      <c r="R1505" s="74"/>
      <c r="V1505" s="72"/>
    </row>
    <row r="1506" spans="15:22" x14ac:dyDescent="0.25">
      <c r="O1506" s="74"/>
      <c r="P1506" s="74"/>
      <c r="Q1506" s="74"/>
      <c r="R1506" s="74"/>
      <c r="V1506" s="72"/>
    </row>
    <row r="1507" spans="15:22" x14ac:dyDescent="0.25">
      <c r="O1507" s="74"/>
      <c r="P1507" s="74"/>
      <c r="Q1507" s="74"/>
      <c r="R1507" s="74"/>
      <c r="V1507" s="72"/>
    </row>
    <row r="1508" spans="15:22" x14ac:dyDescent="0.25">
      <c r="O1508" s="74"/>
      <c r="P1508" s="74"/>
      <c r="Q1508" s="74"/>
      <c r="R1508" s="74"/>
      <c r="V1508" s="72"/>
    </row>
    <row r="1509" spans="15:22" x14ac:dyDescent="0.25">
      <c r="O1509" s="74"/>
      <c r="P1509" s="74"/>
      <c r="Q1509" s="74"/>
      <c r="R1509" s="74"/>
      <c r="V1509" s="72"/>
    </row>
    <row r="1510" spans="15:22" x14ac:dyDescent="0.25">
      <c r="O1510" s="74"/>
      <c r="P1510" s="74"/>
      <c r="Q1510" s="74"/>
      <c r="R1510" s="74"/>
      <c r="V1510" s="72"/>
    </row>
    <row r="1511" spans="15:22" x14ac:dyDescent="0.25">
      <c r="O1511" s="74"/>
      <c r="P1511" s="74"/>
      <c r="Q1511" s="74"/>
      <c r="R1511" s="74"/>
      <c r="V1511" s="72"/>
    </row>
    <row r="1512" spans="15:22" x14ac:dyDescent="0.25">
      <c r="O1512" s="74"/>
      <c r="P1512" s="74"/>
      <c r="Q1512" s="74"/>
      <c r="R1512" s="74"/>
      <c r="V1512" s="72"/>
    </row>
    <row r="1513" spans="15:22" x14ac:dyDescent="0.25">
      <c r="O1513" s="74"/>
      <c r="P1513" s="74"/>
      <c r="Q1513" s="74"/>
      <c r="R1513" s="74"/>
      <c r="V1513" s="72"/>
    </row>
    <row r="1514" spans="15:22" x14ac:dyDescent="0.25">
      <c r="O1514" s="74"/>
      <c r="P1514" s="74"/>
      <c r="Q1514" s="74"/>
      <c r="R1514" s="74"/>
      <c r="V1514" s="72"/>
    </row>
    <row r="1515" spans="15:22" x14ac:dyDescent="0.25">
      <c r="O1515" s="74"/>
      <c r="P1515" s="74"/>
      <c r="Q1515" s="74"/>
      <c r="R1515" s="74"/>
      <c r="V1515" s="72"/>
    </row>
    <row r="1516" spans="15:22" x14ac:dyDescent="0.25">
      <c r="O1516" s="74"/>
      <c r="P1516" s="74"/>
      <c r="Q1516" s="74"/>
      <c r="R1516" s="74"/>
      <c r="V1516" s="72"/>
    </row>
    <row r="1517" spans="15:22" x14ac:dyDescent="0.25">
      <c r="O1517" s="74"/>
      <c r="P1517" s="74"/>
      <c r="Q1517" s="74"/>
      <c r="R1517" s="74"/>
      <c r="V1517" s="72"/>
    </row>
    <row r="1518" spans="15:22" x14ac:dyDescent="0.25">
      <c r="O1518" s="74"/>
      <c r="P1518" s="74"/>
      <c r="Q1518" s="74"/>
      <c r="R1518" s="74"/>
      <c r="V1518" s="72"/>
    </row>
    <row r="1519" spans="15:22" x14ac:dyDescent="0.25">
      <c r="O1519" s="74"/>
      <c r="P1519" s="74"/>
      <c r="Q1519" s="74"/>
      <c r="R1519" s="74"/>
      <c r="V1519" s="72"/>
    </row>
    <row r="1520" spans="15:22" x14ac:dyDescent="0.25">
      <c r="O1520" s="74"/>
      <c r="P1520" s="74"/>
      <c r="Q1520" s="74"/>
      <c r="R1520" s="74"/>
      <c r="V1520" s="72"/>
    </row>
    <row r="1521" spans="15:22" x14ac:dyDescent="0.25">
      <c r="O1521" s="74"/>
      <c r="P1521" s="74"/>
      <c r="Q1521" s="74"/>
      <c r="R1521" s="74"/>
      <c r="V1521" s="72"/>
    </row>
    <row r="1522" spans="15:22" x14ac:dyDescent="0.25">
      <c r="O1522" s="74"/>
      <c r="P1522" s="74"/>
      <c r="Q1522" s="74"/>
      <c r="R1522" s="74"/>
      <c r="V1522" s="72"/>
    </row>
    <row r="1523" spans="15:22" x14ac:dyDescent="0.25">
      <c r="O1523" s="74"/>
      <c r="P1523" s="74"/>
      <c r="Q1523" s="74"/>
      <c r="R1523" s="74"/>
      <c r="V1523" s="72"/>
    </row>
    <row r="1524" spans="15:22" x14ac:dyDescent="0.25">
      <c r="O1524" s="74"/>
      <c r="P1524" s="74"/>
      <c r="Q1524" s="74"/>
      <c r="R1524" s="74"/>
      <c r="V1524" s="72"/>
    </row>
    <row r="1525" spans="15:22" x14ac:dyDescent="0.25">
      <c r="O1525" s="74"/>
      <c r="P1525" s="74"/>
      <c r="Q1525" s="74"/>
      <c r="R1525" s="74"/>
      <c r="V1525" s="72"/>
    </row>
    <row r="1526" spans="15:22" x14ac:dyDescent="0.25">
      <c r="O1526" s="74"/>
      <c r="P1526" s="74"/>
      <c r="Q1526" s="74"/>
      <c r="R1526" s="74"/>
      <c r="V1526" s="72"/>
    </row>
    <row r="1527" spans="15:22" x14ac:dyDescent="0.25">
      <c r="O1527" s="74"/>
      <c r="P1527" s="74"/>
      <c r="Q1527" s="74"/>
      <c r="R1527" s="74"/>
      <c r="V1527" s="72"/>
    </row>
    <row r="1528" spans="15:22" x14ac:dyDescent="0.25">
      <c r="O1528" s="74"/>
      <c r="P1528" s="74"/>
      <c r="Q1528" s="74"/>
      <c r="R1528" s="74"/>
      <c r="V1528" s="72"/>
    </row>
    <row r="1529" spans="15:22" x14ac:dyDescent="0.25">
      <c r="O1529" s="74"/>
      <c r="P1529" s="74"/>
      <c r="Q1529" s="74"/>
      <c r="R1529" s="74"/>
      <c r="V1529" s="72"/>
    </row>
    <row r="1530" spans="15:22" x14ac:dyDescent="0.25">
      <c r="O1530" s="74"/>
      <c r="P1530" s="74"/>
      <c r="Q1530" s="74"/>
      <c r="R1530" s="74"/>
      <c r="V1530" s="72"/>
    </row>
    <row r="1531" spans="15:22" x14ac:dyDescent="0.25">
      <c r="O1531" s="74"/>
      <c r="P1531" s="74"/>
      <c r="Q1531" s="74"/>
      <c r="R1531" s="74"/>
      <c r="V1531" s="72"/>
    </row>
    <row r="1532" spans="15:22" x14ac:dyDescent="0.25">
      <c r="O1532" s="74"/>
      <c r="P1532" s="74"/>
      <c r="Q1532" s="74"/>
      <c r="R1532" s="74"/>
      <c r="V1532" s="72"/>
    </row>
    <row r="1533" spans="15:22" x14ac:dyDescent="0.25">
      <c r="O1533" s="74"/>
      <c r="P1533" s="74"/>
      <c r="Q1533" s="74"/>
      <c r="R1533" s="74"/>
      <c r="V1533" s="72"/>
    </row>
    <row r="1534" spans="15:22" x14ac:dyDescent="0.25">
      <c r="O1534" s="74"/>
      <c r="P1534" s="74"/>
      <c r="Q1534" s="74"/>
      <c r="R1534" s="74"/>
      <c r="V1534" s="72"/>
    </row>
    <row r="1535" spans="15:22" x14ac:dyDescent="0.25">
      <c r="O1535" s="74"/>
      <c r="P1535" s="74"/>
      <c r="Q1535" s="74"/>
      <c r="R1535" s="74"/>
      <c r="V1535" s="72"/>
    </row>
    <row r="1536" spans="15:22" x14ac:dyDescent="0.25">
      <c r="O1536" s="74"/>
      <c r="P1536" s="74"/>
      <c r="Q1536" s="74"/>
      <c r="R1536" s="74"/>
      <c r="V1536" s="72"/>
    </row>
    <row r="1537" spans="15:22" x14ac:dyDescent="0.25">
      <c r="O1537" s="74"/>
      <c r="P1537" s="74"/>
      <c r="Q1537" s="74"/>
      <c r="R1537" s="74"/>
      <c r="V1537" s="72"/>
    </row>
    <row r="1538" spans="15:22" x14ac:dyDescent="0.25">
      <c r="O1538" s="74"/>
      <c r="P1538" s="74"/>
      <c r="Q1538" s="74"/>
      <c r="R1538" s="74"/>
      <c r="V1538" s="72"/>
    </row>
    <row r="1539" spans="15:22" x14ac:dyDescent="0.25">
      <c r="O1539" s="74"/>
      <c r="P1539" s="74"/>
      <c r="Q1539" s="74"/>
      <c r="R1539" s="74"/>
      <c r="V1539" s="72"/>
    </row>
    <row r="1540" spans="15:22" x14ac:dyDescent="0.25">
      <c r="O1540" s="74"/>
      <c r="P1540" s="74"/>
      <c r="Q1540" s="74"/>
      <c r="R1540" s="74"/>
      <c r="V1540" s="72"/>
    </row>
    <row r="1541" spans="15:22" x14ac:dyDescent="0.25">
      <c r="O1541" s="74"/>
      <c r="P1541" s="74"/>
      <c r="Q1541" s="74"/>
      <c r="R1541" s="74"/>
      <c r="V1541" s="72"/>
    </row>
    <row r="1542" spans="15:22" x14ac:dyDescent="0.25">
      <c r="O1542" s="74"/>
      <c r="P1542" s="74"/>
      <c r="Q1542" s="74"/>
      <c r="R1542" s="74"/>
      <c r="V1542" s="72"/>
    </row>
    <row r="1543" spans="15:22" x14ac:dyDescent="0.25">
      <c r="O1543" s="74"/>
      <c r="P1543" s="74"/>
      <c r="Q1543" s="74"/>
      <c r="R1543" s="74"/>
      <c r="V1543" s="72"/>
    </row>
    <row r="1544" spans="15:22" x14ac:dyDescent="0.25">
      <c r="O1544" s="74"/>
      <c r="P1544" s="74"/>
      <c r="Q1544" s="74"/>
      <c r="R1544" s="74"/>
      <c r="V1544" s="72"/>
    </row>
    <row r="1545" spans="15:22" x14ac:dyDescent="0.25">
      <c r="O1545" s="74"/>
      <c r="P1545" s="74"/>
      <c r="Q1545" s="74"/>
      <c r="R1545" s="74"/>
      <c r="V1545" s="72"/>
    </row>
    <row r="1546" spans="15:22" x14ac:dyDescent="0.25">
      <c r="O1546" s="74"/>
      <c r="P1546" s="74"/>
      <c r="Q1546" s="74"/>
      <c r="R1546" s="74"/>
      <c r="V1546" s="72"/>
    </row>
    <row r="1547" spans="15:22" x14ac:dyDescent="0.25">
      <c r="O1547" s="74"/>
      <c r="P1547" s="74"/>
      <c r="Q1547" s="74"/>
      <c r="R1547" s="74"/>
      <c r="V1547" s="72"/>
    </row>
    <row r="1548" spans="15:22" x14ac:dyDescent="0.25">
      <c r="O1548" s="74"/>
      <c r="P1548" s="74"/>
      <c r="Q1548" s="74"/>
      <c r="R1548" s="74"/>
      <c r="V1548" s="72"/>
    </row>
    <row r="1549" spans="15:22" x14ac:dyDescent="0.25">
      <c r="O1549" s="74"/>
      <c r="P1549" s="74"/>
      <c r="Q1549" s="74"/>
      <c r="R1549" s="74"/>
      <c r="V1549" s="72"/>
    </row>
    <row r="1550" spans="15:22" x14ac:dyDescent="0.25">
      <c r="O1550" s="74"/>
      <c r="P1550" s="74"/>
      <c r="Q1550" s="74"/>
      <c r="R1550" s="74"/>
      <c r="V1550" s="72"/>
    </row>
    <row r="1551" spans="15:22" x14ac:dyDescent="0.25">
      <c r="O1551" s="74"/>
      <c r="P1551" s="74"/>
      <c r="Q1551" s="74"/>
      <c r="R1551" s="74"/>
      <c r="V1551" s="72"/>
    </row>
    <row r="1552" spans="15:22" x14ac:dyDescent="0.25">
      <c r="O1552" s="74"/>
      <c r="P1552" s="74"/>
      <c r="Q1552" s="74"/>
      <c r="R1552" s="74"/>
      <c r="V1552" s="72"/>
    </row>
    <row r="1553" spans="15:22" x14ac:dyDescent="0.25">
      <c r="O1553" s="74"/>
      <c r="P1553" s="74"/>
      <c r="Q1553" s="74"/>
      <c r="R1553" s="74"/>
      <c r="V1553" s="72"/>
    </row>
    <row r="1554" spans="15:22" x14ac:dyDescent="0.25">
      <c r="O1554" s="74"/>
      <c r="P1554" s="74"/>
      <c r="Q1554" s="74"/>
      <c r="R1554" s="74"/>
      <c r="V1554" s="72"/>
    </row>
    <row r="1555" spans="15:22" x14ac:dyDescent="0.25">
      <c r="O1555" s="74"/>
      <c r="P1555" s="74"/>
      <c r="Q1555" s="74"/>
      <c r="R1555" s="74"/>
      <c r="V1555" s="72"/>
    </row>
    <row r="1556" spans="15:22" x14ac:dyDescent="0.25">
      <c r="O1556" s="74"/>
      <c r="P1556" s="74"/>
      <c r="Q1556" s="74"/>
      <c r="R1556" s="74"/>
      <c r="V1556" s="72"/>
    </row>
    <row r="1557" spans="15:22" x14ac:dyDescent="0.25">
      <c r="O1557" s="74"/>
      <c r="P1557" s="74"/>
      <c r="Q1557" s="74"/>
      <c r="R1557" s="74"/>
      <c r="V1557" s="72"/>
    </row>
    <row r="1558" spans="15:22" x14ac:dyDescent="0.25">
      <c r="O1558" s="74"/>
      <c r="P1558" s="74"/>
      <c r="Q1558" s="74"/>
      <c r="R1558" s="74"/>
      <c r="V1558" s="72"/>
    </row>
    <row r="1559" spans="15:22" x14ac:dyDescent="0.25">
      <c r="O1559" s="74"/>
      <c r="P1559" s="74"/>
      <c r="Q1559" s="74"/>
      <c r="R1559" s="74"/>
      <c r="V1559" s="72"/>
    </row>
    <row r="1560" spans="15:22" x14ac:dyDescent="0.25">
      <c r="O1560" s="74"/>
      <c r="P1560" s="74"/>
      <c r="Q1560" s="74"/>
      <c r="R1560" s="74"/>
      <c r="V1560" s="72"/>
    </row>
    <row r="1561" spans="15:22" x14ac:dyDescent="0.25">
      <c r="O1561" s="74"/>
      <c r="P1561" s="74"/>
      <c r="Q1561" s="74"/>
      <c r="R1561" s="74"/>
      <c r="V1561" s="72"/>
    </row>
    <row r="1562" spans="15:22" x14ac:dyDescent="0.25">
      <c r="O1562" s="74"/>
      <c r="P1562" s="74"/>
      <c r="Q1562" s="74"/>
      <c r="R1562" s="74"/>
      <c r="V1562" s="72"/>
    </row>
    <row r="1563" spans="15:22" x14ac:dyDescent="0.25">
      <c r="O1563" s="74"/>
      <c r="P1563" s="74"/>
      <c r="Q1563" s="74"/>
      <c r="R1563" s="74"/>
      <c r="V1563" s="72"/>
    </row>
    <row r="1564" spans="15:22" x14ac:dyDescent="0.25">
      <c r="O1564" s="74"/>
      <c r="P1564" s="74"/>
      <c r="Q1564" s="74"/>
      <c r="R1564" s="74"/>
      <c r="V1564" s="72"/>
    </row>
    <row r="1565" spans="15:22" x14ac:dyDescent="0.25">
      <c r="O1565" s="74"/>
      <c r="P1565" s="74"/>
      <c r="Q1565" s="74"/>
      <c r="R1565" s="74"/>
      <c r="V1565" s="72"/>
    </row>
    <row r="1566" spans="15:22" x14ac:dyDescent="0.25">
      <c r="O1566" s="74"/>
      <c r="P1566" s="74"/>
      <c r="Q1566" s="74"/>
      <c r="R1566" s="74"/>
      <c r="V1566" s="72"/>
    </row>
    <row r="1567" spans="15:22" x14ac:dyDescent="0.25">
      <c r="O1567" s="74"/>
      <c r="P1567" s="74"/>
      <c r="Q1567" s="74"/>
      <c r="R1567" s="74"/>
      <c r="V1567" s="72"/>
    </row>
    <row r="1568" spans="15:22" x14ac:dyDescent="0.25">
      <c r="O1568" s="74"/>
      <c r="P1568" s="74"/>
      <c r="Q1568" s="74"/>
      <c r="R1568" s="74"/>
      <c r="V1568" s="72"/>
    </row>
    <row r="1569" spans="15:22" x14ac:dyDescent="0.25">
      <c r="O1569" s="74"/>
      <c r="P1569" s="74"/>
      <c r="Q1569" s="74"/>
      <c r="R1569" s="74"/>
      <c r="V1569" s="72"/>
    </row>
    <row r="1570" spans="15:22" x14ac:dyDescent="0.25">
      <c r="O1570" s="74"/>
      <c r="P1570" s="74"/>
      <c r="Q1570" s="74"/>
      <c r="R1570" s="74"/>
      <c r="V1570" s="72"/>
    </row>
    <row r="1571" spans="15:22" x14ac:dyDescent="0.25">
      <c r="O1571" s="74"/>
      <c r="P1571" s="74"/>
      <c r="Q1571" s="74"/>
      <c r="R1571" s="74"/>
      <c r="V1571" s="72"/>
    </row>
    <row r="1572" spans="15:22" x14ac:dyDescent="0.25">
      <c r="O1572" s="74"/>
      <c r="P1572" s="74"/>
      <c r="Q1572" s="74"/>
      <c r="R1572" s="74"/>
      <c r="V1572" s="72"/>
    </row>
    <row r="1573" spans="15:22" x14ac:dyDescent="0.25">
      <c r="O1573" s="74"/>
      <c r="P1573" s="74"/>
      <c r="Q1573" s="74"/>
      <c r="R1573" s="74"/>
      <c r="V1573" s="72"/>
    </row>
    <row r="1574" spans="15:22" x14ac:dyDescent="0.25">
      <c r="O1574" s="74"/>
      <c r="P1574" s="74"/>
      <c r="Q1574" s="74"/>
      <c r="R1574" s="74"/>
      <c r="V1574" s="72"/>
    </row>
    <row r="1575" spans="15:22" x14ac:dyDescent="0.25">
      <c r="O1575" s="74"/>
      <c r="P1575" s="74"/>
      <c r="Q1575" s="74"/>
      <c r="R1575" s="74"/>
      <c r="V1575" s="72"/>
    </row>
    <row r="1576" spans="15:22" x14ac:dyDescent="0.25">
      <c r="O1576" s="74"/>
      <c r="P1576" s="74"/>
      <c r="Q1576" s="74"/>
      <c r="R1576" s="74"/>
      <c r="V1576" s="72"/>
    </row>
    <row r="1577" spans="15:22" x14ac:dyDescent="0.25">
      <c r="O1577" s="74"/>
      <c r="P1577" s="74"/>
      <c r="Q1577" s="74"/>
      <c r="R1577" s="74"/>
      <c r="V1577" s="72"/>
    </row>
    <row r="1578" spans="15:22" x14ac:dyDescent="0.25">
      <c r="O1578" s="74"/>
      <c r="P1578" s="74"/>
      <c r="Q1578" s="74"/>
      <c r="R1578" s="74"/>
      <c r="V1578" s="72"/>
    </row>
    <row r="1579" spans="15:22" x14ac:dyDescent="0.25">
      <c r="O1579" s="74"/>
      <c r="P1579" s="74"/>
      <c r="Q1579" s="74"/>
      <c r="R1579" s="74"/>
      <c r="V1579" s="72"/>
    </row>
    <row r="1580" spans="15:22" x14ac:dyDescent="0.25">
      <c r="O1580" s="74"/>
      <c r="P1580" s="74"/>
      <c r="Q1580" s="74"/>
      <c r="R1580" s="74"/>
      <c r="V1580" s="72"/>
    </row>
    <row r="1581" spans="15:22" x14ac:dyDescent="0.25">
      <c r="O1581" s="74"/>
      <c r="P1581" s="74"/>
      <c r="Q1581" s="74"/>
      <c r="R1581" s="74"/>
      <c r="V1581" s="72"/>
    </row>
    <row r="1582" spans="15:22" x14ac:dyDescent="0.25">
      <c r="O1582" s="74"/>
      <c r="P1582" s="74"/>
      <c r="Q1582" s="74"/>
      <c r="R1582" s="74"/>
      <c r="V1582" s="72"/>
    </row>
    <row r="1583" spans="15:22" x14ac:dyDescent="0.25">
      <c r="O1583" s="74"/>
      <c r="P1583" s="74"/>
      <c r="Q1583" s="74"/>
      <c r="R1583" s="74"/>
      <c r="V1583" s="72"/>
    </row>
    <row r="1584" spans="15:22" x14ac:dyDescent="0.25">
      <c r="O1584" s="74"/>
      <c r="P1584" s="74"/>
      <c r="Q1584" s="74"/>
      <c r="R1584" s="74"/>
      <c r="V1584" s="72"/>
    </row>
    <row r="1585" spans="15:22" x14ac:dyDescent="0.25">
      <c r="O1585" s="74"/>
      <c r="P1585" s="74"/>
      <c r="Q1585" s="74"/>
      <c r="R1585" s="74"/>
      <c r="V1585" s="72"/>
    </row>
    <row r="1586" spans="15:22" x14ac:dyDescent="0.25">
      <c r="O1586" s="74"/>
      <c r="P1586" s="74"/>
      <c r="Q1586" s="74"/>
      <c r="R1586" s="74"/>
      <c r="V1586" s="72"/>
    </row>
    <row r="1587" spans="15:22" x14ac:dyDescent="0.25">
      <c r="O1587" s="74"/>
      <c r="P1587" s="74"/>
      <c r="Q1587" s="74"/>
      <c r="R1587" s="74"/>
      <c r="V1587" s="72"/>
    </row>
    <row r="1588" spans="15:22" x14ac:dyDescent="0.25">
      <c r="O1588" s="74"/>
      <c r="P1588" s="74"/>
      <c r="Q1588" s="74"/>
      <c r="R1588" s="74"/>
      <c r="V1588" s="72"/>
    </row>
    <row r="1589" spans="15:22" x14ac:dyDescent="0.25">
      <c r="O1589" s="74"/>
      <c r="P1589" s="74"/>
      <c r="Q1589" s="74"/>
      <c r="R1589" s="74"/>
      <c r="V1589" s="72"/>
    </row>
    <row r="1590" spans="15:22" x14ac:dyDescent="0.25">
      <c r="O1590" s="74"/>
      <c r="P1590" s="74"/>
      <c r="Q1590" s="74"/>
      <c r="R1590" s="74"/>
      <c r="V1590" s="72"/>
    </row>
    <row r="1591" spans="15:22" x14ac:dyDescent="0.25">
      <c r="O1591" s="74"/>
      <c r="P1591" s="74"/>
      <c r="Q1591" s="74"/>
      <c r="R1591" s="74"/>
      <c r="V1591" s="72"/>
    </row>
    <row r="1592" spans="15:22" x14ac:dyDescent="0.25">
      <c r="O1592" s="74"/>
      <c r="P1592" s="74"/>
      <c r="Q1592" s="74"/>
      <c r="R1592" s="74"/>
      <c r="V1592" s="72"/>
    </row>
    <row r="1593" spans="15:22" x14ac:dyDescent="0.25">
      <c r="O1593" s="74"/>
      <c r="P1593" s="74"/>
      <c r="Q1593" s="74"/>
      <c r="R1593" s="74"/>
      <c r="V1593" s="72"/>
    </row>
    <row r="1594" spans="15:22" x14ac:dyDescent="0.25">
      <c r="O1594" s="74"/>
      <c r="P1594" s="74"/>
      <c r="Q1594" s="74"/>
      <c r="R1594" s="74"/>
      <c r="V1594" s="72"/>
    </row>
    <row r="1595" spans="15:22" x14ac:dyDescent="0.25">
      <c r="O1595" s="74"/>
      <c r="P1595" s="74"/>
      <c r="Q1595" s="74"/>
      <c r="R1595" s="74"/>
      <c r="V1595" s="72"/>
    </row>
    <row r="1596" spans="15:22" x14ac:dyDescent="0.25">
      <c r="O1596" s="74"/>
      <c r="P1596" s="74"/>
      <c r="Q1596" s="74"/>
      <c r="R1596" s="74"/>
      <c r="V1596" s="72"/>
    </row>
    <row r="1597" spans="15:22" x14ac:dyDescent="0.25">
      <c r="O1597" s="74"/>
      <c r="P1597" s="74"/>
      <c r="Q1597" s="74"/>
      <c r="R1597" s="74"/>
      <c r="V1597" s="72"/>
    </row>
    <row r="1598" spans="15:22" x14ac:dyDescent="0.25">
      <c r="O1598" s="74"/>
      <c r="P1598" s="74"/>
      <c r="Q1598" s="74"/>
      <c r="R1598" s="74"/>
      <c r="V1598" s="72"/>
    </row>
    <row r="1599" spans="15:22" x14ac:dyDescent="0.25">
      <c r="O1599" s="74"/>
      <c r="P1599" s="74"/>
      <c r="Q1599" s="74"/>
      <c r="R1599" s="74"/>
      <c r="V1599" s="72"/>
    </row>
    <row r="1600" spans="15:22" x14ac:dyDescent="0.25">
      <c r="O1600" s="74"/>
      <c r="P1600" s="74"/>
      <c r="Q1600" s="74"/>
      <c r="R1600" s="74"/>
      <c r="V1600" s="72"/>
    </row>
    <row r="1601" spans="15:22" x14ac:dyDescent="0.25">
      <c r="O1601" s="74"/>
      <c r="P1601" s="74"/>
      <c r="Q1601" s="74"/>
      <c r="R1601" s="74"/>
      <c r="V1601" s="72"/>
    </row>
    <row r="1602" spans="15:22" x14ac:dyDescent="0.25">
      <c r="O1602" s="74"/>
      <c r="P1602" s="74"/>
      <c r="Q1602" s="74"/>
      <c r="R1602" s="74"/>
      <c r="V1602" s="72"/>
    </row>
    <row r="1603" spans="15:22" x14ac:dyDescent="0.25">
      <c r="O1603" s="74"/>
      <c r="P1603" s="74"/>
      <c r="Q1603" s="74"/>
      <c r="R1603" s="74"/>
      <c r="V1603" s="72"/>
    </row>
    <row r="1604" spans="15:22" x14ac:dyDescent="0.25">
      <c r="O1604" s="74"/>
      <c r="P1604" s="74"/>
      <c r="Q1604" s="74"/>
      <c r="R1604" s="74"/>
      <c r="V1604" s="72"/>
    </row>
    <row r="1605" spans="15:22" x14ac:dyDescent="0.25">
      <c r="O1605" s="74"/>
      <c r="P1605" s="74"/>
      <c r="Q1605" s="74"/>
      <c r="R1605" s="74"/>
      <c r="V1605" s="72"/>
    </row>
    <row r="1606" spans="15:22" x14ac:dyDescent="0.25">
      <c r="O1606" s="74"/>
      <c r="P1606" s="74"/>
      <c r="Q1606" s="74"/>
      <c r="R1606" s="74"/>
      <c r="V1606" s="72"/>
    </row>
    <row r="1607" spans="15:22" x14ac:dyDescent="0.25">
      <c r="O1607" s="74"/>
      <c r="P1607" s="74"/>
      <c r="Q1607" s="74"/>
      <c r="R1607" s="74"/>
      <c r="V1607" s="72"/>
    </row>
    <row r="1608" spans="15:22" x14ac:dyDescent="0.25">
      <c r="O1608" s="74"/>
      <c r="P1608" s="74"/>
      <c r="Q1608" s="74"/>
      <c r="R1608" s="74"/>
      <c r="V1608" s="72"/>
    </row>
    <row r="1609" spans="15:22" x14ac:dyDescent="0.25">
      <c r="O1609" s="74"/>
      <c r="P1609" s="74"/>
      <c r="Q1609" s="74"/>
      <c r="R1609" s="74"/>
      <c r="V1609" s="72"/>
    </row>
    <row r="1610" spans="15:22" x14ac:dyDescent="0.25">
      <c r="O1610" s="74"/>
      <c r="P1610" s="74"/>
      <c r="Q1610" s="74"/>
      <c r="R1610" s="74"/>
      <c r="V1610" s="72"/>
    </row>
    <row r="1611" spans="15:22" x14ac:dyDescent="0.25">
      <c r="O1611" s="74"/>
      <c r="P1611" s="74"/>
      <c r="Q1611" s="74"/>
      <c r="R1611" s="74"/>
      <c r="V1611" s="72"/>
    </row>
    <row r="1612" spans="15:22" x14ac:dyDescent="0.25">
      <c r="O1612" s="74"/>
      <c r="P1612" s="74"/>
      <c r="Q1612" s="74"/>
      <c r="R1612" s="74"/>
      <c r="V1612" s="72"/>
    </row>
    <row r="1613" spans="15:22" x14ac:dyDescent="0.25">
      <c r="O1613" s="74"/>
      <c r="P1613" s="74"/>
      <c r="Q1613" s="74"/>
      <c r="R1613" s="74"/>
      <c r="V1613" s="72"/>
    </row>
    <row r="1614" spans="15:22" x14ac:dyDescent="0.25">
      <c r="O1614" s="74"/>
      <c r="P1614" s="74"/>
      <c r="Q1614" s="74"/>
      <c r="R1614" s="74"/>
      <c r="V1614" s="72"/>
    </row>
    <row r="1615" spans="15:22" x14ac:dyDescent="0.25">
      <c r="O1615" s="74"/>
      <c r="P1615" s="74"/>
      <c r="Q1615" s="74"/>
      <c r="R1615" s="74"/>
      <c r="V1615" s="72"/>
    </row>
    <row r="1616" spans="15:22" x14ac:dyDescent="0.25">
      <c r="O1616" s="74"/>
      <c r="P1616" s="74"/>
      <c r="Q1616" s="74"/>
      <c r="R1616" s="74"/>
      <c r="V1616" s="72"/>
    </row>
    <row r="1617" spans="15:22" x14ac:dyDescent="0.25">
      <c r="O1617" s="74"/>
      <c r="P1617" s="74"/>
      <c r="Q1617" s="74"/>
      <c r="R1617" s="74"/>
      <c r="V1617" s="72"/>
    </row>
    <row r="1618" spans="15:22" x14ac:dyDescent="0.25">
      <c r="O1618" s="74"/>
      <c r="P1618" s="74"/>
      <c r="Q1618" s="74"/>
      <c r="R1618" s="74"/>
      <c r="V1618" s="72"/>
    </row>
    <row r="1619" spans="15:22" x14ac:dyDescent="0.25">
      <c r="O1619" s="74"/>
      <c r="P1619" s="74"/>
      <c r="Q1619" s="74"/>
      <c r="R1619" s="74"/>
      <c r="V1619" s="72"/>
    </row>
    <row r="1620" spans="15:22" x14ac:dyDescent="0.25">
      <c r="O1620" s="74"/>
      <c r="P1620" s="74"/>
      <c r="Q1620" s="74"/>
      <c r="R1620" s="74"/>
      <c r="V1620" s="72"/>
    </row>
    <row r="1621" spans="15:22" x14ac:dyDescent="0.25">
      <c r="O1621" s="74"/>
      <c r="P1621" s="74"/>
      <c r="Q1621" s="74"/>
      <c r="R1621" s="74"/>
      <c r="V1621" s="72"/>
    </row>
    <row r="1622" spans="15:22" x14ac:dyDescent="0.25">
      <c r="O1622" s="74"/>
      <c r="P1622" s="74"/>
      <c r="Q1622" s="74"/>
      <c r="R1622" s="74"/>
      <c r="V1622" s="72"/>
    </row>
    <row r="1623" spans="15:22" x14ac:dyDescent="0.25">
      <c r="O1623" s="74"/>
      <c r="P1623" s="74"/>
      <c r="Q1623" s="74"/>
      <c r="R1623" s="74"/>
      <c r="V1623" s="72"/>
    </row>
    <row r="1624" spans="15:22" x14ac:dyDescent="0.25">
      <c r="O1624" s="74"/>
      <c r="P1624" s="74"/>
      <c r="Q1624" s="74"/>
      <c r="R1624" s="74"/>
      <c r="V1624" s="72"/>
    </row>
    <row r="1625" spans="15:22" x14ac:dyDescent="0.25">
      <c r="O1625" s="74"/>
      <c r="P1625" s="74"/>
      <c r="Q1625" s="74"/>
      <c r="R1625" s="74"/>
      <c r="V1625" s="72"/>
    </row>
    <row r="1626" spans="15:22" x14ac:dyDescent="0.25">
      <c r="O1626" s="74"/>
      <c r="P1626" s="74"/>
      <c r="Q1626" s="74"/>
      <c r="R1626" s="74"/>
      <c r="V1626" s="72"/>
    </row>
    <row r="1627" spans="15:22" x14ac:dyDescent="0.25">
      <c r="O1627" s="74"/>
      <c r="P1627" s="74"/>
      <c r="Q1627" s="74"/>
      <c r="R1627" s="74"/>
      <c r="V1627" s="72"/>
    </row>
    <row r="1628" spans="15:22" x14ac:dyDescent="0.25">
      <c r="O1628" s="74"/>
      <c r="P1628" s="74"/>
      <c r="Q1628" s="74"/>
      <c r="R1628" s="74"/>
      <c r="V1628" s="72"/>
    </row>
    <row r="1629" spans="15:22" x14ac:dyDescent="0.25">
      <c r="O1629" s="74"/>
      <c r="P1629" s="74"/>
      <c r="Q1629" s="74"/>
      <c r="R1629" s="74"/>
      <c r="V1629" s="72"/>
    </row>
    <row r="1630" spans="15:22" x14ac:dyDescent="0.25">
      <c r="O1630" s="74"/>
      <c r="P1630" s="74"/>
      <c r="Q1630" s="74"/>
      <c r="R1630" s="74"/>
      <c r="V1630" s="72"/>
    </row>
    <row r="1631" spans="15:22" x14ac:dyDescent="0.25">
      <c r="O1631" s="74"/>
      <c r="P1631" s="74"/>
      <c r="Q1631" s="74"/>
      <c r="R1631" s="74"/>
      <c r="V1631" s="72"/>
    </row>
    <row r="1632" spans="15:22" x14ac:dyDescent="0.25">
      <c r="O1632" s="74"/>
      <c r="P1632" s="74"/>
      <c r="Q1632" s="74"/>
      <c r="R1632" s="74"/>
      <c r="V1632" s="72"/>
    </row>
    <row r="1633" spans="15:22" x14ac:dyDescent="0.25">
      <c r="O1633" s="74"/>
      <c r="P1633" s="74"/>
      <c r="Q1633" s="74"/>
      <c r="R1633" s="74"/>
      <c r="V1633" s="72"/>
    </row>
    <row r="1634" spans="15:22" x14ac:dyDescent="0.25">
      <c r="O1634" s="74"/>
      <c r="P1634" s="74"/>
      <c r="Q1634" s="74"/>
      <c r="R1634" s="74"/>
      <c r="V1634" s="72"/>
    </row>
    <row r="1635" spans="15:22" x14ac:dyDescent="0.25">
      <c r="O1635" s="74"/>
      <c r="P1635" s="74"/>
      <c r="Q1635" s="74"/>
      <c r="R1635" s="74"/>
      <c r="V1635" s="72"/>
    </row>
    <row r="1636" spans="15:22" x14ac:dyDescent="0.25">
      <c r="O1636" s="74"/>
      <c r="P1636" s="74"/>
      <c r="Q1636" s="74"/>
      <c r="R1636" s="74"/>
      <c r="V1636" s="72"/>
    </row>
    <row r="1637" spans="15:22" x14ac:dyDescent="0.25">
      <c r="O1637" s="74"/>
      <c r="P1637" s="74"/>
      <c r="Q1637" s="74"/>
      <c r="R1637" s="74"/>
      <c r="V1637" s="72"/>
    </row>
    <row r="1638" spans="15:22" x14ac:dyDescent="0.25">
      <c r="O1638" s="74"/>
      <c r="P1638" s="74"/>
      <c r="Q1638" s="74"/>
      <c r="R1638" s="74"/>
      <c r="V1638" s="72"/>
    </row>
    <row r="1639" spans="15:22" x14ac:dyDescent="0.25">
      <c r="O1639" s="74"/>
      <c r="P1639" s="74"/>
      <c r="Q1639" s="74"/>
      <c r="R1639" s="74"/>
      <c r="V1639" s="72"/>
    </row>
    <row r="1640" spans="15:22" x14ac:dyDescent="0.25">
      <c r="O1640" s="74"/>
      <c r="P1640" s="74"/>
      <c r="Q1640" s="74"/>
      <c r="R1640" s="74"/>
      <c r="V1640" s="72"/>
    </row>
    <row r="1641" spans="15:22" x14ac:dyDescent="0.25">
      <c r="O1641" s="74"/>
      <c r="P1641" s="74"/>
      <c r="Q1641" s="74"/>
      <c r="R1641" s="74"/>
      <c r="V1641" s="72"/>
    </row>
    <row r="1642" spans="15:22" x14ac:dyDescent="0.25">
      <c r="O1642" s="74"/>
      <c r="P1642" s="74"/>
      <c r="Q1642" s="74"/>
      <c r="R1642" s="74"/>
      <c r="V1642" s="72"/>
    </row>
    <row r="1643" spans="15:22" x14ac:dyDescent="0.25">
      <c r="O1643" s="74"/>
      <c r="P1643" s="74"/>
      <c r="Q1643" s="74"/>
      <c r="R1643" s="74"/>
      <c r="V1643" s="72"/>
    </row>
    <row r="1644" spans="15:22" x14ac:dyDescent="0.25">
      <c r="O1644" s="74"/>
      <c r="P1644" s="74"/>
      <c r="Q1644" s="74"/>
      <c r="R1644" s="74"/>
      <c r="V1644" s="72"/>
    </row>
    <row r="1645" spans="15:22" x14ac:dyDescent="0.25">
      <c r="O1645" s="74"/>
      <c r="P1645" s="74"/>
      <c r="Q1645" s="74"/>
      <c r="R1645" s="74"/>
      <c r="V1645" s="72"/>
    </row>
    <row r="1646" spans="15:22" x14ac:dyDescent="0.25">
      <c r="O1646" s="74"/>
      <c r="P1646" s="74"/>
      <c r="Q1646" s="74"/>
      <c r="R1646" s="74"/>
      <c r="V1646" s="72"/>
    </row>
    <row r="1647" spans="15:22" x14ac:dyDescent="0.25">
      <c r="O1647" s="74"/>
      <c r="P1647" s="74"/>
      <c r="Q1647" s="74"/>
      <c r="R1647" s="74"/>
      <c r="V1647" s="72"/>
    </row>
    <row r="1648" spans="15:22" x14ac:dyDescent="0.25">
      <c r="O1648" s="74"/>
      <c r="P1648" s="74"/>
      <c r="Q1648" s="74"/>
      <c r="R1648" s="74"/>
      <c r="V1648" s="72"/>
    </row>
    <row r="1649" spans="15:22" x14ac:dyDescent="0.25">
      <c r="O1649" s="74"/>
      <c r="P1649" s="74"/>
      <c r="Q1649" s="74"/>
      <c r="R1649" s="74"/>
      <c r="V1649" s="72"/>
    </row>
    <row r="1650" spans="15:22" x14ac:dyDescent="0.25">
      <c r="O1650" s="74"/>
      <c r="P1650" s="74"/>
      <c r="Q1650" s="74"/>
      <c r="R1650" s="74"/>
      <c r="V1650" s="72"/>
    </row>
    <row r="1651" spans="15:22" x14ac:dyDescent="0.25">
      <c r="O1651" s="74"/>
      <c r="P1651" s="74"/>
      <c r="Q1651" s="74"/>
      <c r="R1651" s="74"/>
      <c r="V1651" s="72"/>
    </row>
    <row r="1652" spans="15:22" x14ac:dyDescent="0.25">
      <c r="O1652" s="74"/>
      <c r="P1652" s="74"/>
      <c r="Q1652" s="74"/>
      <c r="R1652" s="74"/>
      <c r="V1652" s="72"/>
    </row>
    <row r="1653" spans="15:22" x14ac:dyDescent="0.25">
      <c r="O1653" s="74"/>
      <c r="P1653" s="74"/>
      <c r="Q1653" s="74"/>
      <c r="R1653" s="74"/>
      <c r="V1653" s="72"/>
    </row>
    <row r="1654" spans="15:22" x14ac:dyDescent="0.25">
      <c r="O1654" s="74"/>
      <c r="P1654" s="74"/>
      <c r="Q1654" s="74"/>
      <c r="R1654" s="74"/>
      <c r="V1654" s="72"/>
    </row>
    <row r="1655" spans="15:22" x14ac:dyDescent="0.25">
      <c r="O1655" s="74"/>
      <c r="P1655" s="74"/>
      <c r="Q1655" s="74"/>
      <c r="R1655" s="74"/>
      <c r="V1655" s="72"/>
    </row>
    <row r="1656" spans="15:22" x14ac:dyDescent="0.25">
      <c r="O1656" s="74"/>
      <c r="P1656" s="74"/>
      <c r="Q1656" s="74"/>
      <c r="R1656" s="74"/>
      <c r="V1656" s="72"/>
    </row>
    <row r="1657" spans="15:22" x14ac:dyDescent="0.25">
      <c r="O1657" s="74"/>
      <c r="P1657" s="74"/>
      <c r="Q1657" s="74"/>
      <c r="R1657" s="74"/>
      <c r="V1657" s="72"/>
    </row>
    <row r="1658" spans="15:22" x14ac:dyDescent="0.25">
      <c r="O1658" s="74"/>
      <c r="P1658" s="74"/>
      <c r="Q1658" s="74"/>
      <c r="R1658" s="74"/>
      <c r="V1658" s="72"/>
    </row>
    <row r="1659" spans="15:22" x14ac:dyDescent="0.25">
      <c r="O1659" s="74"/>
      <c r="P1659" s="74"/>
      <c r="Q1659" s="74"/>
      <c r="R1659" s="74"/>
      <c r="V1659" s="72"/>
    </row>
    <row r="1660" spans="15:22" x14ac:dyDescent="0.25">
      <c r="O1660" s="74"/>
      <c r="P1660" s="74"/>
      <c r="Q1660" s="74"/>
      <c r="R1660" s="74"/>
      <c r="V1660" s="72"/>
    </row>
    <row r="1661" spans="15:22" x14ac:dyDescent="0.25">
      <c r="O1661" s="74"/>
      <c r="P1661" s="74"/>
      <c r="Q1661" s="74"/>
      <c r="R1661" s="74"/>
      <c r="V1661" s="72"/>
    </row>
    <row r="1662" spans="15:22" x14ac:dyDescent="0.25">
      <c r="O1662" s="74"/>
      <c r="P1662" s="74"/>
      <c r="Q1662" s="74"/>
      <c r="R1662" s="74"/>
      <c r="V1662" s="72"/>
    </row>
    <row r="1663" spans="15:22" x14ac:dyDescent="0.25">
      <c r="O1663" s="74"/>
      <c r="P1663" s="74"/>
      <c r="Q1663" s="74"/>
      <c r="R1663" s="74"/>
      <c r="V1663" s="72"/>
    </row>
    <row r="1664" spans="15:22" x14ac:dyDescent="0.25">
      <c r="O1664" s="74"/>
      <c r="P1664" s="74"/>
      <c r="Q1664" s="74"/>
      <c r="R1664" s="74"/>
      <c r="V1664" s="72"/>
    </row>
    <row r="1665" spans="15:22" x14ac:dyDescent="0.25">
      <c r="O1665" s="74"/>
      <c r="P1665" s="74"/>
      <c r="Q1665" s="74"/>
      <c r="R1665" s="74"/>
      <c r="V1665" s="72"/>
    </row>
    <row r="1666" spans="15:22" x14ac:dyDescent="0.25">
      <c r="O1666" s="74"/>
      <c r="P1666" s="74"/>
      <c r="Q1666" s="74"/>
      <c r="R1666" s="74"/>
      <c r="V1666" s="72"/>
    </row>
    <row r="1667" spans="15:22" x14ac:dyDescent="0.25">
      <c r="O1667" s="74"/>
      <c r="P1667" s="74"/>
      <c r="Q1667" s="74"/>
      <c r="R1667" s="74"/>
      <c r="V1667" s="72"/>
    </row>
    <row r="1668" spans="15:22" x14ac:dyDescent="0.25">
      <c r="O1668" s="74"/>
      <c r="P1668" s="74"/>
      <c r="Q1668" s="74"/>
      <c r="R1668" s="74"/>
      <c r="V1668" s="72"/>
    </row>
    <row r="1669" spans="15:22" x14ac:dyDescent="0.25">
      <c r="O1669" s="74"/>
      <c r="P1669" s="74"/>
      <c r="Q1669" s="74"/>
      <c r="R1669" s="74"/>
      <c r="V1669" s="72"/>
    </row>
    <row r="1670" spans="15:22" x14ac:dyDescent="0.25">
      <c r="O1670" s="74"/>
      <c r="P1670" s="74"/>
      <c r="Q1670" s="74"/>
      <c r="R1670" s="74"/>
      <c r="V1670" s="72"/>
    </row>
    <row r="1671" spans="15:22" x14ac:dyDescent="0.25">
      <c r="O1671" s="74"/>
      <c r="P1671" s="74"/>
      <c r="Q1671" s="74"/>
      <c r="R1671" s="74"/>
      <c r="V1671" s="72"/>
    </row>
    <row r="1672" spans="15:22" x14ac:dyDescent="0.25">
      <c r="O1672" s="74"/>
      <c r="P1672" s="74"/>
      <c r="Q1672" s="74"/>
      <c r="R1672" s="74"/>
      <c r="V1672" s="72"/>
    </row>
    <row r="1673" spans="15:22" x14ac:dyDescent="0.25">
      <c r="O1673" s="74"/>
      <c r="P1673" s="74"/>
      <c r="Q1673" s="74"/>
      <c r="R1673" s="74"/>
      <c r="V1673" s="72"/>
    </row>
    <row r="1674" spans="15:22" x14ac:dyDescent="0.25">
      <c r="O1674" s="74"/>
      <c r="P1674" s="74"/>
      <c r="Q1674" s="74"/>
      <c r="R1674" s="74"/>
      <c r="V1674" s="72"/>
    </row>
    <row r="1675" spans="15:22" x14ac:dyDescent="0.25">
      <c r="O1675" s="74"/>
      <c r="P1675" s="74"/>
      <c r="Q1675" s="74"/>
      <c r="R1675" s="74"/>
      <c r="V1675" s="72"/>
    </row>
    <row r="1676" spans="15:22" x14ac:dyDescent="0.25">
      <c r="O1676" s="74"/>
      <c r="P1676" s="74"/>
      <c r="Q1676" s="74"/>
      <c r="R1676" s="74"/>
      <c r="V1676" s="72"/>
    </row>
    <row r="1677" spans="15:22" x14ac:dyDescent="0.25">
      <c r="O1677" s="74"/>
      <c r="P1677" s="74"/>
      <c r="Q1677" s="74"/>
      <c r="R1677" s="74"/>
      <c r="V1677" s="72"/>
    </row>
    <row r="1678" spans="15:22" x14ac:dyDescent="0.25">
      <c r="O1678" s="74"/>
      <c r="P1678" s="74"/>
      <c r="Q1678" s="74"/>
      <c r="R1678" s="74"/>
      <c r="V1678" s="72"/>
    </row>
    <row r="1679" spans="15:22" x14ac:dyDescent="0.25">
      <c r="O1679" s="74"/>
      <c r="P1679" s="74"/>
      <c r="Q1679" s="74"/>
      <c r="R1679" s="74"/>
      <c r="V1679" s="72"/>
    </row>
    <row r="1680" spans="15:22" x14ac:dyDescent="0.25">
      <c r="O1680" s="74"/>
      <c r="P1680" s="74"/>
      <c r="Q1680" s="74"/>
      <c r="R1680" s="74"/>
      <c r="V1680" s="72"/>
    </row>
    <row r="1681" spans="15:22" x14ac:dyDescent="0.25">
      <c r="O1681" s="74"/>
      <c r="P1681" s="74"/>
      <c r="Q1681" s="74"/>
      <c r="R1681" s="74"/>
      <c r="V1681" s="72"/>
    </row>
    <row r="1682" spans="15:22" x14ac:dyDescent="0.25">
      <c r="O1682" s="74"/>
      <c r="P1682" s="74"/>
      <c r="Q1682" s="74"/>
      <c r="R1682" s="74"/>
      <c r="V1682" s="72"/>
    </row>
    <row r="1683" spans="15:22" x14ac:dyDescent="0.25">
      <c r="O1683" s="74"/>
      <c r="P1683" s="74"/>
      <c r="Q1683" s="74"/>
      <c r="R1683" s="74"/>
      <c r="V1683" s="72"/>
    </row>
    <row r="1684" spans="15:22" x14ac:dyDescent="0.25">
      <c r="O1684" s="74"/>
      <c r="P1684" s="74"/>
      <c r="Q1684" s="74"/>
      <c r="R1684" s="74"/>
      <c r="V1684" s="72"/>
    </row>
    <row r="1685" spans="15:22" x14ac:dyDescent="0.25">
      <c r="O1685" s="74"/>
      <c r="P1685" s="74"/>
      <c r="Q1685" s="74"/>
      <c r="R1685" s="74"/>
      <c r="V1685" s="72"/>
    </row>
    <row r="1686" spans="15:22" x14ac:dyDescent="0.25">
      <c r="O1686" s="74"/>
      <c r="P1686" s="74"/>
      <c r="Q1686" s="74"/>
      <c r="R1686" s="74"/>
      <c r="V1686" s="72"/>
    </row>
    <row r="1687" spans="15:22" x14ac:dyDescent="0.25">
      <c r="O1687" s="74"/>
      <c r="P1687" s="74"/>
      <c r="Q1687" s="74"/>
      <c r="R1687" s="74"/>
      <c r="V1687" s="72"/>
    </row>
    <row r="1688" spans="15:22" x14ac:dyDescent="0.25">
      <c r="O1688" s="74"/>
      <c r="P1688" s="74"/>
      <c r="Q1688" s="74"/>
      <c r="R1688" s="74"/>
      <c r="V1688" s="72"/>
    </row>
    <row r="1689" spans="15:22" x14ac:dyDescent="0.25">
      <c r="O1689" s="74"/>
      <c r="P1689" s="74"/>
      <c r="Q1689" s="74"/>
      <c r="R1689" s="74"/>
      <c r="V1689" s="72"/>
    </row>
    <row r="1690" spans="15:22" x14ac:dyDescent="0.25">
      <c r="O1690" s="74"/>
      <c r="P1690" s="74"/>
      <c r="Q1690" s="74"/>
      <c r="R1690" s="74"/>
      <c r="V1690" s="72"/>
    </row>
    <row r="1691" spans="15:22" x14ac:dyDescent="0.25">
      <c r="O1691" s="74"/>
      <c r="P1691" s="74"/>
      <c r="Q1691" s="74"/>
      <c r="R1691" s="74"/>
      <c r="V1691" s="72"/>
    </row>
    <row r="1692" spans="15:22" x14ac:dyDescent="0.25">
      <c r="O1692" s="74"/>
      <c r="P1692" s="74"/>
      <c r="Q1692" s="74"/>
      <c r="R1692" s="74"/>
      <c r="V1692" s="72"/>
    </row>
    <row r="1693" spans="15:22" x14ac:dyDescent="0.25">
      <c r="O1693" s="74"/>
      <c r="P1693" s="74"/>
      <c r="Q1693" s="74"/>
      <c r="R1693" s="74"/>
      <c r="V1693" s="72"/>
    </row>
    <row r="1694" spans="15:22" x14ac:dyDescent="0.25">
      <c r="O1694" s="74"/>
      <c r="P1694" s="74"/>
      <c r="Q1694" s="74"/>
      <c r="R1694" s="74"/>
      <c r="V1694" s="72"/>
    </row>
    <row r="1695" spans="15:22" x14ac:dyDescent="0.25">
      <c r="O1695" s="74"/>
      <c r="P1695" s="74"/>
      <c r="Q1695" s="74"/>
      <c r="R1695" s="74"/>
      <c r="V1695" s="72"/>
    </row>
    <row r="1696" spans="15:22" x14ac:dyDescent="0.25">
      <c r="O1696" s="74"/>
      <c r="P1696" s="74"/>
      <c r="Q1696" s="74"/>
      <c r="R1696" s="74"/>
      <c r="V1696" s="72"/>
    </row>
    <row r="1697" spans="15:22" x14ac:dyDescent="0.25">
      <c r="O1697" s="74"/>
      <c r="P1697" s="74"/>
      <c r="Q1697" s="74"/>
      <c r="R1697" s="74"/>
      <c r="V1697" s="72"/>
    </row>
    <row r="1698" spans="15:22" x14ac:dyDescent="0.25">
      <c r="O1698" s="74"/>
      <c r="P1698" s="74"/>
      <c r="Q1698" s="74"/>
      <c r="R1698" s="74"/>
      <c r="V1698" s="72"/>
    </row>
    <row r="1699" spans="15:22" x14ac:dyDescent="0.25">
      <c r="O1699" s="74"/>
      <c r="P1699" s="74"/>
      <c r="Q1699" s="74"/>
      <c r="R1699" s="74"/>
      <c r="V1699" s="72"/>
    </row>
    <row r="1700" spans="15:22" x14ac:dyDescent="0.25">
      <c r="O1700" s="74"/>
      <c r="P1700" s="74"/>
      <c r="Q1700" s="74"/>
      <c r="R1700" s="74"/>
      <c r="V1700" s="72"/>
    </row>
    <row r="1701" spans="15:22" x14ac:dyDescent="0.25">
      <c r="O1701" s="74"/>
      <c r="P1701" s="74"/>
      <c r="Q1701" s="74"/>
      <c r="R1701" s="74"/>
      <c r="V1701" s="72"/>
    </row>
    <row r="1702" spans="15:22" x14ac:dyDescent="0.25">
      <c r="O1702" s="74"/>
      <c r="P1702" s="74"/>
      <c r="Q1702" s="74"/>
      <c r="R1702" s="74"/>
      <c r="V1702" s="72"/>
    </row>
    <row r="1703" spans="15:22" x14ac:dyDescent="0.25">
      <c r="O1703" s="74"/>
      <c r="P1703" s="74"/>
      <c r="Q1703" s="74"/>
      <c r="R1703" s="74"/>
      <c r="V1703" s="72"/>
    </row>
    <row r="1704" spans="15:22" x14ac:dyDescent="0.25">
      <c r="O1704" s="74"/>
      <c r="P1704" s="74"/>
      <c r="Q1704" s="74"/>
      <c r="R1704" s="74"/>
      <c r="V1704" s="72"/>
    </row>
    <row r="1705" spans="15:22" x14ac:dyDescent="0.25">
      <c r="O1705" s="74"/>
      <c r="P1705" s="74"/>
      <c r="Q1705" s="74"/>
      <c r="R1705" s="74"/>
      <c r="V1705" s="72"/>
    </row>
    <row r="1706" spans="15:22" x14ac:dyDescent="0.25">
      <c r="O1706" s="74"/>
      <c r="P1706" s="74"/>
      <c r="Q1706" s="74"/>
      <c r="R1706" s="74"/>
      <c r="V1706" s="72"/>
    </row>
    <row r="1707" spans="15:22" x14ac:dyDescent="0.25">
      <c r="O1707" s="74"/>
      <c r="P1707" s="74"/>
      <c r="Q1707" s="74"/>
      <c r="R1707" s="74"/>
      <c r="V1707" s="72"/>
    </row>
    <row r="1708" spans="15:22" x14ac:dyDescent="0.25">
      <c r="O1708" s="74"/>
      <c r="P1708" s="74"/>
      <c r="Q1708" s="74"/>
      <c r="R1708" s="74"/>
      <c r="V1708" s="72"/>
    </row>
    <row r="1709" spans="15:22" x14ac:dyDescent="0.25">
      <c r="O1709" s="74"/>
      <c r="P1709" s="74"/>
      <c r="Q1709" s="74"/>
      <c r="R1709" s="74"/>
      <c r="V1709" s="72"/>
    </row>
    <row r="1710" spans="15:22" x14ac:dyDescent="0.25">
      <c r="O1710" s="74"/>
      <c r="P1710" s="74"/>
      <c r="Q1710" s="74"/>
      <c r="R1710" s="74"/>
      <c r="V1710" s="72"/>
    </row>
    <row r="1711" spans="15:22" x14ac:dyDescent="0.25">
      <c r="O1711" s="74"/>
      <c r="P1711" s="74"/>
      <c r="Q1711" s="74"/>
      <c r="R1711" s="74"/>
      <c r="V1711" s="72"/>
    </row>
    <row r="1712" spans="15:22" x14ac:dyDescent="0.25">
      <c r="O1712" s="74"/>
      <c r="P1712" s="74"/>
      <c r="Q1712" s="74"/>
      <c r="R1712" s="74"/>
      <c r="V1712" s="72"/>
    </row>
    <row r="1713" spans="15:22" x14ac:dyDescent="0.25">
      <c r="O1713" s="74"/>
      <c r="P1713" s="74"/>
      <c r="Q1713" s="74"/>
      <c r="R1713" s="74"/>
      <c r="V1713" s="72"/>
    </row>
    <row r="1714" spans="15:22" x14ac:dyDescent="0.25">
      <c r="O1714" s="74"/>
      <c r="P1714" s="74"/>
      <c r="Q1714" s="74"/>
      <c r="R1714" s="74"/>
      <c r="V1714" s="72"/>
    </row>
    <row r="1715" spans="15:22" x14ac:dyDescent="0.25">
      <c r="O1715" s="74"/>
      <c r="P1715" s="74"/>
      <c r="Q1715" s="74"/>
      <c r="R1715" s="74"/>
      <c r="V1715" s="72"/>
    </row>
    <row r="1716" spans="15:22" x14ac:dyDescent="0.25">
      <c r="O1716" s="74"/>
      <c r="P1716" s="74"/>
      <c r="Q1716" s="74"/>
      <c r="R1716" s="74"/>
      <c r="V1716" s="72"/>
    </row>
    <row r="1717" spans="15:22" x14ac:dyDescent="0.25">
      <c r="O1717" s="74"/>
      <c r="P1717" s="74"/>
      <c r="Q1717" s="74"/>
      <c r="R1717" s="74"/>
      <c r="V1717" s="72"/>
    </row>
    <row r="1718" spans="15:22" x14ac:dyDescent="0.25">
      <c r="O1718" s="74"/>
      <c r="P1718" s="74"/>
      <c r="Q1718" s="74"/>
      <c r="R1718" s="74"/>
      <c r="V1718" s="72"/>
    </row>
    <row r="1719" spans="15:22" x14ac:dyDescent="0.25">
      <c r="O1719" s="74"/>
      <c r="P1719" s="74"/>
      <c r="Q1719" s="74"/>
      <c r="R1719" s="74"/>
      <c r="V1719" s="72"/>
    </row>
    <row r="1720" spans="15:22" x14ac:dyDescent="0.25">
      <c r="O1720" s="74"/>
      <c r="P1720" s="74"/>
      <c r="Q1720" s="74"/>
      <c r="R1720" s="74"/>
      <c r="V1720" s="72"/>
    </row>
    <row r="1721" spans="15:22" x14ac:dyDescent="0.25">
      <c r="O1721" s="74"/>
      <c r="P1721" s="74"/>
      <c r="Q1721" s="74"/>
      <c r="R1721" s="74"/>
      <c r="V1721" s="72"/>
    </row>
    <row r="1722" spans="15:22" x14ac:dyDescent="0.25">
      <c r="O1722" s="74"/>
      <c r="P1722" s="74"/>
      <c r="Q1722" s="74"/>
      <c r="R1722" s="74"/>
      <c r="V1722" s="72"/>
    </row>
    <row r="1723" spans="15:22" x14ac:dyDescent="0.25">
      <c r="O1723" s="74"/>
      <c r="P1723" s="74"/>
      <c r="Q1723" s="74"/>
      <c r="R1723" s="74"/>
      <c r="V1723" s="72"/>
    </row>
    <row r="1724" spans="15:22" x14ac:dyDescent="0.25">
      <c r="O1724" s="74"/>
      <c r="P1724" s="74"/>
      <c r="Q1724" s="74"/>
      <c r="R1724" s="74"/>
      <c r="V1724" s="72"/>
    </row>
    <row r="1725" spans="15:22" x14ac:dyDescent="0.25">
      <c r="O1725" s="74"/>
      <c r="P1725" s="74"/>
      <c r="Q1725" s="74"/>
      <c r="R1725" s="74"/>
      <c r="V1725" s="72"/>
    </row>
    <row r="1726" spans="15:22" x14ac:dyDescent="0.25">
      <c r="O1726" s="74"/>
      <c r="P1726" s="74"/>
      <c r="Q1726" s="74"/>
      <c r="R1726" s="74"/>
      <c r="V1726" s="72"/>
    </row>
    <row r="1727" spans="15:22" x14ac:dyDescent="0.25">
      <c r="O1727" s="74"/>
      <c r="P1727" s="74"/>
      <c r="Q1727" s="74"/>
      <c r="R1727" s="74"/>
      <c r="V1727" s="72"/>
    </row>
    <row r="1728" spans="15:22" x14ac:dyDescent="0.25">
      <c r="O1728" s="74"/>
      <c r="P1728" s="74"/>
      <c r="Q1728" s="74"/>
      <c r="R1728" s="74"/>
      <c r="V1728" s="72"/>
    </row>
    <row r="1729" spans="15:22" x14ac:dyDescent="0.25">
      <c r="O1729" s="74"/>
      <c r="P1729" s="74"/>
      <c r="Q1729" s="74"/>
      <c r="R1729" s="74"/>
      <c r="V1729" s="72"/>
    </row>
    <row r="1730" spans="15:22" x14ac:dyDescent="0.25">
      <c r="O1730" s="74"/>
      <c r="P1730" s="74"/>
      <c r="Q1730" s="74"/>
      <c r="R1730" s="74"/>
      <c r="V1730" s="72"/>
    </row>
    <row r="1731" spans="15:22" x14ac:dyDescent="0.25">
      <c r="O1731" s="74"/>
      <c r="P1731" s="74"/>
      <c r="Q1731" s="74"/>
      <c r="R1731" s="74"/>
      <c r="V1731" s="72"/>
    </row>
    <row r="1732" spans="15:22" x14ac:dyDescent="0.25">
      <c r="O1732" s="74"/>
      <c r="P1732" s="74"/>
      <c r="Q1732" s="74"/>
      <c r="R1732" s="74"/>
      <c r="V1732" s="72"/>
    </row>
    <row r="1733" spans="15:22" x14ac:dyDescent="0.25">
      <c r="O1733" s="74"/>
      <c r="P1733" s="74"/>
      <c r="Q1733" s="74"/>
      <c r="R1733" s="74"/>
      <c r="V1733" s="72"/>
    </row>
    <row r="1734" spans="15:22" x14ac:dyDescent="0.25">
      <c r="O1734" s="74"/>
      <c r="P1734" s="74"/>
      <c r="Q1734" s="74"/>
      <c r="R1734" s="74"/>
      <c r="V1734" s="72"/>
    </row>
    <row r="1735" spans="15:22" x14ac:dyDescent="0.25">
      <c r="O1735" s="74"/>
      <c r="P1735" s="74"/>
      <c r="Q1735" s="74"/>
      <c r="R1735" s="74"/>
      <c r="V1735" s="72"/>
    </row>
    <row r="1736" spans="15:22" x14ac:dyDescent="0.25">
      <c r="O1736" s="74"/>
      <c r="P1736" s="74"/>
      <c r="Q1736" s="74"/>
      <c r="R1736" s="74"/>
      <c r="V1736" s="72"/>
    </row>
    <row r="1737" spans="15:22" x14ac:dyDescent="0.25">
      <c r="O1737" s="74"/>
      <c r="P1737" s="74"/>
      <c r="Q1737" s="74"/>
      <c r="R1737" s="74"/>
      <c r="V1737" s="72"/>
    </row>
    <row r="1738" spans="15:22" x14ac:dyDescent="0.25">
      <c r="O1738" s="74"/>
      <c r="P1738" s="74"/>
      <c r="Q1738" s="74"/>
      <c r="R1738" s="74"/>
      <c r="V1738" s="72"/>
    </row>
    <row r="1739" spans="15:22" x14ac:dyDescent="0.25">
      <c r="O1739" s="74"/>
      <c r="P1739" s="74"/>
      <c r="Q1739" s="74"/>
      <c r="R1739" s="74"/>
      <c r="V1739" s="72"/>
    </row>
    <row r="1740" spans="15:22" x14ac:dyDescent="0.25">
      <c r="O1740" s="74"/>
      <c r="P1740" s="74"/>
      <c r="Q1740" s="74"/>
      <c r="R1740" s="74"/>
      <c r="V1740" s="72"/>
    </row>
    <row r="1741" spans="15:22" x14ac:dyDescent="0.25">
      <c r="O1741" s="74"/>
      <c r="P1741" s="74"/>
      <c r="Q1741" s="74"/>
      <c r="R1741" s="74"/>
      <c r="V1741" s="72"/>
    </row>
    <row r="1742" spans="15:22" x14ac:dyDescent="0.25">
      <c r="O1742" s="74"/>
      <c r="P1742" s="74"/>
      <c r="Q1742" s="74"/>
      <c r="R1742" s="74"/>
      <c r="V1742" s="72"/>
    </row>
    <row r="1743" spans="15:22" x14ac:dyDescent="0.25">
      <c r="O1743" s="74"/>
      <c r="P1743" s="74"/>
      <c r="Q1743" s="74"/>
      <c r="R1743" s="74"/>
      <c r="V1743" s="72"/>
    </row>
    <row r="1744" spans="15:22" x14ac:dyDescent="0.25">
      <c r="O1744" s="74"/>
      <c r="P1744" s="74"/>
      <c r="Q1744" s="74"/>
      <c r="R1744" s="74"/>
      <c r="V1744" s="72"/>
    </row>
    <row r="1745" spans="15:22" x14ac:dyDescent="0.25">
      <c r="O1745" s="74"/>
      <c r="P1745" s="74"/>
      <c r="Q1745" s="74"/>
      <c r="R1745" s="74"/>
      <c r="V1745" s="72"/>
    </row>
    <row r="1746" spans="15:22" x14ac:dyDescent="0.25">
      <c r="O1746" s="74"/>
      <c r="P1746" s="74"/>
      <c r="Q1746" s="74"/>
      <c r="R1746" s="74"/>
      <c r="V1746" s="72"/>
    </row>
    <row r="1747" spans="15:22" x14ac:dyDescent="0.25">
      <c r="O1747" s="74"/>
      <c r="P1747" s="74"/>
      <c r="Q1747" s="74"/>
      <c r="R1747" s="74"/>
      <c r="V1747" s="72"/>
    </row>
    <row r="1748" spans="15:22" x14ac:dyDescent="0.25">
      <c r="O1748" s="74"/>
      <c r="P1748" s="74"/>
      <c r="Q1748" s="74"/>
      <c r="R1748" s="74"/>
      <c r="V1748" s="72"/>
    </row>
    <row r="1749" spans="15:22" x14ac:dyDescent="0.25">
      <c r="O1749" s="74"/>
      <c r="P1749" s="74"/>
      <c r="Q1749" s="74"/>
      <c r="R1749" s="74"/>
      <c r="V1749" s="72"/>
    </row>
    <row r="1750" spans="15:22" x14ac:dyDescent="0.25">
      <c r="O1750" s="74"/>
      <c r="P1750" s="74"/>
      <c r="Q1750" s="74"/>
      <c r="R1750" s="74"/>
      <c r="V1750" s="72"/>
    </row>
    <row r="1751" spans="15:22" x14ac:dyDescent="0.25">
      <c r="O1751" s="74"/>
      <c r="P1751" s="74"/>
      <c r="Q1751" s="74"/>
      <c r="R1751" s="74"/>
      <c r="V1751" s="72"/>
    </row>
    <row r="1752" spans="15:22" x14ac:dyDescent="0.25">
      <c r="O1752" s="74"/>
      <c r="P1752" s="74"/>
      <c r="Q1752" s="74"/>
      <c r="R1752" s="74"/>
      <c r="V1752" s="72"/>
    </row>
    <row r="1753" spans="15:22" x14ac:dyDescent="0.25">
      <c r="O1753" s="74"/>
      <c r="P1753" s="74"/>
      <c r="Q1753" s="74"/>
      <c r="R1753" s="74"/>
      <c r="V1753" s="72"/>
    </row>
    <row r="1754" spans="15:22" x14ac:dyDescent="0.25">
      <c r="O1754" s="74"/>
      <c r="P1754" s="74"/>
      <c r="Q1754" s="74"/>
      <c r="R1754" s="74"/>
      <c r="V1754" s="72"/>
    </row>
    <row r="1755" spans="15:22" x14ac:dyDescent="0.25">
      <c r="O1755" s="74"/>
      <c r="P1755" s="74"/>
      <c r="Q1755" s="74"/>
      <c r="R1755" s="74"/>
      <c r="V1755" s="72"/>
    </row>
    <row r="1756" spans="15:22" x14ac:dyDescent="0.25">
      <c r="O1756" s="74"/>
      <c r="P1756" s="74"/>
      <c r="Q1756" s="74"/>
      <c r="R1756" s="74"/>
      <c r="V1756" s="72"/>
    </row>
    <row r="1757" spans="15:22" x14ac:dyDescent="0.25">
      <c r="O1757" s="74"/>
      <c r="P1757" s="74"/>
      <c r="Q1757" s="74"/>
      <c r="R1757" s="74"/>
      <c r="V1757" s="72"/>
    </row>
    <row r="1758" spans="15:22" x14ac:dyDescent="0.25">
      <c r="O1758" s="74"/>
      <c r="P1758" s="74"/>
      <c r="Q1758" s="74"/>
      <c r="R1758" s="74"/>
      <c r="V1758" s="72"/>
    </row>
    <row r="1759" spans="15:22" x14ac:dyDescent="0.25">
      <c r="O1759" s="74"/>
      <c r="P1759" s="74"/>
      <c r="Q1759" s="74"/>
      <c r="R1759" s="74"/>
      <c r="V1759" s="72"/>
    </row>
    <row r="1760" spans="15:22" x14ac:dyDescent="0.25">
      <c r="O1760" s="74"/>
      <c r="P1760" s="74"/>
      <c r="Q1760" s="74"/>
      <c r="R1760" s="74"/>
      <c r="V1760" s="72"/>
    </row>
    <row r="1761" spans="15:22" x14ac:dyDescent="0.25">
      <c r="O1761" s="74"/>
      <c r="P1761" s="74"/>
      <c r="Q1761" s="74"/>
      <c r="R1761" s="74"/>
      <c r="V1761" s="72"/>
    </row>
    <row r="1762" spans="15:22" x14ac:dyDescent="0.25">
      <c r="O1762" s="74"/>
      <c r="P1762" s="74"/>
      <c r="Q1762" s="74"/>
      <c r="R1762" s="74"/>
      <c r="V1762" s="72"/>
    </row>
    <row r="1763" spans="15:22" x14ac:dyDescent="0.25">
      <c r="O1763" s="74"/>
      <c r="P1763" s="74"/>
      <c r="Q1763" s="74"/>
      <c r="R1763" s="74"/>
      <c r="V1763" s="72"/>
    </row>
    <row r="1764" spans="15:22" x14ac:dyDescent="0.25">
      <c r="O1764" s="74"/>
      <c r="P1764" s="74"/>
      <c r="Q1764" s="74"/>
      <c r="R1764" s="74"/>
      <c r="V1764" s="72"/>
    </row>
    <row r="1765" spans="15:22" x14ac:dyDescent="0.25">
      <c r="O1765" s="74"/>
      <c r="P1765" s="74"/>
      <c r="Q1765" s="74"/>
      <c r="R1765" s="74"/>
      <c r="V1765" s="72"/>
    </row>
    <row r="1766" spans="15:22" x14ac:dyDescent="0.25">
      <c r="O1766" s="74"/>
      <c r="P1766" s="74"/>
      <c r="Q1766" s="74"/>
      <c r="R1766" s="74"/>
      <c r="V1766" s="72"/>
    </row>
    <row r="1767" spans="15:22" x14ac:dyDescent="0.25">
      <c r="O1767" s="74"/>
      <c r="P1767" s="74"/>
      <c r="Q1767" s="74"/>
      <c r="R1767" s="74"/>
      <c r="V1767" s="72"/>
    </row>
    <row r="1768" spans="15:22" x14ac:dyDescent="0.25">
      <c r="O1768" s="74"/>
      <c r="P1768" s="74"/>
      <c r="Q1768" s="74"/>
      <c r="R1768" s="74"/>
      <c r="V1768" s="72"/>
    </row>
    <row r="1769" spans="15:22" x14ac:dyDescent="0.25">
      <c r="O1769" s="74"/>
      <c r="P1769" s="74"/>
      <c r="Q1769" s="74"/>
      <c r="R1769" s="74"/>
      <c r="V1769" s="72"/>
    </row>
    <row r="1770" spans="15:22" x14ac:dyDescent="0.25">
      <c r="O1770" s="74"/>
      <c r="P1770" s="74"/>
      <c r="Q1770" s="74"/>
      <c r="R1770" s="74"/>
      <c r="V1770" s="72"/>
    </row>
    <row r="1771" spans="15:22" x14ac:dyDescent="0.25">
      <c r="O1771" s="74"/>
      <c r="P1771" s="74"/>
      <c r="Q1771" s="74"/>
      <c r="R1771" s="74"/>
      <c r="V1771" s="72"/>
    </row>
    <row r="1772" spans="15:22" x14ac:dyDescent="0.25">
      <c r="O1772" s="74"/>
      <c r="P1772" s="74"/>
      <c r="Q1772" s="74"/>
      <c r="R1772" s="74"/>
      <c r="V1772" s="72"/>
    </row>
    <row r="1773" spans="15:22" x14ac:dyDescent="0.25">
      <c r="O1773" s="74"/>
      <c r="P1773" s="74"/>
      <c r="Q1773" s="74"/>
      <c r="R1773" s="74"/>
      <c r="V1773" s="72"/>
    </row>
    <row r="1774" spans="15:22" x14ac:dyDescent="0.25">
      <c r="O1774" s="74"/>
      <c r="P1774" s="74"/>
      <c r="Q1774" s="74"/>
      <c r="R1774" s="74"/>
      <c r="V1774" s="72"/>
    </row>
    <row r="1775" spans="15:22" x14ac:dyDescent="0.25">
      <c r="O1775" s="74"/>
      <c r="P1775" s="74"/>
      <c r="Q1775" s="74"/>
      <c r="R1775" s="74"/>
      <c r="V1775" s="72"/>
    </row>
    <row r="1776" spans="15:22" x14ac:dyDescent="0.25">
      <c r="O1776" s="74"/>
      <c r="P1776" s="74"/>
      <c r="Q1776" s="74"/>
      <c r="R1776" s="74"/>
      <c r="V1776" s="72"/>
    </row>
    <row r="1777" spans="15:22" x14ac:dyDescent="0.25">
      <c r="O1777" s="74"/>
      <c r="P1777" s="74"/>
      <c r="Q1777" s="74"/>
      <c r="R1777" s="74"/>
      <c r="V1777" s="72"/>
    </row>
    <row r="1778" spans="15:22" x14ac:dyDescent="0.25">
      <c r="O1778" s="74"/>
      <c r="P1778" s="74"/>
      <c r="Q1778" s="74"/>
      <c r="R1778" s="74"/>
      <c r="V1778" s="72"/>
    </row>
    <row r="1779" spans="15:22" x14ac:dyDescent="0.25">
      <c r="O1779" s="74"/>
      <c r="P1779" s="74"/>
      <c r="Q1779" s="74"/>
      <c r="R1779" s="74"/>
      <c r="V1779" s="72"/>
    </row>
    <row r="1780" spans="15:22" x14ac:dyDescent="0.25">
      <c r="O1780" s="74"/>
      <c r="P1780" s="74"/>
      <c r="Q1780" s="74"/>
      <c r="R1780" s="74"/>
      <c r="V1780" s="72"/>
    </row>
    <row r="1781" spans="15:22" x14ac:dyDescent="0.25">
      <c r="O1781" s="74"/>
      <c r="P1781" s="74"/>
      <c r="Q1781" s="74"/>
      <c r="R1781" s="74"/>
      <c r="V1781" s="72"/>
    </row>
    <row r="1782" spans="15:22" x14ac:dyDescent="0.25">
      <c r="O1782" s="74"/>
      <c r="P1782" s="74"/>
      <c r="Q1782" s="74"/>
      <c r="R1782" s="74"/>
      <c r="V1782" s="72"/>
    </row>
    <row r="1783" spans="15:22" x14ac:dyDescent="0.25">
      <c r="O1783" s="74"/>
      <c r="P1783" s="74"/>
      <c r="Q1783" s="74"/>
      <c r="R1783" s="74"/>
      <c r="V1783" s="72"/>
    </row>
    <row r="1784" spans="15:22" x14ac:dyDescent="0.25">
      <c r="O1784" s="74"/>
      <c r="P1784" s="74"/>
      <c r="Q1784" s="74"/>
      <c r="R1784" s="74"/>
      <c r="V1784" s="72"/>
    </row>
    <row r="1785" spans="15:22" x14ac:dyDescent="0.25">
      <c r="O1785" s="74"/>
      <c r="P1785" s="74"/>
      <c r="Q1785" s="74"/>
      <c r="R1785" s="74"/>
      <c r="V1785" s="72"/>
    </row>
    <row r="1786" spans="15:22" x14ac:dyDescent="0.25">
      <c r="O1786" s="74"/>
      <c r="P1786" s="74"/>
      <c r="Q1786" s="74"/>
      <c r="R1786" s="74"/>
      <c r="V1786" s="72"/>
    </row>
    <row r="1787" spans="15:22" x14ac:dyDescent="0.25">
      <c r="O1787" s="74"/>
      <c r="P1787" s="74"/>
      <c r="Q1787" s="74"/>
      <c r="R1787" s="74"/>
      <c r="V1787" s="72"/>
    </row>
    <row r="1788" spans="15:22" x14ac:dyDescent="0.25">
      <c r="O1788" s="74"/>
      <c r="P1788" s="74"/>
      <c r="Q1788" s="74"/>
      <c r="R1788" s="74"/>
      <c r="V1788" s="72"/>
    </row>
    <row r="1789" spans="15:22" x14ac:dyDescent="0.25">
      <c r="O1789" s="74"/>
      <c r="P1789" s="74"/>
      <c r="Q1789" s="74"/>
      <c r="R1789" s="74"/>
      <c r="V1789" s="72"/>
    </row>
    <row r="1790" spans="15:22" x14ac:dyDescent="0.25">
      <c r="O1790" s="74"/>
      <c r="P1790" s="74"/>
      <c r="Q1790" s="74"/>
      <c r="R1790" s="74"/>
      <c r="V1790" s="72"/>
    </row>
    <row r="1791" spans="15:22" x14ac:dyDescent="0.25">
      <c r="O1791" s="74"/>
      <c r="P1791" s="74"/>
      <c r="Q1791" s="74"/>
      <c r="R1791" s="74"/>
      <c r="V1791" s="72"/>
    </row>
    <row r="1792" spans="15:22" x14ac:dyDescent="0.25">
      <c r="O1792" s="74"/>
      <c r="P1792" s="74"/>
      <c r="Q1792" s="74"/>
      <c r="R1792" s="74"/>
      <c r="V1792" s="72"/>
    </row>
    <row r="1793" spans="15:22" x14ac:dyDescent="0.25">
      <c r="O1793" s="74"/>
      <c r="P1793" s="74"/>
      <c r="Q1793" s="74"/>
      <c r="R1793" s="74"/>
      <c r="V1793" s="72"/>
    </row>
    <row r="1794" spans="15:22" x14ac:dyDescent="0.25">
      <c r="O1794" s="74"/>
      <c r="P1794" s="74"/>
      <c r="Q1794" s="74"/>
      <c r="R1794" s="74"/>
      <c r="V1794" s="72"/>
    </row>
    <row r="1795" spans="15:22" x14ac:dyDescent="0.25">
      <c r="O1795" s="74"/>
      <c r="P1795" s="74"/>
      <c r="Q1795" s="74"/>
      <c r="R1795" s="74"/>
      <c r="V1795" s="72"/>
    </row>
    <row r="1796" spans="15:22" x14ac:dyDescent="0.25">
      <c r="O1796" s="74"/>
      <c r="P1796" s="74"/>
      <c r="Q1796" s="74"/>
      <c r="R1796" s="74"/>
      <c r="V1796" s="72"/>
    </row>
    <row r="1797" spans="15:22" x14ac:dyDescent="0.25">
      <c r="O1797" s="74"/>
      <c r="P1797" s="74"/>
      <c r="Q1797" s="74"/>
      <c r="R1797" s="74"/>
      <c r="V1797" s="72"/>
    </row>
    <row r="1798" spans="15:22" x14ac:dyDescent="0.25">
      <c r="O1798" s="74"/>
      <c r="P1798" s="74"/>
      <c r="Q1798" s="74"/>
      <c r="R1798" s="74"/>
      <c r="V1798" s="72"/>
    </row>
    <row r="1799" spans="15:22" x14ac:dyDescent="0.25">
      <c r="O1799" s="74"/>
      <c r="P1799" s="74"/>
      <c r="Q1799" s="74"/>
      <c r="R1799" s="74"/>
      <c r="V1799" s="72"/>
    </row>
    <row r="1800" spans="15:22" x14ac:dyDescent="0.25">
      <c r="O1800" s="74"/>
      <c r="P1800" s="74"/>
      <c r="Q1800" s="74"/>
      <c r="R1800" s="74"/>
      <c r="V1800" s="72"/>
    </row>
    <row r="1801" spans="15:22" x14ac:dyDescent="0.25">
      <c r="O1801" s="74"/>
      <c r="P1801" s="74"/>
      <c r="Q1801" s="74"/>
      <c r="R1801" s="74"/>
      <c r="V1801" s="72"/>
    </row>
    <row r="1802" spans="15:22" x14ac:dyDescent="0.25">
      <c r="O1802" s="74"/>
      <c r="P1802" s="74"/>
      <c r="Q1802" s="74"/>
      <c r="R1802" s="74"/>
      <c r="V1802" s="72"/>
    </row>
    <row r="1803" spans="15:22" x14ac:dyDescent="0.25">
      <c r="O1803" s="74"/>
      <c r="P1803" s="74"/>
      <c r="Q1803" s="74"/>
      <c r="R1803" s="74"/>
      <c r="V1803" s="72"/>
    </row>
    <row r="1804" spans="15:22" x14ac:dyDescent="0.25">
      <c r="O1804" s="74"/>
      <c r="P1804" s="74"/>
      <c r="Q1804" s="74"/>
      <c r="R1804" s="74"/>
      <c r="V1804" s="72"/>
    </row>
    <row r="1805" spans="15:22" x14ac:dyDescent="0.25">
      <c r="O1805" s="74"/>
      <c r="P1805" s="74"/>
      <c r="Q1805" s="74"/>
      <c r="R1805" s="74"/>
      <c r="V1805" s="72"/>
    </row>
    <row r="1806" spans="15:22" x14ac:dyDescent="0.25">
      <c r="O1806" s="74"/>
      <c r="P1806" s="74"/>
      <c r="Q1806" s="74"/>
      <c r="R1806" s="74"/>
      <c r="V1806" s="72"/>
    </row>
    <row r="1807" spans="15:22" x14ac:dyDescent="0.25">
      <c r="O1807" s="74"/>
      <c r="P1807" s="74"/>
      <c r="Q1807" s="74"/>
      <c r="R1807" s="74"/>
      <c r="V1807" s="72"/>
    </row>
    <row r="1808" spans="15:22" x14ac:dyDescent="0.25">
      <c r="O1808" s="74"/>
      <c r="P1808" s="74"/>
      <c r="Q1808" s="74"/>
      <c r="R1808" s="74"/>
      <c r="V1808" s="72"/>
    </row>
    <row r="1809" spans="15:22" x14ac:dyDescent="0.25">
      <c r="O1809" s="74"/>
      <c r="P1809" s="74"/>
      <c r="Q1809" s="74"/>
      <c r="R1809" s="74"/>
      <c r="V1809" s="72"/>
    </row>
    <row r="1810" spans="15:22" x14ac:dyDescent="0.25">
      <c r="O1810" s="74"/>
      <c r="P1810" s="74"/>
      <c r="Q1810" s="74"/>
      <c r="R1810" s="74"/>
      <c r="V1810" s="72"/>
    </row>
    <row r="1811" spans="15:22" x14ac:dyDescent="0.25">
      <c r="O1811" s="74"/>
      <c r="P1811" s="74"/>
      <c r="Q1811" s="74"/>
      <c r="R1811" s="74"/>
      <c r="V1811" s="72"/>
    </row>
    <row r="1812" spans="15:22" x14ac:dyDescent="0.25">
      <c r="O1812" s="74"/>
      <c r="P1812" s="74"/>
      <c r="Q1812" s="74"/>
      <c r="R1812" s="74"/>
      <c r="V1812" s="72"/>
    </row>
    <row r="1813" spans="15:22" x14ac:dyDescent="0.25">
      <c r="O1813" s="74"/>
      <c r="P1813" s="74"/>
      <c r="Q1813" s="74"/>
      <c r="R1813" s="74"/>
      <c r="V1813" s="72"/>
    </row>
    <row r="1814" spans="15:22" x14ac:dyDescent="0.25">
      <c r="O1814" s="74"/>
      <c r="P1814" s="74"/>
      <c r="Q1814" s="74"/>
      <c r="R1814" s="74"/>
      <c r="V1814" s="72"/>
    </row>
    <row r="1815" spans="15:22" x14ac:dyDescent="0.25">
      <c r="O1815" s="74"/>
      <c r="P1815" s="74"/>
      <c r="Q1815" s="74"/>
      <c r="R1815" s="74"/>
      <c r="V1815" s="72"/>
    </row>
    <row r="1816" spans="15:22" x14ac:dyDescent="0.25">
      <c r="O1816" s="74"/>
      <c r="P1816" s="74"/>
      <c r="Q1816" s="74"/>
      <c r="R1816" s="74"/>
      <c r="V1816" s="72"/>
    </row>
    <row r="1817" spans="15:22" x14ac:dyDescent="0.25">
      <c r="O1817" s="74"/>
      <c r="P1817" s="74"/>
      <c r="Q1817" s="74"/>
      <c r="R1817" s="74"/>
      <c r="V1817" s="72"/>
    </row>
    <row r="1818" spans="15:22" x14ac:dyDescent="0.25">
      <c r="O1818" s="74"/>
      <c r="P1818" s="74"/>
      <c r="Q1818" s="74"/>
      <c r="R1818" s="74"/>
      <c r="V1818" s="72"/>
    </row>
    <row r="1819" spans="15:22" x14ac:dyDescent="0.25">
      <c r="O1819" s="74"/>
      <c r="P1819" s="74"/>
      <c r="Q1819" s="74"/>
      <c r="R1819" s="74"/>
      <c r="V1819" s="72"/>
    </row>
    <row r="1820" spans="15:22" x14ac:dyDescent="0.25">
      <c r="O1820" s="74"/>
      <c r="P1820" s="74"/>
      <c r="Q1820" s="74"/>
      <c r="R1820" s="74"/>
      <c r="V1820" s="72"/>
    </row>
    <row r="1821" spans="15:22" x14ac:dyDescent="0.25">
      <c r="O1821" s="74"/>
      <c r="P1821" s="74"/>
      <c r="Q1821" s="74"/>
      <c r="R1821" s="74"/>
      <c r="V1821" s="72"/>
    </row>
    <row r="1822" spans="15:22" x14ac:dyDescent="0.25">
      <c r="O1822" s="74"/>
      <c r="P1822" s="74"/>
      <c r="Q1822" s="74"/>
      <c r="R1822" s="74"/>
      <c r="V1822" s="72"/>
    </row>
    <row r="1823" spans="15:22" x14ac:dyDescent="0.25">
      <c r="O1823" s="74"/>
      <c r="P1823" s="74"/>
      <c r="Q1823" s="74"/>
      <c r="R1823" s="74"/>
      <c r="V1823" s="72"/>
    </row>
    <row r="1824" spans="15:22" x14ac:dyDescent="0.25">
      <c r="O1824" s="74"/>
      <c r="P1824" s="74"/>
      <c r="Q1824" s="74"/>
      <c r="R1824" s="74"/>
      <c r="V1824" s="72"/>
    </row>
    <row r="1825" spans="15:22" x14ac:dyDescent="0.25">
      <c r="O1825" s="74"/>
      <c r="P1825" s="74"/>
      <c r="Q1825" s="74"/>
      <c r="R1825" s="74"/>
      <c r="V1825" s="72"/>
    </row>
    <row r="1826" spans="15:22" x14ac:dyDescent="0.25">
      <c r="O1826" s="74"/>
      <c r="P1826" s="74"/>
      <c r="Q1826" s="74"/>
      <c r="R1826" s="74"/>
      <c r="V1826" s="72"/>
    </row>
    <row r="1827" spans="15:22" x14ac:dyDescent="0.25">
      <c r="O1827" s="74"/>
      <c r="P1827" s="74"/>
      <c r="Q1827" s="74"/>
      <c r="R1827" s="74"/>
      <c r="V1827" s="72"/>
    </row>
    <row r="1828" spans="15:22" x14ac:dyDescent="0.25">
      <c r="O1828" s="74"/>
      <c r="P1828" s="74"/>
      <c r="Q1828" s="74"/>
      <c r="R1828" s="74"/>
      <c r="V1828" s="72"/>
    </row>
    <row r="1829" spans="15:22" x14ac:dyDescent="0.25">
      <c r="O1829" s="74"/>
      <c r="P1829" s="74"/>
      <c r="Q1829" s="74"/>
      <c r="R1829" s="74"/>
      <c r="V1829" s="72"/>
    </row>
    <row r="1830" spans="15:22" x14ac:dyDescent="0.25">
      <c r="O1830" s="74"/>
      <c r="P1830" s="74"/>
      <c r="Q1830" s="74"/>
      <c r="R1830" s="74"/>
      <c r="V1830" s="72"/>
    </row>
    <row r="1831" spans="15:22" x14ac:dyDescent="0.25">
      <c r="O1831" s="74"/>
      <c r="P1831" s="74"/>
      <c r="Q1831" s="74"/>
      <c r="R1831" s="74"/>
      <c r="V1831" s="72"/>
    </row>
    <row r="1832" spans="15:22" x14ac:dyDescent="0.25">
      <c r="O1832" s="74"/>
      <c r="P1832" s="74"/>
      <c r="Q1832" s="74"/>
      <c r="R1832" s="74"/>
      <c r="V1832" s="72"/>
    </row>
    <row r="1833" spans="15:22" x14ac:dyDescent="0.25">
      <c r="O1833" s="74"/>
      <c r="P1833" s="74"/>
      <c r="Q1833" s="74"/>
      <c r="R1833" s="74"/>
      <c r="V1833" s="72"/>
    </row>
    <row r="1834" spans="15:22" x14ac:dyDescent="0.25">
      <c r="O1834" s="74"/>
      <c r="P1834" s="74"/>
      <c r="Q1834" s="74"/>
      <c r="R1834" s="74"/>
      <c r="V1834" s="72"/>
    </row>
    <row r="1835" spans="15:22" x14ac:dyDescent="0.25">
      <c r="O1835" s="74"/>
      <c r="P1835" s="74"/>
      <c r="Q1835" s="74"/>
      <c r="R1835" s="74"/>
      <c r="V1835" s="72"/>
    </row>
    <row r="1836" spans="15:22" x14ac:dyDescent="0.25">
      <c r="O1836" s="74"/>
      <c r="P1836" s="74"/>
      <c r="Q1836" s="74"/>
      <c r="R1836" s="74"/>
      <c r="V1836" s="72"/>
    </row>
    <row r="1837" spans="15:22" x14ac:dyDescent="0.25">
      <c r="O1837" s="74"/>
      <c r="P1837" s="74"/>
      <c r="Q1837" s="74"/>
      <c r="R1837" s="74"/>
      <c r="V1837" s="72"/>
    </row>
    <row r="1838" spans="15:22" x14ac:dyDescent="0.25">
      <c r="O1838" s="74"/>
      <c r="P1838" s="74"/>
      <c r="Q1838" s="74"/>
      <c r="R1838" s="74"/>
      <c r="V1838" s="72"/>
    </row>
    <row r="1839" spans="15:22" x14ac:dyDescent="0.25">
      <c r="O1839" s="74"/>
      <c r="P1839" s="74"/>
      <c r="Q1839" s="74"/>
      <c r="R1839" s="74"/>
      <c r="V1839" s="72"/>
    </row>
    <row r="1840" spans="15:22" x14ac:dyDescent="0.25">
      <c r="O1840" s="74"/>
      <c r="P1840" s="74"/>
      <c r="Q1840" s="74"/>
      <c r="R1840" s="74"/>
      <c r="V1840" s="72"/>
    </row>
    <row r="1841" spans="15:22" x14ac:dyDescent="0.25">
      <c r="O1841" s="74"/>
      <c r="P1841" s="74"/>
      <c r="Q1841" s="74"/>
      <c r="R1841" s="74"/>
      <c r="V1841" s="72"/>
    </row>
    <row r="1842" spans="15:22" x14ac:dyDescent="0.25">
      <c r="O1842" s="74"/>
      <c r="P1842" s="74"/>
      <c r="Q1842" s="74"/>
      <c r="R1842" s="74"/>
      <c r="V1842" s="72"/>
    </row>
    <row r="1843" spans="15:22" x14ac:dyDescent="0.25">
      <c r="O1843" s="74"/>
      <c r="P1843" s="74"/>
      <c r="Q1843" s="74"/>
      <c r="R1843" s="74"/>
      <c r="V1843" s="72"/>
    </row>
    <row r="1844" spans="15:22" x14ac:dyDescent="0.25">
      <c r="O1844" s="74"/>
      <c r="P1844" s="74"/>
      <c r="Q1844" s="74"/>
      <c r="R1844" s="74"/>
      <c r="V1844" s="72"/>
    </row>
    <row r="1845" spans="15:22" x14ac:dyDescent="0.25">
      <c r="O1845" s="74"/>
      <c r="P1845" s="74"/>
      <c r="Q1845" s="74"/>
      <c r="R1845" s="74"/>
      <c r="V1845" s="72"/>
    </row>
    <row r="1846" spans="15:22" x14ac:dyDescent="0.25">
      <c r="O1846" s="74"/>
      <c r="P1846" s="74"/>
      <c r="Q1846" s="74"/>
      <c r="R1846" s="74"/>
      <c r="V1846" s="72"/>
    </row>
    <row r="1847" spans="15:22" x14ac:dyDescent="0.25">
      <c r="O1847" s="74"/>
      <c r="P1847" s="74"/>
      <c r="Q1847" s="74"/>
      <c r="R1847" s="74"/>
      <c r="V1847" s="72"/>
    </row>
    <row r="1848" spans="15:22" x14ac:dyDescent="0.25">
      <c r="O1848" s="74"/>
      <c r="P1848" s="74"/>
      <c r="Q1848" s="74"/>
      <c r="R1848" s="74"/>
      <c r="V1848" s="72"/>
    </row>
    <row r="1849" spans="15:22" x14ac:dyDescent="0.25">
      <c r="O1849" s="74"/>
      <c r="P1849" s="74"/>
      <c r="Q1849" s="74"/>
      <c r="R1849" s="74"/>
      <c r="V1849" s="72"/>
    </row>
    <row r="1850" spans="15:22" x14ac:dyDescent="0.25">
      <c r="O1850" s="74"/>
      <c r="P1850" s="74"/>
      <c r="Q1850" s="74"/>
      <c r="R1850" s="74"/>
      <c r="V1850" s="72"/>
    </row>
    <row r="1851" spans="15:22" x14ac:dyDescent="0.25">
      <c r="O1851" s="74"/>
      <c r="P1851" s="74"/>
      <c r="Q1851" s="74"/>
      <c r="R1851" s="74"/>
      <c r="V1851" s="72"/>
    </row>
    <row r="1852" spans="15:22" x14ac:dyDescent="0.25">
      <c r="O1852" s="74"/>
      <c r="P1852" s="74"/>
      <c r="Q1852" s="74"/>
      <c r="R1852" s="74"/>
      <c r="V1852" s="72"/>
    </row>
    <row r="1853" spans="15:22" x14ac:dyDescent="0.25">
      <c r="O1853" s="74"/>
      <c r="P1853" s="74"/>
      <c r="Q1853" s="74"/>
      <c r="R1853" s="74"/>
      <c r="V1853" s="72"/>
    </row>
    <row r="1854" spans="15:22" x14ac:dyDescent="0.25">
      <c r="O1854" s="74"/>
      <c r="P1854" s="74"/>
      <c r="Q1854" s="74"/>
      <c r="R1854" s="74"/>
      <c r="V1854" s="72"/>
    </row>
    <row r="1855" spans="15:22" x14ac:dyDescent="0.25">
      <c r="O1855" s="74"/>
      <c r="P1855" s="74"/>
      <c r="Q1855" s="74"/>
      <c r="R1855" s="74"/>
      <c r="V1855" s="72"/>
    </row>
    <row r="1856" spans="15:22" x14ac:dyDescent="0.25">
      <c r="O1856" s="74"/>
      <c r="P1856" s="74"/>
      <c r="Q1856" s="74"/>
      <c r="R1856" s="74"/>
      <c r="V1856" s="72"/>
    </row>
    <row r="1857" spans="15:22" x14ac:dyDescent="0.25">
      <c r="O1857" s="74"/>
      <c r="P1857" s="74"/>
      <c r="Q1857" s="74"/>
      <c r="R1857" s="74"/>
      <c r="V1857" s="72"/>
    </row>
    <row r="1858" spans="15:22" x14ac:dyDescent="0.25">
      <c r="O1858" s="74"/>
      <c r="P1858" s="74"/>
      <c r="Q1858" s="74"/>
      <c r="R1858" s="74"/>
      <c r="V1858" s="72"/>
    </row>
    <row r="1859" spans="15:22" x14ac:dyDescent="0.25">
      <c r="O1859" s="74"/>
      <c r="P1859" s="74"/>
      <c r="Q1859" s="74"/>
      <c r="R1859" s="74"/>
      <c r="V1859" s="72"/>
    </row>
    <row r="1860" spans="15:22" x14ac:dyDescent="0.25">
      <c r="O1860" s="74"/>
      <c r="P1860" s="74"/>
      <c r="Q1860" s="74"/>
      <c r="R1860" s="74"/>
      <c r="V1860" s="72"/>
    </row>
    <row r="1861" spans="15:22" x14ac:dyDescent="0.25">
      <c r="O1861" s="74"/>
      <c r="P1861" s="74"/>
      <c r="Q1861" s="74"/>
      <c r="R1861" s="74"/>
      <c r="V1861" s="72"/>
    </row>
    <row r="1862" spans="15:22" x14ac:dyDescent="0.25">
      <c r="O1862" s="74"/>
      <c r="P1862" s="74"/>
      <c r="Q1862" s="74"/>
      <c r="R1862" s="74"/>
      <c r="V1862" s="72"/>
    </row>
    <row r="1863" spans="15:22" x14ac:dyDescent="0.25">
      <c r="O1863" s="74"/>
      <c r="P1863" s="74"/>
      <c r="Q1863" s="74"/>
      <c r="R1863" s="74"/>
      <c r="V1863" s="72"/>
    </row>
    <row r="1864" spans="15:22" x14ac:dyDescent="0.25">
      <c r="O1864" s="74"/>
      <c r="P1864" s="74"/>
      <c r="Q1864" s="74"/>
      <c r="R1864" s="74"/>
      <c r="V1864" s="72"/>
    </row>
    <row r="1865" spans="15:22" x14ac:dyDescent="0.25">
      <c r="O1865" s="74"/>
      <c r="P1865" s="74"/>
      <c r="Q1865" s="74"/>
      <c r="R1865" s="74"/>
      <c r="V1865" s="72"/>
    </row>
    <row r="1866" spans="15:22" x14ac:dyDescent="0.25">
      <c r="O1866" s="74"/>
      <c r="P1866" s="74"/>
      <c r="Q1866" s="74"/>
      <c r="R1866" s="74"/>
      <c r="V1866" s="72"/>
    </row>
    <row r="1867" spans="15:22" x14ac:dyDescent="0.25">
      <c r="O1867" s="74"/>
      <c r="P1867" s="74"/>
      <c r="Q1867" s="74"/>
      <c r="R1867" s="74"/>
      <c r="V1867" s="72"/>
    </row>
    <row r="1868" spans="15:22" x14ac:dyDescent="0.25">
      <c r="O1868" s="74"/>
      <c r="P1868" s="74"/>
      <c r="Q1868" s="74"/>
      <c r="R1868" s="74"/>
      <c r="V1868" s="72"/>
    </row>
    <row r="1869" spans="15:22" x14ac:dyDescent="0.25">
      <c r="O1869" s="74"/>
      <c r="P1869" s="74"/>
      <c r="Q1869" s="74"/>
      <c r="R1869" s="74"/>
      <c r="V1869" s="72"/>
    </row>
    <row r="1870" spans="15:22" x14ac:dyDescent="0.25">
      <c r="O1870" s="74"/>
      <c r="P1870" s="74"/>
      <c r="Q1870" s="74"/>
      <c r="R1870" s="74"/>
      <c r="V1870" s="72"/>
    </row>
    <row r="1871" spans="15:22" x14ac:dyDescent="0.25">
      <c r="O1871" s="74"/>
      <c r="P1871" s="74"/>
      <c r="Q1871" s="74"/>
      <c r="R1871" s="74"/>
      <c r="V1871" s="72"/>
    </row>
    <row r="1872" spans="15:22" x14ac:dyDescent="0.25">
      <c r="O1872" s="74"/>
      <c r="P1872" s="74"/>
      <c r="Q1872" s="74"/>
      <c r="R1872" s="74"/>
      <c r="V1872" s="72"/>
    </row>
    <row r="1873" spans="15:22" x14ac:dyDescent="0.25">
      <c r="O1873" s="74"/>
      <c r="P1873" s="74"/>
      <c r="Q1873" s="74"/>
      <c r="R1873" s="74"/>
      <c r="V1873" s="72"/>
    </row>
    <row r="1874" spans="15:22" x14ac:dyDescent="0.25">
      <c r="O1874" s="74"/>
      <c r="P1874" s="74"/>
      <c r="Q1874" s="74"/>
      <c r="R1874" s="74"/>
      <c r="V1874" s="72"/>
    </row>
    <row r="1875" spans="15:22" x14ac:dyDescent="0.25">
      <c r="O1875" s="74"/>
      <c r="P1875" s="74"/>
      <c r="Q1875" s="74"/>
      <c r="R1875" s="74"/>
      <c r="V1875" s="72"/>
    </row>
    <row r="1876" spans="15:22" x14ac:dyDescent="0.25">
      <c r="O1876" s="74"/>
      <c r="P1876" s="74"/>
      <c r="Q1876" s="74"/>
      <c r="R1876" s="74"/>
      <c r="V1876" s="72"/>
    </row>
    <row r="1877" spans="15:22" x14ac:dyDescent="0.25">
      <c r="O1877" s="74"/>
      <c r="P1877" s="74"/>
      <c r="Q1877" s="74"/>
      <c r="R1877" s="74"/>
      <c r="V1877" s="72"/>
    </row>
    <row r="1878" spans="15:22" x14ac:dyDescent="0.25">
      <c r="O1878" s="74"/>
      <c r="P1878" s="74"/>
      <c r="Q1878" s="74"/>
      <c r="R1878" s="74"/>
      <c r="V1878" s="72"/>
    </row>
    <row r="1879" spans="15:22" x14ac:dyDescent="0.25">
      <c r="O1879" s="74"/>
      <c r="P1879" s="74"/>
      <c r="Q1879" s="74"/>
      <c r="R1879" s="74"/>
      <c r="V1879" s="72"/>
    </row>
    <row r="1880" spans="15:22" x14ac:dyDescent="0.25">
      <c r="O1880" s="74"/>
      <c r="P1880" s="74"/>
      <c r="Q1880" s="74"/>
      <c r="R1880" s="74"/>
      <c r="V1880" s="72"/>
    </row>
    <row r="1881" spans="15:22" x14ac:dyDescent="0.25">
      <c r="O1881" s="74"/>
      <c r="P1881" s="74"/>
      <c r="Q1881" s="74"/>
      <c r="R1881" s="74"/>
      <c r="V1881" s="72"/>
    </row>
    <row r="1882" spans="15:22" x14ac:dyDescent="0.25">
      <c r="O1882" s="74"/>
      <c r="P1882" s="74"/>
      <c r="Q1882" s="74"/>
      <c r="R1882" s="74"/>
      <c r="V1882" s="72"/>
    </row>
    <row r="1883" spans="15:22" x14ac:dyDescent="0.25">
      <c r="O1883" s="74"/>
      <c r="P1883" s="74"/>
      <c r="Q1883" s="74"/>
      <c r="R1883" s="74"/>
      <c r="V1883" s="72"/>
    </row>
    <row r="1884" spans="15:22" x14ac:dyDescent="0.25">
      <c r="O1884" s="74"/>
      <c r="P1884" s="74"/>
      <c r="Q1884" s="74"/>
      <c r="R1884" s="74"/>
      <c r="V1884" s="72"/>
    </row>
    <row r="1885" spans="15:22" x14ac:dyDescent="0.25">
      <c r="O1885" s="74"/>
      <c r="P1885" s="74"/>
      <c r="Q1885" s="74"/>
      <c r="R1885" s="74"/>
      <c r="V1885" s="72"/>
    </row>
    <row r="1886" spans="15:22" x14ac:dyDescent="0.25">
      <c r="O1886" s="74"/>
      <c r="P1886" s="74"/>
      <c r="Q1886" s="74"/>
      <c r="R1886" s="74"/>
      <c r="V1886" s="72"/>
    </row>
    <row r="1887" spans="15:22" x14ac:dyDescent="0.25">
      <c r="O1887" s="74"/>
      <c r="P1887" s="74"/>
      <c r="Q1887" s="74"/>
      <c r="R1887" s="74"/>
      <c r="V1887" s="72"/>
    </row>
    <row r="1888" spans="15:22" x14ac:dyDescent="0.25">
      <c r="O1888" s="74"/>
      <c r="P1888" s="74"/>
      <c r="Q1888" s="74"/>
      <c r="R1888" s="74"/>
      <c r="V1888" s="72"/>
    </row>
    <row r="1889" spans="15:22" x14ac:dyDescent="0.25">
      <c r="O1889" s="74"/>
      <c r="P1889" s="74"/>
      <c r="Q1889" s="74"/>
      <c r="R1889" s="74"/>
      <c r="V1889" s="72"/>
    </row>
    <row r="1890" spans="15:22" x14ac:dyDescent="0.25">
      <c r="O1890" s="74"/>
      <c r="P1890" s="74"/>
      <c r="Q1890" s="74"/>
      <c r="R1890" s="74"/>
      <c r="V1890" s="72"/>
    </row>
    <row r="1891" spans="15:22" x14ac:dyDescent="0.25">
      <c r="O1891" s="74"/>
      <c r="P1891" s="74"/>
      <c r="Q1891" s="74"/>
      <c r="R1891" s="74"/>
      <c r="V1891" s="72"/>
    </row>
    <row r="1892" spans="15:22" x14ac:dyDescent="0.25">
      <c r="O1892" s="74"/>
      <c r="P1892" s="74"/>
      <c r="Q1892" s="74"/>
      <c r="R1892" s="74"/>
      <c r="V1892" s="72"/>
    </row>
    <row r="1893" spans="15:22" x14ac:dyDescent="0.25">
      <c r="O1893" s="74"/>
      <c r="P1893" s="74"/>
      <c r="Q1893" s="74"/>
      <c r="R1893" s="74"/>
      <c r="V1893" s="72"/>
    </row>
    <row r="1894" spans="15:22" x14ac:dyDescent="0.25">
      <c r="O1894" s="74"/>
      <c r="P1894" s="74"/>
      <c r="Q1894" s="74"/>
      <c r="R1894" s="74"/>
      <c r="V1894" s="72"/>
    </row>
    <row r="1895" spans="15:22" x14ac:dyDescent="0.25">
      <c r="O1895" s="74"/>
      <c r="P1895" s="74"/>
      <c r="Q1895" s="74"/>
      <c r="R1895" s="74"/>
      <c r="V1895" s="72"/>
    </row>
    <row r="1896" spans="15:22" x14ac:dyDescent="0.25">
      <c r="O1896" s="74"/>
      <c r="P1896" s="74"/>
      <c r="Q1896" s="74"/>
      <c r="R1896" s="74"/>
      <c r="V1896" s="72"/>
    </row>
    <row r="1897" spans="15:22" x14ac:dyDescent="0.25">
      <c r="O1897" s="74"/>
      <c r="P1897" s="74"/>
      <c r="Q1897" s="74"/>
      <c r="R1897" s="74"/>
      <c r="V1897" s="72"/>
    </row>
    <row r="1898" spans="15:22" x14ac:dyDescent="0.25">
      <c r="O1898" s="74"/>
      <c r="P1898" s="74"/>
      <c r="Q1898" s="74"/>
      <c r="R1898" s="74"/>
      <c r="V1898" s="72"/>
    </row>
    <row r="1899" spans="15:22" x14ac:dyDescent="0.25">
      <c r="O1899" s="74"/>
      <c r="P1899" s="74"/>
      <c r="Q1899" s="74"/>
      <c r="R1899" s="74"/>
      <c r="V1899" s="72"/>
    </row>
    <row r="1900" spans="15:22" x14ac:dyDescent="0.25">
      <c r="O1900" s="74"/>
      <c r="P1900" s="74"/>
      <c r="Q1900" s="74"/>
      <c r="R1900" s="74"/>
      <c r="V1900" s="72"/>
    </row>
    <row r="1901" spans="15:22" x14ac:dyDescent="0.25">
      <c r="O1901" s="74"/>
      <c r="P1901" s="74"/>
      <c r="Q1901" s="74"/>
      <c r="R1901" s="74"/>
      <c r="V1901" s="72"/>
    </row>
    <row r="1902" spans="15:22" x14ac:dyDescent="0.25">
      <c r="O1902" s="74"/>
      <c r="P1902" s="74"/>
      <c r="Q1902" s="74"/>
      <c r="R1902" s="74"/>
      <c r="V1902" s="72"/>
    </row>
    <row r="1903" spans="15:22" x14ac:dyDescent="0.25">
      <c r="O1903" s="74"/>
      <c r="P1903" s="74"/>
      <c r="Q1903" s="74"/>
      <c r="R1903" s="74"/>
      <c r="V1903" s="72"/>
    </row>
    <row r="1904" spans="15:22" x14ac:dyDescent="0.25">
      <c r="O1904" s="74"/>
      <c r="P1904" s="74"/>
      <c r="Q1904" s="74"/>
      <c r="R1904" s="74"/>
      <c r="V1904" s="72"/>
    </row>
    <row r="1905" spans="15:22" x14ac:dyDescent="0.25">
      <c r="O1905" s="74"/>
      <c r="P1905" s="74"/>
      <c r="Q1905" s="74"/>
      <c r="R1905" s="74"/>
      <c r="V1905" s="72"/>
    </row>
    <row r="1906" spans="15:22" x14ac:dyDescent="0.25">
      <c r="O1906" s="74"/>
      <c r="P1906" s="74"/>
      <c r="Q1906" s="74"/>
      <c r="R1906" s="74"/>
      <c r="V1906" s="72"/>
    </row>
    <row r="1907" spans="15:22" x14ac:dyDescent="0.25">
      <c r="O1907" s="74"/>
      <c r="P1907" s="74"/>
      <c r="Q1907" s="74"/>
      <c r="R1907" s="74"/>
      <c r="V1907" s="72"/>
    </row>
    <row r="1908" spans="15:22" x14ac:dyDescent="0.25">
      <c r="O1908" s="74"/>
      <c r="P1908" s="74"/>
      <c r="Q1908" s="74"/>
      <c r="R1908" s="74"/>
      <c r="V1908" s="72"/>
    </row>
    <row r="1909" spans="15:22" x14ac:dyDescent="0.25">
      <c r="O1909" s="74"/>
      <c r="P1909" s="74"/>
      <c r="Q1909" s="74"/>
      <c r="R1909" s="74"/>
      <c r="V1909" s="72"/>
    </row>
    <row r="1910" spans="15:22" x14ac:dyDescent="0.25">
      <c r="O1910" s="74"/>
      <c r="P1910" s="74"/>
      <c r="Q1910" s="74"/>
      <c r="R1910" s="74"/>
      <c r="V1910" s="72"/>
    </row>
    <row r="1911" spans="15:22" x14ac:dyDescent="0.25">
      <c r="O1911" s="74"/>
      <c r="P1911" s="74"/>
      <c r="Q1911" s="74"/>
      <c r="R1911" s="74"/>
      <c r="V1911" s="72"/>
    </row>
    <row r="1912" spans="15:22" x14ac:dyDescent="0.25">
      <c r="O1912" s="74"/>
      <c r="P1912" s="74"/>
      <c r="Q1912" s="74"/>
      <c r="R1912" s="74"/>
      <c r="V1912" s="72"/>
    </row>
    <row r="1913" spans="15:22" x14ac:dyDescent="0.25">
      <c r="O1913" s="74"/>
      <c r="P1913" s="74"/>
      <c r="Q1913" s="74"/>
      <c r="R1913" s="74"/>
      <c r="V1913" s="72"/>
    </row>
    <row r="1914" spans="15:22" x14ac:dyDescent="0.25">
      <c r="O1914" s="74"/>
      <c r="P1914" s="74"/>
      <c r="Q1914" s="74"/>
      <c r="R1914" s="74"/>
      <c r="V1914" s="72"/>
    </row>
    <row r="1915" spans="15:22" x14ac:dyDescent="0.25">
      <c r="O1915" s="74"/>
      <c r="P1915" s="74"/>
      <c r="Q1915" s="74"/>
      <c r="R1915" s="74"/>
      <c r="V1915" s="72"/>
    </row>
    <row r="1916" spans="15:22" x14ac:dyDescent="0.25">
      <c r="O1916" s="74"/>
      <c r="P1916" s="74"/>
      <c r="Q1916" s="74"/>
      <c r="R1916" s="74"/>
      <c r="V1916" s="72"/>
    </row>
    <row r="1917" spans="15:22" x14ac:dyDescent="0.25">
      <c r="O1917" s="74"/>
      <c r="P1917" s="74"/>
      <c r="Q1917" s="74"/>
      <c r="R1917" s="74"/>
      <c r="V1917" s="72"/>
    </row>
    <row r="1918" spans="15:22" x14ac:dyDescent="0.25">
      <c r="O1918" s="74"/>
      <c r="P1918" s="74"/>
      <c r="Q1918" s="74"/>
      <c r="R1918" s="74"/>
      <c r="V1918" s="72"/>
    </row>
    <row r="1919" spans="15:22" x14ac:dyDescent="0.25">
      <c r="O1919" s="74"/>
      <c r="P1919" s="74"/>
      <c r="Q1919" s="74"/>
      <c r="R1919" s="74"/>
      <c r="V1919" s="72"/>
    </row>
    <row r="1920" spans="15:22" x14ac:dyDescent="0.25">
      <c r="O1920" s="74"/>
      <c r="P1920" s="74"/>
      <c r="Q1920" s="74"/>
      <c r="R1920" s="74"/>
      <c r="V1920" s="72"/>
    </row>
    <row r="1921" spans="15:22" x14ac:dyDescent="0.25">
      <c r="O1921" s="74"/>
      <c r="P1921" s="74"/>
      <c r="Q1921" s="74"/>
      <c r="R1921" s="74"/>
      <c r="V1921" s="72"/>
    </row>
    <row r="1922" spans="15:22" x14ac:dyDescent="0.25">
      <c r="O1922" s="74"/>
      <c r="P1922" s="74"/>
      <c r="Q1922" s="74"/>
      <c r="R1922" s="74"/>
      <c r="V1922" s="72"/>
    </row>
    <row r="1923" spans="15:22" x14ac:dyDescent="0.25">
      <c r="O1923" s="74"/>
      <c r="P1923" s="74"/>
      <c r="Q1923" s="74"/>
      <c r="R1923" s="74"/>
      <c r="V1923" s="72"/>
    </row>
    <row r="1924" spans="15:22" x14ac:dyDescent="0.25">
      <c r="O1924" s="74"/>
      <c r="P1924" s="74"/>
      <c r="Q1924" s="74"/>
      <c r="R1924" s="74"/>
      <c r="V1924" s="72"/>
    </row>
    <row r="1925" spans="15:22" x14ac:dyDescent="0.25">
      <c r="O1925" s="74"/>
      <c r="P1925" s="74"/>
      <c r="Q1925" s="74"/>
      <c r="R1925" s="74"/>
      <c r="V1925" s="72"/>
    </row>
    <row r="1926" spans="15:22" x14ac:dyDescent="0.25">
      <c r="O1926" s="74"/>
      <c r="P1926" s="74"/>
      <c r="Q1926" s="74"/>
      <c r="R1926" s="74"/>
      <c r="V1926" s="72"/>
    </row>
    <row r="1927" spans="15:22" x14ac:dyDescent="0.25">
      <c r="O1927" s="74"/>
      <c r="P1927" s="74"/>
      <c r="Q1927" s="74"/>
      <c r="R1927" s="74"/>
      <c r="V1927" s="72"/>
    </row>
    <row r="1928" spans="15:22" x14ac:dyDescent="0.25">
      <c r="O1928" s="74"/>
      <c r="P1928" s="74"/>
      <c r="Q1928" s="74"/>
      <c r="R1928" s="74"/>
      <c r="V1928" s="72"/>
    </row>
    <row r="1929" spans="15:22" x14ac:dyDescent="0.25">
      <c r="O1929" s="74"/>
      <c r="P1929" s="74"/>
      <c r="Q1929" s="74"/>
      <c r="R1929" s="74"/>
      <c r="V1929" s="72"/>
    </row>
    <row r="1930" spans="15:22" x14ac:dyDescent="0.25">
      <c r="O1930" s="74"/>
      <c r="P1930" s="74"/>
      <c r="Q1930" s="74"/>
      <c r="R1930" s="74"/>
      <c r="V1930" s="72"/>
    </row>
    <row r="1931" spans="15:22" x14ac:dyDescent="0.25">
      <c r="O1931" s="74"/>
      <c r="P1931" s="74"/>
      <c r="Q1931" s="74"/>
      <c r="R1931" s="74"/>
      <c r="V1931" s="72"/>
    </row>
    <row r="1932" spans="15:22" x14ac:dyDescent="0.25">
      <c r="O1932" s="74"/>
      <c r="P1932" s="74"/>
      <c r="Q1932" s="74"/>
      <c r="R1932" s="74"/>
      <c r="V1932" s="72"/>
    </row>
    <row r="1933" spans="15:22" x14ac:dyDescent="0.25">
      <c r="O1933" s="74"/>
      <c r="P1933" s="74"/>
      <c r="Q1933" s="74"/>
      <c r="R1933" s="74"/>
      <c r="V1933" s="72"/>
    </row>
    <row r="1934" spans="15:22" x14ac:dyDescent="0.25">
      <c r="O1934" s="74"/>
      <c r="P1934" s="74"/>
      <c r="Q1934" s="74"/>
      <c r="R1934" s="74"/>
      <c r="V1934" s="72"/>
    </row>
    <row r="1935" spans="15:22" x14ac:dyDescent="0.25">
      <c r="O1935" s="74"/>
      <c r="P1935" s="74"/>
      <c r="Q1935" s="74"/>
      <c r="R1935" s="74"/>
      <c r="V1935" s="72"/>
    </row>
    <row r="1936" spans="15:22" x14ac:dyDescent="0.25">
      <c r="O1936" s="74"/>
      <c r="P1936" s="74"/>
      <c r="Q1936" s="74"/>
      <c r="R1936" s="74"/>
      <c r="V1936" s="72"/>
    </row>
    <row r="1937" spans="15:22" x14ac:dyDescent="0.25">
      <c r="O1937" s="74"/>
      <c r="P1937" s="74"/>
      <c r="Q1937" s="74"/>
      <c r="R1937" s="74"/>
      <c r="V1937" s="72"/>
    </row>
    <row r="1938" spans="15:22" x14ac:dyDescent="0.25">
      <c r="O1938" s="74"/>
      <c r="P1938" s="74"/>
      <c r="Q1938" s="74"/>
      <c r="R1938" s="74"/>
      <c r="V1938" s="72"/>
    </row>
    <row r="1939" spans="15:22" x14ac:dyDescent="0.25">
      <c r="O1939" s="74"/>
      <c r="P1939" s="74"/>
      <c r="Q1939" s="74"/>
      <c r="R1939" s="74"/>
      <c r="V1939" s="72"/>
    </row>
    <row r="1940" spans="15:22" x14ac:dyDescent="0.25">
      <c r="O1940" s="74"/>
      <c r="P1940" s="74"/>
      <c r="Q1940" s="74"/>
      <c r="R1940" s="74"/>
      <c r="V1940" s="72"/>
    </row>
    <row r="1941" spans="15:22" x14ac:dyDescent="0.25">
      <c r="O1941" s="74"/>
      <c r="P1941" s="74"/>
      <c r="Q1941" s="74"/>
      <c r="R1941" s="74"/>
      <c r="V1941" s="72"/>
    </row>
    <row r="1942" spans="15:22" x14ac:dyDescent="0.25">
      <c r="O1942" s="74"/>
      <c r="P1942" s="74"/>
      <c r="Q1942" s="74"/>
      <c r="R1942" s="74"/>
      <c r="V1942" s="72"/>
    </row>
    <row r="1943" spans="15:22" x14ac:dyDescent="0.25">
      <c r="O1943" s="74"/>
      <c r="P1943" s="74"/>
      <c r="Q1943" s="74"/>
      <c r="R1943" s="74"/>
      <c r="V1943" s="72"/>
    </row>
    <row r="1944" spans="15:22" x14ac:dyDescent="0.25">
      <c r="O1944" s="74"/>
      <c r="P1944" s="74"/>
      <c r="Q1944" s="74"/>
      <c r="R1944" s="74"/>
      <c r="V1944" s="72"/>
    </row>
    <row r="1945" spans="15:22" x14ac:dyDescent="0.25">
      <c r="O1945" s="74"/>
      <c r="P1945" s="74"/>
      <c r="Q1945" s="74"/>
      <c r="R1945" s="74"/>
      <c r="V1945" s="72"/>
    </row>
    <row r="1946" spans="15:22" x14ac:dyDescent="0.25">
      <c r="O1946" s="74"/>
      <c r="P1946" s="74"/>
      <c r="Q1946" s="74"/>
      <c r="R1946" s="74"/>
      <c r="V1946" s="72"/>
    </row>
    <row r="1947" spans="15:22" x14ac:dyDescent="0.25">
      <c r="O1947" s="74"/>
      <c r="P1947" s="74"/>
      <c r="Q1947" s="74"/>
      <c r="R1947" s="74"/>
      <c r="V1947" s="72"/>
    </row>
    <row r="1948" spans="15:22" x14ac:dyDescent="0.25">
      <c r="O1948" s="74"/>
      <c r="P1948" s="74"/>
      <c r="Q1948" s="74"/>
      <c r="R1948" s="74"/>
      <c r="V1948" s="72"/>
    </row>
    <row r="1949" spans="15:22" x14ac:dyDescent="0.25">
      <c r="O1949" s="74"/>
      <c r="P1949" s="74"/>
      <c r="Q1949" s="74"/>
      <c r="R1949" s="74"/>
      <c r="V1949" s="72"/>
    </row>
    <row r="1950" spans="15:22" x14ac:dyDescent="0.25">
      <c r="O1950" s="74"/>
      <c r="P1950" s="74"/>
      <c r="Q1950" s="74"/>
      <c r="R1950" s="74"/>
      <c r="V1950" s="72"/>
    </row>
    <row r="1951" spans="15:22" x14ac:dyDescent="0.25">
      <c r="O1951" s="74"/>
      <c r="P1951" s="74"/>
      <c r="Q1951" s="74"/>
      <c r="R1951" s="74"/>
      <c r="V1951" s="72"/>
    </row>
    <row r="1952" spans="15:22" x14ac:dyDescent="0.25">
      <c r="O1952" s="74"/>
      <c r="P1952" s="74"/>
      <c r="Q1952" s="74"/>
      <c r="R1952" s="74"/>
      <c r="V1952" s="72"/>
    </row>
    <row r="1953" spans="15:22" x14ac:dyDescent="0.25">
      <c r="O1953" s="74"/>
      <c r="P1953" s="74"/>
      <c r="Q1953" s="74"/>
      <c r="R1953" s="74"/>
      <c r="V1953" s="72"/>
    </row>
    <row r="1954" spans="15:22" x14ac:dyDescent="0.25">
      <c r="O1954" s="74"/>
      <c r="P1954" s="74"/>
      <c r="Q1954" s="74"/>
      <c r="R1954" s="74"/>
      <c r="V1954" s="72"/>
    </row>
    <row r="1955" spans="15:22" x14ac:dyDescent="0.25">
      <c r="O1955" s="74"/>
      <c r="P1955" s="74"/>
      <c r="Q1955" s="74"/>
      <c r="R1955" s="74"/>
      <c r="V1955" s="72"/>
    </row>
    <row r="1956" spans="15:22" x14ac:dyDescent="0.25">
      <c r="O1956" s="74"/>
      <c r="P1956" s="74"/>
      <c r="Q1956" s="74"/>
      <c r="R1956" s="74"/>
      <c r="V1956" s="72"/>
    </row>
    <row r="1957" spans="15:22" x14ac:dyDescent="0.25">
      <c r="O1957" s="74"/>
      <c r="P1957" s="74"/>
      <c r="Q1957" s="74"/>
      <c r="R1957" s="74"/>
      <c r="V1957" s="72"/>
    </row>
    <row r="1958" spans="15:22" x14ac:dyDescent="0.25">
      <c r="O1958" s="74"/>
      <c r="P1958" s="74"/>
      <c r="Q1958" s="74"/>
      <c r="R1958" s="74"/>
      <c r="V1958" s="72"/>
    </row>
    <row r="1959" spans="15:22" x14ac:dyDescent="0.25">
      <c r="O1959" s="74"/>
      <c r="P1959" s="74"/>
      <c r="Q1959" s="74"/>
      <c r="R1959" s="74"/>
      <c r="V1959" s="72"/>
    </row>
    <row r="1960" spans="15:22" x14ac:dyDescent="0.25">
      <c r="O1960" s="74"/>
      <c r="P1960" s="74"/>
      <c r="Q1960" s="74"/>
      <c r="R1960" s="74"/>
      <c r="V1960" s="72"/>
    </row>
    <row r="1961" spans="15:22" x14ac:dyDescent="0.25">
      <c r="O1961" s="74"/>
      <c r="P1961" s="74"/>
      <c r="Q1961" s="74"/>
      <c r="R1961" s="74"/>
      <c r="V1961" s="72"/>
    </row>
    <row r="1962" spans="15:22" x14ac:dyDescent="0.25">
      <c r="O1962" s="74"/>
      <c r="P1962" s="74"/>
      <c r="Q1962" s="74"/>
      <c r="R1962" s="74"/>
      <c r="V1962" s="72"/>
    </row>
    <row r="1963" spans="15:22" x14ac:dyDescent="0.25">
      <c r="O1963" s="74"/>
      <c r="P1963" s="74"/>
      <c r="Q1963" s="74"/>
      <c r="R1963" s="74"/>
      <c r="V1963" s="72"/>
    </row>
    <row r="1964" spans="15:22" x14ac:dyDescent="0.25">
      <c r="O1964" s="74"/>
      <c r="P1964" s="74"/>
      <c r="Q1964" s="74"/>
      <c r="R1964" s="74"/>
      <c r="V1964" s="72"/>
    </row>
    <row r="1965" spans="15:22" x14ac:dyDescent="0.25">
      <c r="O1965" s="74"/>
      <c r="P1965" s="74"/>
      <c r="Q1965" s="74"/>
      <c r="R1965" s="74"/>
      <c r="V1965" s="72"/>
    </row>
    <row r="1966" spans="15:22" x14ac:dyDescent="0.25">
      <c r="O1966" s="74"/>
      <c r="P1966" s="74"/>
      <c r="Q1966" s="74"/>
      <c r="R1966" s="74"/>
      <c r="V1966" s="72"/>
    </row>
    <row r="1967" spans="15:22" x14ac:dyDescent="0.25">
      <c r="O1967" s="74"/>
      <c r="P1967" s="74"/>
      <c r="Q1967" s="74"/>
      <c r="R1967" s="74"/>
      <c r="V1967" s="72"/>
    </row>
    <row r="1968" spans="15:22" x14ac:dyDescent="0.25">
      <c r="O1968" s="74"/>
      <c r="P1968" s="74"/>
      <c r="Q1968" s="74"/>
      <c r="R1968" s="74"/>
      <c r="V1968" s="72"/>
    </row>
    <row r="1969" spans="15:22" x14ac:dyDescent="0.25">
      <c r="O1969" s="74"/>
      <c r="P1969" s="74"/>
      <c r="Q1969" s="74"/>
      <c r="R1969" s="74"/>
      <c r="V1969" s="72"/>
    </row>
    <row r="1970" spans="15:22" x14ac:dyDescent="0.25">
      <c r="O1970" s="74"/>
      <c r="P1970" s="74"/>
      <c r="Q1970" s="74"/>
      <c r="R1970" s="74"/>
      <c r="V1970" s="72"/>
    </row>
    <row r="1971" spans="15:22" x14ac:dyDescent="0.25">
      <c r="O1971" s="74"/>
      <c r="P1971" s="74"/>
      <c r="Q1971" s="74"/>
      <c r="R1971" s="74"/>
      <c r="V1971" s="72"/>
    </row>
    <row r="1972" spans="15:22" x14ac:dyDescent="0.25">
      <c r="O1972" s="74"/>
      <c r="P1972" s="74"/>
      <c r="Q1972" s="74"/>
      <c r="R1972" s="74"/>
      <c r="V1972" s="72"/>
    </row>
    <row r="1973" spans="15:22" x14ac:dyDescent="0.25">
      <c r="O1973" s="74"/>
      <c r="P1973" s="74"/>
      <c r="Q1973" s="74"/>
      <c r="R1973" s="74"/>
      <c r="V1973" s="72"/>
    </row>
    <row r="1974" spans="15:22" x14ac:dyDescent="0.25">
      <c r="O1974" s="74"/>
      <c r="P1974" s="74"/>
      <c r="Q1974" s="74"/>
      <c r="R1974" s="74"/>
      <c r="V1974" s="72"/>
    </row>
    <row r="1975" spans="15:22" x14ac:dyDescent="0.25">
      <c r="O1975" s="74"/>
      <c r="P1975" s="74"/>
      <c r="Q1975" s="74"/>
      <c r="R1975" s="74"/>
      <c r="V1975" s="72"/>
    </row>
    <row r="1976" spans="15:22" x14ac:dyDescent="0.25">
      <c r="O1976" s="74"/>
      <c r="P1976" s="74"/>
      <c r="Q1976" s="74"/>
      <c r="R1976" s="74"/>
      <c r="V1976" s="72"/>
    </row>
    <row r="1977" spans="15:22" x14ac:dyDescent="0.25">
      <c r="O1977" s="74"/>
      <c r="P1977" s="74"/>
      <c r="Q1977" s="74"/>
      <c r="R1977" s="74"/>
      <c r="V1977" s="72"/>
    </row>
    <row r="1978" spans="15:22" x14ac:dyDescent="0.25">
      <c r="O1978" s="74"/>
      <c r="P1978" s="74"/>
      <c r="Q1978" s="74"/>
      <c r="R1978" s="74"/>
      <c r="V1978" s="72"/>
    </row>
    <row r="1979" spans="15:22" x14ac:dyDescent="0.25">
      <c r="O1979" s="74"/>
      <c r="P1979" s="74"/>
      <c r="Q1979" s="74"/>
      <c r="R1979" s="74"/>
      <c r="V1979" s="72"/>
    </row>
    <row r="1980" spans="15:22" x14ac:dyDescent="0.25">
      <c r="O1980" s="74"/>
      <c r="P1980" s="74"/>
      <c r="Q1980" s="74"/>
      <c r="R1980" s="74"/>
      <c r="V1980" s="72"/>
    </row>
    <row r="1981" spans="15:22" x14ac:dyDescent="0.25">
      <c r="O1981" s="74"/>
      <c r="P1981" s="74"/>
      <c r="Q1981" s="74"/>
      <c r="R1981" s="74"/>
      <c r="V1981" s="72"/>
    </row>
    <row r="1982" spans="15:22" x14ac:dyDescent="0.25">
      <c r="O1982" s="74"/>
      <c r="P1982" s="74"/>
      <c r="Q1982" s="74"/>
      <c r="R1982" s="74"/>
      <c r="V1982" s="72"/>
    </row>
    <row r="1983" spans="15:22" x14ac:dyDescent="0.25">
      <c r="O1983" s="74"/>
      <c r="P1983" s="74"/>
      <c r="Q1983" s="74"/>
      <c r="R1983" s="74"/>
      <c r="V1983" s="72"/>
    </row>
    <row r="1984" spans="15:22" x14ac:dyDescent="0.25">
      <c r="O1984" s="74"/>
      <c r="P1984" s="74"/>
      <c r="Q1984" s="74"/>
      <c r="R1984" s="74"/>
      <c r="V1984" s="72"/>
    </row>
    <row r="1985" spans="15:22" x14ac:dyDescent="0.25">
      <c r="O1985" s="74"/>
      <c r="P1985" s="74"/>
      <c r="Q1985" s="74"/>
      <c r="R1985" s="74"/>
      <c r="V1985" s="72"/>
    </row>
    <row r="1986" spans="15:22" x14ac:dyDescent="0.25">
      <c r="O1986" s="74"/>
      <c r="P1986" s="74"/>
      <c r="Q1986" s="74"/>
      <c r="R1986" s="74"/>
      <c r="V1986" s="72"/>
    </row>
    <row r="1987" spans="15:22" x14ac:dyDescent="0.25">
      <c r="O1987" s="74"/>
      <c r="P1987" s="74"/>
      <c r="Q1987" s="74"/>
      <c r="R1987" s="74"/>
      <c r="V1987" s="72"/>
    </row>
    <row r="1988" spans="15:22" x14ac:dyDescent="0.25">
      <c r="O1988" s="74"/>
      <c r="P1988" s="74"/>
      <c r="Q1988" s="74"/>
      <c r="R1988" s="74"/>
      <c r="V1988" s="72"/>
    </row>
    <row r="1989" spans="15:22" x14ac:dyDescent="0.25">
      <c r="O1989" s="74"/>
      <c r="P1989" s="74"/>
      <c r="Q1989" s="74"/>
      <c r="R1989" s="74"/>
      <c r="V1989" s="72"/>
    </row>
    <row r="1990" spans="15:22" x14ac:dyDescent="0.25">
      <c r="O1990" s="74"/>
      <c r="P1990" s="74"/>
      <c r="Q1990" s="74"/>
      <c r="R1990" s="74"/>
      <c r="V1990" s="72"/>
    </row>
    <row r="1991" spans="15:22" x14ac:dyDescent="0.25">
      <c r="O1991" s="74"/>
      <c r="P1991" s="74"/>
      <c r="Q1991" s="74"/>
      <c r="R1991" s="74"/>
      <c r="V1991" s="72"/>
    </row>
    <row r="1992" spans="15:22" x14ac:dyDescent="0.25">
      <c r="O1992" s="74"/>
      <c r="P1992" s="74"/>
      <c r="Q1992" s="74"/>
      <c r="R1992" s="74"/>
      <c r="V1992" s="72"/>
    </row>
    <row r="1993" spans="15:22" x14ac:dyDescent="0.25">
      <c r="O1993" s="74"/>
      <c r="P1993" s="74"/>
      <c r="Q1993" s="74"/>
      <c r="R1993" s="74"/>
      <c r="V1993" s="72"/>
    </row>
    <row r="1994" spans="15:22" x14ac:dyDescent="0.25">
      <c r="O1994" s="74"/>
      <c r="P1994" s="74"/>
      <c r="Q1994" s="74"/>
      <c r="R1994" s="74"/>
      <c r="V1994" s="72"/>
    </row>
    <row r="1995" spans="15:22" x14ac:dyDescent="0.25">
      <c r="O1995" s="74"/>
      <c r="P1995" s="74"/>
      <c r="Q1995" s="74"/>
      <c r="R1995" s="74"/>
      <c r="V1995" s="72"/>
    </row>
    <row r="1996" spans="15:22" x14ac:dyDescent="0.25">
      <c r="O1996" s="74"/>
      <c r="P1996" s="74"/>
      <c r="Q1996" s="74"/>
      <c r="R1996" s="74"/>
      <c r="V1996" s="72"/>
    </row>
    <row r="1997" spans="15:22" x14ac:dyDescent="0.25">
      <c r="O1997" s="74"/>
      <c r="P1997" s="74"/>
      <c r="Q1997" s="74"/>
      <c r="R1997" s="74"/>
      <c r="V1997" s="72"/>
    </row>
    <row r="1998" spans="15:22" x14ac:dyDescent="0.25">
      <c r="O1998" s="74"/>
      <c r="P1998" s="74"/>
      <c r="Q1998" s="74"/>
      <c r="R1998" s="74"/>
      <c r="V1998" s="72"/>
    </row>
    <row r="1999" spans="15:22" x14ac:dyDescent="0.25">
      <c r="O1999" s="74"/>
      <c r="P1999" s="74"/>
      <c r="Q1999" s="74"/>
      <c r="R1999" s="74"/>
      <c r="V1999" s="72"/>
    </row>
    <row r="2000" spans="15:22" x14ac:dyDescent="0.25">
      <c r="O2000" s="74"/>
      <c r="P2000" s="74"/>
      <c r="Q2000" s="74"/>
      <c r="R2000" s="74"/>
      <c r="V2000" s="72"/>
    </row>
    <row r="2001" spans="15:22" x14ac:dyDescent="0.25">
      <c r="O2001" s="74"/>
      <c r="P2001" s="74"/>
      <c r="Q2001" s="74"/>
      <c r="R2001" s="74"/>
      <c r="V2001" s="72"/>
    </row>
    <row r="2002" spans="15:22" x14ac:dyDescent="0.25">
      <c r="O2002" s="74"/>
      <c r="P2002" s="74"/>
      <c r="Q2002" s="74"/>
      <c r="R2002" s="74"/>
      <c r="V2002" s="72"/>
    </row>
    <row r="2003" spans="15:22" x14ac:dyDescent="0.25">
      <c r="O2003" s="74"/>
      <c r="P2003" s="74"/>
      <c r="Q2003" s="74"/>
      <c r="R2003" s="74"/>
      <c r="V2003" s="72"/>
    </row>
    <row r="2004" spans="15:22" x14ac:dyDescent="0.25">
      <c r="O2004" s="74"/>
      <c r="P2004" s="74"/>
      <c r="Q2004" s="74"/>
      <c r="R2004" s="74"/>
      <c r="V2004" s="72"/>
    </row>
    <row r="2005" spans="15:22" x14ac:dyDescent="0.25">
      <c r="O2005" s="74"/>
      <c r="P2005" s="74"/>
      <c r="Q2005" s="74"/>
      <c r="R2005" s="74"/>
      <c r="V2005" s="72"/>
    </row>
    <row r="2006" spans="15:22" x14ac:dyDescent="0.25">
      <c r="O2006" s="74"/>
      <c r="P2006" s="74"/>
      <c r="Q2006" s="74"/>
      <c r="R2006" s="74"/>
      <c r="V2006" s="72"/>
    </row>
    <row r="2007" spans="15:22" x14ac:dyDescent="0.25">
      <c r="O2007" s="74"/>
      <c r="P2007" s="74"/>
      <c r="Q2007" s="74"/>
      <c r="R2007" s="74"/>
      <c r="V2007" s="72"/>
    </row>
    <row r="2008" spans="15:22" x14ac:dyDescent="0.25">
      <c r="O2008" s="74"/>
      <c r="P2008" s="74"/>
      <c r="Q2008" s="74"/>
      <c r="R2008" s="74"/>
      <c r="V2008" s="72"/>
    </row>
    <row r="2009" spans="15:22" x14ac:dyDescent="0.25">
      <c r="O2009" s="74"/>
      <c r="P2009" s="74"/>
      <c r="Q2009" s="74"/>
      <c r="R2009" s="74"/>
      <c r="V2009" s="72"/>
    </row>
    <row r="2010" spans="15:22" x14ac:dyDescent="0.25">
      <c r="O2010" s="74"/>
      <c r="P2010" s="74"/>
      <c r="Q2010" s="74"/>
      <c r="R2010" s="74"/>
      <c r="V2010" s="72"/>
    </row>
    <row r="2011" spans="15:22" x14ac:dyDescent="0.25">
      <c r="O2011" s="74"/>
      <c r="P2011" s="74"/>
      <c r="Q2011" s="74"/>
      <c r="R2011" s="74"/>
      <c r="V2011" s="72"/>
    </row>
    <row r="2012" spans="15:22" x14ac:dyDescent="0.25">
      <c r="O2012" s="74"/>
      <c r="P2012" s="74"/>
      <c r="Q2012" s="74"/>
      <c r="R2012" s="74"/>
      <c r="V2012" s="72"/>
    </row>
    <row r="2013" spans="15:22" x14ac:dyDescent="0.25">
      <c r="O2013" s="74"/>
      <c r="P2013" s="74"/>
      <c r="Q2013" s="74"/>
      <c r="R2013" s="74"/>
      <c r="V2013" s="72"/>
    </row>
    <row r="2014" spans="15:22" x14ac:dyDescent="0.25">
      <c r="O2014" s="74"/>
      <c r="P2014" s="74"/>
      <c r="Q2014" s="74"/>
      <c r="R2014" s="74"/>
      <c r="V2014" s="72"/>
    </row>
    <row r="2015" spans="15:22" x14ac:dyDescent="0.25">
      <c r="O2015" s="74"/>
      <c r="P2015" s="74"/>
      <c r="Q2015" s="74"/>
      <c r="R2015" s="74"/>
      <c r="V2015" s="72"/>
    </row>
    <row r="2016" spans="15:22" x14ac:dyDescent="0.25">
      <c r="O2016" s="74"/>
      <c r="P2016" s="74"/>
      <c r="Q2016" s="74"/>
      <c r="R2016" s="74"/>
      <c r="V2016" s="72"/>
    </row>
    <row r="2017" spans="15:22" x14ac:dyDescent="0.25">
      <c r="O2017" s="74"/>
      <c r="P2017" s="74"/>
      <c r="Q2017" s="74"/>
      <c r="R2017" s="74"/>
      <c r="V2017" s="72"/>
    </row>
    <row r="2018" spans="15:22" x14ac:dyDescent="0.25">
      <c r="O2018" s="74"/>
      <c r="P2018" s="74"/>
      <c r="Q2018" s="74"/>
      <c r="R2018" s="74"/>
      <c r="V2018" s="72"/>
    </row>
    <row r="2019" spans="15:22" x14ac:dyDescent="0.25">
      <c r="O2019" s="74"/>
      <c r="P2019" s="74"/>
      <c r="Q2019" s="74"/>
      <c r="R2019" s="74"/>
      <c r="V2019" s="72"/>
    </row>
    <row r="2020" spans="15:22" x14ac:dyDescent="0.25">
      <c r="O2020" s="74"/>
      <c r="P2020" s="74"/>
      <c r="Q2020" s="74"/>
      <c r="R2020" s="74"/>
      <c r="V2020" s="72"/>
    </row>
    <row r="2021" spans="15:22" x14ac:dyDescent="0.25">
      <c r="O2021" s="74"/>
      <c r="P2021" s="74"/>
      <c r="Q2021" s="74"/>
      <c r="R2021" s="74"/>
      <c r="V2021" s="72"/>
    </row>
    <row r="2022" spans="15:22" x14ac:dyDescent="0.25">
      <c r="O2022" s="74"/>
      <c r="P2022" s="74"/>
      <c r="Q2022" s="74"/>
      <c r="R2022" s="74"/>
      <c r="V2022" s="72"/>
    </row>
    <row r="2023" spans="15:22" x14ac:dyDescent="0.25">
      <c r="O2023" s="74"/>
      <c r="P2023" s="74"/>
      <c r="Q2023" s="74"/>
      <c r="R2023" s="74"/>
      <c r="V2023" s="72"/>
    </row>
    <row r="2024" spans="15:22" x14ac:dyDescent="0.25">
      <c r="O2024" s="74"/>
      <c r="P2024" s="74"/>
      <c r="Q2024" s="74"/>
      <c r="R2024" s="74"/>
      <c r="V2024" s="72"/>
    </row>
    <row r="2025" spans="15:22" x14ac:dyDescent="0.25">
      <c r="O2025" s="74"/>
      <c r="P2025" s="74"/>
      <c r="Q2025" s="74"/>
      <c r="R2025" s="74"/>
      <c r="V2025" s="72"/>
    </row>
    <row r="2026" spans="15:22" x14ac:dyDescent="0.25">
      <c r="O2026" s="74"/>
      <c r="P2026" s="74"/>
      <c r="Q2026" s="74"/>
      <c r="R2026" s="74"/>
      <c r="V2026" s="72"/>
    </row>
    <row r="2027" spans="15:22" x14ac:dyDescent="0.25">
      <c r="O2027" s="74"/>
      <c r="P2027" s="74"/>
      <c r="Q2027" s="74"/>
      <c r="R2027" s="74"/>
      <c r="V2027" s="72"/>
    </row>
    <row r="2028" spans="15:22" x14ac:dyDescent="0.25">
      <c r="O2028" s="74"/>
      <c r="P2028" s="74"/>
      <c r="Q2028" s="74"/>
      <c r="R2028" s="74"/>
      <c r="V2028" s="72"/>
    </row>
    <row r="2029" spans="15:22" x14ac:dyDescent="0.25">
      <c r="O2029" s="74"/>
      <c r="P2029" s="74"/>
      <c r="Q2029" s="74"/>
      <c r="R2029" s="74"/>
      <c r="V2029" s="72"/>
    </row>
    <row r="2030" spans="15:22" x14ac:dyDescent="0.25">
      <c r="O2030" s="74"/>
      <c r="P2030" s="74"/>
      <c r="Q2030" s="74"/>
      <c r="R2030" s="74"/>
      <c r="V2030" s="72"/>
    </row>
    <row r="2031" spans="15:22" x14ac:dyDescent="0.25">
      <c r="O2031" s="74"/>
      <c r="P2031" s="74"/>
      <c r="Q2031" s="74"/>
      <c r="R2031" s="74"/>
      <c r="V2031" s="72"/>
    </row>
    <row r="2032" spans="15:22" x14ac:dyDescent="0.25">
      <c r="O2032" s="74"/>
      <c r="P2032" s="74"/>
      <c r="Q2032" s="74"/>
      <c r="R2032" s="74"/>
      <c r="V2032" s="72"/>
    </row>
    <row r="2033" spans="15:22" x14ac:dyDescent="0.25">
      <c r="O2033" s="74"/>
      <c r="P2033" s="74"/>
      <c r="Q2033" s="74"/>
      <c r="R2033" s="74"/>
      <c r="V2033" s="72"/>
    </row>
    <row r="2034" spans="15:22" x14ac:dyDescent="0.25">
      <c r="O2034" s="74"/>
      <c r="P2034" s="74"/>
      <c r="Q2034" s="74"/>
      <c r="R2034" s="74"/>
      <c r="V2034" s="72"/>
    </row>
    <row r="2035" spans="15:22" x14ac:dyDescent="0.25">
      <c r="O2035" s="74"/>
      <c r="P2035" s="74"/>
      <c r="Q2035" s="74"/>
      <c r="R2035" s="74"/>
      <c r="V2035" s="72"/>
    </row>
    <row r="2036" spans="15:22" x14ac:dyDescent="0.25">
      <c r="O2036" s="74"/>
      <c r="P2036" s="74"/>
      <c r="Q2036" s="74"/>
      <c r="R2036" s="74"/>
      <c r="V2036" s="72"/>
    </row>
    <row r="2037" spans="15:22" x14ac:dyDescent="0.25">
      <c r="O2037" s="74"/>
      <c r="P2037" s="74"/>
      <c r="Q2037" s="74"/>
      <c r="R2037" s="74"/>
      <c r="V2037" s="72"/>
    </row>
    <row r="2038" spans="15:22" x14ac:dyDescent="0.25">
      <c r="O2038" s="74"/>
      <c r="P2038" s="74"/>
      <c r="Q2038" s="74"/>
      <c r="R2038" s="74"/>
      <c r="V2038" s="72"/>
    </row>
    <row r="2039" spans="15:22" x14ac:dyDescent="0.25">
      <c r="O2039" s="74"/>
      <c r="P2039" s="74"/>
      <c r="Q2039" s="74"/>
      <c r="R2039" s="74"/>
      <c r="V2039" s="72"/>
    </row>
    <row r="2040" spans="15:22" x14ac:dyDescent="0.25">
      <c r="O2040" s="74"/>
      <c r="P2040" s="74"/>
      <c r="Q2040" s="74"/>
      <c r="R2040" s="74"/>
      <c r="V2040" s="72"/>
    </row>
    <row r="2041" spans="15:22" x14ac:dyDescent="0.25">
      <c r="O2041" s="74"/>
      <c r="P2041" s="74"/>
      <c r="Q2041" s="74"/>
      <c r="R2041" s="74"/>
      <c r="V2041" s="72"/>
    </row>
    <row r="2042" spans="15:22" x14ac:dyDescent="0.25">
      <c r="O2042" s="74"/>
      <c r="P2042" s="74"/>
      <c r="Q2042" s="74"/>
      <c r="R2042" s="74"/>
      <c r="V2042" s="72"/>
    </row>
    <row r="2043" spans="15:22" x14ac:dyDescent="0.25">
      <c r="O2043" s="74"/>
      <c r="P2043" s="74"/>
      <c r="Q2043" s="74"/>
      <c r="R2043" s="74"/>
      <c r="V2043" s="72"/>
    </row>
    <row r="2044" spans="15:22" x14ac:dyDescent="0.25">
      <c r="O2044" s="74"/>
      <c r="P2044" s="74"/>
      <c r="Q2044" s="74"/>
      <c r="R2044" s="74"/>
      <c r="V2044" s="72"/>
    </row>
    <row r="2045" spans="15:22" x14ac:dyDescent="0.25">
      <c r="O2045" s="74"/>
      <c r="P2045" s="74"/>
      <c r="Q2045" s="74"/>
      <c r="R2045" s="74"/>
      <c r="V2045" s="72"/>
    </row>
    <row r="2046" spans="15:22" x14ac:dyDescent="0.25">
      <c r="O2046" s="74"/>
      <c r="P2046" s="74"/>
      <c r="Q2046" s="74"/>
      <c r="R2046" s="74"/>
      <c r="V2046" s="72"/>
    </row>
    <row r="2047" spans="15:22" x14ac:dyDescent="0.25">
      <c r="O2047" s="74"/>
      <c r="P2047" s="74"/>
      <c r="Q2047" s="74"/>
      <c r="R2047" s="74"/>
      <c r="V2047" s="72"/>
    </row>
    <row r="2048" spans="15:22" x14ac:dyDescent="0.25">
      <c r="O2048" s="74"/>
      <c r="P2048" s="74"/>
      <c r="Q2048" s="74"/>
      <c r="R2048" s="74"/>
      <c r="V2048" s="72"/>
    </row>
    <row r="2049" spans="15:22" x14ac:dyDescent="0.25">
      <c r="O2049" s="74"/>
      <c r="P2049" s="74"/>
      <c r="Q2049" s="74"/>
      <c r="R2049" s="74"/>
      <c r="V2049" s="72"/>
    </row>
    <row r="2050" spans="15:22" x14ac:dyDescent="0.25">
      <c r="O2050" s="74"/>
      <c r="P2050" s="74"/>
      <c r="Q2050" s="74"/>
      <c r="R2050" s="74"/>
      <c r="V2050" s="72"/>
    </row>
    <row r="2051" spans="15:22" x14ac:dyDescent="0.25">
      <c r="O2051" s="74"/>
      <c r="P2051" s="74"/>
      <c r="Q2051" s="74"/>
      <c r="R2051" s="74"/>
      <c r="V2051" s="72"/>
    </row>
    <row r="2052" spans="15:22" x14ac:dyDescent="0.25">
      <c r="O2052" s="74"/>
      <c r="P2052" s="74"/>
      <c r="Q2052" s="74"/>
      <c r="R2052" s="74"/>
      <c r="V2052" s="72"/>
    </row>
    <row r="2053" spans="15:22" x14ac:dyDescent="0.25">
      <c r="O2053" s="74"/>
      <c r="P2053" s="74"/>
      <c r="Q2053" s="74"/>
      <c r="R2053" s="74"/>
      <c r="V2053" s="72"/>
    </row>
    <row r="2054" spans="15:22" x14ac:dyDescent="0.25">
      <c r="O2054" s="74"/>
      <c r="P2054" s="74"/>
      <c r="Q2054" s="74"/>
      <c r="R2054" s="74"/>
      <c r="V2054" s="72"/>
    </row>
    <row r="2055" spans="15:22" x14ac:dyDescent="0.25">
      <c r="O2055" s="74"/>
      <c r="P2055" s="74"/>
      <c r="Q2055" s="74"/>
      <c r="R2055" s="74"/>
      <c r="V2055" s="72"/>
    </row>
    <row r="2056" spans="15:22" x14ac:dyDescent="0.25">
      <c r="O2056" s="74"/>
      <c r="P2056" s="74"/>
      <c r="Q2056" s="74"/>
      <c r="R2056" s="74"/>
      <c r="V2056" s="72"/>
    </row>
    <row r="2057" spans="15:22" x14ac:dyDescent="0.25">
      <c r="O2057" s="74"/>
      <c r="P2057" s="74"/>
      <c r="Q2057" s="74"/>
      <c r="R2057" s="74"/>
      <c r="V2057" s="72"/>
    </row>
    <row r="2058" spans="15:22" x14ac:dyDescent="0.25">
      <c r="O2058" s="74"/>
      <c r="P2058" s="74"/>
      <c r="Q2058" s="74"/>
      <c r="R2058" s="74"/>
      <c r="V2058" s="72"/>
    </row>
    <row r="2059" spans="15:22" x14ac:dyDescent="0.25">
      <c r="O2059" s="74"/>
      <c r="P2059" s="74"/>
      <c r="Q2059" s="74"/>
      <c r="R2059" s="74"/>
      <c r="V2059" s="72"/>
    </row>
    <row r="2060" spans="15:22" x14ac:dyDescent="0.25">
      <c r="O2060" s="74"/>
      <c r="P2060" s="74"/>
      <c r="Q2060" s="74"/>
      <c r="R2060" s="74"/>
      <c r="V2060" s="72"/>
    </row>
    <row r="2061" spans="15:22" x14ac:dyDescent="0.25">
      <c r="O2061" s="74"/>
      <c r="P2061" s="74"/>
      <c r="Q2061" s="74"/>
      <c r="R2061" s="74"/>
      <c r="V2061" s="72"/>
    </row>
    <row r="2062" spans="15:22" x14ac:dyDescent="0.25">
      <c r="O2062" s="74"/>
      <c r="P2062" s="74"/>
      <c r="Q2062" s="74"/>
      <c r="R2062" s="74"/>
      <c r="V2062" s="72"/>
    </row>
    <row r="2063" spans="15:22" x14ac:dyDescent="0.25">
      <c r="O2063" s="74"/>
      <c r="P2063" s="74"/>
      <c r="Q2063" s="74"/>
      <c r="R2063" s="74"/>
      <c r="V2063" s="72"/>
    </row>
    <row r="2064" spans="15:22" x14ac:dyDescent="0.25">
      <c r="O2064" s="74"/>
      <c r="P2064" s="74"/>
      <c r="Q2064" s="74"/>
      <c r="R2064" s="74"/>
      <c r="V2064" s="72"/>
    </row>
    <row r="2065" spans="15:22" x14ac:dyDescent="0.25">
      <c r="O2065" s="74"/>
      <c r="P2065" s="74"/>
      <c r="Q2065" s="74"/>
      <c r="R2065" s="74"/>
      <c r="V2065" s="72"/>
    </row>
    <row r="2066" spans="15:22" x14ac:dyDescent="0.25">
      <c r="O2066" s="74"/>
      <c r="P2066" s="74"/>
      <c r="Q2066" s="74"/>
      <c r="R2066" s="74"/>
      <c r="V2066" s="72"/>
    </row>
    <row r="2067" spans="15:22" x14ac:dyDescent="0.25">
      <c r="O2067" s="74"/>
      <c r="P2067" s="74"/>
      <c r="Q2067" s="74"/>
      <c r="R2067" s="74"/>
      <c r="V2067" s="72"/>
    </row>
    <row r="2068" spans="15:22" x14ac:dyDescent="0.25">
      <c r="O2068" s="74"/>
      <c r="P2068" s="74"/>
      <c r="Q2068" s="74"/>
      <c r="R2068" s="74"/>
      <c r="V2068" s="72"/>
    </row>
    <row r="2069" spans="15:22" x14ac:dyDescent="0.25">
      <c r="O2069" s="74"/>
      <c r="P2069" s="74"/>
      <c r="Q2069" s="74"/>
      <c r="R2069" s="74"/>
      <c r="V2069" s="72"/>
    </row>
    <row r="2070" spans="15:22" x14ac:dyDescent="0.25">
      <c r="O2070" s="74"/>
      <c r="P2070" s="74"/>
      <c r="Q2070" s="74"/>
      <c r="R2070" s="74"/>
      <c r="V2070" s="72"/>
    </row>
    <row r="2071" spans="15:22" x14ac:dyDescent="0.25">
      <c r="O2071" s="74"/>
      <c r="P2071" s="74"/>
      <c r="Q2071" s="74"/>
      <c r="R2071" s="74"/>
      <c r="V2071" s="72"/>
    </row>
    <row r="2072" spans="15:22" x14ac:dyDescent="0.25">
      <c r="O2072" s="74"/>
      <c r="P2072" s="74"/>
      <c r="Q2072" s="74"/>
      <c r="R2072" s="74"/>
      <c r="V2072" s="72"/>
    </row>
    <row r="2073" spans="15:22" x14ac:dyDescent="0.25">
      <c r="O2073" s="74"/>
      <c r="P2073" s="74"/>
      <c r="Q2073" s="74"/>
      <c r="R2073" s="74"/>
      <c r="V2073" s="72"/>
    </row>
    <row r="2074" spans="15:22" x14ac:dyDescent="0.25">
      <c r="O2074" s="74"/>
      <c r="P2074" s="74"/>
      <c r="Q2074" s="74"/>
      <c r="R2074" s="74"/>
      <c r="V2074" s="72"/>
    </row>
    <row r="2075" spans="15:22" x14ac:dyDescent="0.25">
      <c r="O2075" s="74"/>
      <c r="P2075" s="74"/>
      <c r="Q2075" s="74"/>
      <c r="R2075" s="74"/>
      <c r="V2075" s="72"/>
    </row>
    <row r="2076" spans="15:22" x14ac:dyDescent="0.25">
      <c r="O2076" s="74"/>
      <c r="P2076" s="74"/>
      <c r="Q2076" s="74"/>
      <c r="R2076" s="74"/>
      <c r="V2076" s="72"/>
    </row>
    <row r="2077" spans="15:22" x14ac:dyDescent="0.25">
      <c r="O2077" s="74"/>
      <c r="P2077" s="74"/>
      <c r="Q2077" s="74"/>
      <c r="R2077" s="74"/>
      <c r="V2077" s="72"/>
    </row>
    <row r="2078" spans="15:22" x14ac:dyDescent="0.25">
      <c r="O2078" s="74"/>
      <c r="P2078" s="74"/>
      <c r="Q2078" s="74"/>
      <c r="R2078" s="74"/>
      <c r="V2078" s="72"/>
    </row>
    <row r="2079" spans="15:22" x14ac:dyDescent="0.25">
      <c r="O2079" s="74"/>
      <c r="P2079" s="74"/>
      <c r="Q2079" s="74"/>
      <c r="R2079" s="74"/>
      <c r="V2079" s="72"/>
    </row>
    <row r="2080" spans="15:22" x14ac:dyDescent="0.25">
      <c r="O2080" s="74"/>
      <c r="P2080" s="74"/>
      <c r="Q2080" s="74"/>
      <c r="R2080" s="74"/>
      <c r="V2080" s="72"/>
    </row>
    <row r="2081" spans="15:22" x14ac:dyDescent="0.25">
      <c r="O2081" s="74"/>
      <c r="P2081" s="74"/>
      <c r="Q2081" s="74"/>
      <c r="R2081" s="74"/>
      <c r="V2081" s="72"/>
    </row>
    <row r="2082" spans="15:22" x14ac:dyDescent="0.25">
      <c r="O2082" s="74"/>
      <c r="P2082" s="74"/>
      <c r="Q2082" s="74"/>
      <c r="R2082" s="74"/>
      <c r="V2082" s="72"/>
    </row>
    <row r="2083" spans="15:22" x14ac:dyDescent="0.25">
      <c r="O2083" s="74"/>
      <c r="P2083" s="74"/>
      <c r="Q2083" s="74"/>
      <c r="R2083" s="74"/>
      <c r="V2083" s="72"/>
    </row>
    <row r="2084" spans="15:22" x14ac:dyDescent="0.25">
      <c r="O2084" s="74"/>
      <c r="P2084" s="74"/>
      <c r="Q2084" s="74"/>
      <c r="R2084" s="74"/>
      <c r="V2084" s="72"/>
    </row>
    <row r="2085" spans="15:22" x14ac:dyDescent="0.25">
      <c r="O2085" s="74"/>
      <c r="P2085" s="74"/>
      <c r="Q2085" s="74"/>
      <c r="R2085" s="74"/>
      <c r="V2085" s="72"/>
    </row>
    <row r="2086" spans="15:22" x14ac:dyDescent="0.25">
      <c r="O2086" s="74"/>
      <c r="P2086" s="74"/>
      <c r="Q2086" s="74"/>
      <c r="R2086" s="74"/>
      <c r="V2086" s="72"/>
    </row>
    <row r="2087" spans="15:22" x14ac:dyDescent="0.25">
      <c r="O2087" s="74"/>
      <c r="P2087" s="74"/>
      <c r="Q2087" s="74"/>
      <c r="R2087" s="74"/>
      <c r="V2087" s="72"/>
    </row>
    <row r="2088" spans="15:22" x14ac:dyDescent="0.25">
      <c r="O2088" s="74"/>
      <c r="P2088" s="74"/>
      <c r="Q2088" s="74"/>
      <c r="R2088" s="74"/>
      <c r="V2088" s="72"/>
    </row>
    <row r="2089" spans="15:22" x14ac:dyDescent="0.25">
      <c r="O2089" s="74"/>
      <c r="P2089" s="74"/>
      <c r="Q2089" s="74"/>
      <c r="R2089" s="74"/>
      <c r="V2089" s="72"/>
    </row>
    <row r="2090" spans="15:22" x14ac:dyDescent="0.25">
      <c r="O2090" s="74"/>
      <c r="P2090" s="74"/>
      <c r="Q2090" s="74"/>
      <c r="R2090" s="74"/>
      <c r="V2090" s="72"/>
    </row>
    <row r="2091" spans="15:22" x14ac:dyDescent="0.25">
      <c r="O2091" s="74"/>
      <c r="P2091" s="74"/>
      <c r="Q2091" s="74"/>
      <c r="R2091" s="74"/>
      <c r="V2091" s="72"/>
    </row>
    <row r="2092" spans="15:22" x14ac:dyDescent="0.25">
      <c r="O2092" s="74"/>
      <c r="P2092" s="74"/>
      <c r="Q2092" s="74"/>
      <c r="R2092" s="74"/>
      <c r="V2092" s="72"/>
    </row>
    <row r="2093" spans="15:22" x14ac:dyDescent="0.25">
      <c r="O2093" s="74"/>
      <c r="P2093" s="74"/>
      <c r="Q2093" s="74"/>
      <c r="R2093" s="74"/>
      <c r="V2093" s="72"/>
    </row>
    <row r="2094" spans="15:22" x14ac:dyDescent="0.25">
      <c r="O2094" s="74"/>
      <c r="P2094" s="74"/>
      <c r="Q2094" s="74"/>
      <c r="R2094" s="74"/>
      <c r="V2094" s="72"/>
    </row>
    <row r="2095" spans="15:22" x14ac:dyDescent="0.25">
      <c r="O2095" s="74"/>
      <c r="P2095" s="74"/>
      <c r="Q2095" s="74"/>
      <c r="R2095" s="74"/>
      <c r="V2095" s="72"/>
    </row>
    <row r="2096" spans="15:22" x14ac:dyDescent="0.25">
      <c r="O2096" s="74"/>
      <c r="P2096" s="74"/>
      <c r="Q2096" s="74"/>
      <c r="R2096" s="74"/>
      <c r="V2096" s="72"/>
    </row>
    <row r="2097" spans="15:22" x14ac:dyDescent="0.25">
      <c r="O2097" s="74"/>
      <c r="P2097" s="74"/>
      <c r="Q2097" s="74"/>
      <c r="R2097" s="74"/>
      <c r="V2097" s="72"/>
    </row>
    <row r="2098" spans="15:22" x14ac:dyDescent="0.25">
      <c r="O2098" s="74"/>
      <c r="P2098" s="74"/>
      <c r="Q2098" s="74"/>
      <c r="R2098" s="74"/>
      <c r="V2098" s="72"/>
    </row>
    <row r="2099" spans="15:22" x14ac:dyDescent="0.25">
      <c r="O2099" s="74"/>
      <c r="P2099" s="74"/>
      <c r="Q2099" s="74"/>
      <c r="R2099" s="74"/>
      <c r="V2099" s="72"/>
    </row>
    <row r="2100" spans="15:22" x14ac:dyDescent="0.25">
      <c r="O2100" s="74"/>
      <c r="P2100" s="74"/>
      <c r="Q2100" s="74"/>
      <c r="R2100" s="74"/>
      <c r="V2100" s="72"/>
    </row>
    <row r="2101" spans="15:22" x14ac:dyDescent="0.25">
      <c r="O2101" s="74"/>
      <c r="P2101" s="74"/>
      <c r="Q2101" s="74"/>
      <c r="R2101" s="74"/>
      <c r="V2101" s="72"/>
    </row>
    <row r="2102" spans="15:22" x14ac:dyDescent="0.25">
      <c r="O2102" s="74"/>
      <c r="P2102" s="74"/>
      <c r="Q2102" s="74"/>
      <c r="R2102" s="74"/>
      <c r="V2102" s="72"/>
    </row>
    <row r="2103" spans="15:22" x14ac:dyDescent="0.25">
      <c r="O2103" s="74"/>
      <c r="P2103" s="74"/>
      <c r="Q2103" s="74"/>
      <c r="R2103" s="74"/>
      <c r="V2103" s="72"/>
    </row>
    <row r="2104" spans="15:22" x14ac:dyDescent="0.25">
      <c r="O2104" s="74"/>
      <c r="P2104" s="74"/>
      <c r="Q2104" s="74"/>
      <c r="R2104" s="74"/>
      <c r="V2104" s="72"/>
    </row>
    <row r="2105" spans="15:22" x14ac:dyDescent="0.25">
      <c r="O2105" s="74"/>
      <c r="P2105" s="74"/>
      <c r="Q2105" s="74"/>
      <c r="R2105" s="74"/>
      <c r="V2105" s="72"/>
    </row>
    <row r="2106" spans="15:22" x14ac:dyDescent="0.25">
      <c r="O2106" s="74"/>
      <c r="P2106" s="74"/>
      <c r="Q2106" s="74"/>
      <c r="R2106" s="74"/>
      <c r="V2106" s="72"/>
    </row>
    <row r="2107" spans="15:22" x14ac:dyDescent="0.25">
      <c r="O2107" s="74"/>
      <c r="P2107" s="74"/>
      <c r="Q2107" s="74"/>
      <c r="R2107" s="74"/>
      <c r="V2107" s="72"/>
    </row>
    <row r="2108" spans="15:22" x14ac:dyDescent="0.25">
      <c r="O2108" s="74"/>
      <c r="P2108" s="74"/>
      <c r="Q2108" s="74"/>
      <c r="R2108" s="74"/>
      <c r="V2108" s="72"/>
    </row>
    <row r="2109" spans="15:22" x14ac:dyDescent="0.25">
      <c r="O2109" s="74"/>
      <c r="P2109" s="74"/>
      <c r="Q2109" s="74"/>
      <c r="R2109" s="74"/>
      <c r="V2109" s="72"/>
    </row>
    <row r="2110" spans="15:22" x14ac:dyDescent="0.25">
      <c r="O2110" s="74"/>
      <c r="P2110" s="74"/>
      <c r="Q2110" s="74"/>
      <c r="R2110" s="74"/>
      <c r="V2110" s="72"/>
    </row>
    <row r="2111" spans="15:22" x14ac:dyDescent="0.25">
      <c r="O2111" s="74"/>
      <c r="P2111" s="74"/>
      <c r="Q2111" s="74"/>
      <c r="R2111" s="74"/>
      <c r="V2111" s="72"/>
    </row>
    <row r="2112" spans="15:22" x14ac:dyDescent="0.25">
      <c r="O2112" s="74"/>
      <c r="P2112" s="74"/>
      <c r="Q2112" s="74"/>
      <c r="R2112" s="74"/>
      <c r="V2112" s="72"/>
    </row>
    <row r="2113" spans="15:22" x14ac:dyDescent="0.25">
      <c r="O2113" s="74"/>
      <c r="P2113" s="74"/>
      <c r="Q2113" s="74"/>
      <c r="R2113" s="74"/>
      <c r="V2113" s="72"/>
    </row>
    <row r="2114" spans="15:22" x14ac:dyDescent="0.25">
      <c r="O2114" s="74"/>
      <c r="P2114" s="74"/>
      <c r="Q2114" s="74"/>
      <c r="R2114" s="74"/>
      <c r="V2114" s="72"/>
    </row>
    <row r="2115" spans="15:22" x14ac:dyDescent="0.25">
      <c r="O2115" s="74"/>
      <c r="P2115" s="74"/>
      <c r="Q2115" s="74"/>
      <c r="R2115" s="74"/>
      <c r="V2115" s="72"/>
    </row>
    <row r="2116" spans="15:22" x14ac:dyDescent="0.25">
      <c r="O2116" s="74"/>
      <c r="P2116" s="74"/>
      <c r="Q2116" s="74"/>
      <c r="R2116" s="74"/>
      <c r="V2116" s="72"/>
    </row>
    <row r="2117" spans="15:22" x14ac:dyDescent="0.25">
      <c r="O2117" s="74"/>
      <c r="P2117" s="74"/>
      <c r="Q2117" s="74"/>
      <c r="R2117" s="74"/>
      <c r="V2117" s="72"/>
    </row>
    <row r="2118" spans="15:22" x14ac:dyDescent="0.25">
      <c r="O2118" s="74"/>
      <c r="P2118" s="74"/>
      <c r="Q2118" s="74"/>
      <c r="R2118" s="74"/>
      <c r="V2118" s="72"/>
    </row>
    <row r="2119" spans="15:22" x14ac:dyDescent="0.25">
      <c r="O2119" s="74"/>
      <c r="P2119" s="74"/>
      <c r="Q2119" s="74"/>
      <c r="R2119" s="74"/>
      <c r="V2119" s="72"/>
    </row>
    <row r="2120" spans="15:22" x14ac:dyDescent="0.25">
      <c r="O2120" s="74"/>
      <c r="P2120" s="74"/>
      <c r="Q2120" s="74"/>
      <c r="R2120" s="74"/>
      <c r="V2120" s="72"/>
    </row>
    <row r="2121" spans="15:22" x14ac:dyDescent="0.25">
      <c r="O2121" s="74"/>
      <c r="P2121" s="74"/>
      <c r="Q2121" s="74"/>
      <c r="R2121" s="74"/>
      <c r="V2121" s="72"/>
    </row>
    <row r="2122" spans="15:22" x14ac:dyDescent="0.25">
      <c r="O2122" s="74"/>
      <c r="P2122" s="74"/>
      <c r="Q2122" s="74"/>
      <c r="R2122" s="74"/>
      <c r="V2122" s="72"/>
    </row>
    <row r="2123" spans="15:22" x14ac:dyDescent="0.25">
      <c r="O2123" s="74"/>
      <c r="P2123" s="74"/>
      <c r="Q2123" s="74"/>
      <c r="R2123" s="74"/>
      <c r="V2123" s="72"/>
    </row>
    <row r="2124" spans="15:22" x14ac:dyDescent="0.25">
      <c r="O2124" s="74"/>
      <c r="P2124" s="74"/>
      <c r="Q2124" s="74"/>
      <c r="R2124" s="74"/>
      <c r="V2124" s="72"/>
    </row>
    <row r="2125" spans="15:22" x14ac:dyDescent="0.25">
      <c r="O2125" s="74"/>
      <c r="P2125" s="74"/>
      <c r="Q2125" s="74"/>
      <c r="R2125" s="74"/>
      <c r="V2125" s="72"/>
    </row>
    <row r="2126" spans="15:22" x14ac:dyDescent="0.25">
      <c r="O2126" s="74"/>
      <c r="P2126" s="74"/>
      <c r="Q2126" s="74"/>
      <c r="R2126" s="74"/>
      <c r="V2126" s="72"/>
    </row>
    <row r="2127" spans="15:22" x14ac:dyDescent="0.25">
      <c r="O2127" s="74"/>
      <c r="P2127" s="74"/>
      <c r="Q2127" s="74"/>
      <c r="R2127" s="74"/>
      <c r="V2127" s="72"/>
    </row>
    <row r="2128" spans="15:22" x14ac:dyDescent="0.25">
      <c r="O2128" s="74"/>
      <c r="P2128" s="74"/>
      <c r="Q2128" s="74"/>
      <c r="R2128" s="74"/>
      <c r="V2128" s="72"/>
    </row>
    <row r="2129" spans="15:22" x14ac:dyDescent="0.25">
      <c r="O2129" s="74"/>
      <c r="P2129" s="74"/>
      <c r="Q2129" s="74"/>
      <c r="R2129" s="74"/>
      <c r="V2129" s="72"/>
    </row>
    <row r="2130" spans="15:22" x14ac:dyDescent="0.25">
      <c r="O2130" s="74"/>
      <c r="P2130" s="74"/>
      <c r="Q2130" s="74"/>
      <c r="R2130" s="74"/>
      <c r="V2130" s="72"/>
    </row>
    <row r="2131" spans="15:22" x14ac:dyDescent="0.25">
      <c r="O2131" s="74"/>
      <c r="P2131" s="74"/>
      <c r="Q2131" s="74"/>
      <c r="R2131" s="74"/>
      <c r="V2131" s="72"/>
    </row>
    <row r="2132" spans="15:22" x14ac:dyDescent="0.25">
      <c r="O2132" s="74"/>
      <c r="P2132" s="74"/>
      <c r="Q2132" s="74"/>
      <c r="R2132" s="74"/>
      <c r="V2132" s="72"/>
    </row>
    <row r="2133" spans="15:22" x14ac:dyDescent="0.25">
      <c r="O2133" s="74"/>
      <c r="P2133" s="74"/>
      <c r="Q2133" s="74"/>
      <c r="R2133" s="74"/>
      <c r="V2133" s="72"/>
    </row>
    <row r="2134" spans="15:22" x14ac:dyDescent="0.25">
      <c r="O2134" s="74"/>
      <c r="P2134" s="74"/>
      <c r="Q2134" s="74"/>
      <c r="R2134" s="74"/>
      <c r="V2134" s="72"/>
    </row>
    <row r="2135" spans="15:22" x14ac:dyDescent="0.25">
      <c r="O2135" s="74"/>
      <c r="P2135" s="74"/>
      <c r="Q2135" s="74"/>
      <c r="R2135" s="74"/>
      <c r="V2135" s="72"/>
    </row>
    <row r="2136" spans="15:22" x14ac:dyDescent="0.25">
      <c r="O2136" s="74"/>
      <c r="P2136" s="74"/>
      <c r="Q2136" s="74"/>
      <c r="R2136" s="74"/>
      <c r="V2136" s="72"/>
    </row>
    <row r="2137" spans="15:22" x14ac:dyDescent="0.25">
      <c r="O2137" s="74"/>
      <c r="P2137" s="74"/>
      <c r="Q2137" s="74"/>
      <c r="R2137" s="74"/>
      <c r="V2137" s="72"/>
    </row>
    <row r="2138" spans="15:22" x14ac:dyDescent="0.25">
      <c r="O2138" s="74"/>
      <c r="P2138" s="74"/>
      <c r="Q2138" s="74"/>
      <c r="R2138" s="74"/>
      <c r="V2138" s="72"/>
    </row>
    <row r="2139" spans="15:22" x14ac:dyDescent="0.25">
      <c r="O2139" s="74"/>
      <c r="P2139" s="74"/>
      <c r="Q2139" s="74"/>
      <c r="R2139" s="74"/>
      <c r="V2139" s="72"/>
    </row>
    <row r="2140" spans="15:22" x14ac:dyDescent="0.25">
      <c r="O2140" s="74"/>
      <c r="P2140" s="74"/>
      <c r="Q2140" s="74"/>
      <c r="R2140" s="74"/>
      <c r="V2140" s="72"/>
    </row>
    <row r="2141" spans="15:22" x14ac:dyDescent="0.25">
      <c r="O2141" s="74"/>
      <c r="P2141" s="74"/>
      <c r="Q2141" s="74"/>
      <c r="R2141" s="74"/>
      <c r="V2141" s="72"/>
    </row>
    <row r="2142" spans="15:22" x14ac:dyDescent="0.25">
      <c r="O2142" s="74"/>
      <c r="P2142" s="74"/>
      <c r="Q2142" s="74"/>
      <c r="R2142" s="74"/>
      <c r="V2142" s="72"/>
    </row>
    <row r="2143" spans="15:22" x14ac:dyDescent="0.25">
      <c r="O2143" s="74"/>
      <c r="P2143" s="74"/>
      <c r="Q2143" s="74"/>
      <c r="R2143" s="74"/>
      <c r="V2143" s="72"/>
    </row>
    <row r="2144" spans="15:22" x14ac:dyDescent="0.25">
      <c r="O2144" s="74"/>
      <c r="P2144" s="74"/>
      <c r="Q2144" s="74"/>
      <c r="R2144" s="74"/>
      <c r="V2144" s="72"/>
    </row>
    <row r="2145" spans="15:22" x14ac:dyDescent="0.25">
      <c r="O2145" s="74"/>
      <c r="P2145" s="74"/>
      <c r="Q2145" s="74"/>
      <c r="R2145" s="74"/>
      <c r="V2145" s="72"/>
    </row>
    <row r="2146" spans="15:22" x14ac:dyDescent="0.25">
      <c r="O2146" s="74"/>
      <c r="P2146" s="74"/>
      <c r="Q2146" s="74"/>
      <c r="R2146" s="74"/>
      <c r="V2146" s="72"/>
    </row>
    <row r="2147" spans="15:22" x14ac:dyDescent="0.25">
      <c r="O2147" s="74"/>
      <c r="P2147" s="74"/>
      <c r="Q2147" s="74"/>
      <c r="R2147" s="74"/>
      <c r="V2147" s="72"/>
    </row>
    <row r="2148" spans="15:22" x14ac:dyDescent="0.25">
      <c r="O2148" s="74"/>
      <c r="P2148" s="74"/>
      <c r="Q2148" s="74"/>
      <c r="R2148" s="74"/>
      <c r="V2148" s="72"/>
    </row>
    <row r="2149" spans="15:22" x14ac:dyDescent="0.25">
      <c r="O2149" s="74"/>
      <c r="P2149" s="74"/>
      <c r="Q2149" s="74"/>
      <c r="R2149" s="74"/>
      <c r="V2149" s="72"/>
    </row>
    <row r="2150" spans="15:22" x14ac:dyDescent="0.25">
      <c r="O2150" s="74"/>
      <c r="P2150" s="74"/>
      <c r="Q2150" s="74"/>
      <c r="R2150" s="74"/>
      <c r="V2150" s="72"/>
    </row>
    <row r="2151" spans="15:22" x14ac:dyDescent="0.25">
      <c r="O2151" s="74"/>
      <c r="P2151" s="74"/>
      <c r="Q2151" s="74"/>
      <c r="R2151" s="74"/>
      <c r="V2151" s="72"/>
    </row>
    <row r="2152" spans="15:22" x14ac:dyDescent="0.25">
      <c r="O2152" s="74"/>
      <c r="P2152" s="74"/>
      <c r="Q2152" s="74"/>
      <c r="R2152" s="74"/>
      <c r="V2152" s="72"/>
    </row>
    <row r="2153" spans="15:22" x14ac:dyDescent="0.25">
      <c r="O2153" s="74"/>
      <c r="P2153" s="74"/>
      <c r="Q2153" s="74"/>
      <c r="R2153" s="74"/>
      <c r="V2153" s="72"/>
    </row>
    <row r="2154" spans="15:22" x14ac:dyDescent="0.25">
      <c r="O2154" s="74"/>
      <c r="P2154" s="74"/>
      <c r="Q2154" s="74"/>
      <c r="R2154" s="74"/>
      <c r="V2154" s="72"/>
    </row>
    <row r="2155" spans="15:22" x14ac:dyDescent="0.25">
      <c r="O2155" s="74"/>
      <c r="P2155" s="74"/>
      <c r="Q2155" s="74"/>
      <c r="R2155" s="74"/>
      <c r="V2155" s="72"/>
    </row>
    <row r="2156" spans="15:22" x14ac:dyDescent="0.25">
      <c r="O2156" s="74"/>
      <c r="P2156" s="74"/>
      <c r="Q2156" s="74"/>
      <c r="R2156" s="74"/>
      <c r="V2156" s="72"/>
    </row>
    <row r="2157" spans="15:22" x14ac:dyDescent="0.25">
      <c r="O2157" s="74"/>
      <c r="P2157" s="74"/>
      <c r="Q2157" s="74"/>
      <c r="R2157" s="74"/>
      <c r="V2157" s="72"/>
    </row>
    <row r="2158" spans="15:22" x14ac:dyDescent="0.25">
      <c r="O2158" s="74"/>
      <c r="P2158" s="74"/>
      <c r="Q2158" s="74"/>
      <c r="R2158" s="74"/>
      <c r="V2158" s="72"/>
    </row>
    <row r="2159" spans="15:22" x14ac:dyDescent="0.25">
      <c r="O2159" s="74"/>
      <c r="P2159" s="74"/>
      <c r="Q2159" s="74"/>
      <c r="R2159" s="74"/>
      <c r="V2159" s="72"/>
    </row>
    <row r="2160" spans="15:22" x14ac:dyDescent="0.25">
      <c r="O2160" s="74"/>
      <c r="P2160" s="74"/>
      <c r="Q2160" s="74"/>
      <c r="R2160" s="74"/>
      <c r="V2160" s="72"/>
    </row>
    <row r="2161" spans="15:22" x14ac:dyDescent="0.25">
      <c r="O2161" s="74"/>
      <c r="P2161" s="74"/>
      <c r="Q2161" s="74"/>
      <c r="R2161" s="74"/>
      <c r="V2161" s="72"/>
    </row>
    <row r="2162" spans="15:22" x14ac:dyDescent="0.25">
      <c r="O2162" s="74"/>
      <c r="P2162" s="74"/>
      <c r="Q2162" s="74"/>
      <c r="R2162" s="74"/>
      <c r="V2162" s="72"/>
    </row>
    <row r="2163" spans="15:22" x14ac:dyDescent="0.25">
      <c r="O2163" s="74"/>
      <c r="P2163" s="74"/>
      <c r="Q2163" s="74"/>
      <c r="R2163" s="74"/>
      <c r="V2163" s="72"/>
    </row>
    <row r="2164" spans="15:22" x14ac:dyDescent="0.25">
      <c r="O2164" s="74"/>
      <c r="P2164" s="74"/>
      <c r="Q2164" s="74"/>
      <c r="R2164" s="74"/>
      <c r="V2164" s="72"/>
    </row>
    <row r="2165" spans="15:22" x14ac:dyDescent="0.25">
      <c r="O2165" s="74"/>
      <c r="P2165" s="74"/>
      <c r="Q2165" s="74"/>
      <c r="R2165" s="74"/>
      <c r="V2165" s="72"/>
    </row>
    <row r="2166" spans="15:22" x14ac:dyDescent="0.25">
      <c r="O2166" s="74"/>
      <c r="P2166" s="74"/>
      <c r="Q2166" s="74"/>
      <c r="R2166" s="74"/>
      <c r="V2166" s="72"/>
    </row>
    <row r="2167" spans="15:22" x14ac:dyDescent="0.25">
      <c r="O2167" s="74"/>
      <c r="P2167" s="74"/>
      <c r="Q2167" s="74"/>
      <c r="R2167" s="74"/>
      <c r="V2167" s="72"/>
    </row>
    <row r="2168" spans="15:22" x14ac:dyDescent="0.25">
      <c r="O2168" s="74"/>
      <c r="P2168" s="74"/>
      <c r="Q2168" s="74"/>
      <c r="R2168" s="74"/>
      <c r="V2168" s="72"/>
    </row>
    <row r="2169" spans="15:22" x14ac:dyDescent="0.25">
      <c r="O2169" s="74"/>
      <c r="P2169" s="74"/>
      <c r="Q2169" s="74"/>
      <c r="R2169" s="74"/>
      <c r="V2169" s="72"/>
    </row>
    <row r="2170" spans="15:22" x14ac:dyDescent="0.25">
      <c r="O2170" s="74"/>
      <c r="P2170" s="74"/>
      <c r="Q2170" s="74"/>
      <c r="R2170" s="74"/>
      <c r="V2170" s="72"/>
    </row>
    <row r="2171" spans="15:22" x14ac:dyDescent="0.25">
      <c r="O2171" s="74"/>
      <c r="P2171" s="74"/>
      <c r="Q2171" s="74"/>
      <c r="R2171" s="74"/>
      <c r="V2171" s="72"/>
    </row>
    <row r="2172" spans="15:22" x14ac:dyDescent="0.25">
      <c r="O2172" s="74"/>
      <c r="P2172" s="74"/>
      <c r="Q2172" s="74"/>
      <c r="R2172" s="74"/>
      <c r="V2172" s="72"/>
    </row>
    <row r="2173" spans="15:22" x14ac:dyDescent="0.25">
      <c r="O2173" s="74"/>
      <c r="P2173" s="74"/>
      <c r="Q2173" s="74"/>
      <c r="R2173" s="74"/>
      <c r="V2173" s="72"/>
    </row>
    <row r="2174" spans="15:22" x14ac:dyDescent="0.25">
      <c r="O2174" s="74"/>
      <c r="P2174" s="74"/>
      <c r="Q2174" s="74"/>
      <c r="R2174" s="74"/>
      <c r="V2174" s="72"/>
    </row>
    <row r="2175" spans="15:22" x14ac:dyDescent="0.25">
      <c r="O2175" s="74"/>
      <c r="P2175" s="74"/>
      <c r="Q2175" s="74"/>
      <c r="R2175" s="74"/>
      <c r="V2175" s="72"/>
    </row>
    <row r="2176" spans="15:22" x14ac:dyDescent="0.25">
      <c r="O2176" s="74"/>
      <c r="P2176" s="74"/>
      <c r="Q2176" s="74"/>
      <c r="R2176" s="74"/>
      <c r="V2176" s="72"/>
    </row>
    <row r="2177" spans="15:22" x14ac:dyDescent="0.25">
      <c r="O2177" s="74"/>
      <c r="P2177" s="74"/>
      <c r="Q2177" s="74"/>
      <c r="R2177" s="74"/>
      <c r="V2177" s="72"/>
    </row>
    <row r="2178" spans="15:22" x14ac:dyDescent="0.25">
      <c r="O2178" s="74"/>
      <c r="P2178" s="74"/>
      <c r="Q2178" s="74"/>
      <c r="R2178" s="74"/>
      <c r="V2178" s="72"/>
    </row>
    <row r="2179" spans="15:22" x14ac:dyDescent="0.25">
      <c r="O2179" s="74"/>
      <c r="P2179" s="74"/>
      <c r="Q2179" s="74"/>
      <c r="R2179" s="74"/>
      <c r="V2179" s="72"/>
    </row>
    <row r="2180" spans="15:22" x14ac:dyDescent="0.25">
      <c r="O2180" s="74"/>
      <c r="P2180" s="74"/>
      <c r="Q2180" s="74"/>
      <c r="R2180" s="74"/>
      <c r="V2180" s="72"/>
    </row>
    <row r="2181" spans="15:22" x14ac:dyDescent="0.25">
      <c r="O2181" s="74"/>
      <c r="P2181" s="74"/>
      <c r="Q2181" s="74"/>
      <c r="R2181" s="74"/>
      <c r="V2181" s="72"/>
    </row>
    <row r="2182" spans="15:22" x14ac:dyDescent="0.25">
      <c r="O2182" s="74"/>
      <c r="P2182" s="74"/>
      <c r="Q2182" s="74"/>
      <c r="R2182" s="74"/>
      <c r="V2182" s="72"/>
    </row>
    <row r="2183" spans="15:22" x14ac:dyDescent="0.25">
      <c r="O2183" s="74"/>
      <c r="P2183" s="74"/>
      <c r="Q2183" s="74"/>
      <c r="R2183" s="74"/>
      <c r="V2183" s="72"/>
    </row>
    <row r="2184" spans="15:22" x14ac:dyDescent="0.25">
      <c r="O2184" s="74"/>
      <c r="P2184" s="74"/>
      <c r="Q2184" s="74"/>
      <c r="R2184" s="74"/>
      <c r="V2184" s="72"/>
    </row>
    <row r="2185" spans="15:22" x14ac:dyDescent="0.25">
      <c r="O2185" s="74"/>
      <c r="P2185" s="74"/>
      <c r="Q2185" s="74"/>
      <c r="R2185" s="74"/>
      <c r="V2185" s="72"/>
    </row>
    <row r="2186" spans="15:22" x14ac:dyDescent="0.25">
      <c r="O2186" s="74"/>
      <c r="P2186" s="74"/>
      <c r="Q2186" s="74"/>
      <c r="R2186" s="74"/>
      <c r="V2186" s="72"/>
    </row>
    <row r="2187" spans="15:22" x14ac:dyDescent="0.25">
      <c r="O2187" s="74"/>
      <c r="P2187" s="74"/>
      <c r="Q2187" s="74"/>
      <c r="R2187" s="74"/>
      <c r="V2187" s="72"/>
    </row>
    <row r="2188" spans="15:22" x14ac:dyDescent="0.25">
      <c r="O2188" s="74"/>
      <c r="P2188" s="74"/>
      <c r="Q2188" s="74"/>
      <c r="R2188" s="74"/>
      <c r="V2188" s="72"/>
    </row>
    <row r="2189" spans="15:22" x14ac:dyDescent="0.25">
      <c r="O2189" s="74"/>
      <c r="P2189" s="74"/>
      <c r="Q2189" s="74"/>
      <c r="R2189" s="74"/>
      <c r="V2189" s="72"/>
    </row>
    <row r="2190" spans="15:22" x14ac:dyDescent="0.25">
      <c r="O2190" s="74"/>
      <c r="P2190" s="74"/>
      <c r="Q2190" s="74"/>
      <c r="R2190" s="74"/>
      <c r="V2190" s="72"/>
    </row>
    <row r="2191" spans="15:22" x14ac:dyDescent="0.25">
      <c r="O2191" s="74"/>
      <c r="P2191" s="74"/>
      <c r="Q2191" s="74"/>
      <c r="R2191" s="74"/>
      <c r="V2191" s="72"/>
    </row>
    <row r="2192" spans="15:22" x14ac:dyDescent="0.25">
      <c r="O2192" s="74"/>
      <c r="P2192" s="74"/>
      <c r="Q2192" s="74"/>
      <c r="R2192" s="74"/>
      <c r="V2192" s="72"/>
    </row>
    <row r="2193" spans="15:22" x14ac:dyDescent="0.25">
      <c r="O2193" s="74"/>
      <c r="P2193" s="74"/>
      <c r="Q2193" s="74"/>
      <c r="R2193" s="74"/>
      <c r="V2193" s="72"/>
    </row>
    <row r="2194" spans="15:22" x14ac:dyDescent="0.25">
      <c r="O2194" s="74"/>
      <c r="P2194" s="74"/>
      <c r="Q2194" s="74"/>
      <c r="R2194" s="74"/>
      <c r="V2194" s="72"/>
    </row>
    <row r="2195" spans="15:22" x14ac:dyDescent="0.25">
      <c r="O2195" s="74"/>
      <c r="P2195" s="74"/>
      <c r="Q2195" s="74"/>
      <c r="R2195" s="74"/>
      <c r="V2195" s="72"/>
    </row>
    <row r="2196" spans="15:22" x14ac:dyDescent="0.25">
      <c r="O2196" s="74"/>
      <c r="P2196" s="74"/>
      <c r="Q2196" s="74"/>
      <c r="R2196" s="74"/>
      <c r="V2196" s="72"/>
    </row>
    <row r="2197" spans="15:22" x14ac:dyDescent="0.25">
      <c r="O2197" s="74"/>
      <c r="P2197" s="74"/>
      <c r="Q2197" s="74"/>
      <c r="R2197" s="74"/>
      <c r="V2197" s="72"/>
    </row>
    <row r="2198" spans="15:22" x14ac:dyDescent="0.25">
      <c r="O2198" s="74"/>
      <c r="P2198" s="74"/>
      <c r="Q2198" s="74"/>
      <c r="R2198" s="74"/>
      <c r="V2198" s="72"/>
    </row>
    <row r="2199" spans="15:22" x14ac:dyDescent="0.25">
      <c r="O2199" s="74"/>
      <c r="P2199" s="74"/>
      <c r="Q2199" s="74"/>
      <c r="R2199" s="74"/>
      <c r="V2199" s="72"/>
    </row>
    <row r="2200" spans="15:22" x14ac:dyDescent="0.25">
      <c r="O2200" s="74"/>
      <c r="P2200" s="74"/>
      <c r="Q2200" s="74"/>
      <c r="R2200" s="74"/>
      <c r="V2200" s="72"/>
    </row>
    <row r="2201" spans="15:22" x14ac:dyDescent="0.25">
      <c r="O2201" s="74"/>
      <c r="P2201" s="74"/>
      <c r="Q2201" s="74"/>
      <c r="R2201" s="74"/>
      <c r="V2201" s="72"/>
    </row>
    <row r="2202" spans="15:22" x14ac:dyDescent="0.25">
      <c r="O2202" s="74"/>
      <c r="P2202" s="74"/>
      <c r="Q2202" s="74"/>
      <c r="R2202" s="74"/>
      <c r="V2202" s="72"/>
    </row>
    <row r="2203" spans="15:22" x14ac:dyDescent="0.25">
      <c r="O2203" s="74"/>
      <c r="P2203" s="74"/>
      <c r="Q2203" s="74"/>
      <c r="R2203" s="74"/>
      <c r="V2203" s="72"/>
    </row>
    <row r="2204" spans="15:22" x14ac:dyDescent="0.25">
      <c r="O2204" s="74"/>
      <c r="P2204" s="74"/>
      <c r="Q2204" s="74"/>
      <c r="R2204" s="74"/>
      <c r="V2204" s="72"/>
    </row>
    <row r="2205" spans="15:22" x14ac:dyDescent="0.25">
      <c r="O2205" s="74"/>
      <c r="P2205" s="74"/>
      <c r="Q2205" s="74"/>
      <c r="R2205" s="74"/>
      <c r="V2205" s="72"/>
    </row>
    <row r="2206" spans="15:22" x14ac:dyDescent="0.25">
      <c r="O2206" s="74"/>
      <c r="P2206" s="74"/>
      <c r="Q2206" s="74"/>
      <c r="R2206" s="74"/>
      <c r="V2206" s="72"/>
    </row>
    <row r="2207" spans="15:22" x14ac:dyDescent="0.25">
      <c r="O2207" s="74"/>
      <c r="P2207" s="74"/>
      <c r="Q2207" s="74"/>
      <c r="R2207" s="74"/>
      <c r="V2207" s="72"/>
    </row>
    <row r="2208" spans="15:22" x14ac:dyDescent="0.25">
      <c r="O2208" s="74"/>
      <c r="P2208" s="74"/>
      <c r="Q2208" s="74"/>
      <c r="R2208" s="74"/>
      <c r="V2208" s="72"/>
    </row>
    <row r="2209" spans="15:22" x14ac:dyDescent="0.25">
      <c r="O2209" s="74"/>
      <c r="P2209" s="74"/>
      <c r="Q2209" s="74"/>
      <c r="R2209" s="74"/>
      <c r="V2209" s="72"/>
    </row>
    <row r="2210" spans="15:22" x14ac:dyDescent="0.25">
      <c r="O2210" s="74"/>
      <c r="P2210" s="74"/>
      <c r="Q2210" s="74"/>
      <c r="R2210" s="74"/>
      <c r="V2210" s="72"/>
    </row>
    <row r="2211" spans="15:22" x14ac:dyDescent="0.25">
      <c r="O2211" s="74"/>
      <c r="P2211" s="74"/>
      <c r="Q2211" s="74"/>
      <c r="R2211" s="74"/>
      <c r="V2211" s="72"/>
    </row>
    <row r="2212" spans="15:22" x14ac:dyDescent="0.25">
      <c r="O2212" s="74"/>
      <c r="P2212" s="74"/>
      <c r="Q2212" s="74"/>
      <c r="R2212" s="74"/>
      <c r="V2212" s="72"/>
    </row>
    <row r="2213" spans="15:22" x14ac:dyDescent="0.25">
      <c r="O2213" s="74"/>
      <c r="P2213" s="74"/>
      <c r="Q2213" s="74"/>
      <c r="R2213" s="74"/>
      <c r="V2213" s="72"/>
    </row>
    <row r="2214" spans="15:22" x14ac:dyDescent="0.25">
      <c r="O2214" s="74"/>
      <c r="P2214" s="74"/>
      <c r="Q2214" s="74"/>
      <c r="R2214" s="74"/>
      <c r="V2214" s="72"/>
    </row>
    <row r="2215" spans="15:22" x14ac:dyDescent="0.25">
      <c r="O2215" s="74"/>
      <c r="P2215" s="74"/>
      <c r="Q2215" s="74"/>
      <c r="R2215" s="74"/>
      <c r="V2215" s="72"/>
    </row>
    <row r="2216" spans="15:22" x14ac:dyDescent="0.25">
      <c r="O2216" s="74"/>
      <c r="P2216" s="74"/>
      <c r="Q2216" s="74"/>
      <c r="R2216" s="74"/>
      <c r="V2216" s="72"/>
    </row>
    <row r="2217" spans="15:22" x14ac:dyDescent="0.25">
      <c r="O2217" s="74"/>
      <c r="P2217" s="74"/>
      <c r="Q2217" s="74"/>
      <c r="R2217" s="74"/>
      <c r="V2217" s="72"/>
    </row>
    <row r="2218" spans="15:22" x14ac:dyDescent="0.25">
      <c r="O2218" s="74"/>
      <c r="P2218" s="74"/>
      <c r="Q2218" s="74"/>
      <c r="R2218" s="74"/>
      <c r="V2218" s="72"/>
    </row>
    <row r="2219" spans="15:22" x14ac:dyDescent="0.25">
      <c r="O2219" s="74"/>
      <c r="P2219" s="74"/>
      <c r="Q2219" s="74"/>
      <c r="R2219" s="74"/>
      <c r="V2219" s="72"/>
    </row>
    <row r="2220" spans="15:22" x14ac:dyDescent="0.25">
      <c r="O2220" s="74"/>
      <c r="P2220" s="74"/>
      <c r="Q2220" s="74"/>
      <c r="R2220" s="74"/>
      <c r="V2220" s="72"/>
    </row>
    <row r="2221" spans="15:22" x14ac:dyDescent="0.25">
      <c r="O2221" s="74"/>
      <c r="P2221" s="74"/>
      <c r="Q2221" s="74"/>
      <c r="R2221" s="74"/>
      <c r="V2221" s="72"/>
    </row>
    <row r="2222" spans="15:22" x14ac:dyDescent="0.25">
      <c r="O2222" s="74"/>
      <c r="P2222" s="74"/>
      <c r="Q2222" s="74"/>
      <c r="R2222" s="74"/>
      <c r="V2222" s="72"/>
    </row>
    <row r="2223" spans="15:22" x14ac:dyDescent="0.25">
      <c r="O2223" s="74"/>
      <c r="P2223" s="74"/>
      <c r="Q2223" s="74"/>
      <c r="R2223" s="74"/>
      <c r="V2223" s="72"/>
    </row>
    <row r="2224" spans="15:22" x14ac:dyDescent="0.25">
      <c r="O2224" s="74"/>
      <c r="P2224" s="74"/>
      <c r="Q2224" s="74"/>
      <c r="R2224" s="74"/>
      <c r="V2224" s="72"/>
    </row>
    <row r="2225" spans="15:22" x14ac:dyDescent="0.25">
      <c r="O2225" s="74"/>
      <c r="P2225" s="74"/>
      <c r="Q2225" s="74"/>
      <c r="R2225" s="74"/>
      <c r="V2225" s="72"/>
    </row>
    <row r="2226" spans="15:22" x14ac:dyDescent="0.25">
      <c r="O2226" s="74"/>
      <c r="P2226" s="74"/>
      <c r="Q2226" s="74"/>
      <c r="R2226" s="74"/>
      <c r="V2226" s="72"/>
    </row>
    <row r="2227" spans="15:22" x14ac:dyDescent="0.25">
      <c r="O2227" s="74"/>
      <c r="P2227" s="74"/>
      <c r="Q2227" s="74"/>
      <c r="R2227" s="74"/>
      <c r="V2227" s="72"/>
    </row>
    <row r="2228" spans="15:22" x14ac:dyDescent="0.25">
      <c r="O2228" s="74"/>
      <c r="P2228" s="74"/>
      <c r="Q2228" s="74"/>
      <c r="R2228" s="74"/>
      <c r="V2228" s="72"/>
    </row>
    <row r="2229" spans="15:22" x14ac:dyDescent="0.25">
      <c r="O2229" s="74"/>
      <c r="P2229" s="74"/>
      <c r="Q2229" s="74"/>
      <c r="R2229" s="74"/>
      <c r="V2229" s="72"/>
    </row>
    <row r="2230" spans="15:22" x14ac:dyDescent="0.25">
      <c r="O2230" s="74"/>
      <c r="P2230" s="74"/>
      <c r="Q2230" s="74"/>
      <c r="R2230" s="74"/>
      <c r="V2230" s="72"/>
    </row>
    <row r="2231" spans="15:22" x14ac:dyDescent="0.25">
      <c r="O2231" s="74"/>
      <c r="P2231" s="74"/>
      <c r="Q2231" s="74"/>
      <c r="R2231" s="74"/>
      <c r="V2231" s="72"/>
    </row>
    <row r="2232" spans="15:22" x14ac:dyDescent="0.25">
      <c r="O2232" s="74"/>
      <c r="P2232" s="74"/>
      <c r="Q2232" s="74"/>
      <c r="R2232" s="74"/>
      <c r="V2232" s="72"/>
    </row>
    <row r="2233" spans="15:22" x14ac:dyDescent="0.25">
      <c r="O2233" s="74"/>
      <c r="P2233" s="74"/>
      <c r="Q2233" s="74"/>
      <c r="R2233" s="74"/>
      <c r="V2233" s="72"/>
    </row>
    <row r="2234" spans="15:22" x14ac:dyDescent="0.25">
      <c r="O2234" s="74"/>
      <c r="P2234" s="74"/>
      <c r="Q2234" s="74"/>
      <c r="R2234" s="74"/>
      <c r="V2234" s="72"/>
    </row>
    <row r="2235" spans="15:22" x14ac:dyDescent="0.25">
      <c r="O2235" s="74"/>
      <c r="P2235" s="74"/>
      <c r="Q2235" s="74"/>
      <c r="R2235" s="74"/>
      <c r="V2235" s="72"/>
    </row>
    <row r="2236" spans="15:22" x14ac:dyDescent="0.25">
      <c r="O2236" s="74"/>
      <c r="P2236" s="74"/>
      <c r="Q2236" s="74"/>
      <c r="R2236" s="74"/>
      <c r="V2236" s="72"/>
    </row>
    <row r="2237" spans="15:22" x14ac:dyDescent="0.25">
      <c r="O2237" s="74"/>
      <c r="P2237" s="74"/>
      <c r="Q2237" s="74"/>
      <c r="R2237" s="74"/>
      <c r="V2237" s="72"/>
    </row>
    <row r="2238" spans="15:22" x14ac:dyDescent="0.25">
      <c r="O2238" s="74"/>
      <c r="P2238" s="74"/>
      <c r="Q2238" s="74"/>
      <c r="R2238" s="74"/>
      <c r="V2238" s="72"/>
    </row>
    <row r="2239" spans="15:22" x14ac:dyDescent="0.25">
      <c r="O2239" s="74"/>
      <c r="P2239" s="74"/>
      <c r="Q2239" s="74"/>
      <c r="R2239" s="74"/>
      <c r="V2239" s="72"/>
    </row>
    <row r="2240" spans="15:22" x14ac:dyDescent="0.25">
      <c r="O2240" s="74"/>
      <c r="P2240" s="74"/>
      <c r="Q2240" s="74"/>
      <c r="R2240" s="74"/>
      <c r="V2240" s="72"/>
    </row>
    <row r="2241" spans="15:22" x14ac:dyDescent="0.25">
      <c r="O2241" s="74"/>
      <c r="P2241" s="74"/>
      <c r="Q2241" s="74"/>
      <c r="R2241" s="74"/>
      <c r="V2241" s="72"/>
    </row>
    <row r="2242" spans="15:22" x14ac:dyDescent="0.25">
      <c r="O2242" s="74"/>
      <c r="P2242" s="74"/>
      <c r="Q2242" s="74"/>
      <c r="R2242" s="74"/>
      <c r="V2242" s="72"/>
    </row>
    <row r="2243" spans="15:22" x14ac:dyDescent="0.25">
      <c r="O2243" s="74"/>
      <c r="P2243" s="74"/>
      <c r="Q2243" s="74"/>
      <c r="R2243" s="74"/>
      <c r="V2243" s="72"/>
    </row>
    <row r="2244" spans="15:22" x14ac:dyDescent="0.25">
      <c r="O2244" s="74"/>
      <c r="P2244" s="74"/>
      <c r="Q2244" s="74"/>
      <c r="R2244" s="74"/>
      <c r="V2244" s="72"/>
    </row>
    <row r="2245" spans="15:22" x14ac:dyDescent="0.25">
      <c r="O2245" s="74"/>
      <c r="P2245" s="74"/>
      <c r="Q2245" s="74"/>
      <c r="R2245" s="74"/>
      <c r="V2245" s="72"/>
    </row>
    <row r="2246" spans="15:22" x14ac:dyDescent="0.25">
      <c r="O2246" s="74"/>
      <c r="P2246" s="74"/>
      <c r="Q2246" s="74"/>
      <c r="R2246" s="74"/>
      <c r="V2246" s="72"/>
    </row>
    <row r="2247" spans="15:22" x14ac:dyDescent="0.25">
      <c r="O2247" s="74"/>
      <c r="P2247" s="74"/>
      <c r="Q2247" s="74"/>
      <c r="R2247" s="74"/>
      <c r="V2247" s="72"/>
    </row>
    <row r="2248" spans="15:22" x14ac:dyDescent="0.25">
      <c r="O2248" s="74"/>
      <c r="P2248" s="74"/>
      <c r="Q2248" s="74"/>
      <c r="R2248" s="74"/>
      <c r="V2248" s="72"/>
    </row>
    <row r="2249" spans="15:22" x14ac:dyDescent="0.25">
      <c r="O2249" s="74"/>
      <c r="P2249" s="74"/>
      <c r="Q2249" s="74"/>
      <c r="R2249" s="74"/>
      <c r="V2249" s="72"/>
    </row>
    <row r="2250" spans="15:22" x14ac:dyDescent="0.25">
      <c r="O2250" s="74"/>
      <c r="P2250" s="74"/>
      <c r="Q2250" s="74"/>
      <c r="R2250" s="74"/>
      <c r="V2250" s="72"/>
    </row>
    <row r="2251" spans="15:22" x14ac:dyDescent="0.25">
      <c r="O2251" s="74"/>
      <c r="P2251" s="74"/>
      <c r="Q2251" s="74"/>
      <c r="R2251" s="74"/>
      <c r="V2251" s="72"/>
    </row>
    <row r="2252" spans="15:22" x14ac:dyDescent="0.25">
      <c r="O2252" s="74"/>
      <c r="P2252" s="74"/>
      <c r="Q2252" s="74"/>
      <c r="R2252" s="74"/>
      <c r="V2252" s="72"/>
    </row>
    <row r="2253" spans="15:22" x14ac:dyDescent="0.25">
      <c r="O2253" s="74"/>
      <c r="P2253" s="74"/>
      <c r="Q2253" s="74"/>
      <c r="R2253" s="74"/>
      <c r="V2253" s="72"/>
    </row>
    <row r="2254" spans="15:22" x14ac:dyDescent="0.25">
      <c r="O2254" s="74"/>
      <c r="P2254" s="74"/>
      <c r="Q2254" s="74"/>
      <c r="R2254" s="74"/>
      <c r="V2254" s="72"/>
    </row>
    <row r="2255" spans="15:22" x14ac:dyDescent="0.25">
      <c r="O2255" s="74"/>
      <c r="P2255" s="74"/>
      <c r="Q2255" s="74"/>
      <c r="R2255" s="74"/>
      <c r="V2255" s="72"/>
    </row>
    <row r="2256" spans="15:22" x14ac:dyDescent="0.25">
      <c r="O2256" s="74"/>
      <c r="P2256" s="74"/>
      <c r="Q2256" s="74"/>
      <c r="R2256" s="74"/>
      <c r="V2256" s="72"/>
    </row>
    <row r="2257" spans="15:22" x14ac:dyDescent="0.25">
      <c r="O2257" s="74"/>
      <c r="P2257" s="74"/>
      <c r="Q2257" s="74"/>
      <c r="R2257" s="74"/>
      <c r="V2257" s="72"/>
    </row>
    <row r="2258" spans="15:22" x14ac:dyDescent="0.25">
      <c r="O2258" s="74"/>
      <c r="P2258" s="74"/>
      <c r="Q2258" s="74"/>
      <c r="R2258" s="74"/>
      <c r="V2258" s="72"/>
    </row>
    <row r="2259" spans="15:22" x14ac:dyDescent="0.25">
      <c r="O2259" s="74"/>
      <c r="P2259" s="74"/>
      <c r="Q2259" s="74"/>
      <c r="R2259" s="74"/>
      <c r="V2259" s="72"/>
    </row>
    <row r="2260" spans="15:22" x14ac:dyDescent="0.25">
      <c r="O2260" s="74"/>
      <c r="P2260" s="74"/>
      <c r="Q2260" s="74"/>
      <c r="R2260" s="74"/>
      <c r="V2260" s="72"/>
    </row>
    <row r="2261" spans="15:22" x14ac:dyDescent="0.25">
      <c r="O2261" s="74"/>
      <c r="P2261" s="74"/>
      <c r="Q2261" s="74"/>
      <c r="R2261" s="74"/>
      <c r="V2261" s="72"/>
    </row>
    <row r="2262" spans="15:22" x14ac:dyDescent="0.25">
      <c r="O2262" s="74"/>
      <c r="P2262" s="74"/>
      <c r="Q2262" s="74"/>
      <c r="R2262" s="74"/>
      <c r="V2262" s="72"/>
    </row>
    <row r="2263" spans="15:22" x14ac:dyDescent="0.25">
      <c r="O2263" s="74"/>
      <c r="P2263" s="74"/>
      <c r="Q2263" s="74"/>
      <c r="R2263" s="74"/>
      <c r="V2263" s="72"/>
    </row>
    <row r="2264" spans="15:22" x14ac:dyDescent="0.25">
      <c r="O2264" s="74"/>
      <c r="P2264" s="74"/>
      <c r="Q2264" s="74"/>
      <c r="R2264" s="74"/>
      <c r="V2264" s="72"/>
    </row>
    <row r="2265" spans="15:22" x14ac:dyDescent="0.25">
      <c r="O2265" s="74"/>
      <c r="P2265" s="74"/>
      <c r="Q2265" s="74"/>
      <c r="R2265" s="74"/>
      <c r="V2265" s="72"/>
    </row>
    <row r="2266" spans="15:22" x14ac:dyDescent="0.25">
      <c r="O2266" s="74"/>
      <c r="P2266" s="74"/>
      <c r="Q2266" s="74"/>
      <c r="R2266" s="74"/>
      <c r="V2266" s="72"/>
    </row>
    <row r="2267" spans="15:22" x14ac:dyDescent="0.25">
      <c r="O2267" s="74"/>
      <c r="P2267" s="74"/>
      <c r="Q2267" s="74"/>
      <c r="R2267" s="74"/>
      <c r="V2267" s="72"/>
    </row>
    <row r="2268" spans="15:22" x14ac:dyDescent="0.25">
      <c r="O2268" s="74"/>
      <c r="P2268" s="74"/>
      <c r="Q2268" s="74"/>
      <c r="R2268" s="74"/>
      <c r="V2268" s="72"/>
    </row>
    <row r="2269" spans="15:22" x14ac:dyDescent="0.25">
      <c r="O2269" s="74"/>
      <c r="P2269" s="74"/>
      <c r="Q2269" s="74"/>
      <c r="R2269" s="74"/>
      <c r="V2269" s="72"/>
    </row>
    <row r="2270" spans="15:22" x14ac:dyDescent="0.25">
      <c r="O2270" s="74"/>
      <c r="P2270" s="74"/>
      <c r="Q2270" s="74"/>
      <c r="R2270" s="74"/>
      <c r="V2270" s="72"/>
    </row>
    <row r="2271" spans="15:22" x14ac:dyDescent="0.25">
      <c r="O2271" s="74"/>
      <c r="P2271" s="74"/>
      <c r="Q2271" s="74"/>
      <c r="R2271" s="74"/>
      <c r="V2271" s="72"/>
    </row>
    <row r="2272" spans="15:22" x14ac:dyDescent="0.25">
      <c r="O2272" s="74"/>
      <c r="P2272" s="74"/>
      <c r="Q2272" s="74"/>
      <c r="R2272" s="74"/>
      <c r="V2272" s="72"/>
    </row>
    <row r="2273" spans="15:22" x14ac:dyDescent="0.25">
      <c r="O2273" s="74"/>
      <c r="P2273" s="74"/>
      <c r="Q2273" s="74"/>
      <c r="R2273" s="74"/>
      <c r="V2273" s="72"/>
    </row>
    <row r="2274" spans="15:22" x14ac:dyDescent="0.25">
      <c r="O2274" s="74"/>
      <c r="P2274" s="74"/>
      <c r="Q2274" s="74"/>
      <c r="R2274" s="74"/>
      <c r="V2274" s="72"/>
    </row>
    <row r="2275" spans="15:22" x14ac:dyDescent="0.25">
      <c r="O2275" s="74"/>
      <c r="P2275" s="74"/>
      <c r="Q2275" s="74"/>
      <c r="R2275" s="74"/>
      <c r="V2275" s="72"/>
    </row>
    <row r="2276" spans="15:22" x14ac:dyDescent="0.25">
      <c r="O2276" s="74"/>
      <c r="P2276" s="74"/>
      <c r="Q2276" s="74"/>
      <c r="R2276" s="74"/>
      <c r="V2276" s="72"/>
    </row>
    <row r="2277" spans="15:22" x14ac:dyDescent="0.25">
      <c r="O2277" s="74"/>
      <c r="P2277" s="74"/>
      <c r="Q2277" s="74"/>
      <c r="R2277" s="74"/>
      <c r="V2277" s="72"/>
    </row>
    <row r="2278" spans="15:22" x14ac:dyDescent="0.25">
      <c r="O2278" s="74"/>
      <c r="P2278" s="74"/>
      <c r="Q2278" s="74"/>
      <c r="R2278" s="74"/>
      <c r="V2278" s="72"/>
    </row>
    <row r="2279" spans="15:22" x14ac:dyDescent="0.25">
      <c r="O2279" s="74"/>
      <c r="P2279" s="74"/>
      <c r="Q2279" s="74"/>
      <c r="R2279" s="74"/>
      <c r="V2279" s="72"/>
    </row>
    <row r="2280" spans="15:22" x14ac:dyDescent="0.25">
      <c r="O2280" s="74"/>
      <c r="P2280" s="74"/>
      <c r="Q2280" s="74"/>
      <c r="R2280" s="74"/>
      <c r="V2280" s="72"/>
    </row>
    <row r="2281" spans="15:22" x14ac:dyDescent="0.25">
      <c r="O2281" s="74"/>
      <c r="P2281" s="74"/>
      <c r="Q2281" s="74"/>
      <c r="R2281" s="74"/>
      <c r="V2281" s="72"/>
    </row>
    <row r="2282" spans="15:22" x14ac:dyDescent="0.25">
      <c r="O2282" s="74"/>
      <c r="P2282" s="74"/>
      <c r="Q2282" s="74"/>
      <c r="R2282" s="74"/>
      <c r="V2282" s="72"/>
    </row>
    <row r="2283" spans="15:22" x14ac:dyDescent="0.25">
      <c r="O2283" s="74"/>
      <c r="P2283" s="74"/>
      <c r="Q2283" s="74"/>
      <c r="R2283" s="74"/>
      <c r="V2283" s="72"/>
    </row>
    <row r="2284" spans="15:22" x14ac:dyDescent="0.25">
      <c r="O2284" s="74"/>
      <c r="P2284" s="74"/>
      <c r="Q2284" s="74"/>
      <c r="R2284" s="74"/>
      <c r="V2284" s="72"/>
    </row>
    <row r="2285" spans="15:22" x14ac:dyDescent="0.25">
      <c r="O2285" s="74"/>
      <c r="P2285" s="74"/>
      <c r="Q2285" s="74"/>
      <c r="R2285" s="74"/>
      <c r="V2285" s="72"/>
    </row>
    <row r="2286" spans="15:22" x14ac:dyDescent="0.25">
      <c r="O2286" s="74"/>
      <c r="P2286" s="74"/>
      <c r="Q2286" s="74"/>
      <c r="R2286" s="74"/>
      <c r="V2286" s="72"/>
    </row>
    <row r="2287" spans="15:22" x14ac:dyDescent="0.25">
      <c r="O2287" s="74"/>
      <c r="P2287" s="74"/>
      <c r="Q2287" s="74"/>
      <c r="R2287" s="74"/>
      <c r="V2287" s="72"/>
    </row>
    <row r="2288" spans="15:22" x14ac:dyDescent="0.25">
      <c r="O2288" s="74"/>
      <c r="P2288" s="74"/>
      <c r="Q2288" s="74"/>
      <c r="R2288" s="74"/>
      <c r="V2288" s="72"/>
    </row>
    <row r="2289" spans="15:22" x14ac:dyDescent="0.25">
      <c r="O2289" s="74"/>
      <c r="P2289" s="74"/>
      <c r="Q2289" s="74"/>
      <c r="R2289" s="74"/>
      <c r="V2289" s="72"/>
    </row>
    <row r="2290" spans="15:22" x14ac:dyDescent="0.25">
      <c r="O2290" s="74"/>
      <c r="P2290" s="74"/>
      <c r="Q2290" s="74"/>
      <c r="R2290" s="74"/>
      <c r="V2290" s="72"/>
    </row>
    <row r="2291" spans="15:22" x14ac:dyDescent="0.25">
      <c r="O2291" s="74"/>
      <c r="P2291" s="74"/>
      <c r="Q2291" s="74"/>
      <c r="R2291" s="74"/>
      <c r="V2291" s="72"/>
    </row>
    <row r="2292" spans="15:22" x14ac:dyDescent="0.25">
      <c r="O2292" s="74"/>
      <c r="P2292" s="74"/>
      <c r="Q2292" s="74"/>
      <c r="R2292" s="74"/>
      <c r="V2292" s="72"/>
    </row>
    <row r="2293" spans="15:22" x14ac:dyDescent="0.25">
      <c r="O2293" s="74"/>
      <c r="P2293" s="74"/>
      <c r="Q2293" s="74"/>
      <c r="R2293" s="74"/>
      <c r="V2293" s="72"/>
    </row>
    <row r="2294" spans="15:22" x14ac:dyDescent="0.25">
      <c r="O2294" s="74"/>
      <c r="P2294" s="74"/>
      <c r="Q2294" s="74"/>
      <c r="R2294" s="74"/>
      <c r="V2294" s="72"/>
    </row>
    <row r="2295" spans="15:22" x14ac:dyDescent="0.25">
      <c r="O2295" s="74"/>
      <c r="P2295" s="74"/>
      <c r="Q2295" s="74"/>
      <c r="R2295" s="74"/>
      <c r="V2295" s="72"/>
    </row>
    <row r="2296" spans="15:22" x14ac:dyDescent="0.25">
      <c r="O2296" s="74"/>
      <c r="P2296" s="74"/>
      <c r="Q2296" s="74"/>
      <c r="R2296" s="74"/>
      <c r="V2296" s="72"/>
    </row>
    <row r="2297" spans="15:22" x14ac:dyDescent="0.25">
      <c r="O2297" s="74"/>
      <c r="P2297" s="74"/>
      <c r="Q2297" s="74"/>
      <c r="R2297" s="74"/>
      <c r="V2297" s="72"/>
    </row>
    <row r="2298" spans="15:22" x14ac:dyDescent="0.25">
      <c r="O2298" s="74"/>
      <c r="P2298" s="74"/>
      <c r="Q2298" s="74"/>
      <c r="R2298" s="74"/>
      <c r="V2298" s="72"/>
    </row>
    <row r="2299" spans="15:22" x14ac:dyDescent="0.25">
      <c r="O2299" s="74"/>
      <c r="P2299" s="74"/>
      <c r="Q2299" s="74"/>
      <c r="R2299" s="74"/>
      <c r="V2299" s="72"/>
    </row>
    <row r="2300" spans="15:22" x14ac:dyDescent="0.25">
      <c r="O2300" s="74"/>
      <c r="P2300" s="74"/>
      <c r="Q2300" s="74"/>
      <c r="R2300" s="74"/>
      <c r="V2300" s="72"/>
    </row>
    <row r="2301" spans="15:22" x14ac:dyDescent="0.25">
      <c r="O2301" s="74"/>
      <c r="P2301" s="74"/>
      <c r="Q2301" s="74"/>
      <c r="R2301" s="74"/>
      <c r="V2301" s="72"/>
    </row>
    <row r="2302" spans="15:22" x14ac:dyDescent="0.25">
      <c r="O2302" s="74"/>
      <c r="P2302" s="74"/>
      <c r="Q2302" s="74"/>
      <c r="R2302" s="74"/>
      <c r="V2302" s="72"/>
    </row>
    <row r="2303" spans="15:22" x14ac:dyDescent="0.25">
      <c r="O2303" s="74"/>
      <c r="P2303" s="74"/>
      <c r="Q2303" s="74"/>
      <c r="R2303" s="74"/>
      <c r="V2303" s="72"/>
    </row>
    <row r="2304" spans="15:22" x14ac:dyDescent="0.25">
      <c r="O2304" s="74"/>
      <c r="P2304" s="74"/>
      <c r="Q2304" s="74"/>
      <c r="R2304" s="74"/>
      <c r="V2304" s="72"/>
    </row>
    <row r="2305" spans="15:22" x14ac:dyDescent="0.25">
      <c r="O2305" s="74"/>
      <c r="P2305" s="74"/>
      <c r="Q2305" s="74"/>
      <c r="R2305" s="74"/>
      <c r="V2305" s="72"/>
    </row>
    <row r="2306" spans="15:22" x14ac:dyDescent="0.25">
      <c r="O2306" s="74"/>
      <c r="P2306" s="74"/>
      <c r="Q2306" s="74"/>
      <c r="R2306" s="74"/>
      <c r="V2306" s="72"/>
    </row>
    <row r="2307" spans="15:22" x14ac:dyDescent="0.25">
      <c r="O2307" s="74"/>
      <c r="P2307" s="74"/>
      <c r="Q2307" s="74"/>
      <c r="R2307" s="74"/>
      <c r="V2307" s="72"/>
    </row>
    <row r="2308" spans="15:22" x14ac:dyDescent="0.25">
      <c r="O2308" s="74"/>
      <c r="P2308" s="74"/>
      <c r="Q2308" s="74"/>
      <c r="R2308" s="74"/>
      <c r="V2308" s="72"/>
    </row>
    <row r="2309" spans="15:22" x14ac:dyDescent="0.25">
      <c r="O2309" s="74"/>
      <c r="P2309" s="74"/>
      <c r="Q2309" s="74"/>
      <c r="R2309" s="74"/>
      <c r="V2309" s="72"/>
    </row>
    <row r="2310" spans="15:22" x14ac:dyDescent="0.25">
      <c r="O2310" s="74"/>
      <c r="P2310" s="74"/>
      <c r="Q2310" s="74"/>
      <c r="R2310" s="74"/>
      <c r="V2310" s="72"/>
    </row>
    <row r="2311" spans="15:22" x14ac:dyDescent="0.25">
      <c r="O2311" s="74"/>
      <c r="P2311" s="74"/>
      <c r="Q2311" s="74"/>
      <c r="R2311" s="74"/>
      <c r="V2311" s="72"/>
    </row>
    <row r="2312" spans="15:22" x14ac:dyDescent="0.25">
      <c r="O2312" s="74"/>
      <c r="P2312" s="74"/>
      <c r="Q2312" s="74"/>
      <c r="R2312" s="74"/>
      <c r="V2312" s="72"/>
    </row>
    <row r="2313" spans="15:22" x14ac:dyDescent="0.25">
      <c r="O2313" s="74"/>
      <c r="P2313" s="74"/>
      <c r="Q2313" s="74"/>
      <c r="R2313" s="74"/>
      <c r="V2313" s="72"/>
    </row>
    <row r="2314" spans="15:22" x14ac:dyDescent="0.25">
      <c r="O2314" s="74"/>
      <c r="P2314" s="74"/>
      <c r="Q2314" s="74"/>
      <c r="R2314" s="74"/>
      <c r="V2314" s="72"/>
    </row>
    <row r="2315" spans="15:22" x14ac:dyDescent="0.25">
      <c r="O2315" s="74"/>
      <c r="P2315" s="74"/>
      <c r="Q2315" s="74"/>
      <c r="R2315" s="74"/>
      <c r="V2315" s="72"/>
    </row>
    <row r="2316" spans="15:22" x14ac:dyDescent="0.25">
      <c r="O2316" s="74"/>
      <c r="P2316" s="74"/>
      <c r="Q2316" s="74"/>
      <c r="R2316" s="74"/>
      <c r="V2316" s="72"/>
    </row>
    <row r="2317" spans="15:22" x14ac:dyDescent="0.25">
      <c r="O2317" s="74"/>
      <c r="P2317" s="74"/>
      <c r="Q2317" s="74"/>
      <c r="R2317" s="74"/>
      <c r="V2317" s="72"/>
    </row>
    <row r="2318" spans="15:22" x14ac:dyDescent="0.25">
      <c r="O2318" s="74"/>
      <c r="P2318" s="74"/>
      <c r="Q2318" s="74"/>
      <c r="R2318" s="74"/>
      <c r="V2318" s="72"/>
    </row>
    <row r="2319" spans="15:22" x14ac:dyDescent="0.25">
      <c r="O2319" s="74"/>
      <c r="P2319" s="74"/>
      <c r="Q2319" s="74"/>
      <c r="R2319" s="74"/>
      <c r="V2319" s="72"/>
    </row>
    <row r="2320" spans="15:22" x14ac:dyDescent="0.25">
      <c r="O2320" s="74"/>
      <c r="P2320" s="74"/>
      <c r="Q2320" s="74"/>
      <c r="R2320" s="74"/>
      <c r="V2320" s="72"/>
    </row>
    <row r="2321" spans="15:22" x14ac:dyDescent="0.25">
      <c r="O2321" s="74"/>
      <c r="P2321" s="74"/>
      <c r="Q2321" s="74"/>
      <c r="R2321" s="74"/>
      <c r="V2321" s="72"/>
    </row>
    <row r="2322" spans="15:22" x14ac:dyDescent="0.25">
      <c r="O2322" s="74"/>
      <c r="P2322" s="74"/>
      <c r="Q2322" s="74"/>
      <c r="R2322" s="74"/>
      <c r="V2322" s="72"/>
    </row>
    <row r="2323" spans="15:22" x14ac:dyDescent="0.25">
      <c r="O2323" s="74"/>
      <c r="P2323" s="74"/>
      <c r="Q2323" s="74"/>
      <c r="R2323" s="74"/>
      <c r="V2323" s="72"/>
    </row>
    <row r="2324" spans="15:22" x14ac:dyDescent="0.25">
      <c r="O2324" s="74"/>
      <c r="P2324" s="74"/>
      <c r="Q2324" s="74"/>
      <c r="R2324" s="74"/>
      <c r="V2324" s="72"/>
    </row>
    <row r="2325" spans="15:22" x14ac:dyDescent="0.25">
      <c r="O2325" s="74"/>
      <c r="P2325" s="74"/>
      <c r="Q2325" s="74"/>
      <c r="R2325" s="74"/>
      <c r="V2325" s="72"/>
    </row>
    <row r="2326" spans="15:22" x14ac:dyDescent="0.25">
      <c r="O2326" s="74"/>
      <c r="P2326" s="74"/>
      <c r="Q2326" s="74"/>
      <c r="R2326" s="74"/>
      <c r="V2326" s="72"/>
    </row>
    <row r="2327" spans="15:22" x14ac:dyDescent="0.25">
      <c r="O2327" s="74"/>
      <c r="P2327" s="74"/>
      <c r="Q2327" s="74"/>
      <c r="R2327" s="74"/>
      <c r="V2327" s="72"/>
    </row>
    <row r="2328" spans="15:22" x14ac:dyDescent="0.25">
      <c r="O2328" s="74"/>
      <c r="P2328" s="74"/>
      <c r="Q2328" s="74"/>
      <c r="R2328" s="74"/>
      <c r="V2328" s="72"/>
    </row>
    <row r="2329" spans="15:22" x14ac:dyDescent="0.25">
      <c r="O2329" s="74"/>
      <c r="P2329" s="74"/>
      <c r="Q2329" s="74"/>
      <c r="R2329" s="74"/>
      <c r="V2329" s="72"/>
    </row>
    <row r="2330" spans="15:22" x14ac:dyDescent="0.25">
      <c r="O2330" s="74"/>
      <c r="P2330" s="74"/>
      <c r="Q2330" s="74"/>
      <c r="R2330" s="74"/>
      <c r="V2330" s="72"/>
    </row>
    <row r="2331" spans="15:22" x14ac:dyDescent="0.25">
      <c r="O2331" s="74"/>
      <c r="P2331" s="74"/>
      <c r="Q2331" s="74"/>
      <c r="R2331" s="74"/>
      <c r="V2331" s="72"/>
    </row>
    <row r="2332" spans="15:22" x14ac:dyDescent="0.25">
      <c r="O2332" s="74"/>
      <c r="P2332" s="74"/>
      <c r="Q2332" s="74"/>
      <c r="R2332" s="74"/>
      <c r="V2332" s="72"/>
    </row>
    <row r="2333" spans="15:22" x14ac:dyDescent="0.25">
      <c r="O2333" s="74"/>
      <c r="P2333" s="74"/>
      <c r="Q2333" s="74"/>
      <c r="R2333" s="74"/>
      <c r="V2333" s="72"/>
    </row>
    <row r="2334" spans="15:22" x14ac:dyDescent="0.25">
      <c r="O2334" s="74"/>
      <c r="P2334" s="74"/>
      <c r="Q2334" s="74"/>
      <c r="R2334" s="74"/>
      <c r="V2334" s="72"/>
    </row>
    <row r="2335" spans="15:22" x14ac:dyDescent="0.25">
      <c r="O2335" s="74"/>
      <c r="P2335" s="74"/>
      <c r="Q2335" s="74"/>
      <c r="R2335" s="74"/>
      <c r="V2335" s="72"/>
    </row>
    <row r="2336" spans="15:22" x14ac:dyDescent="0.25">
      <c r="O2336" s="74"/>
      <c r="P2336" s="74"/>
      <c r="Q2336" s="74"/>
      <c r="R2336" s="74"/>
      <c r="V2336" s="72"/>
    </row>
    <row r="2337" spans="15:22" x14ac:dyDescent="0.25">
      <c r="O2337" s="74"/>
      <c r="P2337" s="74"/>
      <c r="Q2337" s="74"/>
      <c r="R2337" s="74"/>
      <c r="V2337" s="72"/>
    </row>
    <row r="2338" spans="15:22" x14ac:dyDescent="0.25">
      <c r="O2338" s="74"/>
      <c r="P2338" s="74"/>
      <c r="Q2338" s="74"/>
      <c r="R2338" s="74"/>
      <c r="V2338" s="72"/>
    </row>
    <row r="2339" spans="15:22" x14ac:dyDescent="0.25">
      <c r="O2339" s="74"/>
      <c r="P2339" s="74"/>
      <c r="Q2339" s="74"/>
      <c r="R2339" s="74"/>
      <c r="V2339" s="72"/>
    </row>
    <row r="2340" spans="15:22" x14ac:dyDescent="0.25">
      <c r="O2340" s="74"/>
      <c r="P2340" s="74"/>
      <c r="Q2340" s="74"/>
      <c r="R2340" s="74"/>
      <c r="V2340" s="72"/>
    </row>
    <row r="2341" spans="15:22" x14ac:dyDescent="0.25">
      <c r="O2341" s="74"/>
      <c r="P2341" s="74"/>
      <c r="Q2341" s="74"/>
      <c r="R2341" s="74"/>
      <c r="V2341" s="72"/>
    </row>
    <row r="2342" spans="15:22" x14ac:dyDescent="0.25">
      <c r="O2342" s="74"/>
      <c r="P2342" s="74"/>
      <c r="Q2342" s="74"/>
      <c r="R2342" s="74"/>
      <c r="V2342" s="72"/>
    </row>
    <row r="2343" spans="15:22" x14ac:dyDescent="0.25">
      <c r="O2343" s="74"/>
      <c r="P2343" s="74"/>
      <c r="Q2343" s="74"/>
      <c r="R2343" s="74"/>
      <c r="V2343" s="72"/>
    </row>
    <row r="2344" spans="15:22" x14ac:dyDescent="0.25">
      <c r="O2344" s="74"/>
      <c r="P2344" s="74"/>
      <c r="Q2344" s="74"/>
      <c r="R2344" s="74"/>
      <c r="V2344" s="72"/>
    </row>
    <row r="2345" spans="15:22" x14ac:dyDescent="0.25">
      <c r="O2345" s="74"/>
      <c r="P2345" s="74"/>
      <c r="Q2345" s="74"/>
      <c r="R2345" s="74"/>
      <c r="V2345" s="72"/>
    </row>
    <row r="2346" spans="15:22" x14ac:dyDescent="0.25">
      <c r="O2346" s="74"/>
      <c r="P2346" s="74"/>
      <c r="Q2346" s="74"/>
      <c r="R2346" s="74"/>
      <c r="V2346" s="72"/>
    </row>
    <row r="2347" spans="15:22" x14ac:dyDescent="0.25">
      <c r="O2347" s="74"/>
      <c r="P2347" s="74"/>
      <c r="Q2347" s="74"/>
      <c r="R2347" s="74"/>
      <c r="V2347" s="72"/>
    </row>
    <row r="2348" spans="15:22" x14ac:dyDescent="0.25">
      <c r="O2348" s="74"/>
      <c r="P2348" s="74"/>
      <c r="Q2348" s="74"/>
      <c r="R2348" s="74"/>
      <c r="V2348" s="72"/>
    </row>
    <row r="2349" spans="15:22" x14ac:dyDescent="0.25">
      <c r="O2349" s="74"/>
      <c r="P2349" s="74"/>
      <c r="Q2349" s="74"/>
      <c r="R2349" s="74"/>
      <c r="V2349" s="72"/>
    </row>
    <row r="2350" spans="15:22" x14ac:dyDescent="0.25">
      <c r="O2350" s="74"/>
      <c r="P2350" s="74"/>
      <c r="Q2350" s="74"/>
      <c r="R2350" s="74"/>
      <c r="V2350" s="72"/>
    </row>
    <row r="2351" spans="15:22" x14ac:dyDescent="0.25">
      <c r="O2351" s="74"/>
      <c r="P2351" s="74"/>
      <c r="Q2351" s="74"/>
      <c r="R2351" s="74"/>
      <c r="V2351" s="72"/>
    </row>
    <row r="2352" spans="15:22" x14ac:dyDescent="0.25">
      <c r="O2352" s="74"/>
      <c r="P2352" s="74"/>
      <c r="Q2352" s="74"/>
      <c r="R2352" s="74"/>
      <c r="V2352" s="72"/>
    </row>
    <row r="2353" spans="15:22" x14ac:dyDescent="0.25">
      <c r="O2353" s="74"/>
      <c r="P2353" s="74"/>
      <c r="Q2353" s="74"/>
      <c r="R2353" s="74"/>
      <c r="V2353" s="72"/>
    </row>
    <row r="2354" spans="15:22" x14ac:dyDescent="0.25">
      <c r="O2354" s="74"/>
      <c r="P2354" s="74"/>
      <c r="Q2354" s="74"/>
      <c r="R2354" s="74"/>
      <c r="V2354" s="72"/>
    </row>
    <row r="2355" spans="15:22" x14ac:dyDescent="0.25">
      <c r="O2355" s="74"/>
      <c r="P2355" s="74"/>
      <c r="Q2355" s="74"/>
      <c r="R2355" s="74"/>
      <c r="V2355" s="72"/>
    </row>
    <row r="2356" spans="15:22" x14ac:dyDescent="0.25">
      <c r="O2356" s="74"/>
      <c r="P2356" s="74"/>
      <c r="Q2356" s="74"/>
      <c r="R2356" s="74"/>
      <c r="V2356" s="72"/>
    </row>
    <row r="2357" spans="15:22" x14ac:dyDescent="0.25">
      <c r="O2357" s="74"/>
      <c r="P2357" s="74"/>
      <c r="Q2357" s="74"/>
      <c r="R2357" s="74"/>
      <c r="V2357" s="72"/>
    </row>
    <row r="2358" spans="15:22" x14ac:dyDescent="0.25">
      <c r="O2358" s="74"/>
      <c r="P2358" s="74"/>
      <c r="Q2358" s="74"/>
      <c r="R2358" s="74"/>
      <c r="V2358" s="72"/>
    </row>
    <row r="2359" spans="15:22" x14ac:dyDescent="0.25">
      <c r="O2359" s="74"/>
      <c r="P2359" s="74"/>
      <c r="Q2359" s="74"/>
      <c r="R2359" s="74"/>
      <c r="V2359" s="72"/>
    </row>
    <row r="2360" spans="15:22" x14ac:dyDescent="0.25">
      <c r="O2360" s="74"/>
      <c r="P2360" s="74"/>
      <c r="Q2360" s="74"/>
      <c r="R2360" s="74"/>
      <c r="V2360" s="72"/>
    </row>
    <row r="2361" spans="15:22" x14ac:dyDescent="0.25">
      <c r="O2361" s="74"/>
      <c r="P2361" s="74"/>
      <c r="Q2361" s="74"/>
      <c r="R2361" s="74"/>
      <c r="V2361" s="72"/>
    </row>
    <row r="2362" spans="15:22" x14ac:dyDescent="0.25">
      <c r="O2362" s="74"/>
      <c r="P2362" s="74"/>
      <c r="Q2362" s="74"/>
      <c r="R2362" s="74"/>
      <c r="V2362" s="72"/>
    </row>
    <row r="2363" spans="15:22" x14ac:dyDescent="0.25">
      <c r="O2363" s="74"/>
      <c r="P2363" s="74"/>
      <c r="Q2363" s="74"/>
      <c r="R2363" s="74"/>
      <c r="V2363" s="72"/>
    </row>
    <row r="2364" spans="15:22" x14ac:dyDescent="0.25">
      <c r="O2364" s="74"/>
      <c r="P2364" s="74"/>
      <c r="Q2364" s="74"/>
      <c r="R2364" s="74"/>
      <c r="V2364" s="72"/>
    </row>
    <row r="2365" spans="15:22" x14ac:dyDescent="0.25">
      <c r="O2365" s="74"/>
      <c r="P2365" s="74"/>
      <c r="Q2365" s="74"/>
      <c r="R2365" s="74"/>
      <c r="V2365" s="72"/>
    </row>
    <row r="2366" spans="15:22" x14ac:dyDescent="0.25">
      <c r="O2366" s="74"/>
      <c r="P2366" s="74"/>
      <c r="Q2366" s="74"/>
      <c r="R2366" s="74"/>
      <c r="V2366" s="72"/>
    </row>
    <row r="2367" spans="15:22" x14ac:dyDescent="0.25">
      <c r="O2367" s="74"/>
      <c r="P2367" s="74"/>
      <c r="Q2367" s="74"/>
      <c r="R2367" s="74"/>
      <c r="V2367" s="72"/>
    </row>
    <row r="2368" spans="15:22" x14ac:dyDescent="0.25">
      <c r="O2368" s="74"/>
      <c r="P2368" s="74"/>
      <c r="Q2368" s="74"/>
      <c r="R2368" s="74"/>
      <c r="V2368" s="72"/>
    </row>
    <row r="2369" spans="15:22" x14ac:dyDescent="0.25">
      <c r="O2369" s="74"/>
      <c r="P2369" s="74"/>
      <c r="Q2369" s="74"/>
      <c r="R2369" s="74"/>
      <c r="V2369" s="72"/>
    </row>
    <row r="2370" spans="15:22" x14ac:dyDescent="0.25">
      <c r="O2370" s="74"/>
      <c r="P2370" s="74"/>
      <c r="Q2370" s="74"/>
      <c r="R2370" s="74"/>
      <c r="V2370" s="72"/>
    </row>
    <row r="2371" spans="15:22" x14ac:dyDescent="0.25">
      <c r="O2371" s="74"/>
      <c r="P2371" s="74"/>
      <c r="Q2371" s="74"/>
      <c r="R2371" s="74"/>
      <c r="V2371" s="72"/>
    </row>
    <row r="2372" spans="15:22" x14ac:dyDescent="0.25">
      <c r="O2372" s="74"/>
      <c r="P2372" s="74"/>
      <c r="Q2372" s="74"/>
      <c r="R2372" s="74"/>
      <c r="V2372" s="72"/>
    </row>
    <row r="2373" spans="15:22" x14ac:dyDescent="0.25">
      <c r="O2373" s="74"/>
      <c r="P2373" s="74"/>
      <c r="Q2373" s="74"/>
      <c r="R2373" s="74"/>
      <c r="V2373" s="72"/>
    </row>
    <row r="2374" spans="15:22" x14ac:dyDescent="0.25">
      <c r="O2374" s="74"/>
      <c r="P2374" s="74"/>
      <c r="Q2374" s="74"/>
      <c r="R2374" s="74"/>
      <c r="V2374" s="72"/>
    </row>
    <row r="2375" spans="15:22" x14ac:dyDescent="0.25">
      <c r="O2375" s="74"/>
      <c r="P2375" s="74"/>
      <c r="Q2375" s="74"/>
      <c r="R2375" s="74"/>
      <c r="V2375" s="72"/>
    </row>
    <row r="2376" spans="15:22" x14ac:dyDescent="0.25">
      <c r="O2376" s="74"/>
      <c r="P2376" s="74"/>
      <c r="Q2376" s="74"/>
      <c r="R2376" s="74"/>
      <c r="V2376" s="72"/>
    </row>
    <row r="2377" spans="15:22" x14ac:dyDescent="0.25">
      <c r="O2377" s="74"/>
      <c r="P2377" s="74"/>
      <c r="Q2377" s="74"/>
      <c r="R2377" s="74"/>
      <c r="V2377" s="72"/>
    </row>
    <row r="2378" spans="15:22" x14ac:dyDescent="0.25">
      <c r="O2378" s="74"/>
      <c r="P2378" s="74"/>
      <c r="Q2378" s="74"/>
      <c r="R2378" s="74"/>
      <c r="V2378" s="72"/>
    </row>
    <row r="2379" spans="15:22" x14ac:dyDescent="0.25">
      <c r="O2379" s="74"/>
      <c r="P2379" s="74"/>
      <c r="Q2379" s="74"/>
      <c r="R2379" s="74"/>
      <c r="V2379" s="72"/>
    </row>
    <row r="2380" spans="15:22" x14ac:dyDescent="0.25">
      <c r="O2380" s="74"/>
      <c r="P2380" s="74"/>
      <c r="Q2380" s="74"/>
      <c r="R2380" s="74"/>
      <c r="V2380" s="72"/>
    </row>
    <row r="2381" spans="15:22" x14ac:dyDescent="0.25">
      <c r="O2381" s="74"/>
      <c r="P2381" s="74"/>
      <c r="Q2381" s="74"/>
      <c r="R2381" s="74"/>
      <c r="V2381" s="72"/>
    </row>
    <row r="2382" spans="15:22" x14ac:dyDescent="0.25">
      <c r="O2382" s="74"/>
      <c r="P2382" s="74"/>
      <c r="Q2382" s="74"/>
      <c r="R2382" s="74"/>
      <c r="V2382" s="72"/>
    </row>
    <row r="2383" spans="15:22" x14ac:dyDescent="0.25">
      <c r="O2383" s="74"/>
      <c r="P2383" s="74"/>
      <c r="Q2383" s="74"/>
      <c r="R2383" s="74"/>
      <c r="V2383" s="72"/>
    </row>
    <row r="2384" spans="15:22" x14ac:dyDescent="0.25">
      <c r="O2384" s="74"/>
      <c r="P2384" s="74"/>
      <c r="Q2384" s="74"/>
      <c r="R2384" s="74"/>
      <c r="V2384" s="72"/>
    </row>
    <row r="2385" spans="15:22" x14ac:dyDescent="0.25">
      <c r="O2385" s="74"/>
      <c r="P2385" s="74"/>
      <c r="Q2385" s="74"/>
      <c r="R2385" s="74"/>
      <c r="V2385" s="72"/>
    </row>
    <row r="2386" spans="15:22" x14ac:dyDescent="0.25">
      <c r="O2386" s="74"/>
      <c r="P2386" s="74"/>
      <c r="Q2386" s="74"/>
      <c r="R2386" s="74"/>
      <c r="V2386" s="72"/>
    </row>
    <row r="2387" spans="15:22" x14ac:dyDescent="0.25">
      <c r="O2387" s="74"/>
      <c r="P2387" s="74"/>
      <c r="Q2387" s="74"/>
      <c r="R2387" s="74"/>
      <c r="V2387" s="72"/>
    </row>
    <row r="2388" spans="15:22" x14ac:dyDescent="0.25">
      <c r="O2388" s="74"/>
      <c r="P2388" s="74"/>
      <c r="Q2388" s="74"/>
      <c r="R2388" s="74"/>
      <c r="V2388" s="72"/>
    </row>
    <row r="2389" spans="15:22" x14ac:dyDescent="0.25">
      <c r="O2389" s="74"/>
      <c r="P2389" s="74"/>
      <c r="Q2389" s="74"/>
      <c r="R2389" s="74"/>
      <c r="V2389" s="72"/>
    </row>
    <row r="2390" spans="15:22" x14ac:dyDescent="0.25">
      <c r="O2390" s="74"/>
      <c r="P2390" s="74"/>
      <c r="Q2390" s="74"/>
      <c r="R2390" s="74"/>
      <c r="V2390" s="72"/>
    </row>
    <row r="2391" spans="15:22" x14ac:dyDescent="0.25">
      <c r="O2391" s="74"/>
      <c r="P2391" s="74"/>
      <c r="Q2391" s="74"/>
      <c r="R2391" s="74"/>
      <c r="V2391" s="72"/>
    </row>
    <row r="2392" spans="15:22" x14ac:dyDescent="0.25">
      <c r="O2392" s="74"/>
      <c r="P2392" s="74"/>
      <c r="Q2392" s="74"/>
      <c r="R2392" s="74"/>
      <c r="V2392" s="72"/>
    </row>
    <row r="2393" spans="15:22" x14ac:dyDescent="0.25">
      <c r="O2393" s="74"/>
      <c r="P2393" s="74"/>
      <c r="Q2393" s="74"/>
      <c r="R2393" s="74"/>
      <c r="V2393" s="72"/>
    </row>
    <row r="2394" spans="15:22" x14ac:dyDescent="0.25">
      <c r="O2394" s="74"/>
      <c r="P2394" s="74"/>
      <c r="Q2394" s="74"/>
      <c r="R2394" s="74"/>
      <c r="V2394" s="72"/>
    </row>
    <row r="2395" spans="15:22" x14ac:dyDescent="0.25">
      <c r="O2395" s="74"/>
      <c r="P2395" s="74"/>
      <c r="Q2395" s="74"/>
      <c r="R2395" s="74"/>
      <c r="V2395" s="72"/>
    </row>
    <row r="2396" spans="15:22" x14ac:dyDescent="0.25">
      <c r="O2396" s="74"/>
      <c r="P2396" s="74"/>
      <c r="Q2396" s="74"/>
      <c r="R2396" s="74"/>
      <c r="V2396" s="72"/>
    </row>
    <row r="2397" spans="15:22" x14ac:dyDescent="0.25">
      <c r="O2397" s="74"/>
      <c r="P2397" s="74"/>
      <c r="Q2397" s="74"/>
      <c r="R2397" s="74"/>
      <c r="V2397" s="72"/>
    </row>
    <row r="2398" spans="15:22" x14ac:dyDescent="0.25">
      <c r="O2398" s="74"/>
      <c r="P2398" s="74"/>
      <c r="Q2398" s="74"/>
      <c r="R2398" s="74"/>
      <c r="V2398" s="72"/>
    </row>
    <row r="2399" spans="15:22" x14ac:dyDescent="0.25">
      <c r="O2399" s="74"/>
      <c r="P2399" s="74"/>
      <c r="Q2399" s="74"/>
      <c r="R2399" s="74"/>
      <c r="V2399" s="72"/>
    </row>
    <row r="2400" spans="15:22" x14ac:dyDescent="0.25">
      <c r="O2400" s="74"/>
      <c r="P2400" s="74"/>
      <c r="Q2400" s="74"/>
      <c r="R2400" s="74"/>
      <c r="V2400" s="72"/>
    </row>
    <row r="2401" spans="15:22" x14ac:dyDescent="0.25">
      <c r="O2401" s="74"/>
      <c r="P2401" s="74"/>
      <c r="Q2401" s="74"/>
      <c r="R2401" s="74"/>
      <c r="V2401" s="72"/>
    </row>
    <row r="2402" spans="15:22" x14ac:dyDescent="0.25">
      <c r="O2402" s="74"/>
      <c r="P2402" s="74"/>
      <c r="Q2402" s="74"/>
      <c r="R2402" s="74"/>
      <c r="V2402" s="72"/>
    </row>
    <row r="2403" spans="15:22" x14ac:dyDescent="0.25">
      <c r="O2403" s="74"/>
      <c r="P2403" s="74"/>
      <c r="Q2403" s="74"/>
      <c r="R2403" s="74"/>
      <c r="V2403" s="72"/>
    </row>
    <row r="2404" spans="15:22" x14ac:dyDescent="0.25">
      <c r="O2404" s="74"/>
      <c r="P2404" s="74"/>
      <c r="Q2404" s="74"/>
      <c r="R2404" s="74"/>
      <c r="V2404" s="72"/>
    </row>
    <row r="2405" spans="15:22" x14ac:dyDescent="0.25">
      <c r="O2405" s="74"/>
      <c r="P2405" s="74"/>
      <c r="Q2405" s="74"/>
      <c r="R2405" s="74"/>
      <c r="V2405" s="72"/>
    </row>
    <row r="2406" spans="15:22" x14ac:dyDescent="0.25">
      <c r="O2406" s="74"/>
      <c r="P2406" s="74"/>
      <c r="Q2406" s="74"/>
      <c r="R2406" s="74"/>
      <c r="V2406" s="72"/>
    </row>
    <row r="2407" spans="15:22" x14ac:dyDescent="0.25">
      <c r="O2407" s="74"/>
      <c r="P2407" s="74"/>
      <c r="Q2407" s="74"/>
      <c r="R2407" s="74"/>
      <c r="V2407" s="72"/>
    </row>
    <row r="2408" spans="15:22" x14ac:dyDescent="0.25">
      <c r="O2408" s="74"/>
      <c r="P2408" s="74"/>
      <c r="Q2408" s="74"/>
      <c r="R2408" s="74"/>
      <c r="V2408" s="72"/>
    </row>
    <row r="2409" spans="15:22" x14ac:dyDescent="0.25">
      <c r="O2409" s="74"/>
      <c r="P2409" s="74"/>
      <c r="Q2409" s="74"/>
      <c r="R2409" s="74"/>
      <c r="V2409" s="72"/>
    </row>
    <row r="2410" spans="15:22" x14ac:dyDescent="0.25">
      <c r="O2410" s="74"/>
      <c r="P2410" s="74"/>
      <c r="Q2410" s="74"/>
      <c r="R2410" s="74"/>
      <c r="V2410" s="72"/>
    </row>
    <row r="2411" spans="15:22" x14ac:dyDescent="0.25">
      <c r="O2411" s="74"/>
      <c r="P2411" s="74"/>
      <c r="Q2411" s="74"/>
      <c r="R2411" s="74"/>
      <c r="V2411" s="72"/>
    </row>
    <row r="2412" spans="15:22" x14ac:dyDescent="0.25">
      <c r="O2412" s="74"/>
      <c r="P2412" s="74"/>
      <c r="Q2412" s="74"/>
      <c r="R2412" s="74"/>
      <c r="V2412" s="72"/>
    </row>
    <row r="2413" spans="15:22" x14ac:dyDescent="0.25">
      <c r="O2413" s="74"/>
      <c r="P2413" s="74"/>
      <c r="Q2413" s="74"/>
      <c r="R2413" s="74"/>
      <c r="V2413" s="72"/>
    </row>
    <row r="2414" spans="15:22" x14ac:dyDescent="0.25">
      <c r="O2414" s="74"/>
      <c r="P2414" s="74"/>
      <c r="Q2414" s="74"/>
      <c r="R2414" s="74"/>
      <c r="V2414" s="72"/>
    </row>
    <row r="2415" spans="15:22" x14ac:dyDescent="0.25">
      <c r="O2415" s="74"/>
      <c r="P2415" s="74"/>
      <c r="Q2415" s="74"/>
      <c r="R2415" s="74"/>
      <c r="V2415" s="72"/>
    </row>
    <row r="2416" spans="15:22" x14ac:dyDescent="0.25">
      <c r="O2416" s="74"/>
      <c r="P2416" s="74"/>
      <c r="Q2416" s="74"/>
      <c r="R2416" s="74"/>
      <c r="V2416" s="72"/>
    </row>
    <row r="2417" spans="15:22" x14ac:dyDescent="0.25">
      <c r="O2417" s="74"/>
      <c r="P2417" s="74"/>
      <c r="Q2417" s="74"/>
      <c r="R2417" s="74"/>
      <c r="V2417" s="72"/>
    </row>
    <row r="2418" spans="15:22" x14ac:dyDescent="0.25">
      <c r="O2418" s="74"/>
      <c r="P2418" s="74"/>
      <c r="Q2418" s="74"/>
      <c r="R2418" s="74"/>
      <c r="V2418" s="72"/>
    </row>
    <row r="2419" spans="15:22" x14ac:dyDescent="0.25">
      <c r="O2419" s="74"/>
      <c r="P2419" s="74"/>
      <c r="Q2419" s="74"/>
      <c r="R2419" s="74"/>
      <c r="V2419" s="72"/>
    </row>
    <row r="2420" spans="15:22" x14ac:dyDescent="0.25">
      <c r="O2420" s="74"/>
      <c r="P2420" s="74"/>
      <c r="Q2420" s="74"/>
      <c r="R2420" s="74"/>
      <c r="V2420" s="72"/>
    </row>
    <row r="2421" spans="15:22" x14ac:dyDescent="0.25">
      <c r="O2421" s="74"/>
      <c r="P2421" s="74"/>
      <c r="Q2421" s="74"/>
      <c r="R2421" s="74"/>
      <c r="V2421" s="72"/>
    </row>
    <row r="2422" spans="15:22" x14ac:dyDescent="0.25">
      <c r="O2422" s="74"/>
      <c r="P2422" s="74"/>
      <c r="Q2422" s="74"/>
      <c r="R2422" s="74"/>
      <c r="V2422" s="72"/>
    </row>
    <row r="2423" spans="15:22" x14ac:dyDescent="0.25">
      <c r="O2423" s="74"/>
      <c r="P2423" s="74"/>
      <c r="Q2423" s="74"/>
      <c r="R2423" s="74"/>
      <c r="V2423" s="72"/>
    </row>
    <row r="2424" spans="15:22" x14ac:dyDescent="0.25">
      <c r="O2424" s="74"/>
      <c r="P2424" s="74"/>
      <c r="Q2424" s="74"/>
      <c r="R2424" s="74"/>
      <c r="V2424" s="72"/>
    </row>
    <row r="2425" spans="15:22" x14ac:dyDescent="0.25">
      <c r="O2425" s="74"/>
      <c r="P2425" s="74"/>
      <c r="Q2425" s="74"/>
      <c r="R2425" s="74"/>
      <c r="V2425" s="72"/>
    </row>
    <row r="2426" spans="15:22" x14ac:dyDescent="0.25">
      <c r="O2426" s="74"/>
      <c r="P2426" s="74"/>
      <c r="Q2426" s="74"/>
      <c r="R2426" s="74"/>
      <c r="V2426" s="72"/>
    </row>
    <row r="2427" spans="15:22" x14ac:dyDescent="0.25">
      <c r="O2427" s="74"/>
      <c r="P2427" s="74"/>
      <c r="Q2427" s="74"/>
      <c r="R2427" s="74"/>
      <c r="V2427" s="72"/>
    </row>
    <row r="2428" spans="15:22" x14ac:dyDescent="0.25">
      <c r="O2428" s="74"/>
      <c r="P2428" s="74"/>
      <c r="Q2428" s="74"/>
      <c r="R2428" s="74"/>
      <c r="V2428" s="72"/>
    </row>
    <row r="2429" spans="15:22" x14ac:dyDescent="0.25">
      <c r="O2429" s="74"/>
      <c r="P2429" s="74"/>
      <c r="Q2429" s="74"/>
      <c r="R2429" s="74"/>
      <c r="V2429" s="72"/>
    </row>
    <row r="2430" spans="15:22" x14ac:dyDescent="0.25">
      <c r="O2430" s="74"/>
      <c r="P2430" s="74"/>
      <c r="Q2430" s="74"/>
      <c r="R2430" s="74"/>
      <c r="V2430" s="72"/>
    </row>
    <row r="2431" spans="15:22" x14ac:dyDescent="0.25">
      <c r="O2431" s="74"/>
      <c r="P2431" s="74"/>
      <c r="Q2431" s="74"/>
      <c r="R2431" s="74"/>
      <c r="V2431" s="72"/>
    </row>
    <row r="2432" spans="15:22" x14ac:dyDescent="0.25">
      <c r="O2432" s="74"/>
      <c r="P2432" s="74"/>
      <c r="Q2432" s="74"/>
      <c r="R2432" s="74"/>
      <c r="V2432" s="72"/>
    </row>
    <row r="2433" spans="15:22" x14ac:dyDescent="0.25">
      <c r="O2433" s="74"/>
      <c r="P2433" s="74"/>
      <c r="Q2433" s="74"/>
      <c r="R2433" s="74"/>
      <c r="V2433" s="72"/>
    </row>
    <row r="2434" spans="15:22" x14ac:dyDescent="0.25">
      <c r="O2434" s="74"/>
      <c r="P2434" s="74"/>
      <c r="Q2434" s="74"/>
      <c r="R2434" s="74"/>
      <c r="V2434" s="72"/>
    </row>
    <row r="2435" spans="15:22" x14ac:dyDescent="0.25">
      <c r="O2435" s="74"/>
      <c r="P2435" s="74"/>
      <c r="Q2435" s="74"/>
      <c r="R2435" s="74"/>
      <c r="V2435" s="72"/>
    </row>
    <row r="2436" spans="15:22" x14ac:dyDescent="0.25">
      <c r="O2436" s="74"/>
      <c r="P2436" s="74"/>
      <c r="Q2436" s="74"/>
      <c r="R2436" s="74"/>
      <c r="V2436" s="72"/>
    </row>
    <row r="2437" spans="15:22" x14ac:dyDescent="0.25">
      <c r="O2437" s="74"/>
      <c r="P2437" s="74"/>
      <c r="Q2437" s="74"/>
      <c r="R2437" s="74"/>
      <c r="V2437" s="72"/>
    </row>
    <row r="2438" spans="15:22" x14ac:dyDescent="0.25">
      <c r="O2438" s="74"/>
      <c r="P2438" s="74"/>
      <c r="Q2438" s="74"/>
      <c r="R2438" s="74"/>
      <c r="V2438" s="72"/>
    </row>
    <row r="2439" spans="15:22" x14ac:dyDescent="0.25">
      <c r="O2439" s="74"/>
      <c r="P2439" s="74"/>
      <c r="Q2439" s="74"/>
      <c r="R2439" s="74"/>
      <c r="V2439" s="72"/>
    </row>
    <row r="2440" spans="15:22" x14ac:dyDescent="0.25">
      <c r="O2440" s="74"/>
      <c r="P2440" s="74"/>
      <c r="Q2440" s="74"/>
      <c r="R2440" s="74"/>
      <c r="V2440" s="72"/>
    </row>
    <row r="2441" spans="15:22" x14ac:dyDescent="0.25">
      <c r="O2441" s="74"/>
      <c r="P2441" s="74"/>
      <c r="Q2441" s="74"/>
      <c r="R2441" s="74"/>
      <c r="V2441" s="72"/>
    </row>
    <row r="2442" spans="15:22" x14ac:dyDescent="0.25">
      <c r="O2442" s="74"/>
      <c r="P2442" s="74"/>
      <c r="Q2442" s="74"/>
      <c r="R2442" s="74"/>
      <c r="V2442" s="72"/>
    </row>
    <row r="2443" spans="15:22" x14ac:dyDescent="0.25">
      <c r="O2443" s="74"/>
      <c r="P2443" s="74"/>
      <c r="Q2443" s="74"/>
      <c r="R2443" s="74"/>
      <c r="V2443" s="72"/>
    </row>
    <row r="2444" spans="15:22" x14ac:dyDescent="0.25">
      <c r="O2444" s="74"/>
      <c r="P2444" s="74"/>
      <c r="Q2444" s="74"/>
      <c r="R2444" s="74"/>
      <c r="V2444" s="72"/>
    </row>
    <row r="2445" spans="15:22" x14ac:dyDescent="0.25">
      <c r="O2445" s="74"/>
      <c r="P2445" s="74"/>
      <c r="Q2445" s="74"/>
      <c r="R2445" s="74"/>
      <c r="V2445" s="72"/>
    </row>
    <row r="2446" spans="15:22" x14ac:dyDescent="0.25">
      <c r="O2446" s="74"/>
      <c r="P2446" s="74"/>
      <c r="Q2446" s="74"/>
      <c r="R2446" s="74"/>
      <c r="V2446" s="72"/>
    </row>
    <row r="2447" spans="15:22" x14ac:dyDescent="0.25">
      <c r="O2447" s="74"/>
      <c r="P2447" s="74"/>
      <c r="Q2447" s="74"/>
      <c r="R2447" s="74"/>
      <c r="V2447" s="72"/>
    </row>
    <row r="2448" spans="15:22" x14ac:dyDescent="0.25">
      <c r="O2448" s="74"/>
      <c r="P2448" s="74"/>
      <c r="Q2448" s="74"/>
      <c r="R2448" s="74"/>
      <c r="V2448" s="72"/>
    </row>
    <row r="2449" spans="15:22" x14ac:dyDescent="0.25">
      <c r="O2449" s="74"/>
      <c r="P2449" s="74"/>
      <c r="Q2449" s="74"/>
      <c r="R2449" s="74"/>
      <c r="V2449" s="72"/>
    </row>
    <row r="2450" spans="15:22" x14ac:dyDescent="0.25">
      <c r="O2450" s="74"/>
      <c r="P2450" s="74"/>
      <c r="Q2450" s="74"/>
      <c r="R2450" s="74"/>
      <c r="V2450" s="72"/>
    </row>
    <row r="2451" spans="15:22" x14ac:dyDescent="0.25">
      <c r="O2451" s="74"/>
      <c r="P2451" s="74"/>
      <c r="Q2451" s="74"/>
      <c r="R2451" s="74"/>
      <c r="V2451" s="72"/>
    </row>
    <row r="2452" spans="15:22" x14ac:dyDescent="0.25">
      <c r="O2452" s="74"/>
      <c r="P2452" s="74"/>
      <c r="Q2452" s="74"/>
      <c r="R2452" s="74"/>
      <c r="V2452" s="72"/>
    </row>
    <row r="2453" spans="15:22" x14ac:dyDescent="0.25">
      <c r="O2453" s="74"/>
      <c r="P2453" s="74"/>
      <c r="Q2453" s="74"/>
      <c r="R2453" s="74"/>
      <c r="V2453" s="72"/>
    </row>
    <row r="2454" spans="15:22" x14ac:dyDescent="0.25">
      <c r="O2454" s="74"/>
      <c r="P2454" s="74"/>
      <c r="Q2454" s="74"/>
      <c r="R2454" s="74"/>
      <c r="V2454" s="72"/>
    </row>
    <row r="2455" spans="15:22" x14ac:dyDescent="0.25">
      <c r="O2455" s="74"/>
      <c r="P2455" s="74"/>
      <c r="Q2455" s="74"/>
      <c r="R2455" s="74"/>
      <c r="V2455" s="72"/>
    </row>
    <row r="2456" spans="15:22" x14ac:dyDescent="0.25">
      <c r="O2456" s="74"/>
      <c r="P2456" s="74"/>
      <c r="Q2456" s="74"/>
      <c r="R2456" s="74"/>
      <c r="V2456" s="72"/>
    </row>
    <row r="2457" spans="15:22" x14ac:dyDescent="0.25">
      <c r="O2457" s="74"/>
      <c r="P2457" s="74"/>
      <c r="Q2457" s="74"/>
      <c r="R2457" s="74"/>
      <c r="V2457" s="72"/>
    </row>
    <row r="2458" spans="15:22" x14ac:dyDescent="0.25">
      <c r="O2458" s="74"/>
      <c r="P2458" s="74"/>
      <c r="Q2458" s="74"/>
      <c r="R2458" s="74"/>
      <c r="V2458" s="72"/>
    </row>
    <row r="2459" spans="15:22" x14ac:dyDescent="0.25">
      <c r="O2459" s="74"/>
      <c r="P2459" s="74"/>
      <c r="Q2459" s="74"/>
      <c r="R2459" s="74"/>
      <c r="V2459" s="72"/>
    </row>
    <row r="2460" spans="15:22" x14ac:dyDescent="0.25">
      <c r="O2460" s="74"/>
      <c r="P2460" s="74"/>
      <c r="Q2460" s="74"/>
      <c r="R2460" s="74"/>
      <c r="V2460" s="72"/>
    </row>
    <row r="2461" spans="15:22" x14ac:dyDescent="0.25">
      <c r="O2461" s="74"/>
      <c r="P2461" s="74"/>
      <c r="Q2461" s="74"/>
      <c r="R2461" s="74"/>
      <c r="V2461" s="72"/>
    </row>
    <row r="2462" spans="15:22" x14ac:dyDescent="0.25">
      <c r="O2462" s="74"/>
      <c r="P2462" s="74"/>
      <c r="Q2462" s="74"/>
      <c r="R2462" s="74"/>
      <c r="V2462" s="72"/>
    </row>
    <row r="2463" spans="15:22" x14ac:dyDescent="0.25">
      <c r="O2463" s="74"/>
      <c r="P2463" s="74"/>
      <c r="Q2463" s="74"/>
      <c r="R2463" s="74"/>
      <c r="V2463" s="72"/>
    </row>
    <row r="2464" spans="15:22" x14ac:dyDescent="0.25">
      <c r="O2464" s="74"/>
      <c r="P2464" s="74"/>
      <c r="Q2464" s="74"/>
      <c r="R2464" s="74"/>
      <c r="V2464" s="72"/>
    </row>
    <row r="2465" spans="15:22" x14ac:dyDescent="0.25">
      <c r="O2465" s="74"/>
      <c r="P2465" s="74"/>
      <c r="Q2465" s="74"/>
      <c r="R2465" s="74"/>
      <c r="V2465" s="72"/>
    </row>
    <row r="2466" spans="15:22" x14ac:dyDescent="0.25">
      <c r="O2466" s="74"/>
      <c r="P2466" s="74"/>
      <c r="Q2466" s="74"/>
      <c r="R2466" s="74"/>
      <c r="V2466" s="72"/>
    </row>
    <row r="2467" spans="15:22" x14ac:dyDescent="0.25">
      <c r="O2467" s="74"/>
      <c r="P2467" s="74"/>
      <c r="Q2467" s="74"/>
      <c r="R2467" s="74"/>
      <c r="V2467" s="72"/>
    </row>
    <row r="2468" spans="15:22" x14ac:dyDescent="0.25">
      <c r="O2468" s="74"/>
      <c r="P2468" s="74"/>
      <c r="Q2468" s="74"/>
      <c r="R2468" s="74"/>
      <c r="V2468" s="72"/>
    </row>
    <row r="2469" spans="15:22" x14ac:dyDescent="0.25">
      <c r="O2469" s="74"/>
      <c r="P2469" s="74"/>
      <c r="Q2469" s="74"/>
      <c r="R2469" s="74"/>
      <c r="V2469" s="72"/>
    </row>
    <row r="2470" spans="15:22" x14ac:dyDescent="0.25">
      <c r="O2470" s="74"/>
      <c r="P2470" s="74"/>
      <c r="Q2470" s="74"/>
      <c r="R2470" s="74"/>
      <c r="V2470" s="72"/>
    </row>
    <row r="2471" spans="15:22" x14ac:dyDescent="0.25">
      <c r="O2471" s="74"/>
      <c r="P2471" s="74"/>
      <c r="Q2471" s="74"/>
      <c r="R2471" s="74"/>
      <c r="V2471" s="72"/>
    </row>
    <row r="2472" spans="15:22" x14ac:dyDescent="0.25">
      <c r="O2472" s="74"/>
      <c r="P2472" s="74"/>
      <c r="Q2472" s="74"/>
      <c r="R2472" s="74"/>
      <c r="V2472" s="72"/>
    </row>
    <row r="2473" spans="15:22" x14ac:dyDescent="0.25">
      <c r="O2473" s="74"/>
      <c r="P2473" s="74"/>
      <c r="Q2473" s="74"/>
      <c r="R2473" s="74"/>
      <c r="V2473" s="72"/>
    </row>
    <row r="2474" spans="15:22" x14ac:dyDescent="0.25">
      <c r="O2474" s="74"/>
      <c r="P2474" s="74"/>
      <c r="Q2474" s="74"/>
      <c r="R2474" s="74"/>
      <c r="V2474" s="72"/>
    </row>
    <row r="2475" spans="15:22" x14ac:dyDescent="0.25">
      <c r="O2475" s="74"/>
      <c r="P2475" s="74"/>
      <c r="Q2475" s="74"/>
      <c r="R2475" s="74"/>
      <c r="V2475" s="72"/>
    </row>
    <row r="2476" spans="15:22" x14ac:dyDescent="0.25">
      <c r="O2476" s="74"/>
      <c r="P2476" s="74"/>
      <c r="Q2476" s="74"/>
      <c r="R2476" s="74"/>
      <c r="V2476" s="72"/>
    </row>
    <row r="2477" spans="15:22" x14ac:dyDescent="0.25">
      <c r="O2477" s="74"/>
      <c r="P2477" s="74"/>
      <c r="Q2477" s="74"/>
      <c r="R2477" s="74"/>
      <c r="V2477" s="72"/>
    </row>
    <row r="2478" spans="15:22" x14ac:dyDescent="0.25">
      <c r="O2478" s="74"/>
      <c r="P2478" s="74"/>
      <c r="Q2478" s="74"/>
      <c r="R2478" s="74"/>
      <c r="V2478" s="72"/>
    </row>
    <row r="2479" spans="15:22" x14ac:dyDescent="0.25">
      <c r="O2479" s="74"/>
      <c r="P2479" s="74"/>
      <c r="Q2479" s="74"/>
      <c r="R2479" s="74"/>
      <c r="V2479" s="72"/>
    </row>
    <row r="2480" spans="15:22" x14ac:dyDescent="0.25">
      <c r="O2480" s="74"/>
      <c r="P2480" s="74"/>
      <c r="Q2480" s="74"/>
      <c r="R2480" s="74"/>
      <c r="V2480" s="72"/>
    </row>
    <row r="2481" spans="15:22" x14ac:dyDescent="0.25">
      <c r="O2481" s="74"/>
      <c r="P2481" s="74"/>
      <c r="Q2481" s="74"/>
      <c r="R2481" s="74"/>
      <c r="V2481" s="72"/>
    </row>
    <row r="2482" spans="15:22" x14ac:dyDescent="0.25">
      <c r="O2482" s="74"/>
      <c r="P2482" s="74"/>
      <c r="Q2482" s="74"/>
      <c r="R2482" s="74"/>
      <c r="V2482" s="72"/>
    </row>
    <row r="2483" spans="15:22" x14ac:dyDescent="0.25">
      <c r="O2483" s="74"/>
      <c r="P2483" s="74"/>
      <c r="Q2483" s="74"/>
      <c r="R2483" s="74"/>
      <c r="V2483" s="72"/>
    </row>
    <row r="2484" spans="15:22" x14ac:dyDescent="0.25">
      <c r="O2484" s="74"/>
      <c r="P2484" s="74"/>
      <c r="Q2484" s="74"/>
      <c r="R2484" s="74"/>
      <c r="V2484" s="72"/>
    </row>
    <row r="2485" spans="15:22" x14ac:dyDescent="0.25">
      <c r="O2485" s="74"/>
      <c r="P2485" s="74"/>
      <c r="Q2485" s="74"/>
      <c r="R2485" s="74"/>
      <c r="V2485" s="72"/>
    </row>
    <row r="2486" spans="15:22" x14ac:dyDescent="0.25">
      <c r="O2486" s="74"/>
      <c r="P2486" s="74"/>
      <c r="Q2486" s="74"/>
      <c r="R2486" s="74"/>
      <c r="V2486" s="72"/>
    </row>
    <row r="2487" spans="15:22" x14ac:dyDescent="0.25">
      <c r="O2487" s="74"/>
      <c r="P2487" s="74"/>
      <c r="Q2487" s="74"/>
      <c r="R2487" s="74"/>
      <c r="V2487" s="72"/>
    </row>
    <row r="2488" spans="15:22" x14ac:dyDescent="0.25">
      <c r="O2488" s="74"/>
      <c r="P2488" s="74"/>
      <c r="Q2488" s="74"/>
      <c r="R2488" s="74"/>
      <c r="V2488" s="72"/>
    </row>
    <row r="2489" spans="15:22" x14ac:dyDescent="0.25">
      <c r="O2489" s="74"/>
      <c r="P2489" s="74"/>
      <c r="Q2489" s="74"/>
      <c r="R2489" s="74"/>
      <c r="V2489" s="72"/>
    </row>
    <row r="2490" spans="15:22" x14ac:dyDescent="0.25">
      <c r="O2490" s="74"/>
      <c r="P2490" s="74"/>
      <c r="Q2490" s="74"/>
      <c r="R2490" s="74"/>
      <c r="V2490" s="72"/>
    </row>
    <row r="2491" spans="15:22" x14ac:dyDescent="0.25">
      <c r="O2491" s="74"/>
      <c r="P2491" s="74"/>
      <c r="Q2491" s="74"/>
      <c r="R2491" s="74"/>
      <c r="V2491" s="72"/>
    </row>
    <row r="2492" spans="15:22" x14ac:dyDescent="0.25">
      <c r="O2492" s="74"/>
      <c r="P2492" s="74"/>
      <c r="Q2492" s="74"/>
      <c r="R2492" s="74"/>
      <c r="V2492" s="72"/>
    </row>
    <row r="2493" spans="15:22" x14ac:dyDescent="0.25">
      <c r="O2493" s="74"/>
      <c r="P2493" s="74"/>
      <c r="Q2493" s="74"/>
      <c r="R2493" s="74"/>
      <c r="V2493" s="72"/>
    </row>
    <row r="2494" spans="15:22" x14ac:dyDescent="0.25">
      <c r="O2494" s="74"/>
      <c r="P2494" s="74"/>
      <c r="Q2494" s="74"/>
      <c r="R2494" s="74"/>
      <c r="V2494" s="72"/>
    </row>
    <row r="2495" spans="15:22" x14ac:dyDescent="0.25">
      <c r="O2495" s="74"/>
      <c r="P2495" s="74"/>
      <c r="Q2495" s="74"/>
      <c r="R2495" s="74"/>
      <c r="V2495" s="72"/>
    </row>
    <row r="2496" spans="15:22" x14ac:dyDescent="0.25">
      <c r="O2496" s="74"/>
      <c r="P2496" s="74"/>
      <c r="Q2496" s="74"/>
      <c r="R2496" s="74"/>
      <c r="V2496" s="72"/>
    </row>
    <row r="2497" spans="15:22" x14ac:dyDescent="0.25">
      <c r="O2497" s="74"/>
      <c r="P2497" s="74"/>
      <c r="Q2497" s="74"/>
      <c r="R2497" s="74"/>
      <c r="V2497" s="72"/>
    </row>
    <row r="2498" spans="15:22" x14ac:dyDescent="0.25">
      <c r="O2498" s="74"/>
      <c r="P2498" s="74"/>
      <c r="Q2498" s="74"/>
      <c r="R2498" s="74"/>
      <c r="V2498" s="72"/>
    </row>
    <row r="2499" spans="15:22" x14ac:dyDescent="0.25">
      <c r="O2499" s="74"/>
      <c r="P2499" s="74"/>
      <c r="Q2499" s="74"/>
      <c r="R2499" s="74"/>
      <c r="V2499" s="72"/>
    </row>
    <row r="2500" spans="15:22" x14ac:dyDescent="0.25">
      <c r="O2500" s="74"/>
      <c r="P2500" s="74"/>
      <c r="Q2500" s="74"/>
      <c r="R2500" s="74"/>
      <c r="V2500" s="72"/>
    </row>
    <row r="2501" spans="15:22" x14ac:dyDescent="0.25">
      <c r="O2501" s="74"/>
      <c r="P2501" s="74"/>
      <c r="Q2501" s="74"/>
      <c r="R2501" s="74"/>
      <c r="V2501" s="72"/>
    </row>
    <row r="2502" spans="15:22" x14ac:dyDescent="0.25">
      <c r="O2502" s="74"/>
      <c r="P2502" s="74"/>
      <c r="Q2502" s="74"/>
      <c r="R2502" s="74"/>
      <c r="V2502" s="72"/>
    </row>
    <row r="2503" spans="15:22" x14ac:dyDescent="0.25">
      <c r="O2503" s="74"/>
      <c r="P2503" s="74"/>
      <c r="Q2503" s="74"/>
      <c r="R2503" s="74"/>
      <c r="V2503" s="72"/>
    </row>
    <row r="2504" spans="15:22" x14ac:dyDescent="0.25">
      <c r="O2504" s="74"/>
      <c r="P2504" s="74"/>
      <c r="Q2504" s="74"/>
      <c r="R2504" s="74"/>
      <c r="V2504" s="72"/>
    </row>
    <row r="2505" spans="15:22" x14ac:dyDescent="0.25">
      <c r="O2505" s="74"/>
      <c r="P2505" s="74"/>
      <c r="Q2505" s="74"/>
      <c r="R2505" s="74"/>
      <c r="V2505" s="72"/>
    </row>
    <row r="2506" spans="15:22" x14ac:dyDescent="0.25">
      <c r="O2506" s="74"/>
      <c r="P2506" s="74"/>
      <c r="Q2506" s="74"/>
      <c r="R2506" s="74"/>
      <c r="V2506" s="72"/>
    </row>
    <row r="2507" spans="15:22" x14ac:dyDescent="0.25">
      <c r="O2507" s="74"/>
      <c r="P2507" s="74"/>
      <c r="Q2507" s="74"/>
      <c r="R2507" s="74"/>
      <c r="V2507" s="72"/>
    </row>
    <row r="2508" spans="15:22" x14ac:dyDescent="0.25">
      <c r="O2508" s="74"/>
      <c r="P2508" s="74"/>
      <c r="Q2508" s="74"/>
      <c r="R2508" s="74"/>
      <c r="V2508" s="72"/>
    </row>
    <row r="2509" spans="15:22" x14ac:dyDescent="0.25">
      <c r="O2509" s="74"/>
      <c r="P2509" s="74"/>
      <c r="Q2509" s="74"/>
      <c r="R2509" s="74"/>
      <c r="V2509" s="72"/>
    </row>
    <row r="2510" spans="15:22" x14ac:dyDescent="0.25">
      <c r="O2510" s="74"/>
      <c r="P2510" s="74"/>
      <c r="Q2510" s="74"/>
      <c r="R2510" s="74"/>
      <c r="V2510" s="72"/>
    </row>
    <row r="2511" spans="15:22" x14ac:dyDescent="0.25">
      <c r="O2511" s="74"/>
      <c r="P2511" s="74"/>
      <c r="Q2511" s="74"/>
      <c r="R2511" s="74"/>
      <c r="V2511" s="72"/>
    </row>
    <row r="2512" spans="15:22" x14ac:dyDescent="0.25">
      <c r="O2512" s="74"/>
      <c r="P2512" s="74"/>
      <c r="Q2512" s="74"/>
      <c r="R2512" s="74"/>
      <c r="V2512" s="72"/>
    </row>
    <row r="2513" spans="15:22" x14ac:dyDescent="0.25">
      <c r="O2513" s="74"/>
      <c r="P2513" s="74"/>
      <c r="Q2513" s="74"/>
      <c r="R2513" s="74"/>
      <c r="V2513" s="72"/>
    </row>
    <row r="2514" spans="15:22" x14ac:dyDescent="0.25">
      <c r="O2514" s="74"/>
      <c r="P2514" s="74"/>
      <c r="Q2514" s="74"/>
      <c r="R2514" s="74"/>
      <c r="V2514" s="72"/>
    </row>
    <row r="2515" spans="15:22" x14ac:dyDescent="0.25">
      <c r="O2515" s="74"/>
      <c r="P2515" s="74"/>
      <c r="Q2515" s="74"/>
      <c r="R2515" s="74"/>
      <c r="V2515" s="72"/>
    </row>
    <row r="2516" spans="15:22" x14ac:dyDescent="0.25">
      <c r="O2516" s="74"/>
      <c r="P2516" s="74"/>
      <c r="Q2516" s="74"/>
      <c r="R2516" s="74"/>
      <c r="V2516" s="72"/>
    </row>
    <row r="2517" spans="15:22" x14ac:dyDescent="0.25">
      <c r="O2517" s="74"/>
      <c r="P2517" s="74"/>
      <c r="Q2517" s="74"/>
      <c r="R2517" s="74"/>
      <c r="V2517" s="72"/>
    </row>
    <row r="2518" spans="15:22" x14ac:dyDescent="0.25">
      <c r="O2518" s="74"/>
      <c r="P2518" s="74"/>
      <c r="Q2518" s="74"/>
      <c r="R2518" s="74"/>
      <c r="V2518" s="72"/>
    </row>
    <row r="2519" spans="15:22" x14ac:dyDescent="0.25">
      <c r="O2519" s="74"/>
      <c r="P2519" s="74"/>
      <c r="Q2519" s="74"/>
      <c r="R2519" s="74"/>
      <c r="V2519" s="72"/>
    </row>
    <row r="2520" spans="15:22" x14ac:dyDescent="0.25">
      <c r="O2520" s="74"/>
      <c r="P2520" s="74"/>
      <c r="Q2520" s="74"/>
      <c r="R2520" s="74"/>
      <c r="V2520" s="72"/>
    </row>
    <row r="2521" spans="15:22" x14ac:dyDescent="0.25">
      <c r="O2521" s="74"/>
      <c r="P2521" s="74"/>
      <c r="Q2521" s="74"/>
      <c r="R2521" s="74"/>
      <c r="V2521" s="72"/>
    </row>
    <row r="2522" spans="15:22" x14ac:dyDescent="0.25">
      <c r="O2522" s="74"/>
      <c r="P2522" s="74"/>
      <c r="Q2522" s="74"/>
      <c r="R2522" s="74"/>
      <c r="V2522" s="72"/>
    </row>
    <row r="2523" spans="15:22" x14ac:dyDescent="0.25">
      <c r="O2523" s="74"/>
      <c r="P2523" s="74"/>
      <c r="Q2523" s="74"/>
      <c r="R2523" s="74"/>
      <c r="V2523" s="72"/>
    </row>
    <row r="2524" spans="15:22" x14ac:dyDescent="0.25">
      <c r="O2524" s="74"/>
      <c r="P2524" s="74"/>
      <c r="Q2524" s="74"/>
      <c r="R2524" s="74"/>
      <c r="V2524" s="72"/>
    </row>
    <row r="2525" spans="15:22" x14ac:dyDescent="0.25">
      <c r="O2525" s="74"/>
      <c r="P2525" s="74"/>
      <c r="Q2525" s="74"/>
      <c r="R2525" s="74"/>
      <c r="V2525" s="72"/>
    </row>
    <row r="2526" spans="15:22" x14ac:dyDescent="0.25">
      <c r="O2526" s="74"/>
      <c r="P2526" s="74"/>
      <c r="Q2526" s="74"/>
      <c r="R2526" s="74"/>
      <c r="V2526" s="72"/>
    </row>
    <row r="2527" spans="15:22" x14ac:dyDescent="0.25">
      <c r="O2527" s="74"/>
      <c r="P2527" s="74"/>
      <c r="Q2527" s="74"/>
      <c r="R2527" s="74"/>
      <c r="V2527" s="72"/>
    </row>
    <row r="2528" spans="15:22" x14ac:dyDescent="0.25">
      <c r="O2528" s="74"/>
      <c r="P2528" s="74"/>
      <c r="Q2528" s="74"/>
      <c r="R2528" s="74"/>
      <c r="V2528" s="72"/>
    </row>
    <row r="2529" spans="15:22" x14ac:dyDescent="0.25">
      <c r="O2529" s="74"/>
      <c r="P2529" s="74"/>
      <c r="Q2529" s="74"/>
      <c r="R2529" s="74"/>
      <c r="V2529" s="72"/>
    </row>
    <row r="2530" spans="15:22" x14ac:dyDescent="0.25">
      <c r="O2530" s="74"/>
      <c r="P2530" s="74"/>
      <c r="Q2530" s="74"/>
      <c r="R2530" s="74"/>
      <c r="V2530" s="72"/>
    </row>
    <row r="2531" spans="15:22" x14ac:dyDescent="0.25">
      <c r="O2531" s="74"/>
      <c r="P2531" s="74"/>
      <c r="Q2531" s="74"/>
      <c r="R2531" s="74"/>
      <c r="V2531" s="72"/>
    </row>
    <row r="2532" spans="15:22" x14ac:dyDescent="0.25">
      <c r="O2532" s="74"/>
      <c r="P2532" s="74"/>
      <c r="Q2532" s="74"/>
      <c r="R2532" s="74"/>
      <c r="V2532" s="72"/>
    </row>
    <row r="2533" spans="15:22" x14ac:dyDescent="0.25">
      <c r="O2533" s="74"/>
      <c r="P2533" s="74"/>
      <c r="Q2533" s="74"/>
      <c r="R2533" s="74"/>
      <c r="V2533" s="72"/>
    </row>
    <row r="2534" spans="15:22" x14ac:dyDescent="0.25">
      <c r="O2534" s="74"/>
      <c r="P2534" s="74"/>
      <c r="Q2534" s="74"/>
      <c r="R2534" s="74"/>
      <c r="V2534" s="72"/>
    </row>
    <row r="2535" spans="15:22" x14ac:dyDescent="0.25">
      <c r="O2535" s="74"/>
      <c r="P2535" s="74"/>
      <c r="Q2535" s="74"/>
      <c r="R2535" s="74"/>
      <c r="V2535" s="72"/>
    </row>
    <row r="2536" spans="15:22" x14ac:dyDescent="0.25">
      <c r="O2536" s="74"/>
      <c r="P2536" s="74"/>
      <c r="Q2536" s="74"/>
      <c r="R2536" s="74"/>
      <c r="V2536" s="72"/>
    </row>
    <row r="2537" spans="15:22" x14ac:dyDescent="0.25">
      <c r="O2537" s="74"/>
      <c r="P2537" s="74"/>
      <c r="Q2537" s="74"/>
      <c r="R2537" s="74"/>
      <c r="V2537" s="72"/>
    </row>
    <row r="2538" spans="15:22" x14ac:dyDescent="0.25">
      <c r="O2538" s="74"/>
      <c r="P2538" s="74"/>
      <c r="Q2538" s="74"/>
      <c r="R2538" s="74"/>
      <c r="V2538" s="72"/>
    </row>
    <row r="2539" spans="15:22" x14ac:dyDescent="0.25">
      <c r="O2539" s="74"/>
      <c r="P2539" s="74"/>
      <c r="Q2539" s="74"/>
      <c r="R2539" s="74"/>
      <c r="V2539" s="72"/>
    </row>
    <row r="2540" spans="15:22" x14ac:dyDescent="0.25">
      <c r="O2540" s="74"/>
      <c r="P2540" s="74"/>
      <c r="Q2540" s="74"/>
      <c r="R2540" s="74"/>
      <c r="V2540" s="72"/>
    </row>
    <row r="2541" spans="15:22" x14ac:dyDescent="0.25">
      <c r="O2541" s="74"/>
      <c r="P2541" s="74"/>
      <c r="Q2541" s="74"/>
      <c r="R2541" s="74"/>
      <c r="V2541" s="72"/>
    </row>
    <row r="2542" spans="15:22" x14ac:dyDescent="0.25">
      <c r="O2542" s="74"/>
      <c r="P2542" s="74"/>
      <c r="Q2542" s="74"/>
      <c r="R2542" s="74"/>
      <c r="V2542" s="72"/>
    </row>
    <row r="2543" spans="15:22" x14ac:dyDescent="0.25">
      <c r="O2543" s="74"/>
      <c r="P2543" s="74"/>
      <c r="Q2543" s="74"/>
      <c r="R2543" s="74"/>
      <c r="V2543" s="72"/>
    </row>
    <row r="2544" spans="15:22" x14ac:dyDescent="0.25">
      <c r="O2544" s="74"/>
      <c r="P2544" s="74"/>
      <c r="Q2544" s="74"/>
      <c r="R2544" s="74"/>
      <c r="V2544" s="72"/>
    </row>
    <row r="2545" spans="15:22" x14ac:dyDescent="0.25">
      <c r="O2545" s="74"/>
      <c r="P2545" s="74"/>
      <c r="Q2545" s="74"/>
      <c r="R2545" s="74"/>
      <c r="V2545" s="72"/>
    </row>
    <row r="2546" spans="15:22" x14ac:dyDescent="0.25">
      <c r="O2546" s="74"/>
      <c r="P2546" s="74"/>
      <c r="Q2546" s="74"/>
      <c r="R2546" s="74"/>
      <c r="V2546" s="72"/>
    </row>
    <row r="2547" spans="15:22" x14ac:dyDescent="0.25">
      <c r="O2547" s="74"/>
      <c r="P2547" s="74"/>
      <c r="Q2547" s="74"/>
      <c r="R2547" s="74"/>
      <c r="V2547" s="72"/>
    </row>
    <row r="2548" spans="15:22" x14ac:dyDescent="0.25">
      <c r="O2548" s="74"/>
      <c r="P2548" s="74"/>
      <c r="Q2548" s="74"/>
      <c r="R2548" s="74"/>
      <c r="V2548" s="72"/>
    </row>
    <row r="2549" spans="15:22" x14ac:dyDescent="0.25">
      <c r="O2549" s="74"/>
      <c r="P2549" s="74"/>
      <c r="Q2549" s="74"/>
      <c r="R2549" s="74"/>
      <c r="V2549" s="72"/>
    </row>
    <row r="2550" spans="15:22" x14ac:dyDescent="0.25">
      <c r="O2550" s="74"/>
      <c r="P2550" s="74"/>
      <c r="Q2550" s="74"/>
      <c r="R2550" s="74"/>
      <c r="V2550" s="72"/>
    </row>
    <row r="2551" spans="15:22" x14ac:dyDescent="0.25">
      <c r="O2551" s="74"/>
      <c r="P2551" s="74"/>
      <c r="Q2551" s="74"/>
      <c r="R2551" s="74"/>
      <c r="V2551" s="72"/>
    </row>
    <row r="2552" spans="15:22" x14ac:dyDescent="0.25">
      <c r="O2552" s="74"/>
      <c r="P2552" s="74"/>
      <c r="Q2552" s="74"/>
      <c r="R2552" s="74"/>
      <c r="V2552" s="72"/>
    </row>
    <row r="2553" spans="15:22" x14ac:dyDescent="0.25">
      <c r="O2553" s="74"/>
      <c r="P2553" s="74"/>
      <c r="Q2553" s="74"/>
      <c r="R2553" s="74"/>
      <c r="V2553" s="72"/>
    </row>
    <row r="2554" spans="15:22" x14ac:dyDescent="0.25">
      <c r="O2554" s="74"/>
      <c r="P2554" s="74"/>
      <c r="Q2554" s="74"/>
      <c r="R2554" s="74"/>
      <c r="V2554" s="72"/>
    </row>
    <row r="2555" spans="15:22" x14ac:dyDescent="0.25">
      <c r="O2555" s="74"/>
      <c r="P2555" s="74"/>
      <c r="Q2555" s="74"/>
      <c r="R2555" s="74"/>
      <c r="V2555" s="72"/>
    </row>
    <row r="2556" spans="15:22" x14ac:dyDescent="0.25">
      <c r="O2556" s="74"/>
      <c r="P2556" s="74"/>
      <c r="Q2556" s="74"/>
      <c r="R2556" s="74"/>
      <c r="V2556" s="72"/>
    </row>
    <row r="2557" spans="15:22" x14ac:dyDescent="0.25">
      <c r="O2557" s="74"/>
      <c r="P2557" s="74"/>
      <c r="Q2557" s="74"/>
      <c r="R2557" s="74"/>
      <c r="V2557" s="72"/>
    </row>
    <row r="2558" spans="15:22" x14ac:dyDescent="0.25">
      <c r="O2558" s="74"/>
      <c r="P2558" s="74"/>
      <c r="Q2558" s="74"/>
      <c r="R2558" s="74"/>
      <c r="V2558" s="72"/>
    </row>
    <row r="2559" spans="15:22" x14ac:dyDescent="0.25">
      <c r="O2559" s="74"/>
      <c r="P2559" s="74"/>
      <c r="Q2559" s="74"/>
      <c r="R2559" s="74"/>
      <c r="V2559" s="72"/>
    </row>
    <row r="2560" spans="15:22" x14ac:dyDescent="0.25">
      <c r="O2560" s="74"/>
      <c r="P2560" s="74"/>
      <c r="Q2560" s="74"/>
      <c r="R2560" s="74"/>
      <c r="V2560" s="72"/>
    </row>
    <row r="2561" spans="15:22" x14ac:dyDescent="0.25">
      <c r="O2561" s="74"/>
      <c r="P2561" s="74"/>
      <c r="Q2561" s="74"/>
      <c r="R2561" s="74"/>
      <c r="V2561" s="72"/>
    </row>
    <row r="2562" spans="15:22" x14ac:dyDescent="0.25">
      <c r="O2562" s="74"/>
      <c r="P2562" s="74"/>
      <c r="Q2562" s="74"/>
      <c r="R2562" s="74"/>
      <c r="V2562" s="72"/>
    </row>
    <row r="2563" spans="15:22" x14ac:dyDescent="0.25">
      <c r="O2563" s="74"/>
      <c r="P2563" s="74"/>
      <c r="Q2563" s="74"/>
      <c r="R2563" s="74"/>
      <c r="V2563" s="72"/>
    </row>
    <row r="2564" spans="15:22" x14ac:dyDescent="0.25">
      <c r="O2564" s="74"/>
      <c r="P2564" s="74"/>
      <c r="Q2564" s="74"/>
      <c r="R2564" s="74"/>
      <c r="V2564" s="72"/>
    </row>
    <row r="2565" spans="15:22" x14ac:dyDescent="0.25">
      <c r="O2565" s="74"/>
      <c r="P2565" s="74"/>
      <c r="Q2565" s="74"/>
      <c r="R2565" s="74"/>
      <c r="V2565" s="72"/>
    </row>
    <row r="2566" spans="15:22" x14ac:dyDescent="0.25">
      <c r="O2566" s="74"/>
      <c r="P2566" s="74"/>
      <c r="Q2566" s="74"/>
      <c r="R2566" s="74"/>
      <c r="V2566" s="72"/>
    </row>
    <row r="2567" spans="15:22" x14ac:dyDescent="0.25">
      <c r="O2567" s="74"/>
      <c r="P2567" s="74"/>
      <c r="Q2567" s="74"/>
      <c r="R2567" s="74"/>
      <c r="V2567" s="72"/>
    </row>
    <row r="2568" spans="15:22" x14ac:dyDescent="0.25">
      <c r="O2568" s="74"/>
      <c r="P2568" s="74"/>
      <c r="Q2568" s="74"/>
      <c r="R2568" s="74"/>
      <c r="V2568" s="72"/>
    </row>
    <row r="2569" spans="15:22" x14ac:dyDescent="0.25">
      <c r="O2569" s="74"/>
      <c r="P2569" s="74"/>
      <c r="Q2569" s="74"/>
      <c r="R2569" s="74"/>
      <c r="V2569" s="72"/>
    </row>
    <row r="2570" spans="15:22" x14ac:dyDescent="0.25">
      <c r="O2570" s="74"/>
      <c r="P2570" s="74"/>
      <c r="Q2570" s="74"/>
      <c r="R2570" s="74"/>
      <c r="V2570" s="72"/>
    </row>
    <row r="2571" spans="15:22" x14ac:dyDescent="0.25">
      <c r="O2571" s="74"/>
      <c r="P2571" s="74"/>
      <c r="Q2571" s="74"/>
      <c r="R2571" s="74"/>
      <c r="V2571" s="72"/>
    </row>
    <row r="2572" spans="15:22" x14ac:dyDescent="0.25">
      <c r="O2572" s="74"/>
      <c r="P2572" s="74"/>
      <c r="Q2572" s="74"/>
      <c r="R2572" s="74"/>
      <c r="V2572" s="72"/>
    </row>
    <row r="2573" spans="15:22" x14ac:dyDescent="0.25">
      <c r="O2573" s="74"/>
      <c r="P2573" s="74"/>
      <c r="Q2573" s="74"/>
      <c r="R2573" s="74"/>
      <c r="V2573" s="72"/>
    </row>
    <row r="2574" spans="15:22" x14ac:dyDescent="0.25">
      <c r="O2574" s="74"/>
      <c r="P2574" s="74"/>
      <c r="Q2574" s="74"/>
      <c r="R2574" s="74"/>
      <c r="V2574" s="72"/>
    </row>
    <row r="2575" spans="15:22" x14ac:dyDescent="0.25">
      <c r="O2575" s="74"/>
      <c r="P2575" s="74"/>
      <c r="Q2575" s="74"/>
      <c r="R2575" s="74"/>
      <c r="V2575" s="72"/>
    </row>
    <row r="2576" spans="15:22" x14ac:dyDescent="0.25">
      <c r="O2576" s="74"/>
      <c r="P2576" s="74"/>
      <c r="Q2576" s="74"/>
      <c r="R2576" s="74"/>
      <c r="V2576" s="72"/>
    </row>
    <row r="2577" spans="15:22" x14ac:dyDescent="0.25">
      <c r="O2577" s="74"/>
      <c r="P2577" s="74"/>
      <c r="Q2577" s="74"/>
      <c r="R2577" s="74"/>
      <c r="V2577" s="72"/>
    </row>
    <row r="2578" spans="15:22" x14ac:dyDescent="0.25">
      <c r="O2578" s="74"/>
      <c r="P2578" s="74"/>
      <c r="Q2578" s="74"/>
      <c r="R2578" s="74"/>
      <c r="V2578" s="72"/>
    </row>
    <row r="2579" spans="15:22" x14ac:dyDescent="0.25">
      <c r="O2579" s="74"/>
      <c r="P2579" s="74"/>
      <c r="Q2579" s="74"/>
      <c r="R2579" s="74"/>
      <c r="V2579" s="72"/>
    </row>
    <row r="2580" spans="15:22" x14ac:dyDescent="0.25">
      <c r="O2580" s="74"/>
      <c r="P2580" s="74"/>
      <c r="Q2580" s="74"/>
      <c r="R2580" s="74"/>
      <c r="V2580" s="72"/>
    </row>
    <row r="2581" spans="15:22" x14ac:dyDescent="0.25">
      <c r="O2581" s="74"/>
      <c r="P2581" s="74"/>
      <c r="Q2581" s="74"/>
      <c r="R2581" s="74"/>
      <c r="V2581" s="72"/>
    </row>
    <row r="2582" spans="15:22" x14ac:dyDescent="0.25">
      <c r="O2582" s="74"/>
      <c r="P2582" s="74"/>
      <c r="Q2582" s="74"/>
      <c r="R2582" s="74"/>
      <c r="V2582" s="72"/>
    </row>
    <row r="2583" spans="15:22" x14ac:dyDescent="0.25">
      <c r="O2583" s="74"/>
      <c r="P2583" s="74"/>
      <c r="Q2583" s="74"/>
      <c r="R2583" s="74"/>
      <c r="V2583" s="72"/>
    </row>
    <row r="2584" spans="15:22" x14ac:dyDescent="0.25">
      <c r="O2584" s="74"/>
      <c r="P2584" s="74"/>
      <c r="Q2584" s="74"/>
      <c r="R2584" s="74"/>
      <c r="V2584" s="72"/>
    </row>
    <row r="2585" spans="15:22" x14ac:dyDescent="0.25">
      <c r="O2585" s="74"/>
      <c r="P2585" s="74"/>
      <c r="Q2585" s="74"/>
      <c r="R2585" s="74"/>
      <c r="V2585" s="72"/>
    </row>
    <row r="2586" spans="15:22" x14ac:dyDescent="0.25">
      <c r="O2586" s="74"/>
      <c r="P2586" s="74"/>
      <c r="Q2586" s="74"/>
      <c r="R2586" s="74"/>
      <c r="V2586" s="72"/>
    </row>
    <row r="2587" spans="15:22" x14ac:dyDescent="0.25">
      <c r="O2587" s="74"/>
      <c r="P2587" s="74"/>
      <c r="Q2587" s="74"/>
      <c r="R2587" s="74"/>
      <c r="V2587" s="72"/>
    </row>
    <row r="2588" spans="15:22" x14ac:dyDescent="0.25">
      <c r="O2588" s="74"/>
      <c r="P2588" s="74"/>
      <c r="Q2588" s="74"/>
      <c r="R2588" s="74"/>
      <c r="V2588" s="72"/>
    </row>
    <row r="2589" spans="15:22" x14ac:dyDescent="0.25">
      <c r="O2589" s="74"/>
      <c r="P2589" s="74"/>
      <c r="Q2589" s="74"/>
      <c r="R2589" s="74"/>
      <c r="V2589" s="72"/>
    </row>
    <row r="2590" spans="15:22" x14ac:dyDescent="0.25">
      <c r="O2590" s="74"/>
      <c r="P2590" s="74"/>
      <c r="Q2590" s="74"/>
      <c r="R2590" s="74"/>
      <c r="V2590" s="72"/>
    </row>
    <row r="2591" spans="15:22" x14ac:dyDescent="0.25">
      <c r="O2591" s="74"/>
      <c r="P2591" s="74"/>
      <c r="Q2591" s="74"/>
      <c r="R2591" s="74"/>
      <c r="V2591" s="72"/>
    </row>
    <row r="2592" spans="15:22" x14ac:dyDescent="0.25">
      <c r="O2592" s="74"/>
      <c r="P2592" s="74"/>
      <c r="Q2592" s="74"/>
      <c r="R2592" s="74"/>
      <c r="V2592" s="72"/>
    </row>
    <row r="2593" spans="15:22" x14ac:dyDescent="0.25">
      <c r="O2593" s="74"/>
      <c r="P2593" s="74"/>
      <c r="Q2593" s="74"/>
      <c r="R2593" s="74"/>
      <c r="V2593" s="72"/>
    </row>
    <row r="2594" spans="15:22" x14ac:dyDescent="0.25">
      <c r="O2594" s="74"/>
      <c r="P2594" s="74"/>
      <c r="Q2594" s="74"/>
      <c r="R2594" s="74"/>
      <c r="V2594" s="72"/>
    </row>
    <row r="2595" spans="15:22" x14ac:dyDescent="0.25">
      <c r="O2595" s="74"/>
      <c r="P2595" s="74"/>
      <c r="Q2595" s="74"/>
      <c r="R2595" s="74"/>
      <c r="V2595" s="72"/>
    </row>
    <row r="2596" spans="15:22" x14ac:dyDescent="0.25">
      <c r="O2596" s="74"/>
      <c r="P2596" s="74"/>
      <c r="Q2596" s="74"/>
      <c r="R2596" s="74"/>
      <c r="V2596" s="72"/>
    </row>
    <row r="2597" spans="15:22" x14ac:dyDescent="0.25">
      <c r="O2597" s="74"/>
      <c r="P2597" s="74"/>
      <c r="Q2597" s="74"/>
      <c r="R2597" s="74"/>
      <c r="V2597" s="72"/>
    </row>
    <row r="2598" spans="15:22" x14ac:dyDescent="0.25">
      <c r="O2598" s="74"/>
      <c r="P2598" s="74"/>
      <c r="Q2598" s="74"/>
      <c r="R2598" s="74"/>
      <c r="V2598" s="72"/>
    </row>
    <row r="2599" spans="15:22" x14ac:dyDescent="0.25">
      <c r="O2599" s="74"/>
      <c r="P2599" s="74"/>
      <c r="Q2599" s="74"/>
      <c r="R2599" s="74"/>
      <c r="V2599" s="72"/>
    </row>
    <row r="2600" spans="15:22" x14ac:dyDescent="0.25">
      <c r="O2600" s="74"/>
      <c r="P2600" s="74"/>
      <c r="Q2600" s="74"/>
      <c r="R2600" s="74"/>
      <c r="V2600" s="72"/>
    </row>
    <row r="2601" spans="15:22" x14ac:dyDescent="0.25">
      <c r="O2601" s="74"/>
      <c r="P2601" s="74"/>
      <c r="Q2601" s="74"/>
      <c r="R2601" s="74"/>
      <c r="V2601" s="72"/>
    </row>
    <row r="2602" spans="15:22" x14ac:dyDescent="0.25">
      <c r="O2602" s="74"/>
      <c r="P2602" s="74"/>
      <c r="Q2602" s="74"/>
      <c r="R2602" s="74"/>
      <c r="V2602" s="72"/>
    </row>
    <row r="2603" spans="15:22" x14ac:dyDescent="0.25">
      <c r="O2603" s="74"/>
      <c r="P2603" s="74"/>
      <c r="Q2603" s="74"/>
      <c r="R2603" s="74"/>
      <c r="V2603" s="72"/>
    </row>
    <row r="2604" spans="15:22" x14ac:dyDescent="0.25">
      <c r="O2604" s="74"/>
      <c r="P2604" s="74"/>
      <c r="Q2604" s="74"/>
      <c r="R2604" s="74"/>
      <c r="V2604" s="72"/>
    </row>
    <row r="2605" spans="15:22" x14ac:dyDescent="0.25">
      <c r="O2605" s="74"/>
      <c r="P2605" s="74"/>
      <c r="Q2605" s="74"/>
      <c r="R2605" s="74"/>
      <c r="V2605" s="72"/>
    </row>
    <row r="2606" spans="15:22" x14ac:dyDescent="0.25">
      <c r="O2606" s="74"/>
      <c r="P2606" s="74"/>
      <c r="Q2606" s="74"/>
      <c r="R2606" s="74"/>
      <c r="V2606" s="72"/>
    </row>
    <row r="2607" spans="15:22" x14ac:dyDescent="0.25">
      <c r="O2607" s="74"/>
      <c r="P2607" s="74"/>
      <c r="Q2607" s="74"/>
      <c r="R2607" s="74"/>
      <c r="V2607" s="72"/>
    </row>
    <row r="2608" spans="15:22" x14ac:dyDescent="0.25">
      <c r="O2608" s="74"/>
      <c r="P2608" s="74"/>
      <c r="Q2608" s="74"/>
      <c r="R2608" s="74"/>
      <c r="V2608" s="72"/>
    </row>
    <row r="2609" spans="15:22" x14ac:dyDescent="0.25">
      <c r="O2609" s="74"/>
      <c r="P2609" s="74"/>
      <c r="Q2609" s="74"/>
      <c r="R2609" s="74"/>
      <c r="V2609" s="72"/>
    </row>
    <row r="2610" spans="15:22" x14ac:dyDescent="0.25">
      <c r="O2610" s="74"/>
      <c r="P2610" s="74"/>
      <c r="Q2610" s="74"/>
      <c r="R2610" s="74"/>
      <c r="V2610" s="72"/>
    </row>
    <row r="2611" spans="15:22" x14ac:dyDescent="0.25">
      <c r="O2611" s="74"/>
      <c r="P2611" s="74"/>
      <c r="Q2611" s="74"/>
      <c r="R2611" s="74"/>
      <c r="V2611" s="72"/>
    </row>
    <row r="2612" spans="15:22" x14ac:dyDescent="0.25">
      <c r="O2612" s="74"/>
      <c r="P2612" s="74"/>
      <c r="Q2612" s="74"/>
      <c r="R2612" s="74"/>
      <c r="V2612" s="72"/>
    </row>
    <row r="2613" spans="15:22" x14ac:dyDescent="0.25">
      <c r="O2613" s="74"/>
      <c r="P2613" s="74"/>
      <c r="Q2613" s="74"/>
      <c r="R2613" s="74"/>
      <c r="V2613" s="72"/>
    </row>
    <row r="2614" spans="15:22" x14ac:dyDescent="0.25">
      <c r="O2614" s="74"/>
      <c r="P2614" s="74"/>
      <c r="Q2614" s="74"/>
      <c r="R2614" s="74"/>
      <c r="V2614" s="72"/>
    </row>
    <row r="2615" spans="15:22" x14ac:dyDescent="0.25">
      <c r="O2615" s="74"/>
      <c r="P2615" s="74"/>
      <c r="Q2615" s="74"/>
      <c r="R2615" s="74"/>
      <c r="V2615" s="72"/>
    </row>
    <row r="2616" spans="15:22" x14ac:dyDescent="0.25">
      <c r="O2616" s="74"/>
      <c r="P2616" s="74"/>
      <c r="Q2616" s="74"/>
      <c r="R2616" s="74"/>
      <c r="V2616" s="72"/>
    </row>
    <row r="2617" spans="15:22" x14ac:dyDescent="0.25">
      <c r="O2617" s="74"/>
      <c r="P2617" s="74"/>
      <c r="Q2617" s="74"/>
      <c r="R2617" s="74"/>
      <c r="V2617" s="72"/>
    </row>
    <row r="2618" spans="15:22" x14ac:dyDescent="0.25">
      <c r="O2618" s="74"/>
      <c r="P2618" s="74"/>
      <c r="Q2618" s="74"/>
      <c r="R2618" s="74"/>
      <c r="V2618" s="72"/>
    </row>
    <row r="2619" spans="15:22" x14ac:dyDescent="0.25">
      <c r="O2619" s="74"/>
      <c r="P2619" s="74"/>
      <c r="Q2619" s="74"/>
      <c r="R2619" s="74"/>
      <c r="V2619" s="72"/>
    </row>
    <row r="2620" spans="15:22" x14ac:dyDescent="0.25">
      <c r="O2620" s="74"/>
      <c r="P2620" s="74"/>
      <c r="Q2620" s="74"/>
      <c r="R2620" s="74"/>
      <c r="V2620" s="72"/>
    </row>
    <row r="2621" spans="15:22" x14ac:dyDescent="0.25">
      <c r="O2621" s="74"/>
      <c r="P2621" s="74"/>
      <c r="Q2621" s="74"/>
      <c r="R2621" s="74"/>
      <c r="V2621" s="72"/>
    </row>
    <row r="2622" spans="15:22" x14ac:dyDescent="0.25">
      <c r="O2622" s="74"/>
      <c r="P2622" s="74"/>
      <c r="Q2622" s="74"/>
      <c r="R2622" s="74"/>
      <c r="V2622" s="72"/>
    </row>
    <row r="2623" spans="15:22" x14ac:dyDescent="0.25">
      <c r="O2623" s="74"/>
      <c r="P2623" s="74"/>
      <c r="Q2623" s="74"/>
      <c r="R2623" s="74"/>
      <c r="V2623" s="72"/>
    </row>
    <row r="2624" spans="15:22" x14ac:dyDescent="0.25">
      <c r="O2624" s="74"/>
      <c r="P2624" s="74"/>
      <c r="Q2624" s="74"/>
      <c r="R2624" s="74"/>
      <c r="V2624" s="72"/>
    </row>
    <row r="2625" spans="15:22" x14ac:dyDescent="0.25">
      <c r="O2625" s="74"/>
      <c r="P2625" s="74"/>
      <c r="Q2625" s="74"/>
      <c r="R2625" s="74"/>
      <c r="V2625" s="72"/>
    </row>
    <row r="2626" spans="15:22" x14ac:dyDescent="0.25">
      <c r="O2626" s="74"/>
      <c r="P2626" s="74"/>
      <c r="Q2626" s="74"/>
      <c r="R2626" s="74"/>
      <c r="V2626" s="72"/>
    </row>
    <row r="2627" spans="15:22" x14ac:dyDescent="0.25">
      <c r="O2627" s="74"/>
      <c r="P2627" s="74"/>
      <c r="Q2627" s="74"/>
      <c r="R2627" s="74"/>
      <c r="V2627" s="72"/>
    </row>
    <row r="2628" spans="15:22" x14ac:dyDescent="0.25">
      <c r="O2628" s="74"/>
      <c r="P2628" s="74"/>
      <c r="Q2628" s="74"/>
      <c r="R2628" s="74"/>
      <c r="V2628" s="72"/>
    </row>
    <row r="2629" spans="15:22" x14ac:dyDescent="0.25">
      <c r="O2629" s="74"/>
      <c r="P2629" s="74"/>
      <c r="Q2629" s="74"/>
      <c r="R2629" s="74"/>
      <c r="V2629" s="72"/>
    </row>
    <row r="2630" spans="15:22" x14ac:dyDescent="0.25">
      <c r="O2630" s="74"/>
      <c r="P2630" s="74"/>
      <c r="Q2630" s="74"/>
      <c r="R2630" s="74"/>
      <c r="V2630" s="72"/>
    </row>
    <row r="2631" spans="15:22" x14ac:dyDescent="0.25">
      <c r="O2631" s="74"/>
      <c r="P2631" s="74"/>
      <c r="Q2631" s="74"/>
      <c r="R2631" s="74"/>
      <c r="V2631" s="72"/>
    </row>
    <row r="2632" spans="15:22" x14ac:dyDescent="0.25">
      <c r="O2632" s="74"/>
      <c r="P2632" s="74"/>
      <c r="Q2632" s="74"/>
      <c r="R2632" s="74"/>
      <c r="V2632" s="72"/>
    </row>
    <row r="2633" spans="15:22" x14ac:dyDescent="0.25">
      <c r="O2633" s="74"/>
      <c r="P2633" s="74"/>
      <c r="Q2633" s="74"/>
      <c r="R2633" s="74"/>
      <c r="V2633" s="72"/>
    </row>
    <row r="2634" spans="15:22" x14ac:dyDescent="0.25">
      <c r="O2634" s="74"/>
      <c r="P2634" s="74"/>
      <c r="Q2634" s="74"/>
      <c r="R2634" s="74"/>
      <c r="V2634" s="72"/>
    </row>
    <row r="2635" spans="15:22" x14ac:dyDescent="0.25">
      <c r="O2635" s="74"/>
      <c r="P2635" s="74"/>
      <c r="Q2635" s="74"/>
      <c r="R2635" s="74"/>
      <c r="V2635" s="72"/>
    </row>
    <row r="2636" spans="15:22" x14ac:dyDescent="0.25">
      <c r="O2636" s="74"/>
      <c r="P2636" s="74"/>
      <c r="Q2636" s="74"/>
      <c r="R2636" s="74"/>
      <c r="V2636" s="72"/>
    </row>
    <row r="2637" spans="15:22" x14ac:dyDescent="0.25">
      <c r="O2637" s="74"/>
      <c r="P2637" s="74"/>
      <c r="Q2637" s="74"/>
      <c r="R2637" s="74"/>
      <c r="V2637" s="72"/>
    </row>
    <row r="2638" spans="15:22" x14ac:dyDescent="0.25">
      <c r="O2638" s="74"/>
      <c r="P2638" s="74"/>
      <c r="Q2638" s="74"/>
      <c r="R2638" s="74"/>
      <c r="V2638" s="72"/>
    </row>
    <row r="2639" spans="15:22" x14ac:dyDescent="0.25">
      <c r="O2639" s="74"/>
      <c r="P2639" s="74"/>
      <c r="Q2639" s="74"/>
      <c r="R2639" s="74"/>
      <c r="V2639" s="72"/>
    </row>
    <row r="2640" spans="15:22" x14ac:dyDescent="0.25">
      <c r="O2640" s="74"/>
      <c r="P2640" s="74"/>
      <c r="Q2640" s="74"/>
      <c r="R2640" s="74"/>
      <c r="V2640" s="72"/>
    </row>
    <row r="2641" spans="15:22" x14ac:dyDescent="0.25">
      <c r="O2641" s="74"/>
      <c r="P2641" s="74"/>
      <c r="Q2641" s="74"/>
      <c r="R2641" s="74"/>
      <c r="V2641" s="72"/>
    </row>
    <row r="2642" spans="15:22" x14ac:dyDescent="0.25">
      <c r="O2642" s="74"/>
      <c r="P2642" s="74"/>
      <c r="Q2642" s="74"/>
      <c r="R2642" s="74"/>
      <c r="V2642" s="72"/>
    </row>
    <row r="2643" spans="15:22" x14ac:dyDescent="0.25">
      <c r="O2643" s="74"/>
      <c r="P2643" s="74"/>
      <c r="Q2643" s="74"/>
      <c r="R2643" s="74"/>
      <c r="V2643" s="72"/>
    </row>
    <row r="2644" spans="15:22" x14ac:dyDescent="0.25">
      <c r="O2644" s="74"/>
      <c r="P2644" s="74"/>
      <c r="Q2644" s="74"/>
      <c r="R2644" s="74"/>
      <c r="V2644" s="72"/>
    </row>
    <row r="2645" spans="15:22" x14ac:dyDescent="0.25">
      <c r="O2645" s="74"/>
      <c r="P2645" s="74"/>
      <c r="Q2645" s="74"/>
      <c r="R2645" s="74"/>
      <c r="V2645" s="72"/>
    </row>
    <row r="2646" spans="15:22" x14ac:dyDescent="0.25">
      <c r="O2646" s="74"/>
      <c r="P2646" s="74"/>
      <c r="Q2646" s="74"/>
      <c r="R2646" s="74"/>
      <c r="V2646" s="72"/>
    </row>
    <row r="2647" spans="15:22" x14ac:dyDescent="0.25">
      <c r="O2647" s="74"/>
      <c r="P2647" s="74"/>
      <c r="Q2647" s="74"/>
      <c r="R2647" s="74"/>
      <c r="V2647" s="72"/>
    </row>
    <row r="2648" spans="15:22" x14ac:dyDescent="0.25">
      <c r="O2648" s="74"/>
      <c r="P2648" s="74"/>
      <c r="Q2648" s="74"/>
      <c r="R2648" s="74"/>
      <c r="V2648" s="72"/>
    </row>
    <row r="2649" spans="15:22" x14ac:dyDescent="0.25">
      <c r="O2649" s="74"/>
      <c r="P2649" s="74"/>
      <c r="Q2649" s="74"/>
      <c r="R2649" s="74"/>
      <c r="V2649" s="72"/>
    </row>
    <row r="2650" spans="15:22" x14ac:dyDescent="0.25">
      <c r="O2650" s="74"/>
      <c r="P2650" s="74"/>
      <c r="Q2650" s="74"/>
      <c r="R2650" s="74"/>
      <c r="V2650" s="72"/>
    </row>
    <row r="2651" spans="15:22" x14ac:dyDescent="0.25">
      <c r="O2651" s="74"/>
      <c r="P2651" s="74"/>
      <c r="Q2651" s="74"/>
      <c r="R2651" s="74"/>
      <c r="V2651" s="72"/>
    </row>
    <row r="2652" spans="15:22" x14ac:dyDescent="0.25">
      <c r="O2652" s="74"/>
      <c r="P2652" s="74"/>
      <c r="Q2652" s="74"/>
      <c r="R2652" s="74"/>
      <c r="V2652" s="72"/>
    </row>
    <row r="2653" spans="15:22" x14ac:dyDescent="0.25">
      <c r="O2653" s="74"/>
      <c r="P2653" s="74"/>
      <c r="Q2653" s="74"/>
      <c r="R2653" s="74"/>
      <c r="V2653" s="72"/>
    </row>
    <row r="2654" spans="15:22" x14ac:dyDescent="0.25">
      <c r="O2654" s="74"/>
      <c r="P2654" s="74"/>
      <c r="Q2654" s="74"/>
      <c r="R2654" s="74"/>
      <c r="V2654" s="72"/>
    </row>
    <row r="2655" spans="15:22" x14ac:dyDescent="0.25">
      <c r="O2655" s="74"/>
      <c r="P2655" s="74"/>
      <c r="Q2655" s="74"/>
      <c r="R2655" s="74"/>
      <c r="V2655" s="72"/>
    </row>
    <row r="2656" spans="15:22" x14ac:dyDescent="0.25">
      <c r="O2656" s="74"/>
      <c r="P2656" s="74"/>
      <c r="Q2656" s="74"/>
      <c r="R2656" s="74"/>
      <c r="V2656" s="72"/>
    </row>
    <row r="2657" spans="15:22" x14ac:dyDescent="0.25">
      <c r="O2657" s="74"/>
      <c r="P2657" s="74"/>
      <c r="Q2657" s="74"/>
      <c r="R2657" s="74"/>
      <c r="V2657" s="72"/>
    </row>
    <row r="2658" spans="15:22" x14ac:dyDescent="0.25">
      <c r="O2658" s="74"/>
      <c r="P2658" s="74"/>
      <c r="Q2658" s="74"/>
      <c r="R2658" s="74"/>
      <c r="V2658" s="72"/>
    </row>
    <row r="2659" spans="15:22" x14ac:dyDescent="0.25">
      <c r="O2659" s="74"/>
      <c r="P2659" s="74"/>
      <c r="Q2659" s="74"/>
      <c r="R2659" s="74"/>
      <c r="V2659" s="72"/>
    </row>
    <row r="2660" spans="15:22" x14ac:dyDescent="0.25">
      <c r="O2660" s="74"/>
      <c r="P2660" s="74"/>
      <c r="Q2660" s="74"/>
      <c r="R2660" s="74"/>
      <c r="V2660" s="72"/>
    </row>
    <row r="2661" spans="15:22" x14ac:dyDescent="0.25">
      <c r="O2661" s="74"/>
      <c r="P2661" s="74"/>
      <c r="Q2661" s="74"/>
      <c r="R2661" s="74"/>
      <c r="V2661" s="72"/>
    </row>
    <row r="2662" spans="15:22" x14ac:dyDescent="0.25">
      <c r="O2662" s="74"/>
      <c r="P2662" s="74"/>
      <c r="Q2662" s="74"/>
      <c r="R2662" s="74"/>
      <c r="V2662" s="72"/>
    </row>
    <row r="2663" spans="15:22" x14ac:dyDescent="0.25">
      <c r="O2663" s="74"/>
      <c r="P2663" s="74"/>
      <c r="Q2663" s="74"/>
      <c r="R2663" s="74"/>
      <c r="V2663" s="72"/>
    </row>
    <row r="2664" spans="15:22" x14ac:dyDescent="0.25">
      <c r="O2664" s="74"/>
      <c r="P2664" s="74"/>
      <c r="Q2664" s="74"/>
      <c r="R2664" s="74"/>
      <c r="V2664" s="72"/>
    </row>
    <row r="2665" spans="15:22" x14ac:dyDescent="0.25">
      <c r="O2665" s="74"/>
      <c r="P2665" s="74"/>
      <c r="Q2665" s="74"/>
      <c r="R2665" s="74"/>
      <c r="V2665" s="72"/>
    </row>
    <row r="2666" spans="15:22" x14ac:dyDescent="0.25">
      <c r="O2666" s="74"/>
      <c r="P2666" s="74"/>
      <c r="Q2666" s="74"/>
      <c r="R2666" s="74"/>
      <c r="V2666" s="72"/>
    </row>
    <row r="2667" spans="15:22" x14ac:dyDescent="0.25">
      <c r="O2667" s="74"/>
      <c r="P2667" s="74"/>
      <c r="Q2667" s="74"/>
      <c r="R2667" s="74"/>
      <c r="V2667" s="72"/>
    </row>
    <row r="2668" spans="15:22" x14ac:dyDescent="0.25">
      <c r="O2668" s="74"/>
      <c r="P2668" s="74"/>
      <c r="Q2668" s="74"/>
      <c r="R2668" s="74"/>
      <c r="V2668" s="72"/>
    </row>
    <row r="2669" spans="15:22" x14ac:dyDescent="0.25">
      <c r="O2669" s="74"/>
      <c r="P2669" s="74"/>
      <c r="Q2669" s="74"/>
      <c r="R2669" s="74"/>
      <c r="V2669" s="72"/>
    </row>
    <row r="2670" spans="15:22" x14ac:dyDescent="0.25">
      <c r="O2670" s="74"/>
      <c r="P2670" s="74"/>
      <c r="Q2670" s="74"/>
      <c r="R2670" s="74"/>
      <c r="V2670" s="72"/>
    </row>
    <row r="2671" spans="15:22" x14ac:dyDescent="0.25">
      <c r="O2671" s="74"/>
      <c r="P2671" s="74"/>
      <c r="Q2671" s="74"/>
      <c r="R2671" s="74"/>
      <c r="V2671" s="72"/>
    </row>
    <row r="2672" spans="15:22" x14ac:dyDescent="0.25">
      <c r="O2672" s="74"/>
      <c r="P2672" s="74"/>
      <c r="Q2672" s="74"/>
      <c r="R2672" s="74"/>
      <c r="V2672" s="72"/>
    </row>
    <row r="2673" spans="15:22" x14ac:dyDescent="0.25">
      <c r="O2673" s="74"/>
      <c r="P2673" s="74"/>
      <c r="Q2673" s="74"/>
      <c r="R2673" s="74"/>
      <c r="V2673" s="72"/>
    </row>
    <row r="2674" spans="15:22" x14ac:dyDescent="0.25">
      <c r="O2674" s="74"/>
      <c r="P2674" s="74"/>
      <c r="Q2674" s="74"/>
      <c r="R2674" s="74"/>
      <c r="V2674" s="72"/>
    </row>
    <row r="2675" spans="15:22" x14ac:dyDescent="0.25">
      <c r="O2675" s="74"/>
      <c r="P2675" s="74"/>
      <c r="Q2675" s="74"/>
      <c r="R2675" s="74"/>
      <c r="V2675" s="72"/>
    </row>
    <row r="2676" spans="15:22" x14ac:dyDescent="0.25">
      <c r="O2676" s="74"/>
      <c r="P2676" s="74"/>
      <c r="Q2676" s="74"/>
      <c r="R2676" s="74"/>
      <c r="V2676" s="72"/>
    </row>
    <row r="2677" spans="15:22" x14ac:dyDescent="0.25">
      <c r="O2677" s="74"/>
      <c r="P2677" s="74"/>
      <c r="Q2677" s="74"/>
      <c r="R2677" s="74"/>
      <c r="V2677" s="72"/>
    </row>
    <row r="2678" spans="15:22" x14ac:dyDescent="0.25">
      <c r="O2678" s="74"/>
      <c r="P2678" s="74"/>
      <c r="Q2678" s="74"/>
      <c r="R2678" s="74"/>
      <c r="V2678" s="72"/>
    </row>
    <row r="2679" spans="15:22" x14ac:dyDescent="0.25">
      <c r="O2679" s="74"/>
      <c r="P2679" s="74"/>
      <c r="Q2679" s="74"/>
      <c r="R2679" s="74"/>
      <c r="V2679" s="72"/>
    </row>
    <row r="2680" spans="15:22" x14ac:dyDescent="0.25">
      <c r="O2680" s="74"/>
      <c r="P2680" s="74"/>
      <c r="Q2680" s="74"/>
      <c r="R2680" s="74"/>
      <c r="V2680" s="72"/>
    </row>
    <row r="2681" spans="15:22" x14ac:dyDescent="0.25">
      <c r="O2681" s="74"/>
      <c r="P2681" s="74"/>
      <c r="Q2681" s="74"/>
      <c r="R2681" s="74"/>
      <c r="V2681" s="72"/>
    </row>
    <row r="2682" spans="15:22" x14ac:dyDescent="0.25">
      <c r="O2682" s="74"/>
      <c r="P2682" s="74"/>
      <c r="Q2682" s="74"/>
      <c r="R2682" s="74"/>
      <c r="V2682" s="72"/>
    </row>
    <row r="2683" spans="15:22" x14ac:dyDescent="0.25">
      <c r="O2683" s="74"/>
      <c r="P2683" s="74"/>
      <c r="Q2683" s="74"/>
      <c r="R2683" s="74"/>
      <c r="V2683" s="72"/>
    </row>
    <row r="2684" spans="15:22" x14ac:dyDescent="0.25">
      <c r="O2684" s="74"/>
      <c r="P2684" s="74"/>
      <c r="Q2684" s="74"/>
      <c r="R2684" s="74"/>
      <c r="V2684" s="72"/>
    </row>
    <row r="2685" spans="15:22" x14ac:dyDescent="0.25">
      <c r="O2685" s="74"/>
      <c r="P2685" s="74"/>
      <c r="Q2685" s="74"/>
      <c r="R2685" s="74"/>
      <c r="V2685" s="72"/>
    </row>
    <row r="2686" spans="15:22" x14ac:dyDescent="0.25">
      <c r="O2686" s="74"/>
      <c r="P2686" s="74"/>
      <c r="Q2686" s="74"/>
      <c r="R2686" s="74"/>
      <c r="V2686" s="72"/>
    </row>
    <row r="2687" spans="15:22" x14ac:dyDescent="0.25">
      <c r="O2687" s="74"/>
      <c r="P2687" s="74"/>
      <c r="Q2687" s="74"/>
      <c r="R2687" s="74"/>
      <c r="V2687" s="72"/>
    </row>
    <row r="2688" spans="15:22" x14ac:dyDescent="0.25">
      <c r="O2688" s="74"/>
      <c r="P2688" s="74"/>
      <c r="Q2688" s="74"/>
      <c r="R2688" s="74"/>
      <c r="V2688" s="72"/>
    </row>
    <row r="2689" spans="15:22" x14ac:dyDescent="0.25">
      <c r="O2689" s="74"/>
      <c r="P2689" s="74"/>
      <c r="Q2689" s="74"/>
      <c r="R2689" s="74"/>
      <c r="V2689" s="72"/>
    </row>
    <row r="2690" spans="15:22" x14ac:dyDescent="0.25">
      <c r="O2690" s="74"/>
      <c r="P2690" s="74"/>
      <c r="Q2690" s="74"/>
      <c r="R2690" s="74"/>
      <c r="V2690" s="72"/>
    </row>
    <row r="2691" spans="15:22" x14ac:dyDescent="0.25">
      <c r="O2691" s="74"/>
      <c r="P2691" s="74"/>
      <c r="Q2691" s="74"/>
      <c r="R2691" s="74"/>
      <c r="V2691" s="72"/>
    </row>
    <row r="2692" spans="15:22" x14ac:dyDescent="0.25">
      <c r="O2692" s="74"/>
      <c r="P2692" s="74"/>
      <c r="Q2692" s="74"/>
      <c r="R2692" s="74"/>
      <c r="V2692" s="72"/>
    </row>
    <row r="2693" spans="15:22" x14ac:dyDescent="0.25">
      <c r="O2693" s="74"/>
      <c r="P2693" s="74"/>
      <c r="Q2693" s="74"/>
      <c r="R2693" s="74"/>
      <c r="V2693" s="72"/>
    </row>
    <row r="2694" spans="15:22" x14ac:dyDescent="0.25">
      <c r="O2694" s="74"/>
      <c r="P2694" s="74"/>
      <c r="Q2694" s="74"/>
      <c r="R2694" s="74"/>
      <c r="V2694" s="72"/>
    </row>
    <row r="2695" spans="15:22" x14ac:dyDescent="0.25">
      <c r="O2695" s="74"/>
      <c r="P2695" s="74"/>
      <c r="Q2695" s="74"/>
      <c r="R2695" s="74"/>
      <c r="V2695" s="72"/>
    </row>
    <row r="2696" spans="15:22" x14ac:dyDescent="0.25">
      <c r="O2696" s="74"/>
      <c r="P2696" s="74"/>
      <c r="Q2696" s="74"/>
      <c r="R2696" s="74"/>
      <c r="V2696" s="72"/>
    </row>
    <row r="2697" spans="15:22" x14ac:dyDescent="0.25">
      <c r="O2697" s="74"/>
      <c r="P2697" s="74"/>
      <c r="Q2697" s="74"/>
      <c r="R2697" s="74"/>
      <c r="V2697" s="72"/>
    </row>
    <row r="2698" spans="15:22" x14ac:dyDescent="0.25">
      <c r="O2698" s="74"/>
      <c r="P2698" s="74"/>
      <c r="Q2698" s="74"/>
      <c r="R2698" s="74"/>
      <c r="V2698" s="72"/>
    </row>
    <row r="2699" spans="15:22" x14ac:dyDescent="0.25">
      <c r="O2699" s="74"/>
      <c r="P2699" s="74"/>
      <c r="Q2699" s="74"/>
      <c r="R2699" s="74"/>
      <c r="V2699" s="72"/>
    </row>
    <row r="2700" spans="15:22" x14ac:dyDescent="0.25">
      <c r="O2700" s="74"/>
      <c r="P2700" s="74"/>
      <c r="Q2700" s="74"/>
      <c r="R2700" s="74"/>
      <c r="V2700" s="72"/>
    </row>
    <row r="2701" spans="15:22" x14ac:dyDescent="0.25">
      <c r="O2701" s="74"/>
      <c r="P2701" s="74"/>
      <c r="Q2701" s="74"/>
      <c r="R2701" s="74"/>
      <c r="V2701" s="72"/>
    </row>
    <row r="2702" spans="15:22" x14ac:dyDescent="0.25">
      <c r="O2702" s="74"/>
      <c r="P2702" s="74"/>
      <c r="Q2702" s="74"/>
      <c r="R2702" s="74"/>
      <c r="V2702" s="72"/>
    </row>
    <row r="2703" spans="15:22" x14ac:dyDescent="0.25">
      <c r="O2703" s="74"/>
      <c r="P2703" s="74"/>
      <c r="Q2703" s="74"/>
      <c r="R2703" s="74"/>
      <c r="V2703" s="72"/>
    </row>
    <row r="2704" spans="15:22" x14ac:dyDescent="0.25">
      <c r="O2704" s="74"/>
      <c r="P2704" s="74"/>
      <c r="Q2704" s="74"/>
      <c r="R2704" s="74"/>
      <c r="V2704" s="72"/>
    </row>
    <row r="2705" spans="15:22" x14ac:dyDescent="0.25">
      <c r="O2705" s="74"/>
      <c r="P2705" s="74"/>
      <c r="Q2705" s="74"/>
      <c r="R2705" s="74"/>
      <c r="V2705" s="72"/>
    </row>
    <row r="2706" spans="15:22" x14ac:dyDescent="0.25">
      <c r="O2706" s="74"/>
      <c r="P2706" s="74"/>
      <c r="Q2706" s="74"/>
      <c r="R2706" s="74"/>
      <c r="V2706" s="72"/>
    </row>
    <row r="2707" spans="15:22" x14ac:dyDescent="0.25">
      <c r="O2707" s="74"/>
      <c r="P2707" s="74"/>
      <c r="Q2707" s="74"/>
      <c r="R2707" s="74"/>
      <c r="V2707" s="72"/>
    </row>
    <row r="2708" spans="15:22" x14ac:dyDescent="0.25">
      <c r="O2708" s="74"/>
      <c r="P2708" s="74"/>
      <c r="Q2708" s="74"/>
      <c r="R2708" s="74"/>
      <c r="V2708" s="72"/>
    </row>
    <row r="2709" spans="15:22" x14ac:dyDescent="0.25">
      <c r="O2709" s="74"/>
      <c r="P2709" s="74"/>
      <c r="Q2709" s="74"/>
      <c r="R2709" s="74"/>
      <c r="V2709" s="72"/>
    </row>
    <row r="2710" spans="15:22" x14ac:dyDescent="0.25">
      <c r="O2710" s="74"/>
      <c r="P2710" s="74"/>
      <c r="Q2710" s="74"/>
      <c r="R2710" s="74"/>
      <c r="V2710" s="72"/>
    </row>
    <row r="2711" spans="15:22" x14ac:dyDescent="0.25">
      <c r="O2711" s="74"/>
      <c r="P2711" s="74"/>
      <c r="Q2711" s="74"/>
      <c r="R2711" s="74"/>
      <c r="V2711" s="72"/>
    </row>
    <row r="2712" spans="15:22" x14ac:dyDescent="0.25">
      <c r="O2712" s="74"/>
      <c r="P2712" s="74"/>
      <c r="Q2712" s="74"/>
      <c r="R2712" s="74"/>
      <c r="V2712" s="72"/>
    </row>
    <row r="2713" spans="15:22" x14ac:dyDescent="0.25">
      <c r="O2713" s="74"/>
      <c r="P2713" s="74"/>
      <c r="Q2713" s="74"/>
      <c r="R2713" s="74"/>
      <c r="V2713" s="72"/>
    </row>
    <row r="2714" spans="15:22" x14ac:dyDescent="0.25">
      <c r="O2714" s="74"/>
      <c r="P2714" s="74"/>
      <c r="Q2714" s="74"/>
      <c r="R2714" s="74"/>
      <c r="V2714" s="72"/>
    </row>
    <row r="2715" spans="15:22" x14ac:dyDescent="0.25">
      <c r="O2715" s="74"/>
      <c r="P2715" s="74"/>
      <c r="Q2715" s="74"/>
      <c r="R2715" s="74"/>
      <c r="V2715" s="72"/>
    </row>
    <row r="2716" spans="15:22" x14ac:dyDescent="0.25">
      <c r="O2716" s="74"/>
      <c r="P2716" s="74"/>
      <c r="Q2716" s="74"/>
      <c r="R2716" s="74"/>
      <c r="V2716" s="72"/>
    </row>
    <row r="2717" spans="15:22" x14ac:dyDescent="0.25">
      <c r="O2717" s="74"/>
      <c r="P2717" s="74"/>
      <c r="Q2717" s="74"/>
      <c r="R2717" s="74"/>
      <c r="V2717" s="72"/>
    </row>
    <row r="2718" spans="15:22" x14ac:dyDescent="0.25">
      <c r="O2718" s="74"/>
      <c r="P2718" s="74"/>
      <c r="Q2718" s="74"/>
      <c r="R2718" s="74"/>
      <c r="V2718" s="72"/>
    </row>
    <row r="2719" spans="15:22" x14ac:dyDescent="0.25">
      <c r="O2719" s="74"/>
      <c r="P2719" s="74"/>
      <c r="Q2719" s="74"/>
      <c r="R2719" s="74"/>
      <c r="V2719" s="72"/>
    </row>
    <row r="2720" spans="15:22" x14ac:dyDescent="0.25">
      <c r="O2720" s="74"/>
      <c r="P2720" s="74"/>
      <c r="Q2720" s="74"/>
      <c r="R2720" s="74"/>
      <c r="V2720" s="72"/>
    </row>
    <row r="2721" spans="15:22" x14ac:dyDescent="0.25">
      <c r="O2721" s="74"/>
      <c r="P2721" s="74"/>
      <c r="Q2721" s="74"/>
      <c r="R2721" s="74"/>
      <c r="V2721" s="72"/>
    </row>
    <row r="2722" spans="15:22" x14ac:dyDescent="0.25">
      <c r="O2722" s="74"/>
      <c r="P2722" s="74"/>
      <c r="Q2722" s="74"/>
      <c r="R2722" s="74"/>
      <c r="V2722" s="72"/>
    </row>
    <row r="2723" spans="15:22" x14ac:dyDescent="0.25">
      <c r="O2723" s="74"/>
      <c r="P2723" s="74"/>
      <c r="Q2723" s="74"/>
      <c r="R2723" s="74"/>
      <c r="V2723" s="72"/>
    </row>
    <row r="2724" spans="15:22" x14ac:dyDescent="0.25">
      <c r="O2724" s="74"/>
      <c r="P2724" s="74"/>
      <c r="Q2724" s="74"/>
      <c r="R2724" s="74"/>
      <c r="V2724" s="72"/>
    </row>
    <row r="2725" spans="15:22" x14ac:dyDescent="0.25">
      <c r="O2725" s="74"/>
      <c r="P2725" s="74"/>
      <c r="Q2725" s="74"/>
      <c r="R2725" s="74"/>
      <c r="V2725" s="72"/>
    </row>
    <row r="2726" spans="15:22" x14ac:dyDescent="0.25">
      <c r="O2726" s="74"/>
      <c r="P2726" s="74"/>
      <c r="Q2726" s="74"/>
      <c r="R2726" s="74"/>
      <c r="V2726" s="72"/>
    </row>
    <row r="2727" spans="15:22" x14ac:dyDescent="0.25">
      <c r="O2727" s="74"/>
      <c r="P2727" s="74"/>
      <c r="Q2727" s="74"/>
      <c r="R2727" s="74"/>
      <c r="V2727" s="72"/>
    </row>
    <row r="2728" spans="15:22" x14ac:dyDescent="0.25">
      <c r="O2728" s="74"/>
      <c r="P2728" s="74"/>
      <c r="Q2728" s="74"/>
      <c r="R2728" s="74"/>
      <c r="V2728" s="72"/>
    </row>
    <row r="2729" spans="15:22" x14ac:dyDescent="0.25">
      <c r="O2729" s="74"/>
      <c r="P2729" s="74"/>
      <c r="Q2729" s="74"/>
      <c r="R2729" s="74"/>
      <c r="V2729" s="72"/>
    </row>
    <row r="2730" spans="15:22" x14ac:dyDescent="0.25">
      <c r="O2730" s="74"/>
      <c r="P2730" s="74"/>
      <c r="Q2730" s="74"/>
      <c r="R2730" s="74"/>
      <c r="V2730" s="72"/>
    </row>
    <row r="2731" spans="15:22" x14ac:dyDescent="0.25">
      <c r="O2731" s="74"/>
      <c r="P2731" s="74"/>
      <c r="Q2731" s="74"/>
      <c r="R2731" s="74"/>
      <c r="V2731" s="72"/>
    </row>
    <row r="2732" spans="15:22" x14ac:dyDescent="0.25">
      <c r="O2732" s="74"/>
      <c r="P2732" s="74"/>
      <c r="Q2732" s="74"/>
      <c r="R2732" s="74"/>
      <c r="V2732" s="72"/>
    </row>
    <row r="2733" spans="15:22" x14ac:dyDescent="0.25">
      <c r="O2733" s="74"/>
      <c r="P2733" s="74"/>
      <c r="Q2733" s="74"/>
      <c r="R2733" s="74"/>
      <c r="V2733" s="72"/>
    </row>
    <row r="2734" spans="15:22" x14ac:dyDescent="0.25">
      <c r="O2734" s="74"/>
      <c r="P2734" s="74"/>
      <c r="Q2734" s="74"/>
      <c r="R2734" s="74"/>
      <c r="V2734" s="72"/>
    </row>
    <row r="2735" spans="15:22" x14ac:dyDescent="0.25">
      <c r="O2735" s="74"/>
      <c r="P2735" s="74"/>
      <c r="Q2735" s="74"/>
      <c r="R2735" s="74"/>
      <c r="V2735" s="72"/>
    </row>
    <row r="2736" spans="15:22" x14ac:dyDescent="0.25">
      <c r="O2736" s="74"/>
      <c r="P2736" s="74"/>
      <c r="Q2736" s="74"/>
      <c r="R2736" s="74"/>
      <c r="V2736" s="72"/>
    </row>
    <row r="2737" spans="15:22" x14ac:dyDescent="0.25">
      <c r="O2737" s="74"/>
      <c r="P2737" s="74"/>
      <c r="Q2737" s="74"/>
      <c r="R2737" s="74"/>
      <c r="V2737" s="72"/>
    </row>
    <row r="2738" spans="15:22" x14ac:dyDescent="0.25">
      <c r="O2738" s="74"/>
      <c r="P2738" s="74"/>
      <c r="Q2738" s="74"/>
      <c r="R2738" s="74"/>
      <c r="V2738" s="72"/>
    </row>
    <row r="2739" spans="15:22" x14ac:dyDescent="0.25">
      <c r="O2739" s="74"/>
      <c r="P2739" s="74"/>
      <c r="Q2739" s="74"/>
      <c r="R2739" s="74"/>
      <c r="V2739" s="72"/>
    </row>
    <row r="2740" spans="15:22" x14ac:dyDescent="0.25">
      <c r="O2740" s="74"/>
      <c r="P2740" s="74"/>
      <c r="Q2740" s="74"/>
      <c r="R2740" s="74"/>
      <c r="V2740" s="72"/>
    </row>
    <row r="2741" spans="15:22" x14ac:dyDescent="0.25">
      <c r="O2741" s="74"/>
      <c r="P2741" s="74"/>
      <c r="Q2741" s="74"/>
      <c r="R2741" s="74"/>
      <c r="V2741" s="72"/>
    </row>
    <row r="2742" spans="15:22" x14ac:dyDescent="0.25">
      <c r="O2742" s="74"/>
      <c r="P2742" s="74"/>
      <c r="Q2742" s="74"/>
      <c r="R2742" s="74"/>
      <c r="V2742" s="72"/>
    </row>
    <row r="2743" spans="15:22" x14ac:dyDescent="0.25">
      <c r="O2743" s="74"/>
      <c r="P2743" s="74"/>
      <c r="Q2743" s="74"/>
      <c r="R2743" s="74"/>
      <c r="V2743" s="72"/>
    </row>
    <row r="2744" spans="15:22" x14ac:dyDescent="0.25">
      <c r="O2744" s="74"/>
      <c r="P2744" s="74"/>
      <c r="Q2744" s="74"/>
      <c r="R2744" s="74"/>
      <c r="V2744" s="72"/>
    </row>
    <row r="2745" spans="15:22" x14ac:dyDescent="0.25">
      <c r="O2745" s="74"/>
      <c r="P2745" s="74"/>
      <c r="Q2745" s="74"/>
      <c r="R2745" s="74"/>
      <c r="V2745" s="72"/>
    </row>
    <row r="2746" spans="15:22" x14ac:dyDescent="0.25">
      <c r="O2746" s="74"/>
      <c r="P2746" s="74"/>
      <c r="Q2746" s="74"/>
      <c r="R2746" s="74"/>
      <c r="V2746" s="72"/>
    </row>
    <row r="2747" spans="15:22" x14ac:dyDescent="0.25">
      <c r="O2747" s="74"/>
      <c r="P2747" s="74"/>
      <c r="Q2747" s="74"/>
      <c r="R2747" s="74"/>
      <c r="V2747" s="72"/>
    </row>
    <row r="2748" spans="15:22" x14ac:dyDescent="0.25">
      <c r="O2748" s="74"/>
      <c r="P2748" s="74"/>
      <c r="Q2748" s="74"/>
      <c r="R2748" s="74"/>
      <c r="V2748" s="72"/>
    </row>
    <row r="2749" spans="15:22" x14ac:dyDescent="0.25">
      <c r="O2749" s="74"/>
      <c r="P2749" s="74"/>
      <c r="Q2749" s="74"/>
      <c r="R2749" s="74"/>
      <c r="V2749" s="72"/>
    </row>
    <row r="2750" spans="15:22" x14ac:dyDescent="0.25">
      <c r="O2750" s="74"/>
      <c r="P2750" s="74"/>
      <c r="Q2750" s="74"/>
      <c r="R2750" s="74"/>
      <c r="V2750" s="72"/>
    </row>
    <row r="2751" spans="15:22" x14ac:dyDescent="0.25">
      <c r="O2751" s="74"/>
      <c r="P2751" s="74"/>
      <c r="Q2751" s="74"/>
      <c r="R2751" s="74"/>
      <c r="V2751" s="72"/>
    </row>
    <row r="2752" spans="15:22" x14ac:dyDescent="0.25">
      <c r="O2752" s="74"/>
      <c r="P2752" s="74"/>
      <c r="Q2752" s="74"/>
      <c r="R2752" s="74"/>
      <c r="V2752" s="72"/>
    </row>
    <row r="2753" spans="15:22" x14ac:dyDescent="0.25">
      <c r="O2753" s="74"/>
      <c r="P2753" s="74"/>
      <c r="Q2753" s="74"/>
      <c r="R2753" s="74"/>
      <c r="V2753" s="72"/>
    </row>
    <row r="2754" spans="15:22" x14ac:dyDescent="0.25">
      <c r="O2754" s="74"/>
      <c r="P2754" s="74"/>
      <c r="Q2754" s="74"/>
      <c r="R2754" s="74"/>
      <c r="V2754" s="72"/>
    </row>
    <row r="2755" spans="15:22" x14ac:dyDescent="0.25">
      <c r="O2755" s="74"/>
      <c r="P2755" s="74"/>
      <c r="Q2755" s="74"/>
      <c r="R2755" s="74"/>
      <c r="V2755" s="72"/>
    </row>
    <row r="2756" spans="15:22" x14ac:dyDescent="0.25">
      <c r="O2756" s="74"/>
      <c r="P2756" s="74"/>
      <c r="Q2756" s="74"/>
      <c r="R2756" s="74"/>
      <c r="V2756" s="72"/>
    </row>
    <row r="2757" spans="15:22" x14ac:dyDescent="0.25">
      <c r="O2757" s="74"/>
      <c r="P2757" s="74"/>
      <c r="Q2757" s="74"/>
      <c r="R2757" s="74"/>
      <c r="V2757" s="72"/>
    </row>
    <row r="2758" spans="15:22" x14ac:dyDescent="0.25">
      <c r="O2758" s="74"/>
      <c r="P2758" s="74"/>
      <c r="Q2758" s="74"/>
      <c r="R2758" s="74"/>
      <c r="V2758" s="72"/>
    </row>
    <row r="2759" spans="15:22" x14ac:dyDescent="0.25">
      <c r="O2759" s="74"/>
      <c r="P2759" s="74"/>
      <c r="Q2759" s="74"/>
      <c r="R2759" s="74"/>
      <c r="V2759" s="72"/>
    </row>
    <row r="2760" spans="15:22" x14ac:dyDescent="0.25">
      <c r="O2760" s="74"/>
      <c r="P2760" s="74"/>
      <c r="Q2760" s="74"/>
      <c r="R2760" s="74"/>
      <c r="V2760" s="72"/>
    </row>
    <row r="2761" spans="15:22" x14ac:dyDescent="0.25">
      <c r="O2761" s="74"/>
      <c r="P2761" s="74"/>
      <c r="Q2761" s="74"/>
      <c r="R2761" s="74"/>
      <c r="V2761" s="72"/>
    </row>
    <row r="2762" spans="15:22" x14ac:dyDescent="0.25">
      <c r="O2762" s="74"/>
      <c r="P2762" s="74"/>
      <c r="Q2762" s="74"/>
      <c r="R2762" s="74"/>
      <c r="V2762" s="72"/>
    </row>
    <row r="2763" spans="15:22" x14ac:dyDescent="0.25">
      <c r="O2763" s="74"/>
      <c r="P2763" s="74"/>
      <c r="Q2763" s="74"/>
      <c r="R2763" s="74"/>
      <c r="V2763" s="72"/>
    </row>
    <row r="2764" spans="15:22" x14ac:dyDescent="0.25">
      <c r="O2764" s="74"/>
      <c r="P2764" s="74"/>
      <c r="Q2764" s="74"/>
      <c r="R2764" s="74"/>
      <c r="V2764" s="72"/>
    </row>
    <row r="2765" spans="15:22" x14ac:dyDescent="0.25">
      <c r="O2765" s="74"/>
      <c r="P2765" s="74"/>
      <c r="Q2765" s="74"/>
      <c r="R2765" s="74"/>
      <c r="V2765" s="72"/>
    </row>
    <row r="2766" spans="15:22" x14ac:dyDescent="0.25">
      <c r="O2766" s="74"/>
      <c r="P2766" s="74"/>
      <c r="Q2766" s="74"/>
      <c r="R2766" s="74"/>
      <c r="V2766" s="72"/>
    </row>
    <row r="2767" spans="15:22" x14ac:dyDescent="0.25">
      <c r="O2767" s="74"/>
      <c r="P2767" s="74"/>
      <c r="Q2767" s="74"/>
      <c r="R2767" s="74"/>
      <c r="V2767" s="72"/>
    </row>
    <row r="2768" spans="15:22" x14ac:dyDescent="0.25">
      <c r="O2768" s="74"/>
      <c r="P2768" s="74"/>
      <c r="Q2768" s="74"/>
      <c r="R2768" s="74"/>
      <c r="V2768" s="72"/>
    </row>
    <row r="2769" spans="15:22" x14ac:dyDescent="0.25">
      <c r="O2769" s="74"/>
      <c r="P2769" s="74"/>
      <c r="Q2769" s="74"/>
      <c r="R2769" s="74"/>
      <c r="V2769" s="72"/>
    </row>
    <row r="2770" spans="15:22" x14ac:dyDescent="0.25">
      <c r="O2770" s="74"/>
      <c r="P2770" s="74"/>
      <c r="Q2770" s="74"/>
      <c r="R2770" s="74"/>
      <c r="V2770" s="72"/>
    </row>
    <row r="2771" spans="15:22" x14ac:dyDescent="0.25">
      <c r="O2771" s="74"/>
      <c r="P2771" s="74"/>
      <c r="Q2771" s="74"/>
      <c r="R2771" s="74"/>
      <c r="V2771" s="72"/>
    </row>
    <row r="2772" spans="15:22" x14ac:dyDescent="0.25">
      <c r="O2772" s="74"/>
      <c r="P2772" s="74"/>
      <c r="Q2772" s="74"/>
      <c r="R2772" s="74"/>
      <c r="V2772" s="72"/>
    </row>
    <row r="2773" spans="15:22" x14ac:dyDescent="0.25">
      <c r="O2773" s="74"/>
      <c r="P2773" s="74"/>
      <c r="Q2773" s="74"/>
      <c r="R2773" s="74"/>
      <c r="V2773" s="72"/>
    </row>
    <row r="2774" spans="15:22" x14ac:dyDescent="0.25">
      <c r="O2774" s="74"/>
      <c r="P2774" s="74"/>
      <c r="Q2774" s="74"/>
      <c r="R2774" s="74"/>
      <c r="V2774" s="72"/>
    </row>
    <row r="2775" spans="15:22" x14ac:dyDescent="0.25">
      <c r="O2775" s="74"/>
      <c r="P2775" s="74"/>
      <c r="Q2775" s="74"/>
      <c r="R2775" s="74"/>
      <c r="V2775" s="72"/>
    </row>
    <row r="2776" spans="15:22" x14ac:dyDescent="0.25">
      <c r="O2776" s="74"/>
      <c r="P2776" s="74"/>
      <c r="Q2776" s="74"/>
      <c r="R2776" s="74"/>
      <c r="V2776" s="72"/>
    </row>
    <row r="2777" spans="15:22" x14ac:dyDescent="0.25">
      <c r="O2777" s="74"/>
      <c r="P2777" s="74"/>
      <c r="Q2777" s="74"/>
      <c r="R2777" s="74"/>
      <c r="V2777" s="72"/>
    </row>
    <row r="2778" spans="15:22" x14ac:dyDescent="0.25">
      <c r="O2778" s="74"/>
      <c r="P2778" s="74"/>
      <c r="Q2778" s="74"/>
      <c r="R2778" s="74"/>
      <c r="V2778" s="72"/>
    </row>
    <row r="2779" spans="15:22" x14ac:dyDescent="0.25">
      <c r="O2779" s="74"/>
      <c r="P2779" s="74"/>
      <c r="Q2779" s="74"/>
      <c r="R2779" s="74"/>
      <c r="V2779" s="72"/>
    </row>
    <row r="2780" spans="15:22" x14ac:dyDescent="0.25">
      <c r="O2780" s="74"/>
      <c r="P2780" s="74"/>
      <c r="Q2780" s="74"/>
      <c r="R2780" s="74"/>
      <c r="V2780" s="72"/>
    </row>
    <row r="2781" spans="15:22" x14ac:dyDescent="0.25">
      <c r="O2781" s="74"/>
      <c r="P2781" s="74"/>
      <c r="Q2781" s="74"/>
      <c r="R2781" s="74"/>
      <c r="V2781" s="72"/>
    </row>
    <row r="2782" spans="15:22" x14ac:dyDescent="0.25">
      <c r="O2782" s="74"/>
      <c r="P2782" s="74"/>
      <c r="Q2782" s="74"/>
      <c r="R2782" s="74"/>
      <c r="V2782" s="72"/>
    </row>
    <row r="2783" spans="15:22" x14ac:dyDescent="0.25">
      <c r="O2783" s="74"/>
      <c r="P2783" s="74"/>
      <c r="Q2783" s="74"/>
      <c r="R2783" s="74"/>
      <c r="V2783" s="72"/>
    </row>
    <row r="2784" spans="15:22" x14ac:dyDescent="0.25">
      <c r="O2784" s="74"/>
      <c r="P2784" s="74"/>
      <c r="Q2784" s="74"/>
      <c r="R2784" s="74"/>
      <c r="V2784" s="72"/>
    </row>
    <row r="2785" spans="15:22" x14ac:dyDescent="0.25">
      <c r="O2785" s="74"/>
      <c r="P2785" s="74"/>
      <c r="Q2785" s="74"/>
      <c r="R2785" s="74"/>
      <c r="V2785" s="72"/>
    </row>
    <row r="2786" spans="15:22" x14ac:dyDescent="0.25">
      <c r="O2786" s="74"/>
      <c r="P2786" s="74"/>
      <c r="Q2786" s="74"/>
      <c r="R2786" s="74"/>
      <c r="V2786" s="72"/>
    </row>
    <row r="2787" spans="15:22" x14ac:dyDescent="0.25">
      <c r="O2787" s="74"/>
      <c r="P2787" s="74"/>
      <c r="Q2787" s="74"/>
      <c r="R2787" s="74"/>
      <c r="V2787" s="72"/>
    </row>
    <row r="2788" spans="15:22" x14ac:dyDescent="0.25">
      <c r="O2788" s="74"/>
      <c r="P2788" s="74"/>
      <c r="Q2788" s="74"/>
      <c r="R2788" s="74"/>
      <c r="V2788" s="72"/>
    </row>
    <row r="2789" spans="15:22" x14ac:dyDescent="0.25">
      <c r="O2789" s="74"/>
      <c r="P2789" s="74"/>
      <c r="Q2789" s="74"/>
      <c r="R2789" s="74"/>
      <c r="V2789" s="72"/>
    </row>
    <row r="2790" spans="15:22" x14ac:dyDescent="0.25">
      <c r="O2790" s="74"/>
      <c r="P2790" s="74"/>
      <c r="Q2790" s="74"/>
      <c r="R2790" s="74"/>
      <c r="V2790" s="72"/>
    </row>
    <row r="2791" spans="15:22" x14ac:dyDescent="0.25">
      <c r="O2791" s="74"/>
      <c r="P2791" s="74"/>
      <c r="Q2791" s="74"/>
      <c r="R2791" s="74"/>
      <c r="V2791" s="72"/>
    </row>
    <row r="2792" spans="15:22" x14ac:dyDescent="0.25">
      <c r="O2792" s="74"/>
      <c r="P2792" s="74"/>
      <c r="Q2792" s="74"/>
      <c r="R2792" s="74"/>
      <c r="V2792" s="72"/>
    </row>
    <row r="2793" spans="15:22" x14ac:dyDescent="0.25">
      <c r="O2793" s="74"/>
      <c r="P2793" s="74"/>
      <c r="Q2793" s="74"/>
      <c r="R2793" s="74"/>
      <c r="V2793" s="72"/>
    </row>
    <row r="2794" spans="15:22" x14ac:dyDescent="0.25">
      <c r="O2794" s="74"/>
      <c r="P2794" s="74"/>
      <c r="Q2794" s="74"/>
      <c r="R2794" s="74"/>
      <c r="V2794" s="72"/>
    </row>
    <row r="2795" spans="15:22" x14ac:dyDescent="0.25">
      <c r="O2795" s="74"/>
      <c r="P2795" s="74"/>
      <c r="Q2795" s="74"/>
      <c r="R2795" s="74"/>
      <c r="V2795" s="72"/>
    </row>
    <row r="2796" spans="15:22" x14ac:dyDescent="0.25">
      <c r="O2796" s="74"/>
      <c r="P2796" s="74"/>
      <c r="Q2796" s="74"/>
      <c r="R2796" s="74"/>
      <c r="V2796" s="72"/>
    </row>
    <row r="2797" spans="15:22" x14ac:dyDescent="0.25">
      <c r="O2797" s="74"/>
      <c r="P2797" s="74"/>
      <c r="Q2797" s="74"/>
      <c r="R2797" s="74"/>
      <c r="V2797" s="72"/>
    </row>
    <row r="2798" spans="15:22" x14ac:dyDescent="0.25">
      <c r="O2798" s="74"/>
      <c r="P2798" s="74"/>
      <c r="Q2798" s="74"/>
      <c r="R2798" s="74"/>
      <c r="V2798" s="72"/>
    </row>
    <row r="2799" spans="15:22" x14ac:dyDescent="0.25">
      <c r="O2799" s="74"/>
      <c r="P2799" s="74"/>
      <c r="Q2799" s="74"/>
      <c r="R2799" s="74"/>
      <c r="V2799" s="72"/>
    </row>
    <row r="2800" spans="15:22" x14ac:dyDescent="0.25">
      <c r="O2800" s="74"/>
      <c r="P2800" s="74"/>
      <c r="Q2800" s="74"/>
      <c r="R2800" s="74"/>
      <c r="V2800" s="72"/>
    </row>
    <row r="2801" spans="15:22" x14ac:dyDescent="0.25">
      <c r="O2801" s="74"/>
      <c r="P2801" s="74"/>
      <c r="Q2801" s="74"/>
      <c r="R2801" s="74"/>
      <c r="V2801" s="72"/>
    </row>
    <row r="2802" spans="15:22" x14ac:dyDescent="0.25">
      <c r="O2802" s="74"/>
      <c r="P2802" s="74"/>
      <c r="Q2802" s="74"/>
      <c r="R2802" s="74"/>
      <c r="V2802" s="72"/>
    </row>
    <row r="2803" spans="15:22" x14ac:dyDescent="0.25">
      <c r="O2803" s="74"/>
      <c r="P2803" s="74"/>
      <c r="Q2803" s="74"/>
      <c r="R2803" s="74"/>
      <c r="V2803" s="72"/>
    </row>
    <row r="2804" spans="15:22" x14ac:dyDescent="0.25">
      <c r="O2804" s="74"/>
      <c r="P2804" s="74"/>
      <c r="Q2804" s="74"/>
      <c r="R2804" s="74"/>
      <c r="V2804" s="72"/>
    </row>
    <row r="2805" spans="15:22" x14ac:dyDescent="0.25">
      <c r="O2805" s="74"/>
      <c r="P2805" s="74"/>
      <c r="Q2805" s="74"/>
      <c r="R2805" s="74"/>
      <c r="V2805" s="72"/>
    </row>
    <row r="2806" spans="15:22" x14ac:dyDescent="0.25">
      <c r="O2806" s="74"/>
      <c r="P2806" s="74"/>
      <c r="Q2806" s="74"/>
      <c r="R2806" s="74"/>
      <c r="V2806" s="72"/>
    </row>
    <row r="2807" spans="15:22" x14ac:dyDescent="0.25">
      <c r="O2807" s="74"/>
      <c r="P2807" s="74"/>
      <c r="Q2807" s="74"/>
      <c r="R2807" s="74"/>
      <c r="V2807" s="72"/>
    </row>
    <row r="2808" spans="15:22" x14ac:dyDescent="0.25">
      <c r="O2808" s="74"/>
      <c r="P2808" s="74"/>
      <c r="Q2808" s="74"/>
      <c r="R2808" s="74"/>
      <c r="V2808" s="72"/>
    </row>
    <row r="2809" spans="15:22" x14ac:dyDescent="0.25">
      <c r="O2809" s="74"/>
      <c r="P2809" s="74"/>
      <c r="Q2809" s="74"/>
      <c r="R2809" s="74"/>
      <c r="V2809" s="72"/>
    </row>
    <row r="2810" spans="15:22" x14ac:dyDescent="0.25">
      <c r="O2810" s="74"/>
      <c r="P2810" s="74"/>
      <c r="Q2810" s="74"/>
      <c r="R2810" s="74"/>
      <c r="V2810" s="72"/>
    </row>
    <row r="2811" spans="15:22" x14ac:dyDescent="0.25">
      <c r="O2811" s="74"/>
      <c r="P2811" s="74"/>
      <c r="Q2811" s="74"/>
      <c r="R2811" s="74"/>
      <c r="V2811" s="72"/>
    </row>
    <row r="2812" spans="15:22" x14ac:dyDescent="0.25">
      <c r="O2812" s="74"/>
      <c r="P2812" s="74"/>
      <c r="Q2812" s="74"/>
      <c r="R2812" s="74"/>
      <c r="V2812" s="72"/>
    </row>
    <row r="2813" spans="15:22" x14ac:dyDescent="0.25">
      <c r="O2813" s="74"/>
      <c r="P2813" s="74"/>
      <c r="Q2813" s="74"/>
      <c r="R2813" s="74"/>
      <c r="V2813" s="72"/>
    </row>
    <row r="2814" spans="15:22" x14ac:dyDescent="0.25">
      <c r="O2814" s="74"/>
      <c r="P2814" s="74"/>
      <c r="Q2814" s="74"/>
      <c r="R2814" s="74"/>
      <c r="V2814" s="72"/>
    </row>
    <row r="2815" spans="15:22" x14ac:dyDescent="0.25">
      <c r="O2815" s="74"/>
      <c r="P2815" s="74"/>
      <c r="Q2815" s="74"/>
      <c r="R2815" s="74"/>
      <c r="V2815" s="72"/>
    </row>
    <row r="2816" spans="15:22" x14ac:dyDescent="0.25">
      <c r="O2816" s="74"/>
      <c r="P2816" s="74"/>
      <c r="Q2816" s="74"/>
      <c r="R2816" s="74"/>
      <c r="V2816" s="72"/>
    </row>
    <row r="2817" spans="15:22" x14ac:dyDescent="0.25">
      <c r="O2817" s="74"/>
      <c r="P2817" s="74"/>
      <c r="Q2817" s="74"/>
      <c r="R2817" s="74"/>
      <c r="V2817" s="72"/>
    </row>
    <row r="2818" spans="15:22" x14ac:dyDescent="0.25">
      <c r="O2818" s="74"/>
      <c r="P2818" s="74"/>
      <c r="Q2818" s="74"/>
      <c r="R2818" s="74"/>
      <c r="V2818" s="72"/>
    </row>
    <row r="2819" spans="15:22" x14ac:dyDescent="0.25">
      <c r="O2819" s="74"/>
      <c r="P2819" s="74"/>
      <c r="Q2819" s="74"/>
      <c r="R2819" s="74"/>
      <c r="V2819" s="72"/>
    </row>
    <row r="2820" spans="15:22" x14ac:dyDescent="0.25">
      <c r="O2820" s="74"/>
      <c r="P2820" s="74"/>
      <c r="Q2820" s="74"/>
      <c r="R2820" s="74"/>
      <c r="V2820" s="72"/>
    </row>
    <row r="2821" spans="15:22" x14ac:dyDescent="0.25">
      <c r="O2821" s="74"/>
      <c r="P2821" s="74"/>
      <c r="Q2821" s="74"/>
      <c r="R2821" s="74"/>
      <c r="V2821" s="72"/>
    </row>
    <row r="2822" spans="15:22" x14ac:dyDescent="0.25">
      <c r="O2822" s="74"/>
      <c r="P2822" s="74"/>
      <c r="Q2822" s="74"/>
      <c r="R2822" s="74"/>
      <c r="V2822" s="72"/>
    </row>
    <row r="2823" spans="15:22" x14ac:dyDescent="0.25">
      <c r="O2823" s="74"/>
      <c r="P2823" s="74"/>
      <c r="Q2823" s="74"/>
      <c r="R2823" s="74"/>
      <c r="V2823" s="72"/>
    </row>
    <row r="2824" spans="15:22" x14ac:dyDescent="0.25">
      <c r="O2824" s="74"/>
      <c r="P2824" s="74"/>
      <c r="Q2824" s="74"/>
      <c r="R2824" s="74"/>
      <c r="V2824" s="72"/>
    </row>
    <row r="2825" spans="15:22" x14ac:dyDescent="0.25">
      <c r="O2825" s="74"/>
      <c r="P2825" s="74"/>
      <c r="Q2825" s="74"/>
      <c r="R2825" s="74"/>
      <c r="V2825" s="72"/>
    </row>
    <row r="2826" spans="15:22" x14ac:dyDescent="0.25">
      <c r="O2826" s="74"/>
      <c r="P2826" s="74"/>
      <c r="Q2826" s="74"/>
      <c r="R2826" s="74"/>
      <c r="V2826" s="72"/>
    </row>
    <row r="2827" spans="15:22" x14ac:dyDescent="0.25">
      <c r="O2827" s="74"/>
      <c r="P2827" s="74"/>
      <c r="Q2827" s="74"/>
      <c r="R2827" s="74"/>
      <c r="V2827" s="72"/>
    </row>
    <row r="2828" spans="15:22" x14ac:dyDescent="0.25">
      <c r="O2828" s="74"/>
      <c r="P2828" s="74"/>
      <c r="Q2828" s="74"/>
      <c r="R2828" s="74"/>
      <c r="V2828" s="72"/>
    </row>
    <row r="2829" spans="15:22" x14ac:dyDescent="0.25">
      <c r="O2829" s="74"/>
      <c r="P2829" s="74"/>
      <c r="Q2829" s="74"/>
      <c r="R2829" s="74"/>
      <c r="V2829" s="72"/>
    </row>
    <row r="2830" spans="15:22" x14ac:dyDescent="0.25">
      <c r="O2830" s="74"/>
      <c r="P2830" s="74"/>
      <c r="Q2830" s="74"/>
      <c r="R2830" s="74"/>
      <c r="V2830" s="72"/>
    </row>
    <row r="2831" spans="15:22" x14ac:dyDescent="0.25">
      <c r="O2831" s="74"/>
      <c r="P2831" s="74"/>
      <c r="Q2831" s="74"/>
      <c r="R2831" s="74"/>
      <c r="V2831" s="72"/>
    </row>
    <row r="2832" spans="15:22" x14ac:dyDescent="0.25">
      <c r="O2832" s="74"/>
      <c r="P2832" s="74"/>
      <c r="Q2832" s="74"/>
      <c r="R2832" s="74"/>
      <c r="V2832" s="72"/>
    </row>
    <row r="2833" spans="15:22" x14ac:dyDescent="0.25">
      <c r="O2833" s="74"/>
      <c r="P2833" s="74"/>
      <c r="Q2833" s="74"/>
      <c r="R2833" s="74"/>
      <c r="V2833" s="72"/>
    </row>
    <row r="2834" spans="15:22" x14ac:dyDescent="0.25">
      <c r="O2834" s="74"/>
      <c r="P2834" s="74"/>
      <c r="Q2834" s="74"/>
      <c r="R2834" s="74"/>
      <c r="V2834" s="72"/>
    </row>
    <row r="2835" spans="15:22" x14ac:dyDescent="0.25">
      <c r="O2835" s="74"/>
      <c r="P2835" s="74"/>
      <c r="Q2835" s="74"/>
      <c r="R2835" s="74"/>
      <c r="V2835" s="72"/>
    </row>
    <row r="2836" spans="15:22" x14ac:dyDescent="0.25">
      <c r="O2836" s="74"/>
      <c r="P2836" s="74"/>
      <c r="Q2836" s="74"/>
      <c r="R2836" s="74"/>
      <c r="V2836" s="72"/>
    </row>
    <row r="2837" spans="15:22" x14ac:dyDescent="0.25">
      <c r="O2837" s="74"/>
      <c r="P2837" s="74"/>
      <c r="Q2837" s="74"/>
      <c r="R2837" s="74"/>
      <c r="V2837" s="72"/>
    </row>
    <row r="2838" spans="15:22" x14ac:dyDescent="0.25">
      <c r="O2838" s="74"/>
      <c r="P2838" s="74"/>
      <c r="Q2838" s="74"/>
      <c r="R2838" s="74"/>
      <c r="V2838" s="72"/>
    </row>
    <row r="2839" spans="15:22" x14ac:dyDescent="0.25">
      <c r="O2839" s="74"/>
      <c r="P2839" s="74"/>
      <c r="Q2839" s="74"/>
      <c r="R2839" s="74"/>
      <c r="V2839" s="72"/>
    </row>
    <row r="2840" spans="15:22" x14ac:dyDescent="0.25">
      <c r="O2840" s="74"/>
      <c r="P2840" s="74"/>
      <c r="Q2840" s="74"/>
      <c r="R2840" s="74"/>
      <c r="V2840" s="72"/>
    </row>
    <row r="2841" spans="15:22" x14ac:dyDescent="0.25">
      <c r="O2841" s="74"/>
      <c r="P2841" s="74"/>
      <c r="Q2841" s="74"/>
      <c r="R2841" s="74"/>
      <c r="V2841" s="72"/>
    </row>
    <row r="2842" spans="15:22" x14ac:dyDescent="0.25">
      <c r="O2842" s="74"/>
      <c r="P2842" s="74"/>
      <c r="Q2842" s="74"/>
      <c r="R2842" s="74"/>
      <c r="V2842" s="72"/>
    </row>
    <row r="2843" spans="15:22" x14ac:dyDescent="0.25">
      <c r="O2843" s="74"/>
      <c r="P2843" s="74"/>
      <c r="Q2843" s="74"/>
      <c r="R2843" s="74"/>
      <c r="V2843" s="72"/>
    </row>
    <row r="2844" spans="15:22" x14ac:dyDescent="0.25">
      <c r="O2844" s="74"/>
      <c r="P2844" s="74"/>
      <c r="Q2844" s="74"/>
      <c r="R2844" s="74"/>
      <c r="V2844" s="72"/>
    </row>
    <row r="2845" spans="15:22" x14ac:dyDescent="0.25">
      <c r="O2845" s="74"/>
      <c r="P2845" s="74"/>
      <c r="Q2845" s="74"/>
      <c r="R2845" s="74"/>
      <c r="V2845" s="72"/>
    </row>
    <row r="2846" spans="15:22" x14ac:dyDescent="0.25">
      <c r="O2846" s="74"/>
      <c r="P2846" s="74"/>
      <c r="Q2846" s="74"/>
      <c r="R2846" s="74"/>
      <c r="V2846" s="72"/>
    </row>
    <row r="2847" spans="15:22" x14ac:dyDescent="0.25">
      <c r="O2847" s="74"/>
      <c r="P2847" s="74"/>
      <c r="Q2847" s="74"/>
      <c r="R2847" s="74"/>
      <c r="V2847" s="72"/>
    </row>
    <row r="2848" spans="15:22" x14ac:dyDescent="0.25">
      <c r="O2848" s="74"/>
      <c r="P2848" s="74"/>
      <c r="Q2848" s="74"/>
      <c r="R2848" s="74"/>
      <c r="V2848" s="72"/>
    </row>
    <row r="2849" spans="15:22" x14ac:dyDescent="0.25">
      <c r="O2849" s="74"/>
      <c r="P2849" s="74"/>
      <c r="Q2849" s="74"/>
      <c r="R2849" s="74"/>
      <c r="V2849" s="72"/>
    </row>
    <row r="2850" spans="15:22" x14ac:dyDescent="0.25">
      <c r="O2850" s="74"/>
      <c r="P2850" s="74"/>
      <c r="Q2850" s="74"/>
      <c r="R2850" s="74"/>
      <c r="V2850" s="72"/>
    </row>
    <row r="2851" spans="15:22" x14ac:dyDescent="0.25">
      <c r="O2851" s="74"/>
      <c r="P2851" s="74"/>
      <c r="Q2851" s="74"/>
      <c r="R2851" s="74"/>
      <c r="V2851" s="72"/>
    </row>
    <row r="2852" spans="15:22" x14ac:dyDescent="0.25">
      <c r="O2852" s="74"/>
      <c r="P2852" s="74"/>
      <c r="Q2852" s="74"/>
      <c r="R2852" s="74"/>
      <c r="V2852" s="72"/>
    </row>
    <row r="2853" spans="15:22" x14ac:dyDescent="0.25">
      <c r="O2853" s="74"/>
      <c r="P2853" s="74"/>
      <c r="Q2853" s="74"/>
      <c r="R2853" s="74"/>
      <c r="V2853" s="72"/>
    </row>
    <row r="2854" spans="15:22" x14ac:dyDescent="0.25">
      <c r="O2854" s="74"/>
      <c r="P2854" s="74"/>
      <c r="Q2854" s="74"/>
      <c r="R2854" s="74"/>
      <c r="V2854" s="72"/>
    </row>
    <row r="2855" spans="15:22" x14ac:dyDescent="0.25">
      <c r="O2855" s="74"/>
      <c r="P2855" s="74"/>
      <c r="Q2855" s="74"/>
      <c r="R2855" s="74"/>
      <c r="V2855" s="72"/>
    </row>
    <row r="2856" spans="15:22" x14ac:dyDescent="0.25">
      <c r="O2856" s="74"/>
      <c r="P2856" s="74"/>
      <c r="Q2856" s="74"/>
      <c r="R2856" s="74"/>
      <c r="V2856" s="72"/>
    </row>
    <row r="2857" spans="15:22" x14ac:dyDescent="0.25">
      <c r="O2857" s="74"/>
      <c r="P2857" s="74"/>
      <c r="Q2857" s="74"/>
      <c r="R2857" s="74"/>
      <c r="V2857" s="72"/>
    </row>
    <row r="2858" spans="15:22" x14ac:dyDescent="0.25">
      <c r="O2858" s="74"/>
      <c r="P2858" s="74"/>
      <c r="Q2858" s="74"/>
      <c r="R2858" s="74"/>
      <c r="V2858" s="72"/>
    </row>
    <row r="2859" spans="15:22" x14ac:dyDescent="0.25">
      <c r="O2859" s="74"/>
      <c r="P2859" s="74"/>
      <c r="Q2859" s="74"/>
      <c r="R2859" s="74"/>
      <c r="V2859" s="72"/>
    </row>
    <row r="2860" spans="15:22" x14ac:dyDescent="0.25">
      <c r="O2860" s="74"/>
      <c r="P2860" s="74"/>
      <c r="Q2860" s="74"/>
      <c r="R2860" s="74"/>
      <c r="V2860" s="72"/>
    </row>
    <row r="2861" spans="15:22" x14ac:dyDescent="0.25">
      <c r="O2861" s="74"/>
      <c r="P2861" s="74"/>
      <c r="Q2861" s="74"/>
      <c r="R2861" s="74"/>
      <c r="V2861" s="72"/>
    </row>
    <row r="2862" spans="15:22" x14ac:dyDescent="0.25">
      <c r="O2862" s="74"/>
      <c r="P2862" s="74"/>
      <c r="Q2862" s="74"/>
      <c r="R2862" s="74"/>
      <c r="V2862" s="72"/>
    </row>
    <row r="2863" spans="15:22" x14ac:dyDescent="0.25">
      <c r="O2863" s="74"/>
      <c r="P2863" s="74"/>
      <c r="Q2863" s="74"/>
      <c r="R2863" s="74"/>
      <c r="V2863" s="72"/>
    </row>
    <row r="2864" spans="15:22" x14ac:dyDescent="0.25">
      <c r="O2864" s="74"/>
      <c r="P2864" s="74"/>
      <c r="Q2864" s="74"/>
      <c r="R2864" s="74"/>
      <c r="V2864" s="72"/>
    </row>
    <row r="2865" spans="15:22" x14ac:dyDescent="0.25">
      <c r="O2865" s="74"/>
      <c r="P2865" s="74"/>
      <c r="Q2865" s="74"/>
      <c r="R2865" s="74"/>
      <c r="V2865" s="72"/>
    </row>
    <row r="2866" spans="15:22" x14ac:dyDescent="0.25">
      <c r="O2866" s="74"/>
      <c r="P2866" s="74"/>
      <c r="Q2866" s="74"/>
      <c r="R2866" s="74"/>
      <c r="V2866" s="72"/>
    </row>
    <row r="2867" spans="15:22" x14ac:dyDescent="0.25">
      <c r="O2867" s="74"/>
      <c r="P2867" s="74"/>
      <c r="Q2867" s="74"/>
      <c r="R2867" s="74"/>
      <c r="V2867" s="72"/>
    </row>
    <row r="2868" spans="15:22" x14ac:dyDescent="0.25">
      <c r="O2868" s="74"/>
      <c r="P2868" s="74"/>
      <c r="Q2868" s="74"/>
      <c r="R2868" s="74"/>
      <c r="V2868" s="72"/>
    </row>
    <row r="2869" spans="15:22" x14ac:dyDescent="0.25">
      <c r="O2869" s="74"/>
      <c r="P2869" s="74"/>
      <c r="Q2869" s="74"/>
      <c r="R2869" s="74"/>
      <c r="V2869" s="72"/>
    </row>
    <row r="2870" spans="15:22" x14ac:dyDescent="0.25">
      <c r="O2870" s="74"/>
      <c r="P2870" s="74"/>
      <c r="Q2870" s="74"/>
      <c r="R2870" s="74"/>
      <c r="V2870" s="72"/>
    </row>
    <row r="2871" spans="15:22" x14ac:dyDescent="0.25">
      <c r="O2871" s="74"/>
      <c r="P2871" s="74"/>
      <c r="Q2871" s="74"/>
      <c r="R2871" s="74"/>
      <c r="V2871" s="72"/>
    </row>
    <row r="2872" spans="15:22" x14ac:dyDescent="0.25">
      <c r="O2872" s="74"/>
      <c r="P2872" s="74"/>
      <c r="Q2872" s="74"/>
      <c r="R2872" s="74"/>
      <c r="V2872" s="72"/>
    </row>
    <row r="2873" spans="15:22" x14ac:dyDescent="0.25">
      <c r="O2873" s="74"/>
      <c r="P2873" s="74"/>
      <c r="Q2873" s="74"/>
      <c r="R2873" s="74"/>
      <c r="V2873" s="72"/>
    </row>
    <row r="2874" spans="15:22" x14ac:dyDescent="0.25">
      <c r="O2874" s="74"/>
      <c r="P2874" s="74"/>
      <c r="Q2874" s="74"/>
      <c r="R2874" s="74"/>
      <c r="V2874" s="72"/>
    </row>
    <row r="2875" spans="15:22" x14ac:dyDescent="0.25">
      <c r="O2875" s="74"/>
      <c r="P2875" s="74"/>
      <c r="Q2875" s="74"/>
      <c r="R2875" s="74"/>
      <c r="V2875" s="72"/>
    </row>
    <row r="2876" spans="15:22" x14ac:dyDescent="0.25">
      <c r="O2876" s="74"/>
      <c r="P2876" s="74"/>
      <c r="Q2876" s="74"/>
      <c r="R2876" s="74"/>
      <c r="V2876" s="72"/>
    </row>
    <row r="2877" spans="15:22" x14ac:dyDescent="0.25">
      <c r="O2877" s="74"/>
      <c r="P2877" s="74"/>
      <c r="Q2877" s="74"/>
      <c r="R2877" s="74"/>
      <c r="V2877" s="72"/>
    </row>
    <row r="2878" spans="15:22" x14ac:dyDescent="0.25">
      <c r="O2878" s="74"/>
      <c r="P2878" s="74"/>
      <c r="Q2878" s="74"/>
      <c r="R2878" s="74"/>
      <c r="V2878" s="72"/>
    </row>
    <row r="2879" spans="15:22" x14ac:dyDescent="0.25">
      <c r="O2879" s="74"/>
      <c r="P2879" s="74"/>
      <c r="Q2879" s="74"/>
      <c r="R2879" s="74"/>
      <c r="V2879" s="72"/>
    </row>
    <row r="2880" spans="15:22" x14ac:dyDescent="0.25">
      <c r="O2880" s="74"/>
      <c r="P2880" s="74"/>
      <c r="Q2880" s="74"/>
      <c r="R2880" s="74"/>
      <c r="V2880" s="72"/>
    </row>
    <row r="2881" spans="15:22" x14ac:dyDescent="0.25">
      <c r="O2881" s="74"/>
      <c r="P2881" s="74"/>
      <c r="Q2881" s="74"/>
      <c r="R2881" s="74"/>
      <c r="V2881" s="72"/>
    </row>
    <row r="2882" spans="15:22" x14ac:dyDescent="0.25">
      <c r="O2882" s="74"/>
      <c r="P2882" s="74"/>
      <c r="Q2882" s="74"/>
      <c r="R2882" s="74"/>
      <c r="V2882" s="72"/>
    </row>
    <row r="2883" spans="15:22" x14ac:dyDescent="0.25">
      <c r="O2883" s="74"/>
      <c r="P2883" s="74"/>
      <c r="Q2883" s="74"/>
      <c r="R2883" s="74"/>
      <c r="V2883" s="72"/>
    </row>
    <row r="2884" spans="15:22" x14ac:dyDescent="0.25">
      <c r="O2884" s="74"/>
      <c r="P2884" s="74"/>
      <c r="Q2884" s="74"/>
      <c r="R2884" s="74"/>
      <c r="V2884" s="72"/>
    </row>
    <row r="2885" spans="15:22" x14ac:dyDescent="0.25">
      <c r="O2885" s="74"/>
      <c r="P2885" s="74"/>
      <c r="Q2885" s="74"/>
      <c r="R2885" s="74"/>
      <c r="V2885" s="72"/>
    </row>
    <row r="2886" spans="15:22" x14ac:dyDescent="0.25">
      <c r="O2886" s="74"/>
      <c r="P2886" s="74"/>
      <c r="Q2886" s="74"/>
      <c r="R2886" s="74"/>
      <c r="V2886" s="72"/>
    </row>
    <row r="2887" spans="15:22" x14ac:dyDescent="0.25">
      <c r="O2887" s="74"/>
      <c r="P2887" s="74"/>
      <c r="Q2887" s="74"/>
      <c r="R2887" s="74"/>
      <c r="V2887" s="72"/>
    </row>
    <row r="2888" spans="15:22" x14ac:dyDescent="0.25">
      <c r="O2888" s="74"/>
      <c r="P2888" s="74"/>
      <c r="Q2888" s="74"/>
      <c r="R2888" s="74"/>
      <c r="V2888" s="72"/>
    </row>
    <row r="2889" spans="15:22" x14ac:dyDescent="0.25">
      <c r="O2889" s="74"/>
      <c r="P2889" s="74"/>
      <c r="Q2889" s="74"/>
      <c r="R2889" s="74"/>
      <c r="V2889" s="72"/>
    </row>
    <row r="2890" spans="15:22" x14ac:dyDescent="0.25">
      <c r="O2890" s="74"/>
      <c r="P2890" s="74"/>
      <c r="Q2890" s="74"/>
      <c r="R2890" s="74"/>
      <c r="V2890" s="72"/>
    </row>
    <row r="2891" spans="15:22" x14ac:dyDescent="0.25">
      <c r="O2891" s="74"/>
      <c r="P2891" s="74"/>
      <c r="Q2891" s="74"/>
      <c r="R2891" s="74"/>
      <c r="V2891" s="72"/>
    </row>
    <row r="2892" spans="15:22" x14ac:dyDescent="0.25">
      <c r="O2892" s="74"/>
      <c r="P2892" s="74"/>
      <c r="Q2892" s="74"/>
      <c r="R2892" s="74"/>
      <c r="V2892" s="72"/>
    </row>
    <row r="2893" spans="15:22" x14ac:dyDescent="0.25">
      <c r="O2893" s="74"/>
      <c r="P2893" s="74"/>
      <c r="Q2893" s="74"/>
      <c r="R2893" s="74"/>
      <c r="V2893" s="72"/>
    </row>
    <row r="2894" spans="15:22" x14ac:dyDescent="0.25">
      <c r="O2894" s="74"/>
      <c r="P2894" s="74"/>
      <c r="Q2894" s="74"/>
      <c r="R2894" s="74"/>
      <c r="V2894" s="72"/>
    </row>
    <row r="2895" spans="15:22" x14ac:dyDescent="0.25">
      <c r="O2895" s="74"/>
      <c r="P2895" s="74"/>
      <c r="Q2895" s="74"/>
      <c r="R2895" s="74"/>
      <c r="V2895" s="72"/>
    </row>
    <row r="2896" spans="15:22" x14ac:dyDescent="0.25">
      <c r="O2896" s="74"/>
      <c r="P2896" s="74"/>
      <c r="Q2896" s="74"/>
      <c r="R2896" s="74"/>
      <c r="V2896" s="72"/>
    </row>
    <row r="2897" spans="15:22" x14ac:dyDescent="0.25">
      <c r="O2897" s="74"/>
      <c r="P2897" s="74"/>
      <c r="Q2897" s="74"/>
      <c r="R2897" s="74"/>
      <c r="V2897" s="72"/>
    </row>
    <row r="2898" spans="15:22" x14ac:dyDescent="0.25">
      <c r="O2898" s="74"/>
      <c r="P2898" s="74"/>
      <c r="Q2898" s="74"/>
      <c r="R2898" s="74"/>
      <c r="V2898" s="72"/>
    </row>
    <row r="2899" spans="15:22" x14ac:dyDescent="0.25">
      <c r="O2899" s="74"/>
      <c r="P2899" s="74"/>
      <c r="Q2899" s="74"/>
      <c r="R2899" s="74"/>
      <c r="V2899" s="72"/>
    </row>
    <row r="2900" spans="15:22" x14ac:dyDescent="0.25">
      <c r="O2900" s="74"/>
      <c r="P2900" s="74"/>
      <c r="Q2900" s="74"/>
      <c r="R2900" s="74"/>
      <c r="V2900" s="72"/>
    </row>
    <row r="2901" spans="15:22" x14ac:dyDescent="0.25">
      <c r="O2901" s="74"/>
      <c r="P2901" s="74"/>
      <c r="Q2901" s="74"/>
      <c r="R2901" s="74"/>
      <c r="V2901" s="72"/>
    </row>
    <row r="2902" spans="15:22" x14ac:dyDescent="0.25">
      <c r="O2902" s="74"/>
      <c r="P2902" s="74"/>
      <c r="Q2902" s="74"/>
      <c r="R2902" s="74"/>
      <c r="V2902" s="72"/>
    </row>
    <row r="2903" spans="15:22" x14ac:dyDescent="0.25">
      <c r="O2903" s="74"/>
      <c r="P2903" s="74"/>
      <c r="Q2903" s="74"/>
      <c r="R2903" s="74"/>
      <c r="V2903" s="72"/>
    </row>
    <row r="2904" spans="15:22" x14ac:dyDescent="0.25">
      <c r="O2904" s="74"/>
      <c r="P2904" s="74"/>
      <c r="Q2904" s="74"/>
      <c r="R2904" s="74"/>
      <c r="V2904" s="72"/>
    </row>
    <row r="2905" spans="15:22" x14ac:dyDescent="0.25">
      <c r="O2905" s="74"/>
      <c r="P2905" s="74"/>
      <c r="Q2905" s="74"/>
      <c r="R2905" s="74"/>
      <c r="V2905" s="72"/>
    </row>
    <row r="2906" spans="15:22" x14ac:dyDescent="0.25">
      <c r="O2906" s="74"/>
      <c r="P2906" s="74"/>
      <c r="Q2906" s="74"/>
      <c r="R2906" s="74"/>
      <c r="V2906" s="72"/>
    </row>
    <row r="2907" spans="15:22" x14ac:dyDescent="0.25">
      <c r="O2907" s="74"/>
      <c r="P2907" s="74"/>
      <c r="Q2907" s="74"/>
      <c r="R2907" s="74"/>
      <c r="V2907" s="72"/>
    </row>
    <row r="2908" spans="15:22" x14ac:dyDescent="0.25">
      <c r="O2908" s="74"/>
      <c r="P2908" s="74"/>
      <c r="Q2908" s="74"/>
      <c r="R2908" s="74"/>
      <c r="V2908" s="72"/>
    </row>
    <row r="2909" spans="15:22" x14ac:dyDescent="0.25">
      <c r="O2909" s="74"/>
      <c r="P2909" s="74"/>
      <c r="Q2909" s="74"/>
      <c r="R2909" s="74"/>
      <c r="V2909" s="72"/>
    </row>
    <row r="2910" spans="15:22" x14ac:dyDescent="0.25">
      <c r="O2910" s="74"/>
      <c r="P2910" s="74"/>
      <c r="Q2910" s="74"/>
      <c r="R2910" s="74"/>
      <c r="V2910" s="72"/>
    </row>
    <row r="2911" spans="15:22" x14ac:dyDescent="0.25">
      <c r="O2911" s="74"/>
      <c r="P2911" s="74"/>
      <c r="Q2911" s="74"/>
      <c r="R2911" s="74"/>
      <c r="V2911" s="72"/>
    </row>
    <row r="2912" spans="15:22" x14ac:dyDescent="0.25">
      <c r="O2912" s="74"/>
      <c r="P2912" s="74"/>
      <c r="Q2912" s="74"/>
      <c r="R2912" s="74"/>
      <c r="V2912" s="72"/>
    </row>
    <row r="2913" spans="15:22" x14ac:dyDescent="0.25">
      <c r="O2913" s="74"/>
      <c r="P2913" s="74"/>
      <c r="Q2913" s="74"/>
      <c r="R2913" s="74"/>
      <c r="V2913" s="72"/>
    </row>
    <row r="2914" spans="15:22" x14ac:dyDescent="0.25">
      <c r="O2914" s="74"/>
      <c r="P2914" s="74"/>
      <c r="Q2914" s="74"/>
      <c r="R2914" s="74"/>
      <c r="V2914" s="72"/>
    </row>
    <row r="2915" spans="15:22" x14ac:dyDescent="0.25">
      <c r="O2915" s="74"/>
      <c r="P2915" s="74"/>
      <c r="Q2915" s="74"/>
      <c r="R2915" s="74"/>
      <c r="V2915" s="72"/>
    </row>
    <row r="2916" spans="15:22" x14ac:dyDescent="0.25">
      <c r="O2916" s="74"/>
      <c r="P2916" s="74"/>
      <c r="Q2916" s="74"/>
      <c r="R2916" s="74"/>
      <c r="V2916" s="72"/>
    </row>
    <row r="2917" spans="15:22" x14ac:dyDescent="0.25">
      <c r="O2917" s="74"/>
      <c r="P2917" s="74"/>
      <c r="Q2917" s="74"/>
      <c r="R2917" s="74"/>
      <c r="V2917" s="72"/>
    </row>
    <row r="2918" spans="15:22" x14ac:dyDescent="0.25">
      <c r="O2918" s="74"/>
      <c r="P2918" s="74"/>
      <c r="Q2918" s="74"/>
      <c r="R2918" s="74"/>
      <c r="V2918" s="72"/>
    </row>
    <row r="2919" spans="15:22" x14ac:dyDescent="0.25">
      <c r="O2919" s="74"/>
      <c r="P2919" s="74"/>
      <c r="Q2919" s="74"/>
      <c r="R2919" s="74"/>
      <c r="V2919" s="72"/>
    </row>
    <row r="2920" spans="15:22" x14ac:dyDescent="0.25">
      <c r="O2920" s="74"/>
      <c r="P2920" s="74"/>
      <c r="Q2920" s="74"/>
      <c r="R2920" s="74"/>
      <c r="V2920" s="72"/>
    </row>
    <row r="2921" spans="15:22" x14ac:dyDescent="0.25">
      <c r="O2921" s="74"/>
      <c r="P2921" s="74"/>
      <c r="Q2921" s="74"/>
      <c r="R2921" s="74"/>
      <c r="V2921" s="72"/>
    </row>
    <row r="2922" spans="15:22" x14ac:dyDescent="0.25">
      <c r="O2922" s="74"/>
      <c r="P2922" s="74"/>
      <c r="Q2922" s="74"/>
      <c r="R2922" s="74"/>
      <c r="V2922" s="72"/>
    </row>
    <row r="2923" spans="15:22" x14ac:dyDescent="0.25">
      <c r="O2923" s="74"/>
      <c r="P2923" s="74"/>
      <c r="Q2923" s="74"/>
      <c r="R2923" s="74"/>
      <c r="V2923" s="72"/>
    </row>
    <row r="2924" spans="15:22" x14ac:dyDescent="0.25">
      <c r="O2924" s="74"/>
      <c r="P2924" s="74"/>
      <c r="Q2924" s="74"/>
      <c r="R2924" s="74"/>
      <c r="V2924" s="72"/>
    </row>
    <row r="2925" spans="15:22" x14ac:dyDescent="0.25">
      <c r="O2925" s="74"/>
      <c r="P2925" s="74"/>
      <c r="Q2925" s="74"/>
      <c r="R2925" s="74"/>
      <c r="V2925" s="72"/>
    </row>
    <row r="2926" spans="15:22" x14ac:dyDescent="0.25">
      <c r="O2926" s="74"/>
      <c r="P2926" s="74"/>
      <c r="Q2926" s="74"/>
      <c r="R2926" s="74"/>
      <c r="V2926" s="72"/>
    </row>
    <row r="2927" spans="15:22" x14ac:dyDescent="0.25">
      <c r="O2927" s="74"/>
      <c r="P2927" s="74"/>
      <c r="Q2927" s="74"/>
      <c r="R2927" s="74"/>
      <c r="V2927" s="72"/>
    </row>
    <row r="2928" spans="15:22" x14ac:dyDescent="0.25">
      <c r="O2928" s="74"/>
      <c r="P2928" s="74"/>
      <c r="Q2928" s="74"/>
      <c r="R2928" s="74"/>
      <c r="V2928" s="72"/>
    </row>
    <row r="2929" spans="15:22" x14ac:dyDescent="0.25">
      <c r="O2929" s="74"/>
      <c r="P2929" s="74"/>
      <c r="Q2929" s="74"/>
      <c r="R2929" s="74"/>
      <c r="V2929" s="72"/>
    </row>
    <row r="2930" spans="15:22" x14ac:dyDescent="0.25">
      <c r="O2930" s="74"/>
      <c r="P2930" s="74"/>
      <c r="Q2930" s="74"/>
      <c r="R2930" s="74"/>
      <c r="V2930" s="72"/>
    </row>
    <row r="2931" spans="15:22" x14ac:dyDescent="0.25">
      <c r="O2931" s="74"/>
      <c r="P2931" s="74"/>
      <c r="Q2931" s="74"/>
      <c r="R2931" s="74"/>
      <c r="V2931" s="72"/>
    </row>
    <row r="2932" spans="15:22" x14ac:dyDescent="0.25">
      <c r="O2932" s="74"/>
      <c r="P2932" s="74"/>
      <c r="Q2932" s="74"/>
      <c r="R2932" s="74"/>
      <c r="V2932" s="72"/>
    </row>
    <row r="2933" spans="15:22" x14ac:dyDescent="0.25">
      <c r="O2933" s="74"/>
      <c r="P2933" s="74"/>
      <c r="Q2933" s="74"/>
      <c r="R2933" s="74"/>
      <c r="V2933" s="72"/>
    </row>
    <row r="2934" spans="15:22" x14ac:dyDescent="0.25">
      <c r="O2934" s="74"/>
      <c r="P2934" s="74"/>
      <c r="Q2934" s="74"/>
      <c r="R2934" s="74"/>
      <c r="V2934" s="72"/>
    </row>
    <row r="2935" spans="15:22" x14ac:dyDescent="0.25">
      <c r="O2935" s="74"/>
      <c r="P2935" s="74"/>
      <c r="Q2935" s="74"/>
      <c r="R2935" s="74"/>
      <c r="V2935" s="72"/>
    </row>
    <row r="2936" spans="15:22" x14ac:dyDescent="0.25">
      <c r="O2936" s="74"/>
      <c r="P2936" s="74"/>
      <c r="Q2936" s="74"/>
      <c r="R2936" s="74"/>
      <c r="V2936" s="72"/>
    </row>
    <row r="2937" spans="15:22" x14ac:dyDescent="0.25">
      <c r="O2937" s="74"/>
      <c r="P2937" s="74"/>
      <c r="Q2937" s="74"/>
      <c r="R2937" s="74"/>
      <c r="V2937" s="72"/>
    </row>
    <row r="2938" spans="15:22" x14ac:dyDescent="0.25">
      <c r="O2938" s="74"/>
      <c r="P2938" s="74"/>
      <c r="Q2938" s="74"/>
      <c r="R2938" s="74"/>
      <c r="V2938" s="72"/>
    </row>
    <row r="2939" spans="15:22" x14ac:dyDescent="0.25">
      <c r="O2939" s="74"/>
      <c r="P2939" s="74"/>
      <c r="Q2939" s="74"/>
      <c r="R2939" s="74"/>
      <c r="V2939" s="72"/>
    </row>
    <row r="2940" spans="15:22" x14ac:dyDescent="0.25">
      <c r="O2940" s="74"/>
      <c r="P2940" s="74"/>
      <c r="Q2940" s="74"/>
      <c r="R2940" s="74"/>
      <c r="V2940" s="72"/>
    </row>
    <row r="2941" spans="15:22" x14ac:dyDescent="0.25">
      <c r="O2941" s="74"/>
      <c r="P2941" s="74"/>
      <c r="Q2941" s="74"/>
      <c r="R2941" s="74"/>
      <c r="V2941" s="72"/>
    </row>
    <row r="2942" spans="15:22" x14ac:dyDescent="0.25">
      <c r="O2942" s="74"/>
      <c r="P2942" s="74"/>
      <c r="Q2942" s="74"/>
      <c r="R2942" s="74"/>
      <c r="V2942" s="72"/>
    </row>
    <row r="2943" spans="15:22" x14ac:dyDescent="0.25">
      <c r="O2943" s="74"/>
      <c r="P2943" s="74"/>
      <c r="Q2943" s="74"/>
      <c r="R2943" s="74"/>
      <c r="V2943" s="72"/>
    </row>
    <row r="2944" spans="15:22" x14ac:dyDescent="0.25">
      <c r="O2944" s="74"/>
      <c r="P2944" s="74"/>
      <c r="Q2944" s="74"/>
      <c r="R2944" s="74"/>
      <c r="V2944" s="72"/>
    </row>
    <row r="2945" spans="15:22" x14ac:dyDescent="0.25">
      <c r="O2945" s="74"/>
      <c r="P2945" s="74"/>
      <c r="Q2945" s="74"/>
      <c r="R2945" s="74"/>
      <c r="V2945" s="72"/>
    </row>
    <row r="2946" spans="15:22" x14ac:dyDescent="0.25">
      <c r="O2946" s="74"/>
      <c r="P2946" s="74"/>
      <c r="Q2946" s="74"/>
      <c r="R2946" s="74"/>
      <c r="V2946" s="72"/>
    </row>
    <row r="2947" spans="15:22" x14ac:dyDescent="0.25">
      <c r="O2947" s="74"/>
      <c r="P2947" s="74"/>
      <c r="Q2947" s="74"/>
      <c r="R2947" s="74"/>
      <c r="V2947" s="72"/>
    </row>
    <row r="2948" spans="15:22" x14ac:dyDescent="0.25">
      <c r="O2948" s="74"/>
      <c r="P2948" s="74"/>
      <c r="Q2948" s="74"/>
      <c r="R2948" s="74"/>
      <c r="V2948" s="72"/>
    </row>
    <row r="2949" spans="15:22" x14ac:dyDescent="0.25">
      <c r="O2949" s="74"/>
      <c r="P2949" s="74"/>
      <c r="Q2949" s="74"/>
      <c r="R2949" s="74"/>
      <c r="V2949" s="72"/>
    </row>
    <row r="2950" spans="15:22" x14ac:dyDescent="0.25">
      <c r="O2950" s="74"/>
      <c r="P2950" s="74"/>
      <c r="Q2950" s="74"/>
      <c r="R2950" s="74"/>
      <c r="V2950" s="72"/>
    </row>
    <row r="2951" spans="15:22" x14ac:dyDescent="0.25">
      <c r="O2951" s="74"/>
      <c r="P2951" s="74"/>
      <c r="Q2951" s="74"/>
      <c r="R2951" s="74"/>
      <c r="V2951" s="72"/>
    </row>
    <row r="2952" spans="15:22" x14ac:dyDescent="0.25">
      <c r="O2952" s="74"/>
      <c r="P2952" s="74"/>
      <c r="Q2952" s="74"/>
      <c r="R2952" s="74"/>
      <c r="V2952" s="72"/>
    </row>
    <row r="2953" spans="15:22" x14ac:dyDescent="0.25">
      <c r="O2953" s="74"/>
      <c r="P2953" s="74"/>
      <c r="Q2953" s="74"/>
      <c r="R2953" s="74"/>
      <c r="V2953" s="72"/>
    </row>
    <row r="2954" spans="15:22" x14ac:dyDescent="0.25">
      <c r="O2954" s="74"/>
      <c r="P2954" s="74"/>
      <c r="Q2954" s="74"/>
      <c r="R2954" s="74"/>
      <c r="V2954" s="72"/>
    </row>
    <row r="2955" spans="15:22" x14ac:dyDescent="0.25">
      <c r="O2955" s="74"/>
      <c r="P2955" s="74"/>
      <c r="Q2955" s="74"/>
      <c r="R2955" s="74"/>
      <c r="V2955" s="72"/>
    </row>
    <row r="2956" spans="15:22" x14ac:dyDescent="0.25">
      <c r="O2956" s="74"/>
      <c r="P2956" s="74"/>
      <c r="Q2956" s="74"/>
      <c r="R2956" s="74"/>
      <c r="V2956" s="72"/>
    </row>
    <row r="2957" spans="15:22" x14ac:dyDescent="0.25">
      <c r="O2957" s="74"/>
      <c r="P2957" s="74"/>
      <c r="Q2957" s="74"/>
      <c r="R2957" s="74"/>
      <c r="V2957" s="72"/>
    </row>
    <row r="2958" spans="15:22" x14ac:dyDescent="0.25">
      <c r="O2958" s="74"/>
      <c r="P2958" s="74"/>
      <c r="Q2958" s="74"/>
      <c r="R2958" s="74"/>
      <c r="V2958" s="72"/>
    </row>
    <row r="2959" spans="15:22" x14ac:dyDescent="0.25">
      <c r="O2959" s="74"/>
      <c r="P2959" s="74"/>
      <c r="Q2959" s="74"/>
      <c r="R2959" s="74"/>
      <c r="V2959" s="72"/>
    </row>
    <row r="2960" spans="15:22" x14ac:dyDescent="0.25">
      <c r="O2960" s="74"/>
      <c r="P2960" s="74"/>
      <c r="Q2960" s="74"/>
      <c r="R2960" s="74"/>
      <c r="V2960" s="72"/>
    </row>
    <row r="2961" spans="15:22" x14ac:dyDescent="0.25">
      <c r="O2961" s="74"/>
      <c r="P2961" s="74"/>
      <c r="Q2961" s="74"/>
      <c r="R2961" s="74"/>
      <c r="V2961" s="72"/>
    </row>
    <row r="2962" spans="15:22" x14ac:dyDescent="0.25">
      <c r="O2962" s="74"/>
      <c r="P2962" s="74"/>
      <c r="Q2962" s="74"/>
      <c r="R2962" s="74"/>
      <c r="V2962" s="72"/>
    </row>
    <row r="2963" spans="15:22" x14ac:dyDescent="0.25">
      <c r="O2963" s="74"/>
      <c r="P2963" s="74"/>
      <c r="Q2963" s="74"/>
      <c r="R2963" s="74"/>
      <c r="V2963" s="72"/>
    </row>
    <row r="2964" spans="15:22" x14ac:dyDescent="0.25">
      <c r="O2964" s="74"/>
      <c r="P2964" s="74"/>
      <c r="Q2964" s="74"/>
      <c r="R2964" s="74"/>
      <c r="V2964" s="72"/>
    </row>
    <row r="2965" spans="15:22" x14ac:dyDescent="0.25">
      <c r="O2965" s="74"/>
      <c r="P2965" s="74"/>
      <c r="Q2965" s="74"/>
      <c r="R2965" s="74"/>
      <c r="V2965" s="72"/>
    </row>
    <row r="2966" spans="15:22" x14ac:dyDescent="0.25">
      <c r="O2966" s="74"/>
      <c r="P2966" s="74"/>
      <c r="Q2966" s="74"/>
      <c r="R2966" s="74"/>
      <c r="V2966" s="72"/>
    </row>
    <row r="2967" spans="15:22" x14ac:dyDescent="0.25">
      <c r="O2967" s="74"/>
      <c r="P2967" s="74"/>
      <c r="Q2967" s="74"/>
      <c r="R2967" s="74"/>
      <c r="V2967" s="72"/>
    </row>
    <row r="2968" spans="15:22" x14ac:dyDescent="0.25">
      <c r="O2968" s="74"/>
      <c r="P2968" s="74"/>
      <c r="Q2968" s="74"/>
      <c r="R2968" s="74"/>
      <c r="V2968" s="72"/>
    </row>
    <row r="2969" spans="15:22" x14ac:dyDescent="0.25">
      <c r="O2969" s="74"/>
      <c r="P2969" s="74"/>
      <c r="Q2969" s="74"/>
      <c r="R2969" s="74"/>
      <c r="V2969" s="72"/>
    </row>
    <row r="2970" spans="15:22" x14ac:dyDescent="0.25">
      <c r="O2970" s="74"/>
      <c r="P2970" s="74"/>
      <c r="Q2970" s="74"/>
      <c r="R2970" s="74"/>
      <c r="V2970" s="72"/>
    </row>
    <row r="2971" spans="15:22" x14ac:dyDescent="0.25">
      <c r="O2971" s="74"/>
      <c r="P2971" s="74"/>
      <c r="Q2971" s="74"/>
      <c r="R2971" s="74"/>
      <c r="V2971" s="72"/>
    </row>
    <row r="2972" spans="15:22" x14ac:dyDescent="0.25">
      <c r="O2972" s="74"/>
      <c r="P2972" s="74"/>
      <c r="Q2972" s="74"/>
      <c r="R2972" s="74"/>
      <c r="V2972" s="72"/>
    </row>
    <row r="2973" spans="15:22" x14ac:dyDescent="0.25">
      <c r="O2973" s="74"/>
      <c r="P2973" s="74"/>
      <c r="Q2973" s="74"/>
      <c r="R2973" s="74"/>
      <c r="V2973" s="72"/>
    </row>
    <row r="2974" spans="15:22" x14ac:dyDescent="0.25">
      <c r="O2974" s="74"/>
      <c r="P2974" s="74"/>
      <c r="Q2974" s="74"/>
      <c r="R2974" s="74"/>
      <c r="V2974" s="72"/>
    </row>
    <row r="2975" spans="15:22" x14ac:dyDescent="0.25">
      <c r="O2975" s="74"/>
      <c r="P2975" s="74"/>
      <c r="Q2975" s="74"/>
      <c r="R2975" s="74"/>
      <c r="V2975" s="72"/>
    </row>
    <row r="2976" spans="15:22" x14ac:dyDescent="0.25">
      <c r="O2976" s="74"/>
      <c r="P2976" s="74"/>
      <c r="Q2976" s="74"/>
      <c r="R2976" s="74"/>
      <c r="V2976" s="72"/>
    </row>
    <row r="2977" spans="15:22" x14ac:dyDescent="0.25">
      <c r="O2977" s="74"/>
      <c r="P2977" s="74"/>
      <c r="Q2977" s="74"/>
      <c r="R2977" s="74"/>
      <c r="V2977" s="72"/>
    </row>
    <row r="2978" spans="15:22" x14ac:dyDescent="0.25">
      <c r="O2978" s="74"/>
      <c r="P2978" s="74"/>
      <c r="Q2978" s="74"/>
      <c r="R2978" s="74"/>
      <c r="V2978" s="72"/>
    </row>
    <row r="2979" spans="15:22" x14ac:dyDescent="0.25">
      <c r="O2979" s="74"/>
      <c r="P2979" s="74"/>
      <c r="Q2979" s="74"/>
      <c r="R2979" s="74"/>
      <c r="V2979" s="72"/>
    </row>
    <row r="2980" spans="15:22" x14ac:dyDescent="0.25">
      <c r="O2980" s="74"/>
      <c r="P2980" s="74"/>
      <c r="Q2980" s="74"/>
      <c r="R2980" s="74"/>
      <c r="V2980" s="72"/>
    </row>
    <row r="2981" spans="15:22" x14ac:dyDescent="0.25">
      <c r="O2981" s="74"/>
      <c r="P2981" s="74"/>
      <c r="Q2981" s="74"/>
      <c r="R2981" s="74"/>
      <c r="V2981" s="72"/>
    </row>
    <row r="2982" spans="15:22" x14ac:dyDescent="0.25">
      <c r="O2982" s="74"/>
      <c r="P2982" s="74"/>
      <c r="Q2982" s="74"/>
      <c r="R2982" s="74"/>
      <c r="V2982" s="72"/>
    </row>
    <row r="2983" spans="15:22" x14ac:dyDescent="0.25">
      <c r="O2983" s="74"/>
      <c r="P2983" s="74"/>
      <c r="Q2983" s="74"/>
      <c r="R2983" s="74"/>
      <c r="V2983" s="72"/>
    </row>
    <row r="2984" spans="15:22" x14ac:dyDescent="0.25">
      <c r="O2984" s="74"/>
      <c r="P2984" s="74"/>
      <c r="Q2984" s="74"/>
      <c r="R2984" s="74"/>
      <c r="V2984" s="72"/>
    </row>
    <row r="2985" spans="15:22" x14ac:dyDescent="0.25">
      <c r="O2985" s="74"/>
      <c r="P2985" s="74"/>
      <c r="Q2985" s="74"/>
      <c r="R2985" s="74"/>
      <c r="V2985" s="72"/>
    </row>
    <row r="2986" spans="15:22" x14ac:dyDescent="0.25">
      <c r="O2986" s="74"/>
      <c r="P2986" s="74"/>
      <c r="Q2986" s="74"/>
      <c r="R2986" s="74"/>
      <c r="V2986" s="72"/>
    </row>
    <row r="2987" spans="15:22" x14ac:dyDescent="0.25">
      <c r="O2987" s="74"/>
      <c r="P2987" s="74"/>
      <c r="Q2987" s="74"/>
      <c r="R2987" s="74"/>
      <c r="V2987" s="72"/>
    </row>
    <row r="2988" spans="15:22" x14ac:dyDescent="0.25">
      <c r="O2988" s="74"/>
      <c r="P2988" s="74"/>
      <c r="Q2988" s="74"/>
      <c r="R2988" s="74"/>
      <c r="V2988" s="72"/>
    </row>
    <row r="2989" spans="15:22" x14ac:dyDescent="0.25">
      <c r="O2989" s="74"/>
      <c r="P2989" s="74"/>
      <c r="Q2989" s="74"/>
      <c r="R2989" s="74"/>
      <c r="V2989" s="72"/>
    </row>
    <row r="2990" spans="15:22" x14ac:dyDescent="0.25">
      <c r="O2990" s="74"/>
      <c r="P2990" s="74"/>
      <c r="Q2990" s="74"/>
      <c r="R2990" s="74"/>
      <c r="V2990" s="72"/>
    </row>
    <row r="2991" spans="15:22" x14ac:dyDescent="0.25">
      <c r="O2991" s="74"/>
      <c r="P2991" s="74"/>
      <c r="Q2991" s="74"/>
      <c r="R2991" s="74"/>
      <c r="V2991" s="72"/>
    </row>
    <row r="2992" spans="15:22" x14ac:dyDescent="0.25">
      <c r="O2992" s="74"/>
      <c r="P2992" s="74"/>
      <c r="Q2992" s="74"/>
      <c r="R2992" s="74"/>
      <c r="V2992" s="72"/>
    </row>
    <row r="2993" spans="15:22" x14ac:dyDescent="0.25">
      <c r="O2993" s="74"/>
      <c r="P2993" s="74"/>
      <c r="Q2993" s="74"/>
      <c r="R2993" s="74"/>
      <c r="V2993" s="72"/>
    </row>
    <row r="2994" spans="15:22" x14ac:dyDescent="0.25">
      <c r="O2994" s="74"/>
      <c r="P2994" s="74"/>
      <c r="Q2994" s="74"/>
      <c r="R2994" s="74"/>
      <c r="V2994" s="72"/>
    </row>
    <row r="2995" spans="15:22" x14ac:dyDescent="0.25">
      <c r="O2995" s="74"/>
      <c r="P2995" s="74"/>
      <c r="Q2995" s="74"/>
      <c r="R2995" s="74"/>
      <c r="V2995" s="72"/>
    </row>
    <row r="2996" spans="15:22" x14ac:dyDescent="0.25">
      <c r="O2996" s="74"/>
      <c r="P2996" s="74"/>
      <c r="Q2996" s="74"/>
      <c r="R2996" s="74"/>
      <c r="V2996" s="72"/>
    </row>
    <row r="2997" spans="15:22" x14ac:dyDescent="0.25">
      <c r="O2997" s="74"/>
      <c r="P2997" s="74"/>
      <c r="Q2997" s="74"/>
      <c r="R2997" s="74"/>
      <c r="V2997" s="72"/>
    </row>
    <row r="2998" spans="15:22" x14ac:dyDescent="0.25">
      <c r="O2998" s="74"/>
      <c r="P2998" s="74"/>
      <c r="Q2998" s="74"/>
      <c r="R2998" s="74"/>
      <c r="V2998" s="72"/>
    </row>
    <row r="2999" spans="15:22" x14ac:dyDescent="0.25">
      <c r="O2999" s="74"/>
      <c r="P2999" s="74"/>
      <c r="Q2999" s="74"/>
      <c r="R2999" s="74"/>
      <c r="V2999" s="72"/>
    </row>
    <row r="3000" spans="15:22" x14ac:dyDescent="0.25">
      <c r="O3000" s="74"/>
      <c r="P3000" s="74"/>
      <c r="Q3000" s="74"/>
      <c r="R3000" s="74"/>
      <c r="V3000" s="72"/>
    </row>
    <row r="3001" spans="15:22" x14ac:dyDescent="0.25">
      <c r="O3001" s="74"/>
      <c r="P3001" s="74"/>
      <c r="Q3001" s="74"/>
      <c r="R3001" s="74"/>
      <c r="V3001" s="72"/>
    </row>
    <row r="3002" spans="15:22" x14ac:dyDescent="0.25">
      <c r="O3002" s="74"/>
      <c r="P3002" s="74"/>
      <c r="Q3002" s="74"/>
      <c r="R3002" s="74"/>
      <c r="V3002" s="72"/>
    </row>
    <row r="3003" spans="15:22" x14ac:dyDescent="0.25">
      <c r="O3003" s="74"/>
      <c r="P3003" s="74"/>
      <c r="Q3003" s="74"/>
      <c r="R3003" s="74"/>
      <c r="V3003" s="72"/>
    </row>
    <row r="3004" spans="15:22" x14ac:dyDescent="0.25">
      <c r="O3004" s="74"/>
      <c r="P3004" s="74"/>
      <c r="Q3004" s="74"/>
      <c r="R3004" s="74"/>
      <c r="V3004" s="72"/>
    </row>
    <row r="3005" spans="15:22" x14ac:dyDescent="0.25">
      <c r="O3005" s="74"/>
      <c r="P3005" s="74"/>
      <c r="Q3005" s="74"/>
      <c r="R3005" s="74"/>
      <c r="V3005" s="72"/>
    </row>
    <row r="3006" spans="15:22" x14ac:dyDescent="0.25">
      <c r="O3006" s="74"/>
      <c r="P3006" s="74"/>
      <c r="Q3006" s="74"/>
      <c r="R3006" s="74"/>
      <c r="V3006" s="72"/>
    </row>
    <row r="3007" spans="15:22" x14ac:dyDescent="0.25">
      <c r="O3007" s="74"/>
      <c r="P3007" s="74"/>
      <c r="Q3007" s="74"/>
      <c r="R3007" s="74"/>
      <c r="V3007" s="72"/>
    </row>
    <row r="3008" spans="15:22" x14ac:dyDescent="0.25">
      <c r="O3008" s="74"/>
      <c r="P3008" s="74"/>
      <c r="Q3008" s="74"/>
      <c r="R3008" s="74"/>
      <c r="V3008" s="72"/>
    </row>
    <row r="3009" spans="15:22" x14ac:dyDescent="0.25">
      <c r="O3009" s="74"/>
      <c r="P3009" s="74"/>
      <c r="Q3009" s="74"/>
      <c r="R3009" s="74"/>
      <c r="V3009" s="72"/>
    </row>
    <row r="3010" spans="15:22" x14ac:dyDescent="0.25">
      <c r="O3010" s="74"/>
      <c r="P3010" s="74"/>
      <c r="Q3010" s="74"/>
      <c r="R3010" s="74"/>
      <c r="V3010" s="72"/>
    </row>
    <row r="3011" spans="15:22" x14ac:dyDescent="0.25">
      <c r="O3011" s="74"/>
      <c r="P3011" s="74"/>
      <c r="Q3011" s="74"/>
      <c r="R3011" s="74"/>
      <c r="V3011" s="72"/>
    </row>
    <row r="3012" spans="15:22" x14ac:dyDescent="0.25">
      <c r="O3012" s="74"/>
      <c r="P3012" s="74"/>
      <c r="Q3012" s="74"/>
      <c r="R3012" s="74"/>
      <c r="V3012" s="72"/>
    </row>
    <row r="3013" spans="15:22" x14ac:dyDescent="0.25">
      <c r="O3013" s="74"/>
      <c r="P3013" s="74"/>
      <c r="Q3013" s="74"/>
      <c r="R3013" s="74"/>
      <c r="V3013" s="72"/>
    </row>
    <row r="3014" spans="15:22" x14ac:dyDescent="0.25">
      <c r="O3014" s="74"/>
      <c r="P3014" s="74"/>
      <c r="Q3014" s="74"/>
      <c r="R3014" s="74"/>
      <c r="V3014" s="72"/>
    </row>
    <row r="3015" spans="15:22" x14ac:dyDescent="0.25">
      <c r="O3015" s="74"/>
      <c r="P3015" s="74"/>
      <c r="Q3015" s="74"/>
      <c r="R3015" s="74"/>
      <c r="V3015" s="72"/>
    </row>
    <row r="3016" spans="15:22" x14ac:dyDescent="0.25">
      <c r="O3016" s="74"/>
      <c r="P3016" s="74"/>
      <c r="Q3016" s="74"/>
      <c r="R3016" s="74"/>
      <c r="V3016" s="72"/>
    </row>
    <row r="3017" spans="15:22" x14ac:dyDescent="0.25">
      <c r="O3017" s="74"/>
      <c r="P3017" s="74"/>
      <c r="Q3017" s="74"/>
      <c r="R3017" s="74"/>
      <c r="V3017" s="72"/>
    </row>
    <row r="3018" spans="15:22" x14ac:dyDescent="0.25">
      <c r="O3018" s="74"/>
      <c r="P3018" s="74"/>
      <c r="Q3018" s="74"/>
      <c r="R3018" s="74"/>
      <c r="V3018" s="72"/>
    </row>
    <row r="3019" spans="15:22" x14ac:dyDescent="0.25">
      <c r="O3019" s="74"/>
      <c r="P3019" s="74"/>
      <c r="Q3019" s="74"/>
      <c r="R3019" s="74"/>
      <c r="V3019" s="72"/>
    </row>
    <row r="3020" spans="15:22" x14ac:dyDescent="0.25">
      <c r="O3020" s="74"/>
      <c r="P3020" s="74"/>
      <c r="Q3020" s="74"/>
      <c r="R3020" s="74"/>
      <c r="V3020" s="72"/>
    </row>
    <row r="3021" spans="15:22" x14ac:dyDescent="0.25">
      <c r="O3021" s="74"/>
      <c r="P3021" s="74"/>
      <c r="Q3021" s="74"/>
      <c r="R3021" s="74"/>
      <c r="V3021" s="72"/>
    </row>
    <row r="3022" spans="15:22" x14ac:dyDescent="0.25">
      <c r="O3022" s="74"/>
      <c r="P3022" s="74"/>
      <c r="Q3022" s="74"/>
      <c r="R3022" s="74"/>
      <c r="V3022" s="72"/>
    </row>
    <row r="3023" spans="15:22" x14ac:dyDescent="0.25">
      <c r="O3023" s="74"/>
      <c r="P3023" s="74"/>
      <c r="Q3023" s="74"/>
      <c r="R3023" s="74"/>
      <c r="V3023" s="72"/>
    </row>
    <row r="3024" spans="15:22" x14ac:dyDescent="0.25">
      <c r="O3024" s="74"/>
      <c r="P3024" s="74"/>
      <c r="Q3024" s="74"/>
      <c r="R3024" s="74"/>
      <c r="V3024" s="72"/>
    </row>
    <row r="3025" spans="15:22" x14ac:dyDescent="0.25">
      <c r="O3025" s="74"/>
      <c r="P3025" s="74"/>
      <c r="Q3025" s="74"/>
      <c r="R3025" s="74"/>
      <c r="V3025" s="72"/>
    </row>
    <row r="3026" spans="15:22" x14ac:dyDescent="0.25">
      <c r="O3026" s="74"/>
      <c r="P3026" s="74"/>
      <c r="Q3026" s="74"/>
      <c r="R3026" s="74"/>
      <c r="V3026" s="72"/>
    </row>
    <row r="3027" spans="15:22" x14ac:dyDescent="0.25">
      <c r="O3027" s="74"/>
      <c r="P3027" s="74"/>
      <c r="Q3027" s="74"/>
      <c r="R3027" s="74"/>
      <c r="V3027" s="72"/>
    </row>
    <row r="3028" spans="15:22" x14ac:dyDescent="0.25">
      <c r="O3028" s="74"/>
      <c r="P3028" s="74"/>
      <c r="Q3028" s="74"/>
      <c r="R3028" s="74"/>
      <c r="V3028" s="72"/>
    </row>
    <row r="3029" spans="15:22" x14ac:dyDescent="0.25">
      <c r="O3029" s="74"/>
      <c r="P3029" s="74"/>
      <c r="Q3029" s="74"/>
      <c r="R3029" s="74"/>
      <c r="V3029" s="72"/>
    </row>
    <row r="3030" spans="15:22" x14ac:dyDescent="0.25">
      <c r="O3030" s="74"/>
      <c r="P3030" s="74"/>
      <c r="Q3030" s="74"/>
      <c r="R3030" s="74"/>
      <c r="V3030" s="72"/>
    </row>
    <row r="3031" spans="15:22" x14ac:dyDescent="0.25">
      <c r="O3031" s="74"/>
      <c r="P3031" s="74"/>
      <c r="Q3031" s="74"/>
      <c r="R3031" s="74"/>
      <c r="V3031" s="72"/>
    </row>
    <row r="3032" spans="15:22" x14ac:dyDescent="0.25">
      <c r="O3032" s="74"/>
      <c r="P3032" s="74"/>
      <c r="Q3032" s="74"/>
      <c r="R3032" s="74"/>
      <c r="V3032" s="72"/>
    </row>
    <row r="3033" spans="15:22" x14ac:dyDescent="0.25">
      <c r="O3033" s="74"/>
      <c r="P3033" s="74"/>
      <c r="Q3033" s="74"/>
      <c r="R3033" s="74"/>
      <c r="V3033" s="72"/>
    </row>
    <row r="3034" spans="15:22" x14ac:dyDescent="0.25">
      <c r="O3034" s="74"/>
      <c r="P3034" s="74"/>
      <c r="Q3034" s="74"/>
      <c r="R3034" s="74"/>
      <c r="V3034" s="72"/>
    </row>
    <row r="3035" spans="15:22" x14ac:dyDescent="0.25">
      <c r="O3035" s="74"/>
      <c r="P3035" s="74"/>
      <c r="Q3035" s="74"/>
      <c r="R3035" s="74"/>
      <c r="V3035" s="72"/>
    </row>
    <row r="3036" spans="15:22" x14ac:dyDescent="0.25">
      <c r="O3036" s="74"/>
      <c r="P3036" s="74"/>
      <c r="Q3036" s="74"/>
      <c r="R3036" s="74"/>
      <c r="V3036" s="72"/>
    </row>
    <row r="3037" spans="15:22" x14ac:dyDescent="0.25">
      <c r="O3037" s="74"/>
      <c r="P3037" s="74"/>
      <c r="Q3037" s="74"/>
      <c r="R3037" s="74"/>
      <c r="V3037" s="72"/>
    </row>
    <row r="3038" spans="15:22" x14ac:dyDescent="0.25">
      <c r="O3038" s="74"/>
      <c r="P3038" s="74"/>
      <c r="Q3038" s="74"/>
      <c r="R3038" s="74"/>
      <c r="V3038" s="72"/>
    </row>
    <row r="3039" spans="15:22" x14ac:dyDescent="0.25">
      <c r="O3039" s="74"/>
      <c r="P3039" s="74"/>
      <c r="Q3039" s="74"/>
      <c r="R3039" s="74"/>
      <c r="V3039" s="72"/>
    </row>
    <row r="3040" spans="15:22" x14ac:dyDescent="0.25">
      <c r="O3040" s="74"/>
      <c r="P3040" s="74"/>
      <c r="Q3040" s="74"/>
      <c r="R3040" s="74"/>
      <c r="V3040" s="72"/>
    </row>
    <row r="3041" spans="15:22" x14ac:dyDescent="0.25">
      <c r="O3041" s="74"/>
      <c r="P3041" s="74"/>
      <c r="Q3041" s="74"/>
      <c r="R3041" s="74"/>
      <c r="V3041" s="72"/>
    </row>
    <row r="3042" spans="15:22" x14ac:dyDescent="0.25">
      <c r="O3042" s="74"/>
      <c r="P3042" s="74"/>
      <c r="Q3042" s="74"/>
      <c r="R3042" s="74"/>
      <c r="V3042" s="72"/>
    </row>
    <row r="3043" spans="15:22" x14ac:dyDescent="0.25">
      <c r="O3043" s="74"/>
      <c r="P3043" s="74"/>
      <c r="Q3043" s="74"/>
      <c r="R3043" s="74"/>
      <c r="V3043" s="72"/>
    </row>
    <row r="3044" spans="15:22" x14ac:dyDescent="0.25">
      <c r="O3044" s="74"/>
      <c r="P3044" s="74"/>
      <c r="Q3044" s="74"/>
      <c r="R3044" s="74"/>
      <c r="V3044" s="72"/>
    </row>
    <row r="3045" spans="15:22" x14ac:dyDescent="0.25">
      <c r="O3045" s="74"/>
      <c r="P3045" s="74"/>
      <c r="Q3045" s="74"/>
      <c r="R3045" s="74"/>
      <c r="V3045" s="72"/>
    </row>
    <row r="3046" spans="15:22" x14ac:dyDescent="0.25">
      <c r="O3046" s="74"/>
      <c r="P3046" s="74"/>
      <c r="Q3046" s="74"/>
      <c r="R3046" s="74"/>
      <c r="V3046" s="72"/>
    </row>
    <row r="3047" spans="15:22" x14ac:dyDescent="0.25">
      <c r="O3047" s="74"/>
      <c r="P3047" s="74"/>
      <c r="Q3047" s="74"/>
      <c r="R3047" s="74"/>
      <c r="V3047" s="72"/>
    </row>
    <row r="3048" spans="15:22" x14ac:dyDescent="0.25">
      <c r="O3048" s="74"/>
      <c r="P3048" s="74"/>
      <c r="Q3048" s="74"/>
      <c r="R3048" s="74"/>
      <c r="V3048" s="72"/>
    </row>
    <row r="3049" spans="15:22" x14ac:dyDescent="0.25">
      <c r="O3049" s="74"/>
      <c r="P3049" s="74"/>
      <c r="Q3049" s="74"/>
      <c r="R3049" s="74"/>
      <c r="V3049" s="72"/>
    </row>
    <row r="3050" spans="15:22" x14ac:dyDescent="0.25">
      <c r="O3050" s="74"/>
      <c r="P3050" s="74"/>
      <c r="Q3050" s="74"/>
      <c r="R3050" s="74"/>
      <c r="V3050" s="72"/>
    </row>
    <row r="3051" spans="15:22" x14ac:dyDescent="0.25">
      <c r="O3051" s="74"/>
      <c r="P3051" s="74"/>
      <c r="Q3051" s="74"/>
      <c r="R3051" s="74"/>
      <c r="V3051" s="72"/>
    </row>
    <row r="3052" spans="15:22" x14ac:dyDescent="0.25">
      <c r="O3052" s="74"/>
      <c r="P3052" s="74"/>
      <c r="Q3052" s="74"/>
      <c r="R3052" s="74"/>
      <c r="V3052" s="72"/>
    </row>
    <row r="3053" spans="15:22" x14ac:dyDescent="0.25">
      <c r="O3053" s="74"/>
      <c r="P3053" s="74"/>
      <c r="Q3053" s="74"/>
      <c r="R3053" s="74"/>
      <c r="V3053" s="72"/>
    </row>
    <row r="3054" spans="15:22" x14ac:dyDescent="0.25">
      <c r="O3054" s="74"/>
      <c r="P3054" s="74"/>
      <c r="Q3054" s="74"/>
      <c r="R3054" s="74"/>
      <c r="V3054" s="72"/>
    </row>
    <row r="3055" spans="15:22" x14ac:dyDescent="0.25">
      <c r="O3055" s="74"/>
      <c r="P3055" s="74"/>
      <c r="Q3055" s="74"/>
      <c r="R3055" s="74"/>
      <c r="V3055" s="72"/>
    </row>
    <row r="3056" spans="15:22" x14ac:dyDescent="0.25">
      <c r="O3056" s="74"/>
      <c r="P3056" s="74"/>
      <c r="Q3056" s="74"/>
      <c r="R3056" s="74"/>
      <c r="V3056" s="72"/>
    </row>
    <row r="3057" spans="15:22" x14ac:dyDescent="0.25">
      <c r="O3057" s="74"/>
      <c r="P3057" s="74"/>
      <c r="Q3057" s="74"/>
      <c r="R3057" s="74"/>
      <c r="V3057" s="72"/>
    </row>
    <row r="3058" spans="15:22" x14ac:dyDescent="0.25">
      <c r="O3058" s="74"/>
      <c r="P3058" s="74"/>
      <c r="Q3058" s="74"/>
      <c r="R3058" s="74"/>
      <c r="V3058" s="72"/>
    </row>
    <row r="3059" spans="15:22" x14ac:dyDescent="0.25">
      <c r="O3059" s="74"/>
      <c r="P3059" s="74"/>
      <c r="Q3059" s="74"/>
      <c r="R3059" s="74"/>
      <c r="V3059" s="72"/>
    </row>
    <row r="3060" spans="15:22" x14ac:dyDescent="0.25">
      <c r="O3060" s="74"/>
      <c r="P3060" s="74"/>
      <c r="Q3060" s="74"/>
      <c r="R3060" s="74"/>
      <c r="V3060" s="72"/>
    </row>
    <row r="3061" spans="15:22" x14ac:dyDescent="0.25">
      <c r="O3061" s="74"/>
      <c r="P3061" s="74"/>
      <c r="Q3061" s="74"/>
      <c r="R3061" s="74"/>
      <c r="V3061" s="72"/>
    </row>
    <row r="3062" spans="15:22" x14ac:dyDescent="0.25">
      <c r="O3062" s="74"/>
      <c r="P3062" s="74"/>
      <c r="Q3062" s="74"/>
      <c r="R3062" s="74"/>
      <c r="V3062" s="72"/>
    </row>
    <row r="3063" spans="15:22" x14ac:dyDescent="0.25">
      <c r="O3063" s="74"/>
      <c r="P3063" s="74"/>
      <c r="Q3063" s="74"/>
      <c r="R3063" s="74"/>
      <c r="V3063" s="72"/>
    </row>
    <row r="3064" spans="15:22" x14ac:dyDescent="0.25">
      <c r="O3064" s="74"/>
      <c r="P3064" s="74"/>
      <c r="Q3064" s="74"/>
      <c r="R3064" s="74"/>
      <c r="V3064" s="72"/>
    </row>
    <row r="3065" spans="15:22" x14ac:dyDescent="0.25">
      <c r="O3065" s="74"/>
      <c r="P3065" s="74"/>
      <c r="Q3065" s="74"/>
      <c r="R3065" s="74"/>
      <c r="V3065" s="72"/>
    </row>
    <row r="3066" spans="15:22" x14ac:dyDescent="0.25">
      <c r="O3066" s="74"/>
      <c r="P3066" s="74"/>
      <c r="Q3066" s="74"/>
      <c r="R3066" s="74"/>
      <c r="V3066" s="72"/>
    </row>
    <row r="3067" spans="15:22" x14ac:dyDescent="0.25">
      <c r="O3067" s="74"/>
      <c r="P3067" s="74"/>
      <c r="Q3067" s="74"/>
      <c r="R3067" s="74"/>
      <c r="V3067" s="72"/>
    </row>
    <row r="3068" spans="15:22" x14ac:dyDescent="0.25">
      <c r="O3068" s="74"/>
      <c r="P3068" s="74"/>
      <c r="Q3068" s="74"/>
      <c r="R3068" s="74"/>
      <c r="V3068" s="72"/>
    </row>
    <row r="3069" spans="15:22" x14ac:dyDescent="0.25">
      <c r="O3069" s="74"/>
      <c r="P3069" s="74"/>
      <c r="Q3069" s="74"/>
      <c r="R3069" s="74"/>
      <c r="V3069" s="72"/>
    </row>
    <row r="3070" spans="15:22" x14ac:dyDescent="0.25">
      <c r="O3070" s="74"/>
      <c r="P3070" s="74"/>
      <c r="Q3070" s="74"/>
      <c r="R3070" s="74"/>
      <c r="V3070" s="72"/>
    </row>
    <row r="3071" spans="15:22" x14ac:dyDescent="0.25">
      <c r="O3071" s="74"/>
      <c r="P3071" s="74"/>
      <c r="Q3071" s="74"/>
      <c r="R3071" s="74"/>
      <c r="V3071" s="72"/>
    </row>
    <row r="3072" spans="15:22" x14ac:dyDescent="0.25">
      <c r="O3072" s="74"/>
      <c r="P3072" s="74"/>
      <c r="Q3072" s="74"/>
      <c r="R3072" s="74"/>
      <c r="V3072" s="72"/>
    </row>
    <row r="3073" spans="15:22" x14ac:dyDescent="0.25">
      <c r="O3073" s="74"/>
      <c r="P3073" s="74"/>
      <c r="Q3073" s="74"/>
      <c r="R3073" s="74"/>
      <c r="V3073" s="72"/>
    </row>
    <row r="3074" spans="15:22" x14ac:dyDescent="0.25">
      <c r="O3074" s="74"/>
      <c r="P3074" s="74"/>
      <c r="Q3074" s="74"/>
      <c r="R3074" s="74"/>
      <c r="V3074" s="72"/>
    </row>
    <row r="3075" spans="15:22" x14ac:dyDescent="0.25">
      <c r="O3075" s="74"/>
      <c r="P3075" s="74"/>
      <c r="Q3075" s="74"/>
      <c r="R3075" s="74"/>
      <c r="V3075" s="72"/>
    </row>
    <row r="3076" spans="15:22" x14ac:dyDescent="0.25">
      <c r="O3076" s="74"/>
      <c r="P3076" s="74"/>
      <c r="Q3076" s="74"/>
      <c r="R3076" s="74"/>
      <c r="V3076" s="72"/>
    </row>
    <row r="3077" spans="15:22" x14ac:dyDescent="0.25">
      <c r="O3077" s="74"/>
      <c r="P3077" s="74"/>
      <c r="Q3077" s="74"/>
      <c r="R3077" s="74"/>
      <c r="V3077" s="72"/>
    </row>
    <row r="3078" spans="15:22" x14ac:dyDescent="0.25">
      <c r="O3078" s="74"/>
      <c r="P3078" s="74"/>
      <c r="Q3078" s="74"/>
      <c r="R3078" s="74"/>
      <c r="V3078" s="72"/>
    </row>
    <row r="3079" spans="15:22" x14ac:dyDescent="0.25">
      <c r="O3079" s="74"/>
      <c r="P3079" s="74"/>
      <c r="Q3079" s="74"/>
      <c r="R3079" s="74"/>
      <c r="V3079" s="72"/>
    </row>
    <row r="3080" spans="15:22" x14ac:dyDescent="0.25">
      <c r="O3080" s="74"/>
      <c r="P3080" s="74"/>
      <c r="Q3080" s="74"/>
      <c r="R3080" s="74"/>
      <c r="V3080" s="72"/>
    </row>
    <row r="3081" spans="15:22" x14ac:dyDescent="0.25">
      <c r="O3081" s="74"/>
      <c r="P3081" s="74"/>
      <c r="Q3081" s="74"/>
      <c r="R3081" s="74"/>
      <c r="V3081" s="72"/>
    </row>
    <row r="3082" spans="15:22" x14ac:dyDescent="0.25">
      <c r="O3082" s="74"/>
      <c r="P3082" s="74"/>
      <c r="Q3082" s="74"/>
      <c r="R3082" s="74"/>
      <c r="V3082" s="72"/>
    </row>
    <row r="3083" spans="15:22" x14ac:dyDescent="0.25">
      <c r="O3083" s="74"/>
      <c r="P3083" s="74"/>
      <c r="Q3083" s="74"/>
      <c r="R3083" s="74"/>
      <c r="V3083" s="72"/>
    </row>
    <row r="3084" spans="15:22" x14ac:dyDescent="0.25">
      <c r="O3084" s="74"/>
      <c r="P3084" s="74"/>
      <c r="Q3084" s="74"/>
      <c r="R3084" s="74"/>
      <c r="V3084" s="72"/>
    </row>
    <row r="3085" spans="15:22" x14ac:dyDescent="0.25">
      <c r="O3085" s="74"/>
      <c r="P3085" s="74"/>
      <c r="Q3085" s="74"/>
      <c r="R3085" s="74"/>
      <c r="V3085" s="72"/>
    </row>
    <row r="3086" spans="15:22" x14ac:dyDescent="0.25">
      <c r="O3086" s="74"/>
      <c r="P3086" s="74"/>
      <c r="Q3086" s="74"/>
      <c r="R3086" s="74"/>
      <c r="V3086" s="72"/>
    </row>
    <row r="3087" spans="15:22" x14ac:dyDescent="0.25">
      <c r="O3087" s="74"/>
      <c r="P3087" s="74"/>
      <c r="Q3087" s="74"/>
      <c r="R3087" s="74"/>
      <c r="V3087" s="72"/>
    </row>
    <row r="3088" spans="15:22" x14ac:dyDescent="0.25">
      <c r="O3088" s="74"/>
      <c r="P3088" s="74"/>
      <c r="Q3088" s="74"/>
      <c r="R3088" s="74"/>
      <c r="V3088" s="72"/>
    </row>
    <row r="3089" spans="15:22" x14ac:dyDescent="0.25">
      <c r="O3089" s="74"/>
      <c r="P3089" s="74"/>
      <c r="Q3089" s="74"/>
      <c r="R3089" s="74"/>
      <c r="V3089" s="72"/>
    </row>
    <row r="3090" spans="15:22" x14ac:dyDescent="0.25">
      <c r="O3090" s="74"/>
      <c r="P3090" s="74"/>
      <c r="Q3090" s="74"/>
      <c r="R3090" s="74"/>
      <c r="V3090" s="72"/>
    </row>
    <row r="3091" spans="15:22" x14ac:dyDescent="0.25">
      <c r="O3091" s="74"/>
      <c r="P3091" s="74"/>
      <c r="Q3091" s="74"/>
      <c r="R3091" s="74"/>
      <c r="V3091" s="72"/>
    </row>
    <row r="3092" spans="15:22" x14ac:dyDescent="0.25">
      <c r="O3092" s="74"/>
      <c r="P3092" s="74"/>
      <c r="Q3092" s="74"/>
      <c r="R3092" s="74"/>
      <c r="V3092" s="72"/>
    </row>
    <row r="3093" spans="15:22" x14ac:dyDescent="0.25">
      <c r="O3093" s="74"/>
      <c r="P3093" s="74"/>
      <c r="Q3093" s="74"/>
      <c r="R3093" s="74"/>
      <c r="V3093" s="72"/>
    </row>
    <row r="3094" spans="15:22" x14ac:dyDescent="0.25">
      <c r="O3094" s="74"/>
      <c r="P3094" s="74"/>
      <c r="Q3094" s="74"/>
      <c r="R3094" s="74"/>
      <c r="V3094" s="72"/>
    </row>
    <row r="3095" spans="15:22" x14ac:dyDescent="0.25">
      <c r="O3095" s="74"/>
      <c r="P3095" s="74"/>
      <c r="Q3095" s="74"/>
      <c r="R3095" s="74"/>
      <c r="V3095" s="72"/>
    </row>
    <row r="3096" spans="15:22" x14ac:dyDescent="0.25">
      <c r="O3096" s="74"/>
      <c r="P3096" s="74"/>
      <c r="Q3096" s="74"/>
      <c r="R3096" s="74"/>
      <c r="V3096" s="72"/>
    </row>
    <row r="3097" spans="15:22" x14ac:dyDescent="0.25">
      <c r="O3097" s="74"/>
      <c r="P3097" s="74"/>
      <c r="Q3097" s="74"/>
      <c r="R3097" s="74"/>
      <c r="V3097" s="72"/>
    </row>
    <row r="3098" spans="15:22" x14ac:dyDescent="0.25">
      <c r="O3098" s="74"/>
      <c r="P3098" s="74"/>
      <c r="Q3098" s="74"/>
      <c r="R3098" s="74"/>
      <c r="V3098" s="72"/>
    </row>
    <row r="3099" spans="15:22" x14ac:dyDescent="0.25">
      <c r="O3099" s="74"/>
      <c r="P3099" s="74"/>
      <c r="Q3099" s="74"/>
      <c r="R3099" s="74"/>
      <c r="V3099" s="72"/>
    </row>
    <row r="3100" spans="15:22" x14ac:dyDescent="0.25">
      <c r="O3100" s="74"/>
      <c r="P3100" s="74"/>
      <c r="Q3100" s="74"/>
      <c r="R3100" s="74"/>
      <c r="V3100" s="72"/>
    </row>
    <row r="3101" spans="15:22" x14ac:dyDescent="0.25">
      <c r="O3101" s="74"/>
      <c r="P3101" s="74"/>
      <c r="Q3101" s="74"/>
      <c r="R3101" s="74"/>
      <c r="V3101" s="72"/>
    </row>
    <row r="3102" spans="15:22" x14ac:dyDescent="0.25">
      <c r="O3102" s="74"/>
      <c r="P3102" s="74"/>
      <c r="Q3102" s="74"/>
      <c r="R3102" s="74"/>
      <c r="V3102" s="72"/>
    </row>
    <row r="3103" spans="15:22" x14ac:dyDescent="0.25">
      <c r="O3103" s="74"/>
      <c r="P3103" s="74"/>
      <c r="Q3103" s="74"/>
      <c r="R3103" s="74"/>
      <c r="V3103" s="72"/>
    </row>
    <row r="3104" spans="15:22" x14ac:dyDescent="0.25">
      <c r="O3104" s="74"/>
      <c r="P3104" s="74"/>
      <c r="Q3104" s="74"/>
      <c r="R3104" s="74"/>
      <c r="V3104" s="72"/>
    </row>
    <row r="3105" spans="15:22" x14ac:dyDescent="0.25">
      <c r="O3105" s="74"/>
      <c r="P3105" s="74"/>
      <c r="Q3105" s="74"/>
      <c r="R3105" s="74"/>
      <c r="V3105" s="72"/>
    </row>
    <row r="3106" spans="15:22" x14ac:dyDescent="0.25">
      <c r="O3106" s="74"/>
      <c r="P3106" s="74"/>
      <c r="Q3106" s="74"/>
      <c r="R3106" s="74"/>
      <c r="V3106" s="72"/>
    </row>
    <row r="3107" spans="15:22" x14ac:dyDescent="0.25">
      <c r="O3107" s="74"/>
      <c r="P3107" s="74"/>
      <c r="Q3107" s="74"/>
      <c r="R3107" s="74"/>
      <c r="V3107" s="72"/>
    </row>
    <row r="3108" spans="15:22" x14ac:dyDescent="0.25">
      <c r="O3108" s="74"/>
      <c r="P3108" s="74"/>
      <c r="Q3108" s="74"/>
      <c r="R3108" s="74"/>
      <c r="V3108" s="72"/>
    </row>
    <row r="3109" spans="15:22" x14ac:dyDescent="0.25">
      <c r="O3109" s="74"/>
      <c r="P3109" s="74"/>
      <c r="Q3109" s="74"/>
      <c r="R3109" s="74"/>
      <c r="V3109" s="72"/>
    </row>
    <row r="3110" spans="15:22" x14ac:dyDescent="0.25">
      <c r="O3110" s="74"/>
      <c r="P3110" s="74"/>
      <c r="Q3110" s="74"/>
      <c r="R3110" s="74"/>
      <c r="V3110" s="72"/>
    </row>
    <row r="3111" spans="15:22" x14ac:dyDescent="0.25">
      <c r="O3111" s="74"/>
      <c r="P3111" s="74"/>
      <c r="Q3111" s="74"/>
      <c r="R3111" s="74"/>
      <c r="V3111" s="72"/>
    </row>
    <row r="3112" spans="15:22" x14ac:dyDescent="0.25">
      <c r="O3112" s="74"/>
      <c r="P3112" s="74"/>
      <c r="Q3112" s="74"/>
      <c r="R3112" s="74"/>
      <c r="V3112" s="72"/>
    </row>
    <row r="3113" spans="15:22" x14ac:dyDescent="0.25">
      <c r="O3113" s="74"/>
      <c r="P3113" s="74"/>
      <c r="Q3113" s="74"/>
      <c r="R3113" s="74"/>
      <c r="V3113" s="72"/>
    </row>
    <row r="3114" spans="15:22" x14ac:dyDescent="0.25">
      <c r="O3114" s="74"/>
      <c r="P3114" s="74"/>
      <c r="Q3114" s="74"/>
      <c r="R3114" s="74"/>
      <c r="V3114" s="72"/>
    </row>
    <row r="3115" spans="15:22" x14ac:dyDescent="0.25">
      <c r="O3115" s="74"/>
      <c r="P3115" s="74"/>
      <c r="Q3115" s="74"/>
      <c r="R3115" s="74"/>
      <c r="V3115" s="72"/>
    </row>
    <row r="3116" spans="15:22" x14ac:dyDescent="0.25">
      <c r="O3116" s="74"/>
      <c r="P3116" s="74"/>
      <c r="Q3116" s="74"/>
      <c r="R3116" s="74"/>
      <c r="V3116" s="72"/>
    </row>
    <row r="3117" spans="15:22" x14ac:dyDescent="0.25">
      <c r="O3117" s="74"/>
      <c r="P3117" s="74"/>
      <c r="Q3117" s="74"/>
      <c r="R3117" s="74"/>
      <c r="V3117" s="72"/>
    </row>
    <row r="3118" spans="15:22" x14ac:dyDescent="0.25">
      <c r="O3118" s="74"/>
      <c r="P3118" s="74"/>
      <c r="Q3118" s="74"/>
      <c r="R3118" s="74"/>
      <c r="V3118" s="72"/>
    </row>
    <row r="3119" spans="15:22" x14ac:dyDescent="0.25">
      <c r="O3119" s="74"/>
      <c r="P3119" s="74"/>
      <c r="Q3119" s="74"/>
      <c r="R3119" s="74"/>
      <c r="V3119" s="72"/>
    </row>
    <row r="3120" spans="15:22" x14ac:dyDescent="0.25">
      <c r="O3120" s="74"/>
      <c r="P3120" s="74"/>
      <c r="Q3120" s="74"/>
      <c r="R3120" s="74"/>
      <c r="V3120" s="72"/>
    </row>
    <row r="3121" spans="15:22" x14ac:dyDescent="0.25">
      <c r="O3121" s="74"/>
      <c r="P3121" s="74"/>
      <c r="Q3121" s="74"/>
      <c r="R3121" s="74"/>
      <c r="V3121" s="72"/>
    </row>
    <row r="3122" spans="15:22" x14ac:dyDescent="0.25">
      <c r="O3122" s="74"/>
      <c r="P3122" s="74"/>
      <c r="Q3122" s="74"/>
      <c r="R3122" s="74"/>
      <c r="V3122" s="72"/>
    </row>
    <row r="3123" spans="15:22" x14ac:dyDescent="0.25">
      <c r="O3123" s="74"/>
      <c r="P3123" s="74"/>
      <c r="Q3123" s="74"/>
      <c r="R3123" s="74"/>
      <c r="V3123" s="72"/>
    </row>
    <row r="3124" spans="15:22" x14ac:dyDescent="0.25">
      <c r="O3124" s="74"/>
      <c r="P3124" s="74"/>
      <c r="Q3124" s="74"/>
      <c r="R3124" s="74"/>
      <c r="V3124" s="72"/>
    </row>
    <row r="3125" spans="15:22" x14ac:dyDescent="0.25">
      <c r="O3125" s="74"/>
      <c r="P3125" s="74"/>
      <c r="Q3125" s="74"/>
      <c r="R3125" s="74"/>
      <c r="V3125" s="72"/>
    </row>
    <row r="3126" spans="15:22" x14ac:dyDescent="0.25">
      <c r="O3126" s="74"/>
      <c r="P3126" s="74"/>
      <c r="Q3126" s="74"/>
      <c r="R3126" s="74"/>
      <c r="V3126" s="72"/>
    </row>
    <row r="3127" spans="15:22" x14ac:dyDescent="0.25">
      <c r="O3127" s="74"/>
      <c r="P3127" s="74"/>
      <c r="Q3127" s="74"/>
      <c r="R3127" s="74"/>
      <c r="V3127" s="72"/>
    </row>
    <row r="3128" spans="15:22" x14ac:dyDescent="0.25">
      <c r="O3128" s="74"/>
      <c r="P3128" s="74"/>
      <c r="Q3128" s="74"/>
      <c r="R3128" s="74"/>
      <c r="V3128" s="72"/>
    </row>
    <row r="3129" spans="15:22" x14ac:dyDescent="0.25">
      <c r="O3129" s="74"/>
      <c r="P3129" s="74"/>
      <c r="Q3129" s="74"/>
      <c r="R3129" s="74"/>
      <c r="V3129" s="72"/>
    </row>
    <row r="3130" spans="15:22" x14ac:dyDescent="0.25">
      <c r="O3130" s="74"/>
      <c r="P3130" s="74"/>
      <c r="Q3130" s="74"/>
      <c r="R3130" s="74"/>
      <c r="V3130" s="72"/>
    </row>
    <row r="3131" spans="15:22" x14ac:dyDescent="0.25">
      <c r="O3131" s="74"/>
      <c r="P3131" s="74"/>
      <c r="Q3131" s="74"/>
      <c r="R3131" s="74"/>
      <c r="V3131" s="72"/>
    </row>
    <row r="3132" spans="15:22" x14ac:dyDescent="0.25">
      <c r="O3132" s="74"/>
      <c r="P3132" s="74"/>
      <c r="Q3132" s="74"/>
      <c r="R3132" s="74"/>
      <c r="V3132" s="72"/>
    </row>
    <row r="3133" spans="15:22" x14ac:dyDescent="0.25">
      <c r="O3133" s="74"/>
      <c r="P3133" s="74"/>
      <c r="Q3133" s="74"/>
      <c r="R3133" s="74"/>
      <c r="V3133" s="72"/>
    </row>
    <row r="3134" spans="15:22" x14ac:dyDescent="0.25">
      <c r="O3134" s="74"/>
      <c r="P3134" s="74"/>
      <c r="Q3134" s="74"/>
      <c r="R3134" s="74"/>
      <c r="V3134" s="72"/>
    </row>
    <row r="3135" spans="15:22" x14ac:dyDescent="0.25">
      <c r="O3135" s="74"/>
      <c r="P3135" s="74"/>
      <c r="Q3135" s="74"/>
      <c r="R3135" s="74"/>
      <c r="V3135" s="72"/>
    </row>
    <row r="3136" spans="15:22" x14ac:dyDescent="0.25">
      <c r="O3136" s="74"/>
      <c r="P3136" s="74"/>
      <c r="Q3136" s="74"/>
      <c r="R3136" s="74"/>
      <c r="V3136" s="72"/>
    </row>
    <row r="3137" spans="15:22" x14ac:dyDescent="0.25">
      <c r="O3137" s="74"/>
      <c r="P3137" s="74"/>
      <c r="Q3137" s="74"/>
      <c r="R3137" s="74"/>
      <c r="V3137" s="72"/>
    </row>
    <row r="3138" spans="15:22" x14ac:dyDescent="0.25">
      <c r="O3138" s="74"/>
      <c r="P3138" s="74"/>
      <c r="Q3138" s="74"/>
      <c r="R3138" s="74"/>
      <c r="V3138" s="72"/>
    </row>
    <row r="3139" spans="15:22" x14ac:dyDescent="0.25">
      <c r="O3139" s="74"/>
      <c r="P3139" s="74"/>
      <c r="Q3139" s="74"/>
      <c r="R3139" s="74"/>
      <c r="V3139" s="72"/>
    </row>
    <row r="3140" spans="15:22" x14ac:dyDescent="0.25">
      <c r="O3140" s="74"/>
      <c r="P3140" s="74"/>
      <c r="Q3140" s="74"/>
      <c r="R3140" s="74"/>
      <c r="V3140" s="72"/>
    </row>
    <row r="3141" spans="15:22" x14ac:dyDescent="0.25">
      <c r="O3141" s="74"/>
      <c r="P3141" s="74"/>
      <c r="Q3141" s="74"/>
      <c r="R3141" s="74"/>
      <c r="V3141" s="72"/>
    </row>
    <row r="3142" spans="15:22" x14ac:dyDescent="0.25">
      <c r="O3142" s="74"/>
      <c r="P3142" s="74"/>
      <c r="Q3142" s="74"/>
      <c r="R3142" s="74"/>
      <c r="V3142" s="72"/>
    </row>
    <row r="3143" spans="15:22" x14ac:dyDescent="0.25">
      <c r="O3143" s="74"/>
      <c r="P3143" s="74"/>
      <c r="Q3143" s="74"/>
      <c r="R3143" s="74"/>
      <c r="V3143" s="72"/>
    </row>
    <row r="3144" spans="15:22" x14ac:dyDescent="0.25">
      <c r="O3144" s="74"/>
      <c r="P3144" s="74"/>
      <c r="Q3144" s="74"/>
      <c r="R3144" s="74"/>
      <c r="V3144" s="72"/>
    </row>
    <row r="3145" spans="15:22" x14ac:dyDescent="0.25">
      <c r="O3145" s="74"/>
      <c r="P3145" s="74"/>
      <c r="Q3145" s="74"/>
      <c r="R3145" s="74"/>
      <c r="V3145" s="72"/>
    </row>
    <row r="3146" spans="15:22" x14ac:dyDescent="0.25">
      <c r="O3146" s="74"/>
      <c r="P3146" s="74"/>
      <c r="Q3146" s="74"/>
      <c r="R3146" s="74"/>
      <c r="V3146" s="72"/>
    </row>
    <row r="3147" spans="15:22" x14ac:dyDescent="0.25">
      <c r="O3147" s="74"/>
      <c r="P3147" s="74"/>
      <c r="Q3147" s="74"/>
      <c r="R3147" s="74"/>
      <c r="V3147" s="72"/>
    </row>
    <row r="3148" spans="15:22" x14ac:dyDescent="0.25">
      <c r="O3148" s="74"/>
      <c r="P3148" s="74"/>
      <c r="Q3148" s="74"/>
      <c r="R3148" s="74"/>
      <c r="V3148" s="72"/>
    </row>
    <row r="3149" spans="15:22" x14ac:dyDescent="0.25">
      <c r="O3149" s="74"/>
      <c r="P3149" s="74"/>
      <c r="Q3149" s="74"/>
      <c r="R3149" s="74"/>
      <c r="V3149" s="72"/>
    </row>
    <row r="3150" spans="15:22" x14ac:dyDescent="0.25">
      <c r="O3150" s="74"/>
      <c r="P3150" s="74"/>
      <c r="Q3150" s="74"/>
      <c r="R3150" s="74"/>
      <c r="V3150" s="72"/>
    </row>
    <row r="3151" spans="15:22" x14ac:dyDescent="0.25">
      <c r="O3151" s="74"/>
      <c r="P3151" s="74"/>
      <c r="Q3151" s="74"/>
      <c r="R3151" s="74"/>
      <c r="V3151" s="72"/>
    </row>
    <row r="3152" spans="15:22" x14ac:dyDescent="0.25">
      <c r="O3152" s="74"/>
      <c r="P3152" s="74"/>
      <c r="Q3152" s="74"/>
      <c r="R3152" s="74"/>
      <c r="V3152" s="72"/>
    </row>
    <row r="3153" spans="15:22" x14ac:dyDescent="0.25">
      <c r="O3153" s="74"/>
      <c r="P3153" s="74"/>
      <c r="Q3153" s="74"/>
      <c r="R3153" s="74"/>
      <c r="V3153" s="72"/>
    </row>
    <row r="3154" spans="15:22" x14ac:dyDescent="0.25">
      <c r="O3154" s="74"/>
      <c r="P3154" s="74"/>
      <c r="Q3154" s="74"/>
      <c r="R3154" s="74"/>
      <c r="V3154" s="72"/>
    </row>
    <row r="3155" spans="15:22" x14ac:dyDescent="0.25">
      <c r="O3155" s="74"/>
      <c r="P3155" s="74"/>
      <c r="Q3155" s="74"/>
      <c r="R3155" s="74"/>
      <c r="V3155" s="72"/>
    </row>
    <row r="3156" spans="15:22" x14ac:dyDescent="0.25">
      <c r="O3156" s="74"/>
      <c r="P3156" s="74"/>
      <c r="Q3156" s="74"/>
      <c r="R3156" s="74"/>
      <c r="V3156" s="72"/>
    </row>
    <row r="3157" spans="15:22" x14ac:dyDescent="0.25">
      <c r="O3157" s="74"/>
      <c r="P3157" s="74"/>
      <c r="Q3157" s="74"/>
      <c r="R3157" s="74"/>
      <c r="V3157" s="72"/>
    </row>
    <row r="3158" spans="15:22" x14ac:dyDescent="0.25">
      <c r="O3158" s="74"/>
      <c r="P3158" s="74"/>
      <c r="Q3158" s="74"/>
      <c r="R3158" s="74"/>
      <c r="V3158" s="72"/>
    </row>
    <row r="3159" spans="15:22" x14ac:dyDescent="0.25">
      <c r="O3159" s="74"/>
      <c r="P3159" s="74"/>
      <c r="Q3159" s="74"/>
      <c r="R3159" s="74"/>
      <c r="V3159" s="72"/>
    </row>
    <row r="3160" spans="15:22" x14ac:dyDescent="0.25">
      <c r="O3160" s="74"/>
      <c r="P3160" s="74"/>
      <c r="Q3160" s="74"/>
      <c r="R3160" s="74"/>
      <c r="V3160" s="72"/>
    </row>
    <row r="3161" spans="15:22" x14ac:dyDescent="0.25">
      <c r="O3161" s="74"/>
      <c r="P3161" s="74"/>
      <c r="Q3161" s="74"/>
      <c r="R3161" s="74"/>
      <c r="V3161" s="72"/>
    </row>
    <row r="3162" spans="15:22" x14ac:dyDescent="0.25">
      <c r="O3162" s="74"/>
      <c r="P3162" s="74"/>
      <c r="Q3162" s="74"/>
      <c r="R3162" s="74"/>
      <c r="V3162" s="72"/>
    </row>
    <row r="3163" spans="15:22" x14ac:dyDescent="0.25">
      <c r="O3163" s="74"/>
      <c r="P3163" s="74"/>
      <c r="Q3163" s="74"/>
      <c r="R3163" s="74"/>
      <c r="V3163" s="72"/>
    </row>
    <row r="3164" spans="15:22" x14ac:dyDescent="0.25">
      <c r="O3164" s="74"/>
      <c r="P3164" s="74"/>
      <c r="Q3164" s="74"/>
      <c r="R3164" s="74"/>
      <c r="V3164" s="72"/>
    </row>
    <row r="3165" spans="15:22" x14ac:dyDescent="0.25">
      <c r="O3165" s="74"/>
      <c r="P3165" s="74"/>
      <c r="Q3165" s="74"/>
      <c r="R3165" s="74"/>
      <c r="V3165" s="72"/>
    </row>
    <row r="3166" spans="15:22" x14ac:dyDescent="0.25">
      <c r="O3166" s="74"/>
      <c r="P3166" s="74"/>
      <c r="Q3166" s="74"/>
      <c r="R3166" s="74"/>
      <c r="V3166" s="72"/>
    </row>
    <row r="3167" spans="15:22" x14ac:dyDescent="0.25">
      <c r="O3167" s="74"/>
      <c r="P3167" s="74"/>
      <c r="Q3167" s="74"/>
      <c r="R3167" s="74"/>
      <c r="V3167" s="72"/>
    </row>
    <row r="3168" spans="15:22" x14ac:dyDescent="0.25">
      <c r="O3168" s="74"/>
      <c r="P3168" s="74"/>
      <c r="Q3168" s="74"/>
      <c r="R3168" s="74"/>
      <c r="V3168" s="72"/>
    </row>
    <row r="3169" spans="15:22" x14ac:dyDescent="0.25">
      <c r="O3169" s="74"/>
      <c r="P3169" s="74"/>
      <c r="Q3169" s="74"/>
      <c r="R3169" s="74"/>
      <c r="V3169" s="72"/>
    </row>
    <row r="3170" spans="15:22" x14ac:dyDescent="0.25">
      <c r="O3170" s="74"/>
      <c r="P3170" s="74"/>
      <c r="Q3170" s="74"/>
      <c r="R3170" s="74"/>
      <c r="V3170" s="72"/>
    </row>
    <row r="3171" spans="15:22" x14ac:dyDescent="0.25">
      <c r="O3171" s="74"/>
      <c r="P3171" s="74"/>
      <c r="Q3171" s="74"/>
      <c r="R3171" s="74"/>
      <c r="V3171" s="72"/>
    </row>
    <row r="3172" spans="15:22" x14ac:dyDescent="0.25">
      <c r="O3172" s="74"/>
      <c r="P3172" s="74"/>
      <c r="Q3172" s="74"/>
      <c r="R3172" s="74"/>
      <c r="V3172" s="72"/>
    </row>
    <row r="3173" spans="15:22" x14ac:dyDescent="0.25">
      <c r="O3173" s="74"/>
      <c r="P3173" s="74"/>
      <c r="Q3173" s="74"/>
      <c r="R3173" s="74"/>
      <c r="V3173" s="72"/>
    </row>
    <row r="3174" spans="15:22" x14ac:dyDescent="0.25">
      <c r="O3174" s="74"/>
      <c r="P3174" s="74"/>
      <c r="Q3174" s="74"/>
      <c r="R3174" s="74"/>
      <c r="V3174" s="72"/>
    </row>
    <row r="3175" spans="15:22" x14ac:dyDescent="0.25">
      <c r="O3175" s="74"/>
      <c r="P3175" s="74"/>
      <c r="Q3175" s="74"/>
      <c r="R3175" s="74"/>
      <c r="V3175" s="72"/>
    </row>
    <row r="3176" spans="15:22" x14ac:dyDescent="0.25">
      <c r="O3176" s="74"/>
      <c r="P3176" s="74"/>
      <c r="Q3176" s="74"/>
      <c r="R3176" s="74"/>
      <c r="V3176" s="72"/>
    </row>
    <row r="3177" spans="15:22" x14ac:dyDescent="0.25">
      <c r="O3177" s="74"/>
      <c r="P3177" s="74"/>
      <c r="Q3177" s="74"/>
      <c r="R3177" s="74"/>
      <c r="V3177" s="72"/>
    </row>
    <row r="3178" spans="15:22" x14ac:dyDescent="0.25">
      <c r="O3178" s="74"/>
      <c r="P3178" s="74"/>
      <c r="Q3178" s="74"/>
      <c r="R3178" s="74"/>
      <c r="V3178" s="72"/>
    </row>
    <row r="3179" spans="15:22" x14ac:dyDescent="0.25">
      <c r="O3179" s="74"/>
      <c r="P3179" s="74"/>
      <c r="Q3179" s="74"/>
      <c r="R3179" s="74"/>
      <c r="V3179" s="72"/>
    </row>
    <row r="3180" spans="15:22" x14ac:dyDescent="0.25">
      <c r="O3180" s="74"/>
      <c r="P3180" s="74"/>
      <c r="Q3180" s="74"/>
      <c r="R3180" s="74"/>
      <c r="V3180" s="72"/>
    </row>
    <row r="3181" spans="15:22" x14ac:dyDescent="0.25">
      <c r="O3181" s="74"/>
      <c r="P3181" s="74"/>
      <c r="Q3181" s="74"/>
      <c r="R3181" s="74"/>
      <c r="V3181" s="72"/>
    </row>
    <row r="3182" spans="15:22" x14ac:dyDescent="0.25">
      <c r="O3182" s="74"/>
      <c r="P3182" s="74"/>
      <c r="Q3182" s="74"/>
      <c r="R3182" s="74"/>
      <c r="V3182" s="72"/>
    </row>
    <row r="3183" spans="15:22" x14ac:dyDescent="0.25">
      <c r="O3183" s="74"/>
      <c r="P3183" s="74"/>
      <c r="Q3183" s="74"/>
      <c r="R3183" s="74"/>
      <c r="V3183" s="72"/>
    </row>
    <row r="3184" spans="15:22" x14ac:dyDescent="0.25">
      <c r="O3184" s="74"/>
      <c r="P3184" s="74"/>
      <c r="Q3184" s="74"/>
      <c r="R3184" s="74"/>
      <c r="V3184" s="72"/>
    </row>
    <row r="3185" spans="15:22" x14ac:dyDescent="0.25">
      <c r="O3185" s="74"/>
      <c r="P3185" s="74"/>
      <c r="Q3185" s="74"/>
      <c r="R3185" s="74"/>
      <c r="V3185" s="72"/>
    </row>
    <row r="3186" spans="15:22" x14ac:dyDescent="0.25">
      <c r="O3186" s="74"/>
      <c r="P3186" s="74"/>
      <c r="Q3186" s="74"/>
      <c r="R3186" s="74"/>
      <c r="V3186" s="72"/>
    </row>
    <row r="3187" spans="15:22" x14ac:dyDescent="0.25">
      <c r="O3187" s="74"/>
      <c r="P3187" s="74"/>
      <c r="Q3187" s="74"/>
      <c r="R3187" s="74"/>
      <c r="V3187" s="72"/>
    </row>
    <row r="3188" spans="15:22" x14ac:dyDescent="0.25">
      <c r="O3188" s="74"/>
      <c r="P3188" s="74"/>
      <c r="Q3188" s="74"/>
      <c r="R3188" s="74"/>
      <c r="V3188" s="72"/>
    </row>
    <row r="3189" spans="15:22" x14ac:dyDescent="0.25">
      <c r="O3189" s="74"/>
      <c r="P3189" s="74"/>
      <c r="Q3189" s="74"/>
      <c r="R3189" s="74"/>
      <c r="V3189" s="72"/>
    </row>
    <row r="3190" spans="15:22" x14ac:dyDescent="0.25">
      <c r="O3190" s="74"/>
      <c r="P3190" s="74"/>
      <c r="Q3190" s="74"/>
      <c r="R3190" s="74"/>
      <c r="V3190" s="72"/>
    </row>
    <row r="3191" spans="15:22" x14ac:dyDescent="0.25">
      <c r="O3191" s="74"/>
      <c r="P3191" s="74"/>
      <c r="Q3191" s="74"/>
      <c r="R3191" s="74"/>
      <c r="V3191" s="72"/>
    </row>
    <row r="3192" spans="15:22" x14ac:dyDescent="0.25">
      <c r="O3192" s="74"/>
      <c r="P3192" s="74"/>
      <c r="Q3192" s="74"/>
      <c r="R3192" s="74"/>
      <c r="V3192" s="72"/>
    </row>
    <row r="3193" spans="15:22" x14ac:dyDescent="0.25">
      <c r="O3193" s="74"/>
      <c r="P3193" s="74"/>
      <c r="Q3193" s="74"/>
      <c r="R3193" s="74"/>
      <c r="V3193" s="72"/>
    </row>
    <row r="3194" spans="15:22" x14ac:dyDescent="0.25">
      <c r="O3194" s="74"/>
      <c r="P3194" s="74"/>
      <c r="Q3194" s="74"/>
      <c r="R3194" s="74"/>
      <c r="V3194" s="72"/>
    </row>
    <row r="3195" spans="15:22" x14ac:dyDescent="0.25">
      <c r="O3195" s="74"/>
      <c r="P3195" s="74"/>
      <c r="Q3195" s="74"/>
      <c r="R3195" s="74"/>
      <c r="V3195" s="72"/>
    </row>
    <row r="3196" spans="15:22" x14ac:dyDescent="0.25">
      <c r="O3196" s="74"/>
      <c r="P3196" s="74"/>
      <c r="Q3196" s="74"/>
      <c r="R3196" s="74"/>
      <c r="V3196" s="72"/>
    </row>
    <row r="3197" spans="15:22" x14ac:dyDescent="0.25">
      <c r="O3197" s="74"/>
      <c r="P3197" s="74"/>
      <c r="Q3197" s="74"/>
      <c r="R3197" s="74"/>
      <c r="V3197" s="72"/>
    </row>
    <row r="3198" spans="15:22" x14ac:dyDescent="0.25">
      <c r="O3198" s="74"/>
      <c r="P3198" s="74"/>
      <c r="Q3198" s="74"/>
      <c r="R3198" s="74"/>
      <c r="V3198" s="72"/>
    </row>
    <row r="3199" spans="15:22" x14ac:dyDescent="0.25">
      <c r="O3199" s="74"/>
      <c r="P3199" s="74"/>
      <c r="Q3199" s="74"/>
      <c r="R3199" s="74"/>
      <c r="V3199" s="72"/>
    </row>
    <row r="3200" spans="15:22" x14ac:dyDescent="0.25">
      <c r="O3200" s="74"/>
      <c r="P3200" s="74"/>
      <c r="Q3200" s="74"/>
      <c r="R3200" s="74"/>
      <c r="V3200" s="72"/>
    </row>
    <row r="3201" spans="15:22" x14ac:dyDescent="0.25">
      <c r="O3201" s="74"/>
      <c r="P3201" s="74"/>
      <c r="Q3201" s="74"/>
      <c r="R3201" s="74"/>
      <c r="V3201" s="72"/>
    </row>
    <row r="3202" spans="15:22" x14ac:dyDescent="0.25">
      <c r="O3202" s="74"/>
      <c r="P3202" s="74"/>
      <c r="Q3202" s="74"/>
      <c r="R3202" s="74"/>
      <c r="V3202" s="72"/>
    </row>
    <row r="3203" spans="15:22" x14ac:dyDescent="0.25">
      <c r="O3203" s="74"/>
      <c r="P3203" s="74"/>
      <c r="Q3203" s="74"/>
      <c r="R3203" s="74"/>
      <c r="V3203" s="72"/>
    </row>
    <row r="3204" spans="15:22" x14ac:dyDescent="0.25">
      <c r="O3204" s="74"/>
      <c r="P3204" s="74"/>
      <c r="Q3204" s="74"/>
      <c r="R3204" s="74"/>
      <c r="V3204" s="72"/>
    </row>
    <row r="3205" spans="15:22" x14ac:dyDescent="0.25">
      <c r="O3205" s="74"/>
      <c r="P3205" s="74"/>
      <c r="Q3205" s="74"/>
      <c r="R3205" s="74"/>
      <c r="V3205" s="72"/>
    </row>
    <row r="3206" spans="15:22" x14ac:dyDescent="0.25">
      <c r="O3206" s="74"/>
      <c r="P3206" s="74"/>
      <c r="Q3206" s="74"/>
      <c r="R3206" s="74"/>
      <c r="V3206" s="72"/>
    </row>
    <row r="3207" spans="15:22" x14ac:dyDescent="0.25">
      <c r="O3207" s="74"/>
      <c r="P3207" s="74"/>
      <c r="Q3207" s="74"/>
      <c r="R3207" s="74"/>
      <c r="V3207" s="72"/>
    </row>
    <row r="3208" spans="15:22" x14ac:dyDescent="0.25">
      <c r="O3208" s="74"/>
      <c r="P3208" s="74"/>
      <c r="Q3208" s="74"/>
      <c r="R3208" s="74"/>
      <c r="V3208" s="72"/>
    </row>
    <row r="3209" spans="15:22" x14ac:dyDescent="0.25">
      <c r="O3209" s="74"/>
      <c r="P3209" s="74"/>
      <c r="Q3209" s="74"/>
      <c r="R3209" s="74"/>
      <c r="V3209" s="72"/>
    </row>
    <row r="3210" spans="15:22" x14ac:dyDescent="0.25">
      <c r="O3210" s="74"/>
      <c r="P3210" s="74"/>
      <c r="Q3210" s="74"/>
      <c r="R3210" s="74"/>
      <c r="V3210" s="72"/>
    </row>
    <row r="3211" spans="15:22" x14ac:dyDescent="0.25">
      <c r="O3211" s="74"/>
      <c r="P3211" s="74"/>
      <c r="Q3211" s="74"/>
      <c r="R3211" s="74"/>
      <c r="V3211" s="72"/>
    </row>
    <row r="3212" spans="15:22" x14ac:dyDescent="0.25">
      <c r="O3212" s="74"/>
      <c r="P3212" s="74"/>
      <c r="Q3212" s="74"/>
      <c r="R3212" s="74"/>
      <c r="V3212" s="72"/>
    </row>
    <row r="3213" spans="15:22" x14ac:dyDescent="0.25">
      <c r="O3213" s="74"/>
      <c r="P3213" s="74"/>
      <c r="Q3213" s="74"/>
      <c r="R3213" s="74"/>
      <c r="V3213" s="72"/>
    </row>
    <row r="3214" spans="15:22" x14ac:dyDescent="0.25">
      <c r="O3214" s="74"/>
      <c r="P3214" s="74"/>
      <c r="Q3214" s="74"/>
      <c r="R3214" s="74"/>
      <c r="V3214" s="72"/>
    </row>
    <row r="3215" spans="15:22" x14ac:dyDescent="0.25">
      <c r="O3215" s="74"/>
      <c r="P3215" s="74"/>
      <c r="Q3215" s="74"/>
      <c r="R3215" s="74"/>
      <c r="V3215" s="72"/>
    </row>
    <row r="3216" spans="15:22" x14ac:dyDescent="0.25">
      <c r="O3216" s="74"/>
      <c r="P3216" s="74"/>
      <c r="Q3216" s="74"/>
      <c r="R3216" s="74"/>
      <c r="V3216" s="72"/>
    </row>
    <row r="3217" spans="15:22" x14ac:dyDescent="0.25">
      <c r="O3217" s="74"/>
      <c r="P3217" s="74"/>
      <c r="Q3217" s="74"/>
      <c r="R3217" s="74"/>
      <c r="V3217" s="72"/>
    </row>
    <row r="3218" spans="15:22" x14ac:dyDescent="0.25">
      <c r="O3218" s="74"/>
      <c r="P3218" s="74"/>
      <c r="Q3218" s="74"/>
      <c r="R3218" s="74"/>
      <c r="V3218" s="72"/>
    </row>
    <row r="3219" spans="15:22" x14ac:dyDescent="0.25">
      <c r="O3219" s="74"/>
      <c r="P3219" s="74"/>
      <c r="Q3219" s="74"/>
      <c r="R3219" s="74"/>
      <c r="V3219" s="72"/>
    </row>
    <row r="3220" spans="15:22" x14ac:dyDescent="0.25">
      <c r="O3220" s="74"/>
      <c r="P3220" s="74"/>
      <c r="Q3220" s="74"/>
      <c r="R3220" s="74"/>
      <c r="V3220" s="72"/>
    </row>
    <row r="3221" spans="15:22" x14ac:dyDescent="0.25">
      <c r="O3221" s="74"/>
      <c r="P3221" s="74"/>
      <c r="Q3221" s="74"/>
      <c r="R3221" s="74"/>
      <c r="V3221" s="72"/>
    </row>
    <row r="3222" spans="15:22" x14ac:dyDescent="0.25">
      <c r="O3222" s="74"/>
      <c r="P3222" s="74"/>
      <c r="Q3222" s="74"/>
      <c r="R3222" s="74"/>
      <c r="V3222" s="72"/>
    </row>
    <row r="3223" spans="15:22" x14ac:dyDescent="0.25">
      <c r="O3223" s="74"/>
      <c r="P3223" s="74"/>
      <c r="Q3223" s="74"/>
      <c r="R3223" s="74"/>
      <c r="V3223" s="72"/>
    </row>
    <row r="3224" spans="15:22" x14ac:dyDescent="0.25">
      <c r="O3224" s="74"/>
      <c r="P3224" s="74"/>
      <c r="Q3224" s="74"/>
      <c r="R3224" s="74"/>
      <c r="V3224" s="72"/>
    </row>
    <row r="3225" spans="15:22" x14ac:dyDescent="0.25">
      <c r="O3225" s="74"/>
      <c r="P3225" s="74"/>
      <c r="Q3225" s="74"/>
      <c r="R3225" s="74"/>
      <c r="V3225" s="72"/>
    </row>
    <row r="3226" spans="15:22" x14ac:dyDescent="0.25">
      <c r="O3226" s="74"/>
      <c r="P3226" s="74"/>
      <c r="Q3226" s="74"/>
      <c r="R3226" s="74"/>
      <c r="V3226" s="72"/>
    </row>
    <row r="3227" spans="15:22" x14ac:dyDescent="0.25">
      <c r="O3227" s="74"/>
      <c r="P3227" s="74"/>
      <c r="Q3227" s="74"/>
      <c r="R3227" s="74"/>
      <c r="V3227" s="72"/>
    </row>
    <row r="3228" spans="15:22" x14ac:dyDescent="0.25">
      <c r="O3228" s="74"/>
      <c r="P3228" s="74"/>
      <c r="Q3228" s="74"/>
      <c r="R3228" s="74"/>
      <c r="V3228" s="72"/>
    </row>
    <row r="3229" spans="15:22" x14ac:dyDescent="0.25">
      <c r="O3229" s="74"/>
      <c r="P3229" s="74"/>
      <c r="Q3229" s="74"/>
      <c r="R3229" s="74"/>
      <c r="V3229" s="72"/>
    </row>
    <row r="3230" spans="15:22" x14ac:dyDescent="0.25">
      <c r="O3230" s="74"/>
      <c r="P3230" s="74"/>
      <c r="Q3230" s="74"/>
      <c r="R3230" s="74"/>
      <c r="V3230" s="72"/>
    </row>
    <row r="3231" spans="15:22" x14ac:dyDescent="0.25">
      <c r="O3231" s="74"/>
      <c r="P3231" s="74"/>
      <c r="Q3231" s="74"/>
      <c r="R3231" s="74"/>
      <c r="V3231" s="72"/>
    </row>
    <row r="3232" spans="15:22" x14ac:dyDescent="0.25">
      <c r="O3232" s="74"/>
      <c r="P3232" s="74"/>
      <c r="Q3232" s="74"/>
      <c r="R3232" s="74"/>
      <c r="V3232" s="72"/>
    </row>
    <row r="3233" spans="15:22" x14ac:dyDescent="0.25">
      <c r="O3233" s="74"/>
      <c r="P3233" s="74"/>
      <c r="Q3233" s="74"/>
      <c r="R3233" s="74"/>
      <c r="V3233" s="72"/>
    </row>
    <row r="3234" spans="15:22" x14ac:dyDescent="0.25">
      <c r="O3234" s="74"/>
      <c r="P3234" s="74"/>
      <c r="Q3234" s="74"/>
      <c r="R3234" s="74"/>
      <c r="V3234" s="72"/>
    </row>
    <row r="3235" spans="15:22" x14ac:dyDescent="0.25">
      <c r="O3235" s="74"/>
      <c r="P3235" s="74"/>
      <c r="Q3235" s="74"/>
      <c r="R3235" s="74"/>
      <c r="V3235" s="72"/>
    </row>
    <row r="3236" spans="15:22" x14ac:dyDescent="0.25">
      <c r="O3236" s="74"/>
      <c r="P3236" s="74"/>
      <c r="Q3236" s="74"/>
      <c r="R3236" s="74"/>
      <c r="V3236" s="72"/>
    </row>
    <row r="3237" spans="15:22" x14ac:dyDescent="0.25">
      <c r="O3237" s="74"/>
      <c r="P3237" s="74"/>
      <c r="Q3237" s="74"/>
      <c r="R3237" s="74"/>
      <c r="V3237" s="72"/>
    </row>
    <row r="3238" spans="15:22" x14ac:dyDescent="0.25">
      <c r="O3238" s="74"/>
      <c r="P3238" s="74"/>
      <c r="Q3238" s="74"/>
      <c r="R3238" s="74"/>
      <c r="V3238" s="72"/>
    </row>
    <row r="3239" spans="15:22" x14ac:dyDescent="0.25">
      <c r="O3239" s="74"/>
      <c r="P3239" s="74"/>
      <c r="Q3239" s="74"/>
      <c r="R3239" s="74"/>
      <c r="V3239" s="72"/>
    </row>
    <row r="3240" spans="15:22" x14ac:dyDescent="0.25">
      <c r="O3240" s="74"/>
      <c r="P3240" s="74"/>
      <c r="Q3240" s="74"/>
      <c r="R3240" s="74"/>
      <c r="V3240" s="72"/>
    </row>
    <row r="3241" spans="15:22" x14ac:dyDescent="0.25">
      <c r="O3241" s="74"/>
      <c r="P3241" s="74"/>
      <c r="Q3241" s="74"/>
      <c r="R3241" s="74"/>
      <c r="V3241" s="72"/>
    </row>
    <row r="3242" spans="15:22" x14ac:dyDescent="0.25">
      <c r="O3242" s="74"/>
      <c r="P3242" s="74"/>
      <c r="Q3242" s="74"/>
      <c r="R3242" s="74"/>
      <c r="V3242" s="72"/>
    </row>
    <row r="3243" spans="15:22" x14ac:dyDescent="0.25">
      <c r="O3243" s="74"/>
      <c r="P3243" s="74"/>
      <c r="Q3243" s="74"/>
      <c r="R3243" s="74"/>
      <c r="V3243" s="72"/>
    </row>
    <row r="3244" spans="15:22" x14ac:dyDescent="0.25">
      <c r="O3244" s="74"/>
      <c r="P3244" s="74"/>
      <c r="Q3244" s="74"/>
      <c r="R3244" s="74"/>
      <c r="V3244" s="72"/>
    </row>
    <row r="3245" spans="15:22" x14ac:dyDescent="0.25">
      <c r="O3245" s="74"/>
      <c r="P3245" s="74"/>
      <c r="Q3245" s="74"/>
      <c r="R3245" s="74"/>
      <c r="V3245" s="72"/>
    </row>
    <row r="3246" spans="15:22" x14ac:dyDescent="0.25">
      <c r="O3246" s="74"/>
      <c r="P3246" s="74"/>
      <c r="Q3246" s="74"/>
      <c r="R3246" s="74"/>
      <c r="V3246" s="72"/>
    </row>
    <row r="3247" spans="15:22" x14ac:dyDescent="0.25">
      <c r="O3247" s="74"/>
      <c r="P3247" s="74"/>
      <c r="Q3247" s="74"/>
      <c r="R3247" s="74"/>
      <c r="V3247" s="72"/>
    </row>
    <row r="3248" spans="15:22" x14ac:dyDescent="0.25">
      <c r="O3248" s="74"/>
      <c r="P3248" s="74"/>
      <c r="Q3248" s="74"/>
      <c r="R3248" s="74"/>
      <c r="V3248" s="72"/>
    </row>
    <row r="3249" spans="15:22" x14ac:dyDescent="0.25">
      <c r="O3249" s="74"/>
      <c r="P3249" s="74"/>
      <c r="Q3249" s="74"/>
      <c r="R3249" s="74"/>
      <c r="V3249" s="72"/>
    </row>
    <row r="3250" spans="15:22" x14ac:dyDescent="0.25">
      <c r="O3250" s="74"/>
      <c r="P3250" s="74"/>
      <c r="Q3250" s="74"/>
      <c r="R3250" s="74"/>
      <c r="V3250" s="72"/>
    </row>
    <row r="3251" spans="15:22" x14ac:dyDescent="0.25">
      <c r="O3251" s="74"/>
      <c r="P3251" s="74"/>
      <c r="Q3251" s="74"/>
      <c r="R3251" s="74"/>
      <c r="V3251" s="72"/>
    </row>
    <row r="3252" spans="15:22" x14ac:dyDescent="0.25">
      <c r="O3252" s="74"/>
      <c r="P3252" s="74"/>
      <c r="Q3252" s="74"/>
      <c r="R3252" s="74"/>
      <c r="V3252" s="72"/>
    </row>
    <row r="3253" spans="15:22" x14ac:dyDescent="0.25">
      <c r="O3253" s="74"/>
      <c r="P3253" s="74"/>
      <c r="Q3253" s="74"/>
      <c r="R3253" s="74"/>
      <c r="V3253" s="72"/>
    </row>
    <row r="3254" spans="15:22" x14ac:dyDescent="0.25">
      <c r="O3254" s="74"/>
      <c r="P3254" s="74"/>
      <c r="Q3254" s="74"/>
      <c r="R3254" s="74"/>
      <c r="V3254" s="72"/>
    </row>
    <row r="3255" spans="15:22" x14ac:dyDescent="0.25">
      <c r="O3255" s="74"/>
      <c r="P3255" s="74"/>
      <c r="Q3255" s="74"/>
      <c r="R3255" s="74"/>
      <c r="V3255" s="72"/>
    </row>
    <row r="3256" spans="15:22" x14ac:dyDescent="0.25">
      <c r="O3256" s="74"/>
      <c r="P3256" s="74"/>
      <c r="Q3256" s="74"/>
      <c r="R3256" s="74"/>
      <c r="V3256" s="72"/>
    </row>
    <row r="3257" spans="15:22" x14ac:dyDescent="0.25">
      <c r="O3257" s="74"/>
      <c r="P3257" s="74"/>
      <c r="Q3257" s="74"/>
      <c r="R3257" s="74"/>
      <c r="V3257" s="72"/>
    </row>
    <row r="3258" spans="15:22" x14ac:dyDescent="0.25">
      <c r="O3258" s="74"/>
      <c r="P3258" s="74"/>
      <c r="Q3258" s="74"/>
      <c r="R3258" s="74"/>
      <c r="V3258" s="72"/>
    </row>
    <row r="3259" spans="15:22" x14ac:dyDescent="0.25">
      <c r="O3259" s="74"/>
      <c r="P3259" s="74"/>
      <c r="Q3259" s="74"/>
      <c r="R3259" s="74"/>
      <c r="V3259" s="72"/>
    </row>
    <row r="3260" spans="15:22" x14ac:dyDescent="0.25">
      <c r="O3260" s="74"/>
      <c r="P3260" s="74"/>
      <c r="Q3260" s="74"/>
      <c r="R3260" s="74"/>
      <c r="V3260" s="72"/>
    </row>
    <row r="3261" spans="15:22" x14ac:dyDescent="0.25">
      <c r="O3261" s="74"/>
      <c r="P3261" s="74"/>
      <c r="Q3261" s="74"/>
      <c r="R3261" s="74"/>
      <c r="V3261" s="72"/>
    </row>
    <row r="3262" spans="15:22" x14ac:dyDescent="0.25">
      <c r="O3262" s="74"/>
      <c r="P3262" s="74"/>
      <c r="Q3262" s="74"/>
      <c r="R3262" s="74"/>
      <c r="V3262" s="72"/>
    </row>
    <row r="3263" spans="15:22" x14ac:dyDescent="0.25">
      <c r="O3263" s="74"/>
      <c r="P3263" s="74"/>
      <c r="Q3263" s="74"/>
      <c r="R3263" s="74"/>
      <c r="V3263" s="72"/>
    </row>
    <row r="3264" spans="15:22" x14ac:dyDescent="0.25">
      <c r="O3264" s="74"/>
      <c r="P3264" s="74"/>
      <c r="Q3264" s="74"/>
      <c r="R3264" s="74"/>
      <c r="V3264" s="72"/>
    </row>
    <row r="3265" spans="15:22" x14ac:dyDescent="0.25">
      <c r="O3265" s="74"/>
      <c r="P3265" s="74"/>
      <c r="Q3265" s="74"/>
      <c r="R3265" s="74"/>
      <c r="V3265" s="72"/>
    </row>
    <row r="3266" spans="15:22" x14ac:dyDescent="0.25">
      <c r="O3266" s="74"/>
      <c r="P3266" s="74"/>
      <c r="Q3266" s="74"/>
      <c r="R3266" s="74"/>
      <c r="V3266" s="72"/>
    </row>
    <row r="3267" spans="15:22" x14ac:dyDescent="0.25">
      <c r="O3267" s="74"/>
      <c r="P3267" s="74"/>
      <c r="Q3267" s="74"/>
      <c r="R3267" s="74"/>
      <c r="V3267" s="72"/>
    </row>
    <row r="3268" spans="15:22" x14ac:dyDescent="0.25">
      <c r="O3268" s="74"/>
      <c r="P3268" s="74"/>
      <c r="Q3268" s="74"/>
      <c r="R3268" s="74"/>
      <c r="V3268" s="72"/>
    </row>
    <row r="3269" spans="15:22" x14ac:dyDescent="0.25">
      <c r="O3269" s="74"/>
      <c r="P3269" s="74"/>
      <c r="Q3269" s="74"/>
      <c r="R3269" s="74"/>
      <c r="V3269" s="72"/>
    </row>
    <row r="3270" spans="15:22" x14ac:dyDescent="0.25">
      <c r="O3270" s="74"/>
      <c r="P3270" s="74"/>
      <c r="Q3270" s="74"/>
      <c r="R3270" s="74"/>
      <c r="V3270" s="72"/>
    </row>
    <row r="3271" spans="15:22" x14ac:dyDescent="0.25">
      <c r="O3271" s="74"/>
      <c r="P3271" s="74"/>
      <c r="Q3271" s="74"/>
      <c r="R3271" s="74"/>
      <c r="V3271" s="72"/>
    </row>
    <row r="3272" spans="15:22" x14ac:dyDescent="0.25">
      <c r="O3272" s="74"/>
      <c r="P3272" s="74"/>
      <c r="Q3272" s="74"/>
      <c r="R3272" s="74"/>
      <c r="V3272" s="72"/>
    </row>
    <row r="3273" spans="15:22" x14ac:dyDescent="0.25">
      <c r="O3273" s="74"/>
      <c r="P3273" s="74"/>
      <c r="Q3273" s="74"/>
      <c r="R3273" s="74"/>
      <c r="V3273" s="72"/>
    </row>
    <row r="3274" spans="15:22" x14ac:dyDescent="0.25">
      <c r="O3274" s="74"/>
      <c r="P3274" s="74"/>
      <c r="Q3274" s="74"/>
      <c r="R3274" s="74"/>
      <c r="V3274" s="72"/>
    </row>
    <row r="3275" spans="15:22" x14ac:dyDescent="0.25">
      <c r="O3275" s="74"/>
      <c r="P3275" s="74"/>
      <c r="Q3275" s="74"/>
      <c r="R3275" s="74"/>
      <c r="V3275" s="72"/>
    </row>
    <row r="3276" spans="15:22" x14ac:dyDescent="0.25">
      <c r="O3276" s="74"/>
      <c r="P3276" s="74"/>
      <c r="Q3276" s="74"/>
      <c r="R3276" s="74"/>
      <c r="V3276" s="72"/>
    </row>
    <row r="3277" spans="15:22" x14ac:dyDescent="0.25">
      <c r="O3277" s="74"/>
      <c r="P3277" s="74"/>
      <c r="Q3277" s="74"/>
      <c r="R3277" s="74"/>
      <c r="V3277" s="72"/>
    </row>
    <row r="3278" spans="15:22" x14ac:dyDescent="0.25">
      <c r="O3278" s="74"/>
      <c r="P3278" s="74"/>
      <c r="Q3278" s="74"/>
      <c r="R3278" s="74"/>
      <c r="V3278" s="72"/>
    </row>
    <row r="3279" spans="15:22" x14ac:dyDescent="0.25">
      <c r="O3279" s="74"/>
      <c r="P3279" s="74"/>
      <c r="Q3279" s="74"/>
      <c r="R3279" s="74"/>
      <c r="V3279" s="72"/>
    </row>
    <row r="3280" spans="15:22" x14ac:dyDescent="0.25">
      <c r="O3280" s="74"/>
      <c r="P3280" s="74"/>
      <c r="Q3280" s="74"/>
      <c r="R3280" s="74"/>
      <c r="V3280" s="72"/>
    </row>
    <row r="3281" spans="15:22" x14ac:dyDescent="0.25">
      <c r="O3281" s="74"/>
      <c r="P3281" s="74"/>
      <c r="Q3281" s="74"/>
      <c r="R3281" s="74"/>
      <c r="V3281" s="72"/>
    </row>
    <row r="3282" spans="15:22" x14ac:dyDescent="0.25">
      <c r="O3282" s="74"/>
      <c r="P3282" s="74"/>
      <c r="Q3282" s="74"/>
      <c r="R3282" s="74"/>
      <c r="V3282" s="72"/>
    </row>
    <row r="3283" spans="15:22" x14ac:dyDescent="0.25">
      <c r="O3283" s="74"/>
      <c r="P3283" s="74"/>
      <c r="Q3283" s="74"/>
      <c r="R3283" s="74"/>
      <c r="V3283" s="72"/>
    </row>
    <row r="3284" spans="15:22" x14ac:dyDescent="0.25">
      <c r="O3284" s="74"/>
      <c r="P3284" s="74"/>
      <c r="Q3284" s="74"/>
      <c r="R3284" s="74"/>
      <c r="V3284" s="72"/>
    </row>
    <row r="3285" spans="15:22" x14ac:dyDescent="0.25">
      <c r="O3285" s="74"/>
      <c r="P3285" s="74"/>
      <c r="Q3285" s="74"/>
      <c r="R3285" s="74"/>
      <c r="V3285" s="72"/>
    </row>
    <row r="3286" spans="15:22" x14ac:dyDescent="0.25">
      <c r="O3286" s="74"/>
      <c r="P3286" s="74"/>
      <c r="Q3286" s="74"/>
      <c r="R3286" s="74"/>
      <c r="V3286" s="72"/>
    </row>
    <row r="3287" spans="15:22" x14ac:dyDescent="0.25">
      <c r="O3287" s="74"/>
      <c r="P3287" s="74"/>
      <c r="Q3287" s="74"/>
      <c r="R3287" s="74"/>
      <c r="V3287" s="72"/>
    </row>
    <row r="3288" spans="15:22" x14ac:dyDescent="0.25">
      <c r="O3288" s="74"/>
      <c r="P3288" s="74"/>
      <c r="Q3288" s="74"/>
      <c r="R3288" s="74"/>
      <c r="V3288" s="72"/>
    </row>
    <row r="3289" spans="15:22" x14ac:dyDescent="0.25">
      <c r="O3289" s="74"/>
      <c r="P3289" s="74"/>
      <c r="Q3289" s="74"/>
      <c r="R3289" s="74"/>
      <c r="V3289" s="72"/>
    </row>
    <row r="3290" spans="15:22" x14ac:dyDescent="0.25">
      <c r="O3290" s="74"/>
      <c r="P3290" s="74"/>
      <c r="Q3290" s="74"/>
      <c r="R3290" s="74"/>
      <c r="V3290" s="72"/>
    </row>
    <row r="3291" spans="15:22" x14ac:dyDescent="0.25">
      <c r="O3291" s="74"/>
      <c r="P3291" s="74"/>
      <c r="Q3291" s="74"/>
      <c r="R3291" s="74"/>
      <c r="V3291" s="72"/>
    </row>
    <row r="3292" spans="15:22" x14ac:dyDescent="0.25">
      <c r="O3292" s="74"/>
      <c r="P3292" s="74"/>
      <c r="Q3292" s="74"/>
      <c r="R3292" s="74"/>
      <c r="V3292" s="72"/>
    </row>
    <row r="3293" spans="15:22" x14ac:dyDescent="0.25">
      <c r="O3293" s="74"/>
      <c r="P3293" s="74"/>
      <c r="Q3293" s="74"/>
      <c r="R3293" s="74"/>
      <c r="V3293" s="72"/>
    </row>
    <row r="3294" spans="15:22" x14ac:dyDescent="0.25">
      <c r="O3294" s="74"/>
      <c r="P3294" s="74"/>
      <c r="Q3294" s="74"/>
      <c r="R3294" s="74"/>
      <c r="V3294" s="72"/>
    </row>
    <row r="3295" spans="15:22" x14ac:dyDescent="0.25">
      <c r="O3295" s="74"/>
      <c r="P3295" s="74"/>
      <c r="Q3295" s="74"/>
      <c r="R3295" s="74"/>
      <c r="V3295" s="72"/>
    </row>
    <row r="3296" spans="15:22" x14ac:dyDescent="0.25">
      <c r="O3296" s="74"/>
      <c r="P3296" s="74"/>
      <c r="Q3296" s="74"/>
      <c r="R3296" s="74"/>
      <c r="V3296" s="72"/>
    </row>
    <row r="3297" spans="15:22" x14ac:dyDescent="0.25">
      <c r="O3297" s="74"/>
      <c r="P3297" s="74"/>
      <c r="Q3297" s="74"/>
      <c r="R3297" s="74"/>
      <c r="V3297" s="72"/>
    </row>
    <row r="3298" spans="15:22" x14ac:dyDescent="0.25">
      <c r="O3298" s="74"/>
      <c r="P3298" s="74"/>
      <c r="Q3298" s="74"/>
      <c r="R3298" s="74"/>
      <c r="V3298" s="72"/>
    </row>
    <row r="3299" spans="15:22" x14ac:dyDescent="0.25">
      <c r="O3299" s="74"/>
      <c r="P3299" s="74"/>
      <c r="Q3299" s="74"/>
      <c r="R3299" s="74"/>
      <c r="V3299" s="72"/>
    </row>
    <row r="3300" spans="15:22" x14ac:dyDescent="0.25">
      <c r="O3300" s="74"/>
      <c r="P3300" s="74"/>
      <c r="Q3300" s="74"/>
      <c r="R3300" s="74"/>
      <c r="V3300" s="72"/>
    </row>
    <row r="3301" spans="15:22" x14ac:dyDescent="0.25">
      <c r="O3301" s="74"/>
      <c r="P3301" s="74"/>
      <c r="Q3301" s="74"/>
      <c r="R3301" s="74"/>
      <c r="V3301" s="72"/>
    </row>
    <row r="3302" spans="15:22" x14ac:dyDescent="0.25">
      <c r="O3302" s="74"/>
      <c r="P3302" s="74"/>
      <c r="Q3302" s="74"/>
      <c r="R3302" s="74"/>
      <c r="V3302" s="72"/>
    </row>
    <row r="3303" spans="15:22" x14ac:dyDescent="0.25">
      <c r="O3303" s="74"/>
      <c r="P3303" s="74"/>
      <c r="Q3303" s="74"/>
      <c r="R3303" s="74"/>
      <c r="V3303" s="72"/>
    </row>
    <row r="3304" spans="15:22" x14ac:dyDescent="0.25">
      <c r="O3304" s="74"/>
      <c r="P3304" s="74"/>
      <c r="Q3304" s="74"/>
      <c r="R3304" s="74"/>
      <c r="V3304" s="72"/>
    </row>
    <row r="3305" spans="15:22" x14ac:dyDescent="0.25">
      <c r="O3305" s="74"/>
      <c r="P3305" s="74"/>
      <c r="Q3305" s="74"/>
      <c r="R3305" s="74"/>
      <c r="V3305" s="72"/>
    </row>
    <row r="3306" spans="15:22" x14ac:dyDescent="0.25">
      <c r="O3306" s="74"/>
      <c r="P3306" s="74"/>
      <c r="Q3306" s="74"/>
      <c r="R3306" s="74"/>
      <c r="V3306" s="72"/>
    </row>
    <row r="3307" spans="15:22" x14ac:dyDescent="0.25">
      <c r="O3307" s="74"/>
      <c r="P3307" s="74"/>
      <c r="Q3307" s="74"/>
      <c r="R3307" s="74"/>
      <c r="V3307" s="72"/>
    </row>
    <row r="3308" spans="15:22" x14ac:dyDescent="0.25">
      <c r="O3308" s="74"/>
      <c r="P3308" s="74"/>
      <c r="Q3308" s="74"/>
      <c r="R3308" s="74"/>
      <c r="V3308" s="72"/>
    </row>
    <row r="3309" spans="15:22" x14ac:dyDescent="0.25">
      <c r="O3309" s="74"/>
      <c r="P3309" s="74"/>
      <c r="Q3309" s="74"/>
      <c r="R3309" s="74"/>
      <c r="V3309" s="72"/>
    </row>
    <row r="3310" spans="15:22" x14ac:dyDescent="0.25">
      <c r="O3310" s="74"/>
      <c r="P3310" s="74"/>
      <c r="Q3310" s="74"/>
      <c r="R3310" s="74"/>
      <c r="V3310" s="72"/>
    </row>
    <row r="3311" spans="15:22" x14ac:dyDescent="0.25">
      <c r="O3311" s="74"/>
      <c r="P3311" s="74"/>
      <c r="Q3311" s="74"/>
      <c r="R3311" s="74"/>
      <c r="V3311" s="72"/>
    </row>
    <row r="3312" spans="15:22" x14ac:dyDescent="0.25">
      <c r="O3312" s="74"/>
      <c r="P3312" s="74"/>
      <c r="Q3312" s="74"/>
      <c r="R3312" s="74"/>
      <c r="V3312" s="72"/>
    </row>
    <row r="3313" spans="15:22" x14ac:dyDescent="0.25">
      <c r="O3313" s="74"/>
      <c r="P3313" s="74"/>
      <c r="Q3313" s="74"/>
      <c r="R3313" s="74"/>
      <c r="V3313" s="72"/>
    </row>
    <row r="3314" spans="15:22" x14ac:dyDescent="0.25">
      <c r="O3314" s="74"/>
      <c r="P3314" s="74"/>
      <c r="Q3314" s="74"/>
      <c r="R3314" s="74"/>
      <c r="V3314" s="72"/>
    </row>
    <row r="3315" spans="15:22" x14ac:dyDescent="0.25">
      <c r="O3315" s="74"/>
      <c r="P3315" s="74"/>
      <c r="Q3315" s="74"/>
      <c r="R3315" s="74"/>
      <c r="V3315" s="72"/>
    </row>
    <row r="3316" spans="15:22" x14ac:dyDescent="0.25">
      <c r="O3316" s="74"/>
      <c r="P3316" s="74"/>
      <c r="Q3316" s="74"/>
      <c r="R3316" s="74"/>
      <c r="V3316" s="72"/>
    </row>
    <row r="3317" spans="15:22" x14ac:dyDescent="0.25">
      <c r="O3317" s="74"/>
      <c r="P3317" s="74"/>
      <c r="Q3317" s="74"/>
      <c r="R3317" s="74"/>
      <c r="V3317" s="72"/>
    </row>
    <row r="3318" spans="15:22" x14ac:dyDescent="0.25">
      <c r="O3318" s="74"/>
      <c r="P3318" s="74"/>
      <c r="Q3318" s="74"/>
      <c r="R3318" s="74"/>
      <c r="V3318" s="72"/>
    </row>
    <row r="3319" spans="15:22" x14ac:dyDescent="0.25">
      <c r="O3319" s="74"/>
      <c r="P3319" s="74"/>
      <c r="Q3319" s="74"/>
      <c r="R3319" s="74"/>
      <c r="V3319" s="72"/>
    </row>
    <row r="3320" spans="15:22" x14ac:dyDescent="0.25">
      <c r="O3320" s="74"/>
      <c r="P3320" s="74"/>
      <c r="Q3320" s="74"/>
      <c r="R3320" s="74"/>
      <c r="V3320" s="72"/>
    </row>
    <row r="3321" spans="15:22" x14ac:dyDescent="0.25">
      <c r="O3321" s="74"/>
      <c r="P3321" s="74"/>
      <c r="Q3321" s="74"/>
      <c r="R3321" s="74"/>
      <c r="V3321" s="72"/>
    </row>
    <row r="3322" spans="15:22" x14ac:dyDescent="0.25">
      <c r="O3322" s="74"/>
      <c r="P3322" s="74"/>
      <c r="Q3322" s="74"/>
      <c r="R3322" s="74"/>
      <c r="V3322" s="72"/>
    </row>
    <row r="3323" spans="15:22" x14ac:dyDescent="0.25">
      <c r="O3323" s="74"/>
      <c r="P3323" s="74"/>
      <c r="Q3323" s="74"/>
      <c r="R3323" s="74"/>
      <c r="V3323" s="72"/>
    </row>
    <row r="3324" spans="15:22" x14ac:dyDescent="0.25">
      <c r="O3324" s="74"/>
      <c r="P3324" s="74"/>
      <c r="Q3324" s="74"/>
      <c r="R3324" s="74"/>
      <c r="V3324" s="72"/>
    </row>
    <row r="3325" spans="15:22" x14ac:dyDescent="0.25">
      <c r="O3325" s="74"/>
      <c r="P3325" s="74"/>
      <c r="Q3325" s="74"/>
      <c r="R3325" s="74"/>
      <c r="V3325" s="72"/>
    </row>
    <row r="3326" spans="15:22" x14ac:dyDescent="0.25">
      <c r="O3326" s="74"/>
      <c r="P3326" s="74"/>
      <c r="Q3326" s="74"/>
      <c r="R3326" s="74"/>
      <c r="V3326" s="72"/>
    </row>
    <row r="3327" spans="15:22" x14ac:dyDescent="0.25">
      <c r="O3327" s="74"/>
      <c r="P3327" s="74"/>
      <c r="Q3327" s="74"/>
      <c r="R3327" s="74"/>
      <c r="V3327" s="72"/>
    </row>
    <row r="3328" spans="15:22" x14ac:dyDescent="0.25">
      <c r="O3328" s="74"/>
      <c r="P3328" s="74"/>
      <c r="Q3328" s="74"/>
      <c r="R3328" s="74"/>
      <c r="V3328" s="72"/>
    </row>
    <row r="3329" spans="15:22" x14ac:dyDescent="0.25">
      <c r="O3329" s="74"/>
      <c r="P3329" s="74"/>
      <c r="Q3329" s="74"/>
      <c r="R3329" s="74"/>
      <c r="V3329" s="72"/>
    </row>
    <row r="3330" spans="15:22" x14ac:dyDescent="0.25">
      <c r="O3330" s="74"/>
      <c r="P3330" s="74"/>
      <c r="Q3330" s="74"/>
      <c r="R3330" s="74"/>
      <c r="V3330" s="72"/>
    </row>
    <row r="3331" spans="15:22" x14ac:dyDescent="0.25">
      <c r="O3331" s="74"/>
      <c r="P3331" s="74"/>
      <c r="Q3331" s="74"/>
      <c r="R3331" s="74"/>
      <c r="V3331" s="72"/>
    </row>
    <row r="3332" spans="15:22" x14ac:dyDescent="0.25">
      <c r="O3332" s="74"/>
      <c r="P3332" s="74"/>
      <c r="Q3332" s="74"/>
      <c r="R3332" s="74"/>
      <c r="V3332" s="72"/>
    </row>
    <row r="3333" spans="15:22" x14ac:dyDescent="0.25">
      <c r="O3333" s="74"/>
      <c r="P3333" s="74"/>
      <c r="Q3333" s="74"/>
      <c r="R3333" s="74"/>
      <c r="V3333" s="72"/>
    </row>
    <row r="3334" spans="15:22" x14ac:dyDescent="0.25">
      <c r="O3334" s="74"/>
      <c r="P3334" s="74"/>
      <c r="Q3334" s="74"/>
      <c r="R3334" s="74"/>
      <c r="V3334" s="72"/>
    </row>
    <row r="3335" spans="15:22" x14ac:dyDescent="0.25">
      <c r="O3335" s="74"/>
      <c r="P3335" s="74"/>
      <c r="Q3335" s="74"/>
      <c r="R3335" s="74"/>
      <c r="V3335" s="72"/>
    </row>
    <row r="3336" spans="15:22" x14ac:dyDescent="0.25">
      <c r="O3336" s="74"/>
      <c r="P3336" s="74"/>
      <c r="Q3336" s="74"/>
      <c r="R3336" s="74"/>
      <c r="V3336" s="72"/>
    </row>
    <row r="3337" spans="15:22" x14ac:dyDescent="0.25">
      <c r="O3337" s="74"/>
      <c r="P3337" s="74"/>
      <c r="Q3337" s="74"/>
      <c r="R3337" s="74"/>
      <c r="V3337" s="72"/>
    </row>
    <row r="3338" spans="15:22" x14ac:dyDescent="0.25">
      <c r="O3338" s="74"/>
      <c r="P3338" s="74"/>
      <c r="Q3338" s="74"/>
      <c r="R3338" s="74"/>
      <c r="V3338" s="72"/>
    </row>
    <row r="3339" spans="15:22" x14ac:dyDescent="0.25">
      <c r="O3339" s="74"/>
      <c r="P3339" s="74"/>
      <c r="Q3339" s="74"/>
      <c r="R3339" s="74"/>
      <c r="V3339" s="72"/>
    </row>
    <row r="3340" spans="15:22" x14ac:dyDescent="0.25">
      <c r="O3340" s="74"/>
      <c r="P3340" s="74"/>
      <c r="Q3340" s="74"/>
      <c r="R3340" s="74"/>
      <c r="V3340" s="72"/>
    </row>
    <row r="3341" spans="15:22" x14ac:dyDescent="0.25">
      <c r="O3341" s="74"/>
      <c r="P3341" s="74"/>
      <c r="Q3341" s="74"/>
      <c r="R3341" s="74"/>
      <c r="V3341" s="72"/>
    </row>
    <row r="3342" spans="15:22" x14ac:dyDescent="0.25">
      <c r="O3342" s="74"/>
      <c r="P3342" s="74"/>
      <c r="Q3342" s="74"/>
      <c r="R3342" s="74"/>
      <c r="V3342" s="72"/>
    </row>
    <row r="3343" spans="15:22" x14ac:dyDescent="0.25">
      <c r="O3343" s="74"/>
      <c r="P3343" s="74"/>
      <c r="Q3343" s="74"/>
      <c r="R3343" s="74"/>
      <c r="V3343" s="72"/>
    </row>
    <row r="3344" spans="15:22" x14ac:dyDescent="0.25">
      <c r="O3344" s="74"/>
      <c r="P3344" s="74"/>
      <c r="Q3344" s="74"/>
      <c r="R3344" s="74"/>
      <c r="V3344" s="72"/>
    </row>
    <row r="3345" spans="15:22" x14ac:dyDescent="0.25">
      <c r="O3345" s="74"/>
      <c r="P3345" s="74"/>
      <c r="Q3345" s="74"/>
      <c r="R3345" s="74"/>
      <c r="V3345" s="72"/>
    </row>
    <row r="3346" spans="15:22" x14ac:dyDescent="0.25">
      <c r="O3346" s="74"/>
      <c r="P3346" s="74"/>
      <c r="Q3346" s="74"/>
      <c r="R3346" s="74"/>
      <c r="V3346" s="72"/>
    </row>
    <row r="3347" spans="15:22" x14ac:dyDescent="0.25">
      <c r="O3347" s="74"/>
      <c r="P3347" s="74"/>
      <c r="Q3347" s="74"/>
      <c r="R3347" s="74"/>
      <c r="V3347" s="72"/>
    </row>
    <row r="3348" spans="15:22" x14ac:dyDescent="0.25">
      <c r="O3348" s="74"/>
      <c r="P3348" s="74"/>
      <c r="Q3348" s="74"/>
      <c r="R3348" s="74"/>
      <c r="V3348" s="72"/>
    </row>
    <row r="3349" spans="15:22" x14ac:dyDescent="0.25">
      <c r="O3349" s="74"/>
      <c r="P3349" s="74"/>
      <c r="Q3349" s="74"/>
      <c r="R3349" s="74"/>
      <c r="V3349" s="72"/>
    </row>
    <row r="3350" spans="15:22" x14ac:dyDescent="0.25">
      <c r="O3350" s="74"/>
      <c r="P3350" s="74"/>
      <c r="Q3350" s="74"/>
      <c r="R3350" s="74"/>
      <c r="V3350" s="72"/>
    </row>
    <row r="3351" spans="15:22" x14ac:dyDescent="0.25">
      <c r="O3351" s="74"/>
      <c r="P3351" s="74"/>
      <c r="Q3351" s="74"/>
      <c r="R3351" s="74"/>
      <c r="V3351" s="72"/>
    </row>
    <row r="3352" spans="15:22" x14ac:dyDescent="0.25">
      <c r="O3352" s="74"/>
      <c r="P3352" s="74"/>
      <c r="Q3352" s="74"/>
      <c r="R3352" s="74"/>
      <c r="V3352" s="72"/>
    </row>
    <row r="3353" spans="15:22" x14ac:dyDescent="0.25">
      <c r="O3353" s="74"/>
      <c r="P3353" s="74"/>
      <c r="Q3353" s="74"/>
      <c r="R3353" s="74"/>
      <c r="V3353" s="72"/>
    </row>
    <row r="3354" spans="15:22" x14ac:dyDescent="0.25">
      <c r="O3354" s="74"/>
      <c r="P3354" s="74"/>
      <c r="Q3354" s="74"/>
      <c r="R3354" s="74"/>
      <c r="V3354" s="72"/>
    </row>
    <row r="3355" spans="15:22" x14ac:dyDescent="0.25">
      <c r="O3355" s="74"/>
      <c r="P3355" s="74"/>
      <c r="Q3355" s="74"/>
      <c r="R3355" s="74"/>
      <c r="V3355" s="72"/>
    </row>
    <row r="3356" spans="15:22" x14ac:dyDescent="0.25">
      <c r="O3356" s="74"/>
      <c r="P3356" s="74"/>
      <c r="Q3356" s="74"/>
      <c r="R3356" s="74"/>
      <c r="V3356" s="72"/>
    </row>
    <row r="3357" spans="15:22" x14ac:dyDescent="0.25">
      <c r="O3357" s="74"/>
      <c r="P3357" s="74"/>
      <c r="Q3357" s="74"/>
      <c r="R3357" s="74"/>
      <c r="V3357" s="72"/>
    </row>
    <row r="3358" spans="15:22" x14ac:dyDescent="0.25">
      <c r="O3358" s="74"/>
      <c r="P3358" s="74"/>
      <c r="Q3358" s="74"/>
      <c r="R3358" s="74"/>
      <c r="V3358" s="72"/>
    </row>
    <row r="3359" spans="15:22" x14ac:dyDescent="0.25">
      <c r="O3359" s="74"/>
      <c r="P3359" s="74"/>
      <c r="Q3359" s="74"/>
      <c r="R3359" s="74"/>
      <c r="V3359" s="72"/>
    </row>
    <row r="3360" spans="15:22" x14ac:dyDescent="0.25">
      <c r="O3360" s="74"/>
      <c r="P3360" s="74"/>
      <c r="Q3360" s="74"/>
      <c r="R3360" s="74"/>
      <c r="V3360" s="72"/>
    </row>
    <row r="3361" spans="15:22" x14ac:dyDescent="0.25">
      <c r="O3361" s="74"/>
      <c r="P3361" s="74"/>
      <c r="Q3361" s="74"/>
      <c r="R3361" s="74"/>
      <c r="V3361" s="72"/>
    </row>
    <row r="3362" spans="15:22" x14ac:dyDescent="0.25">
      <c r="O3362" s="74"/>
      <c r="P3362" s="74"/>
      <c r="Q3362" s="74"/>
      <c r="R3362" s="74"/>
      <c r="V3362" s="72"/>
    </row>
    <row r="3363" spans="15:22" x14ac:dyDescent="0.25">
      <c r="O3363" s="74"/>
      <c r="P3363" s="74"/>
      <c r="Q3363" s="74"/>
      <c r="R3363" s="74"/>
      <c r="V3363" s="72"/>
    </row>
    <row r="3364" spans="15:22" x14ac:dyDescent="0.25">
      <c r="O3364" s="74"/>
      <c r="P3364" s="74"/>
      <c r="Q3364" s="74"/>
      <c r="R3364" s="74"/>
      <c r="V3364" s="72"/>
    </row>
    <row r="3365" spans="15:22" x14ac:dyDescent="0.25">
      <c r="O3365" s="74"/>
      <c r="P3365" s="74"/>
      <c r="Q3365" s="74"/>
      <c r="R3365" s="74"/>
      <c r="V3365" s="72"/>
    </row>
    <row r="3366" spans="15:22" x14ac:dyDescent="0.25">
      <c r="O3366" s="74"/>
      <c r="P3366" s="74"/>
      <c r="Q3366" s="74"/>
      <c r="R3366" s="74"/>
      <c r="V3366" s="72"/>
    </row>
    <row r="3367" spans="15:22" x14ac:dyDescent="0.25">
      <c r="O3367" s="74"/>
      <c r="P3367" s="74"/>
      <c r="Q3367" s="74"/>
      <c r="R3367" s="74"/>
      <c r="V3367" s="72"/>
    </row>
    <row r="3368" spans="15:22" x14ac:dyDescent="0.25">
      <c r="O3368" s="74"/>
      <c r="P3368" s="74"/>
      <c r="Q3368" s="74"/>
      <c r="R3368" s="74"/>
      <c r="V3368" s="72"/>
    </row>
    <row r="3369" spans="15:22" x14ac:dyDescent="0.25">
      <c r="O3369" s="74"/>
      <c r="P3369" s="74"/>
      <c r="Q3369" s="74"/>
      <c r="R3369" s="74"/>
      <c r="V3369" s="72"/>
    </row>
    <row r="3370" spans="15:22" x14ac:dyDescent="0.25">
      <c r="O3370" s="74"/>
      <c r="P3370" s="74"/>
      <c r="Q3370" s="74"/>
      <c r="R3370" s="74"/>
      <c r="V3370" s="72"/>
    </row>
    <row r="3371" spans="15:22" x14ac:dyDescent="0.25">
      <c r="O3371" s="74"/>
      <c r="P3371" s="74"/>
      <c r="Q3371" s="74"/>
      <c r="R3371" s="74"/>
      <c r="V3371" s="72"/>
    </row>
    <row r="3372" spans="15:22" x14ac:dyDescent="0.25">
      <c r="O3372" s="74"/>
      <c r="P3372" s="74"/>
      <c r="Q3372" s="74"/>
      <c r="R3372" s="74"/>
      <c r="V3372" s="72"/>
    </row>
    <row r="3373" spans="15:22" x14ac:dyDescent="0.25">
      <c r="O3373" s="74"/>
      <c r="P3373" s="74"/>
      <c r="Q3373" s="74"/>
      <c r="R3373" s="74"/>
      <c r="V3373" s="72"/>
    </row>
    <row r="3374" spans="15:22" x14ac:dyDescent="0.25">
      <c r="O3374" s="74"/>
      <c r="P3374" s="74"/>
      <c r="Q3374" s="74"/>
      <c r="R3374" s="74"/>
      <c r="V3374" s="72"/>
    </row>
    <row r="3375" spans="15:22" x14ac:dyDescent="0.25">
      <c r="O3375" s="74"/>
      <c r="P3375" s="74"/>
      <c r="Q3375" s="74"/>
      <c r="R3375" s="74"/>
      <c r="V3375" s="72"/>
    </row>
    <row r="3376" spans="15:22" x14ac:dyDescent="0.25">
      <c r="O3376" s="74"/>
      <c r="P3376" s="74"/>
      <c r="Q3376" s="74"/>
      <c r="R3376" s="74"/>
      <c r="V3376" s="72"/>
    </row>
    <row r="3377" spans="15:22" x14ac:dyDescent="0.25">
      <c r="O3377" s="74"/>
      <c r="P3377" s="74"/>
      <c r="Q3377" s="74"/>
      <c r="R3377" s="74"/>
      <c r="V3377" s="72"/>
    </row>
    <row r="3378" spans="15:22" x14ac:dyDescent="0.25">
      <c r="O3378" s="74"/>
      <c r="P3378" s="74"/>
      <c r="Q3378" s="74"/>
      <c r="R3378" s="74"/>
      <c r="V3378" s="72"/>
    </row>
    <row r="3379" spans="15:22" x14ac:dyDescent="0.25">
      <c r="O3379" s="74"/>
      <c r="P3379" s="74"/>
      <c r="Q3379" s="74"/>
      <c r="R3379" s="74"/>
      <c r="V3379" s="72"/>
    </row>
    <row r="3380" spans="15:22" x14ac:dyDescent="0.25">
      <c r="O3380" s="74"/>
      <c r="P3380" s="74"/>
      <c r="Q3380" s="74"/>
      <c r="R3380" s="74"/>
      <c r="V3380" s="72"/>
    </row>
    <row r="3381" spans="15:22" x14ac:dyDescent="0.25">
      <c r="O3381" s="74"/>
      <c r="P3381" s="74"/>
      <c r="Q3381" s="74"/>
      <c r="R3381" s="74"/>
      <c r="V3381" s="72"/>
    </row>
    <row r="3382" spans="15:22" x14ac:dyDescent="0.25">
      <c r="O3382" s="74"/>
      <c r="P3382" s="74"/>
      <c r="Q3382" s="74"/>
      <c r="R3382" s="74"/>
      <c r="V3382" s="72"/>
    </row>
    <row r="3383" spans="15:22" x14ac:dyDescent="0.25">
      <c r="O3383" s="74"/>
      <c r="P3383" s="74"/>
      <c r="Q3383" s="74"/>
      <c r="R3383" s="74"/>
      <c r="V3383" s="72"/>
    </row>
    <row r="3384" spans="15:22" x14ac:dyDescent="0.25">
      <c r="O3384" s="74"/>
      <c r="P3384" s="74"/>
      <c r="Q3384" s="74"/>
      <c r="R3384" s="74"/>
      <c r="V3384" s="72"/>
    </row>
    <row r="3385" spans="15:22" x14ac:dyDescent="0.25">
      <c r="O3385" s="74"/>
      <c r="P3385" s="74"/>
      <c r="Q3385" s="74"/>
      <c r="R3385" s="74"/>
      <c r="V3385" s="72"/>
    </row>
    <row r="3386" spans="15:22" x14ac:dyDescent="0.25">
      <c r="O3386" s="74"/>
      <c r="P3386" s="74"/>
      <c r="Q3386" s="74"/>
      <c r="R3386" s="74"/>
      <c r="V3386" s="72"/>
    </row>
    <row r="3387" spans="15:22" x14ac:dyDescent="0.25">
      <c r="O3387" s="74"/>
      <c r="P3387" s="74"/>
      <c r="Q3387" s="74"/>
      <c r="R3387" s="74"/>
      <c r="V3387" s="72"/>
    </row>
    <row r="3388" spans="15:22" x14ac:dyDescent="0.25">
      <c r="O3388" s="74"/>
      <c r="P3388" s="74"/>
      <c r="Q3388" s="74"/>
      <c r="R3388" s="74"/>
      <c r="V3388" s="72"/>
    </row>
    <row r="3389" spans="15:22" x14ac:dyDescent="0.25">
      <c r="O3389" s="74"/>
      <c r="P3389" s="74"/>
      <c r="Q3389" s="74"/>
      <c r="R3389" s="74"/>
      <c r="V3389" s="72"/>
    </row>
    <row r="3390" spans="15:22" x14ac:dyDescent="0.25">
      <c r="O3390" s="74"/>
      <c r="P3390" s="74"/>
      <c r="Q3390" s="74"/>
      <c r="R3390" s="74"/>
      <c r="V3390" s="72"/>
    </row>
    <row r="3391" spans="15:22" x14ac:dyDescent="0.25">
      <c r="O3391" s="74"/>
      <c r="P3391" s="74"/>
      <c r="Q3391" s="74"/>
      <c r="R3391" s="74"/>
      <c r="V3391" s="72"/>
    </row>
    <row r="3392" spans="15:22" x14ac:dyDescent="0.25">
      <c r="O3392" s="74"/>
      <c r="P3392" s="74"/>
      <c r="Q3392" s="74"/>
      <c r="R3392" s="74"/>
      <c r="V3392" s="72"/>
    </row>
    <row r="3393" spans="15:22" x14ac:dyDescent="0.25">
      <c r="O3393" s="74"/>
      <c r="P3393" s="74"/>
      <c r="Q3393" s="74"/>
      <c r="R3393" s="74"/>
      <c r="V3393" s="72"/>
    </row>
    <row r="3394" spans="15:22" x14ac:dyDescent="0.25">
      <c r="O3394" s="74"/>
      <c r="P3394" s="74"/>
      <c r="Q3394" s="74"/>
      <c r="R3394" s="74"/>
      <c r="V3394" s="72"/>
    </row>
    <row r="3395" spans="15:22" x14ac:dyDescent="0.25">
      <c r="O3395" s="74"/>
      <c r="P3395" s="74"/>
      <c r="Q3395" s="74"/>
      <c r="R3395" s="74"/>
      <c r="V3395" s="72"/>
    </row>
    <row r="3396" spans="15:22" x14ac:dyDescent="0.25">
      <c r="O3396" s="74"/>
      <c r="P3396" s="74"/>
      <c r="Q3396" s="74"/>
      <c r="R3396" s="74"/>
      <c r="V3396" s="72"/>
    </row>
    <row r="3397" spans="15:22" x14ac:dyDescent="0.25">
      <c r="O3397" s="74"/>
      <c r="P3397" s="74"/>
      <c r="Q3397" s="74"/>
      <c r="R3397" s="74"/>
      <c r="V3397" s="72"/>
    </row>
    <row r="3398" spans="15:22" x14ac:dyDescent="0.25">
      <c r="O3398" s="74"/>
      <c r="P3398" s="74"/>
      <c r="Q3398" s="74"/>
      <c r="R3398" s="74"/>
      <c r="V3398" s="72"/>
    </row>
    <row r="3399" spans="15:22" x14ac:dyDescent="0.25">
      <c r="O3399" s="74"/>
      <c r="P3399" s="74"/>
      <c r="Q3399" s="74"/>
      <c r="R3399" s="74"/>
      <c r="V3399" s="72"/>
    </row>
    <row r="3400" spans="15:22" x14ac:dyDescent="0.25">
      <c r="O3400" s="74"/>
      <c r="P3400" s="74"/>
      <c r="Q3400" s="74"/>
      <c r="R3400" s="74"/>
      <c r="V3400" s="72"/>
    </row>
    <row r="3401" spans="15:22" x14ac:dyDescent="0.25">
      <c r="O3401" s="74"/>
      <c r="P3401" s="74"/>
      <c r="Q3401" s="74"/>
      <c r="R3401" s="74"/>
      <c r="V3401" s="72"/>
    </row>
    <row r="3402" spans="15:22" x14ac:dyDescent="0.25">
      <c r="O3402" s="74"/>
      <c r="P3402" s="74"/>
      <c r="Q3402" s="74"/>
      <c r="R3402" s="74"/>
      <c r="V3402" s="72"/>
    </row>
    <row r="3403" spans="15:22" x14ac:dyDescent="0.25">
      <c r="O3403" s="74"/>
      <c r="P3403" s="74"/>
      <c r="Q3403" s="74"/>
      <c r="R3403" s="74"/>
      <c r="V3403" s="72"/>
    </row>
    <row r="3404" spans="15:22" x14ac:dyDescent="0.25">
      <c r="O3404" s="74"/>
      <c r="P3404" s="74"/>
      <c r="Q3404" s="74"/>
      <c r="R3404" s="74"/>
      <c r="V3404" s="72"/>
    </row>
    <row r="3405" spans="15:22" x14ac:dyDescent="0.25">
      <c r="O3405" s="74"/>
      <c r="P3405" s="74"/>
      <c r="Q3405" s="74"/>
      <c r="R3405" s="74"/>
      <c r="V3405" s="72"/>
    </row>
    <row r="3406" spans="15:22" x14ac:dyDescent="0.25">
      <c r="O3406" s="74"/>
      <c r="P3406" s="74"/>
      <c r="Q3406" s="74"/>
      <c r="R3406" s="74"/>
      <c r="V3406" s="72"/>
    </row>
    <row r="3407" spans="15:22" x14ac:dyDescent="0.25">
      <c r="O3407" s="74"/>
      <c r="P3407" s="74"/>
      <c r="Q3407" s="74"/>
      <c r="R3407" s="74"/>
      <c r="V3407" s="72"/>
    </row>
    <row r="3408" spans="15:22" x14ac:dyDescent="0.25">
      <c r="O3408" s="74"/>
      <c r="P3408" s="74"/>
      <c r="Q3408" s="74"/>
      <c r="R3408" s="74"/>
      <c r="V3408" s="72"/>
    </row>
    <row r="3409" spans="15:22" x14ac:dyDescent="0.25">
      <c r="O3409" s="74"/>
      <c r="P3409" s="74"/>
      <c r="Q3409" s="74"/>
      <c r="R3409" s="74"/>
      <c r="V3409" s="72"/>
    </row>
    <row r="3410" spans="15:22" x14ac:dyDescent="0.25">
      <c r="O3410" s="74"/>
      <c r="P3410" s="74"/>
      <c r="Q3410" s="74"/>
      <c r="R3410" s="74"/>
      <c r="V3410" s="72"/>
    </row>
    <row r="3411" spans="15:22" x14ac:dyDescent="0.25">
      <c r="O3411" s="74"/>
      <c r="P3411" s="74"/>
      <c r="Q3411" s="74"/>
      <c r="R3411" s="74"/>
      <c r="V3411" s="72"/>
    </row>
    <row r="3412" spans="15:22" x14ac:dyDescent="0.25">
      <c r="O3412" s="74"/>
      <c r="P3412" s="74"/>
      <c r="Q3412" s="74"/>
      <c r="R3412" s="74"/>
      <c r="V3412" s="72"/>
    </row>
    <row r="3413" spans="15:22" x14ac:dyDescent="0.25">
      <c r="O3413" s="74"/>
      <c r="P3413" s="74"/>
      <c r="Q3413" s="74"/>
      <c r="R3413" s="74"/>
      <c r="V3413" s="72"/>
    </row>
    <row r="3414" spans="15:22" x14ac:dyDescent="0.25">
      <c r="O3414" s="74"/>
      <c r="P3414" s="74"/>
      <c r="Q3414" s="74"/>
      <c r="R3414" s="74"/>
      <c r="V3414" s="72"/>
    </row>
    <row r="3415" spans="15:22" x14ac:dyDescent="0.25">
      <c r="O3415" s="74"/>
      <c r="P3415" s="74"/>
      <c r="Q3415" s="74"/>
      <c r="R3415" s="74"/>
      <c r="V3415" s="72"/>
    </row>
    <row r="3416" spans="15:22" x14ac:dyDescent="0.25">
      <c r="O3416" s="74"/>
      <c r="P3416" s="74"/>
      <c r="Q3416" s="74"/>
      <c r="R3416" s="74"/>
      <c r="V3416" s="72"/>
    </row>
    <row r="3417" spans="15:22" x14ac:dyDescent="0.25">
      <c r="O3417" s="74"/>
      <c r="P3417" s="74"/>
      <c r="Q3417" s="74"/>
      <c r="R3417" s="74"/>
      <c r="V3417" s="72"/>
    </row>
    <row r="3418" spans="15:22" x14ac:dyDescent="0.25">
      <c r="O3418" s="74"/>
      <c r="P3418" s="74"/>
      <c r="Q3418" s="74"/>
      <c r="R3418" s="74"/>
      <c r="V3418" s="72"/>
    </row>
    <row r="3419" spans="15:22" x14ac:dyDescent="0.25">
      <c r="O3419" s="74"/>
      <c r="P3419" s="74"/>
      <c r="Q3419" s="74"/>
      <c r="R3419" s="74"/>
      <c r="V3419" s="72"/>
    </row>
    <row r="3420" spans="15:22" x14ac:dyDescent="0.25">
      <c r="O3420" s="74"/>
      <c r="P3420" s="74"/>
      <c r="Q3420" s="74"/>
      <c r="R3420" s="74"/>
      <c r="V3420" s="72"/>
    </row>
    <row r="3421" spans="15:22" x14ac:dyDescent="0.25">
      <c r="O3421" s="74"/>
      <c r="P3421" s="74"/>
      <c r="Q3421" s="74"/>
      <c r="R3421" s="74"/>
      <c r="V3421" s="72"/>
    </row>
    <row r="3422" spans="15:22" x14ac:dyDescent="0.25">
      <c r="O3422" s="74"/>
      <c r="P3422" s="74"/>
      <c r="Q3422" s="74"/>
      <c r="R3422" s="74"/>
      <c r="V3422" s="72"/>
    </row>
    <row r="3423" spans="15:22" x14ac:dyDescent="0.25">
      <c r="O3423" s="74"/>
      <c r="P3423" s="74"/>
      <c r="Q3423" s="74"/>
      <c r="R3423" s="74"/>
      <c r="V3423" s="72"/>
    </row>
    <row r="3424" spans="15:22" x14ac:dyDescent="0.25">
      <c r="O3424" s="74"/>
      <c r="P3424" s="74"/>
      <c r="Q3424" s="74"/>
      <c r="R3424" s="74"/>
      <c r="V3424" s="72"/>
    </row>
    <row r="3425" spans="15:22" x14ac:dyDescent="0.25">
      <c r="O3425" s="74"/>
      <c r="P3425" s="74"/>
      <c r="Q3425" s="74"/>
      <c r="R3425" s="74"/>
      <c r="V3425" s="72"/>
    </row>
    <row r="3426" spans="15:22" x14ac:dyDescent="0.25">
      <c r="O3426" s="74"/>
      <c r="P3426" s="74"/>
      <c r="Q3426" s="74"/>
      <c r="R3426" s="74"/>
      <c r="V3426" s="72"/>
    </row>
    <row r="3427" spans="15:22" x14ac:dyDescent="0.25">
      <c r="O3427" s="74"/>
      <c r="P3427" s="74"/>
      <c r="Q3427" s="74"/>
      <c r="R3427" s="74"/>
      <c r="V3427" s="72"/>
    </row>
    <row r="3428" spans="15:22" x14ac:dyDescent="0.25">
      <c r="O3428" s="74"/>
      <c r="P3428" s="74"/>
      <c r="Q3428" s="74"/>
      <c r="R3428" s="74"/>
      <c r="V3428" s="72"/>
    </row>
    <row r="3429" spans="15:22" x14ac:dyDescent="0.25">
      <c r="O3429" s="74"/>
      <c r="P3429" s="74"/>
      <c r="Q3429" s="74"/>
      <c r="R3429" s="74"/>
      <c r="V3429" s="72"/>
    </row>
    <row r="3430" spans="15:22" x14ac:dyDescent="0.25">
      <c r="O3430" s="74"/>
      <c r="P3430" s="74"/>
      <c r="Q3430" s="74"/>
      <c r="R3430" s="74"/>
      <c r="V3430" s="72"/>
    </row>
    <row r="3431" spans="15:22" x14ac:dyDescent="0.25">
      <c r="O3431" s="74"/>
      <c r="P3431" s="74"/>
      <c r="Q3431" s="74"/>
      <c r="R3431" s="74"/>
      <c r="V3431" s="72"/>
    </row>
    <row r="3432" spans="15:22" x14ac:dyDescent="0.25">
      <c r="O3432" s="74"/>
      <c r="P3432" s="74"/>
      <c r="Q3432" s="74"/>
      <c r="R3432" s="74"/>
      <c r="V3432" s="72"/>
    </row>
    <row r="3433" spans="15:22" x14ac:dyDescent="0.25">
      <c r="O3433" s="74"/>
      <c r="P3433" s="74"/>
      <c r="Q3433" s="74"/>
      <c r="R3433" s="74"/>
      <c r="V3433" s="72"/>
    </row>
    <row r="3434" spans="15:22" x14ac:dyDescent="0.25">
      <c r="O3434" s="74"/>
      <c r="P3434" s="74"/>
      <c r="Q3434" s="74"/>
      <c r="R3434" s="74"/>
      <c r="V3434" s="72"/>
    </row>
    <row r="3435" spans="15:22" x14ac:dyDescent="0.25">
      <c r="O3435" s="74"/>
      <c r="P3435" s="74"/>
      <c r="Q3435" s="74"/>
      <c r="R3435" s="74"/>
      <c r="V3435" s="72"/>
    </row>
    <row r="3436" spans="15:22" x14ac:dyDescent="0.25">
      <c r="O3436" s="74"/>
      <c r="P3436" s="74"/>
      <c r="Q3436" s="74"/>
      <c r="R3436" s="74"/>
      <c r="V3436" s="72"/>
    </row>
    <row r="3437" spans="15:22" x14ac:dyDescent="0.25">
      <c r="O3437" s="74"/>
      <c r="P3437" s="74"/>
      <c r="Q3437" s="74"/>
      <c r="R3437" s="74"/>
      <c r="V3437" s="72"/>
    </row>
    <row r="3438" spans="15:22" x14ac:dyDescent="0.25">
      <c r="O3438" s="74"/>
      <c r="P3438" s="74"/>
      <c r="Q3438" s="74"/>
      <c r="R3438" s="74"/>
      <c r="V3438" s="72"/>
    </row>
    <row r="3439" spans="15:22" x14ac:dyDescent="0.25">
      <c r="O3439" s="74"/>
      <c r="P3439" s="74"/>
      <c r="Q3439" s="74"/>
      <c r="R3439" s="74"/>
      <c r="V3439" s="72"/>
    </row>
    <row r="3440" spans="15:22" x14ac:dyDescent="0.25">
      <c r="O3440" s="74"/>
      <c r="P3440" s="74"/>
      <c r="Q3440" s="74"/>
      <c r="R3440" s="74"/>
      <c r="V3440" s="72"/>
    </row>
    <row r="3441" spans="15:22" x14ac:dyDescent="0.25">
      <c r="O3441" s="74"/>
      <c r="P3441" s="74"/>
      <c r="Q3441" s="74"/>
      <c r="R3441" s="74"/>
      <c r="V3441" s="72"/>
    </row>
    <row r="3442" spans="15:22" x14ac:dyDescent="0.25">
      <c r="O3442" s="74"/>
      <c r="P3442" s="74"/>
      <c r="Q3442" s="74"/>
      <c r="R3442" s="74"/>
      <c r="V3442" s="72"/>
    </row>
    <row r="3443" spans="15:22" x14ac:dyDescent="0.25">
      <c r="O3443" s="74"/>
      <c r="P3443" s="74"/>
      <c r="Q3443" s="74"/>
      <c r="R3443" s="74"/>
      <c r="V3443" s="72"/>
    </row>
    <row r="3444" spans="15:22" x14ac:dyDescent="0.25">
      <c r="O3444" s="74"/>
      <c r="P3444" s="74"/>
      <c r="Q3444" s="74"/>
      <c r="R3444" s="74"/>
      <c r="V3444" s="72"/>
    </row>
    <row r="3445" spans="15:22" x14ac:dyDescent="0.25">
      <c r="O3445" s="74"/>
      <c r="P3445" s="74"/>
      <c r="Q3445" s="74"/>
      <c r="R3445" s="74"/>
      <c r="V3445" s="72"/>
    </row>
    <row r="3446" spans="15:22" x14ac:dyDescent="0.25">
      <c r="O3446" s="74"/>
      <c r="P3446" s="74"/>
      <c r="Q3446" s="74"/>
      <c r="R3446" s="74"/>
      <c r="V3446" s="72"/>
    </row>
    <row r="3447" spans="15:22" x14ac:dyDescent="0.25">
      <c r="O3447" s="74"/>
      <c r="P3447" s="74"/>
      <c r="Q3447" s="74"/>
      <c r="R3447" s="74"/>
      <c r="V3447" s="72"/>
    </row>
    <row r="3448" spans="15:22" x14ac:dyDescent="0.25">
      <c r="O3448" s="74"/>
      <c r="P3448" s="74"/>
      <c r="Q3448" s="74"/>
      <c r="R3448" s="74"/>
      <c r="V3448" s="72"/>
    </row>
    <row r="3449" spans="15:22" x14ac:dyDescent="0.25">
      <c r="O3449" s="74"/>
      <c r="P3449" s="74"/>
      <c r="Q3449" s="74"/>
      <c r="R3449" s="74"/>
      <c r="V3449" s="72"/>
    </row>
    <row r="3450" spans="15:22" x14ac:dyDescent="0.25">
      <c r="O3450" s="74"/>
      <c r="P3450" s="74"/>
      <c r="Q3450" s="74"/>
      <c r="R3450" s="74"/>
      <c r="V3450" s="72"/>
    </row>
    <row r="3451" spans="15:22" x14ac:dyDescent="0.25">
      <c r="O3451" s="74"/>
      <c r="P3451" s="74"/>
      <c r="Q3451" s="74"/>
      <c r="R3451" s="74"/>
      <c r="V3451" s="72"/>
    </row>
    <row r="3452" spans="15:22" x14ac:dyDescent="0.25">
      <c r="O3452" s="74"/>
      <c r="P3452" s="74"/>
      <c r="Q3452" s="74"/>
      <c r="R3452" s="74"/>
      <c r="V3452" s="72"/>
    </row>
    <row r="3453" spans="15:22" x14ac:dyDescent="0.25">
      <c r="O3453" s="74"/>
      <c r="P3453" s="74"/>
      <c r="Q3453" s="74"/>
      <c r="R3453" s="74"/>
      <c r="V3453" s="72"/>
    </row>
    <row r="3454" spans="15:22" x14ac:dyDescent="0.25">
      <c r="O3454" s="74"/>
      <c r="P3454" s="74"/>
      <c r="Q3454" s="74"/>
      <c r="R3454" s="74"/>
      <c r="V3454" s="72"/>
    </row>
    <row r="3455" spans="15:22" x14ac:dyDescent="0.25">
      <c r="O3455" s="74"/>
      <c r="P3455" s="74"/>
      <c r="Q3455" s="74"/>
      <c r="R3455" s="74"/>
      <c r="V3455" s="72"/>
    </row>
    <row r="3456" spans="15:22" x14ac:dyDescent="0.25">
      <c r="O3456" s="74"/>
      <c r="P3456" s="74"/>
      <c r="Q3456" s="74"/>
      <c r="R3456" s="74"/>
      <c r="V3456" s="72"/>
    </row>
    <row r="3457" spans="15:22" x14ac:dyDescent="0.25">
      <c r="O3457" s="74"/>
      <c r="P3457" s="74"/>
      <c r="Q3457" s="74"/>
      <c r="R3457" s="74"/>
      <c r="V3457" s="72"/>
    </row>
    <row r="3458" spans="15:22" x14ac:dyDescent="0.25">
      <c r="O3458" s="74"/>
      <c r="P3458" s="74"/>
      <c r="Q3458" s="74"/>
      <c r="R3458" s="74"/>
      <c r="V3458" s="72"/>
    </row>
    <row r="3459" spans="15:22" x14ac:dyDescent="0.25">
      <c r="O3459" s="74"/>
      <c r="P3459" s="74"/>
      <c r="Q3459" s="74"/>
      <c r="R3459" s="74"/>
      <c r="V3459" s="72"/>
    </row>
    <row r="3460" spans="15:22" x14ac:dyDescent="0.25">
      <c r="O3460" s="74"/>
      <c r="P3460" s="74"/>
      <c r="Q3460" s="74"/>
      <c r="R3460" s="74"/>
      <c r="V3460" s="72"/>
    </row>
    <row r="3461" spans="15:22" x14ac:dyDescent="0.25">
      <c r="O3461" s="74"/>
      <c r="P3461" s="74"/>
      <c r="Q3461" s="74"/>
      <c r="R3461" s="74"/>
      <c r="V3461" s="72"/>
    </row>
    <row r="3462" spans="15:22" x14ac:dyDescent="0.25">
      <c r="O3462" s="74"/>
      <c r="P3462" s="74"/>
      <c r="Q3462" s="74"/>
      <c r="R3462" s="74"/>
      <c r="V3462" s="72"/>
    </row>
    <row r="3463" spans="15:22" x14ac:dyDescent="0.25">
      <c r="O3463" s="74"/>
      <c r="P3463" s="74"/>
      <c r="Q3463" s="74"/>
      <c r="R3463" s="74"/>
      <c r="V3463" s="72"/>
    </row>
    <row r="3464" spans="15:22" x14ac:dyDescent="0.25">
      <c r="O3464" s="74"/>
      <c r="P3464" s="74"/>
      <c r="Q3464" s="74"/>
      <c r="R3464" s="74"/>
      <c r="V3464" s="72"/>
    </row>
    <row r="3465" spans="15:22" x14ac:dyDescent="0.25">
      <c r="O3465" s="74"/>
      <c r="P3465" s="74"/>
      <c r="Q3465" s="74"/>
      <c r="R3465" s="74"/>
      <c r="V3465" s="72"/>
    </row>
    <row r="3466" spans="15:22" x14ac:dyDescent="0.25">
      <c r="O3466" s="74"/>
      <c r="P3466" s="74"/>
      <c r="Q3466" s="74"/>
      <c r="R3466" s="74"/>
      <c r="V3466" s="72"/>
    </row>
    <row r="3467" spans="15:22" x14ac:dyDescent="0.25">
      <c r="O3467" s="74"/>
      <c r="P3467" s="74"/>
      <c r="Q3467" s="74"/>
      <c r="R3467" s="74"/>
      <c r="V3467" s="72"/>
    </row>
    <row r="3468" spans="15:22" x14ac:dyDescent="0.25">
      <c r="O3468" s="74"/>
      <c r="P3468" s="74"/>
      <c r="Q3468" s="74"/>
      <c r="R3468" s="74"/>
      <c r="V3468" s="72"/>
    </row>
    <row r="3469" spans="15:22" x14ac:dyDescent="0.25">
      <c r="O3469" s="74"/>
      <c r="P3469" s="74"/>
      <c r="Q3469" s="74"/>
      <c r="R3469" s="74"/>
      <c r="V3469" s="72"/>
    </row>
    <row r="3470" spans="15:22" x14ac:dyDescent="0.25">
      <c r="O3470" s="74"/>
      <c r="P3470" s="74"/>
      <c r="Q3470" s="74"/>
      <c r="R3470" s="74"/>
      <c r="V3470" s="72"/>
    </row>
    <row r="3471" spans="15:22" x14ac:dyDescent="0.25">
      <c r="O3471" s="74"/>
      <c r="P3471" s="74"/>
      <c r="Q3471" s="74"/>
      <c r="R3471" s="74"/>
      <c r="V3471" s="72"/>
    </row>
    <row r="3472" spans="15:22" x14ac:dyDescent="0.25">
      <c r="O3472" s="74"/>
      <c r="P3472" s="74"/>
      <c r="Q3472" s="74"/>
      <c r="R3472" s="74"/>
      <c r="V3472" s="72"/>
    </row>
    <row r="3473" spans="15:22" x14ac:dyDescent="0.25">
      <c r="O3473" s="74"/>
      <c r="P3473" s="74"/>
      <c r="Q3473" s="74"/>
      <c r="R3473" s="74"/>
      <c r="V3473" s="72"/>
    </row>
    <row r="3474" spans="15:22" x14ac:dyDescent="0.25">
      <c r="O3474" s="74"/>
      <c r="P3474" s="74"/>
      <c r="Q3474" s="74"/>
      <c r="R3474" s="74"/>
      <c r="V3474" s="72"/>
    </row>
    <row r="3475" spans="15:22" x14ac:dyDescent="0.25">
      <c r="O3475" s="74"/>
      <c r="P3475" s="74"/>
      <c r="Q3475" s="74"/>
      <c r="R3475" s="74"/>
      <c r="V3475" s="72"/>
    </row>
    <row r="3476" spans="15:22" x14ac:dyDescent="0.25">
      <c r="O3476" s="74"/>
      <c r="P3476" s="74"/>
      <c r="Q3476" s="74"/>
      <c r="R3476" s="74"/>
      <c r="V3476" s="72"/>
    </row>
    <row r="3477" spans="15:22" x14ac:dyDescent="0.25">
      <c r="O3477" s="74"/>
      <c r="P3477" s="74"/>
      <c r="Q3477" s="74"/>
      <c r="R3477" s="74"/>
      <c r="V3477" s="72"/>
    </row>
    <row r="3478" spans="15:22" x14ac:dyDescent="0.25">
      <c r="O3478" s="74"/>
      <c r="P3478" s="74"/>
      <c r="Q3478" s="74"/>
      <c r="R3478" s="74"/>
      <c r="V3478" s="72"/>
    </row>
    <row r="3479" spans="15:22" x14ac:dyDescent="0.25">
      <c r="O3479" s="74"/>
      <c r="P3479" s="74"/>
      <c r="Q3479" s="74"/>
      <c r="R3479" s="74"/>
      <c r="V3479" s="72"/>
    </row>
    <row r="3480" spans="15:22" x14ac:dyDescent="0.25">
      <c r="O3480" s="74"/>
      <c r="P3480" s="74"/>
      <c r="Q3480" s="74"/>
      <c r="R3480" s="74"/>
      <c r="V3480" s="72"/>
    </row>
    <row r="3481" spans="15:22" x14ac:dyDescent="0.25">
      <c r="O3481" s="74"/>
      <c r="P3481" s="74"/>
      <c r="Q3481" s="74"/>
      <c r="R3481" s="74"/>
      <c r="V3481" s="72"/>
    </row>
    <row r="3482" spans="15:22" x14ac:dyDescent="0.25">
      <c r="O3482" s="74"/>
      <c r="P3482" s="74"/>
      <c r="Q3482" s="74"/>
      <c r="R3482" s="74"/>
      <c r="V3482" s="72"/>
    </row>
    <row r="3483" spans="15:22" x14ac:dyDescent="0.25">
      <c r="O3483" s="74"/>
      <c r="P3483" s="74"/>
      <c r="Q3483" s="74"/>
      <c r="R3483" s="74"/>
      <c r="V3483" s="72"/>
    </row>
    <row r="3484" spans="15:22" x14ac:dyDescent="0.25">
      <c r="O3484" s="74"/>
      <c r="P3484" s="74"/>
      <c r="Q3484" s="74"/>
      <c r="R3484" s="74"/>
      <c r="V3484" s="72"/>
    </row>
    <row r="3485" spans="15:22" x14ac:dyDescent="0.25">
      <c r="O3485" s="74"/>
      <c r="P3485" s="74"/>
      <c r="Q3485" s="74"/>
      <c r="R3485" s="74"/>
      <c r="V3485" s="72"/>
    </row>
    <row r="3486" spans="15:22" x14ac:dyDescent="0.25">
      <c r="O3486" s="74"/>
      <c r="P3486" s="74"/>
      <c r="Q3486" s="74"/>
      <c r="R3486" s="74"/>
      <c r="V3486" s="72"/>
    </row>
    <row r="3487" spans="15:22" x14ac:dyDescent="0.25">
      <c r="O3487" s="74"/>
      <c r="P3487" s="74"/>
      <c r="Q3487" s="74"/>
      <c r="R3487" s="74"/>
      <c r="V3487" s="72"/>
    </row>
    <row r="3488" spans="15:22" x14ac:dyDescent="0.25">
      <c r="O3488" s="74"/>
      <c r="P3488" s="74"/>
      <c r="Q3488" s="74"/>
      <c r="R3488" s="74"/>
      <c r="V3488" s="72"/>
    </row>
    <row r="3489" spans="15:22" x14ac:dyDescent="0.25">
      <c r="O3489" s="74"/>
      <c r="P3489" s="74"/>
      <c r="Q3489" s="74"/>
      <c r="R3489" s="74"/>
      <c r="V3489" s="72"/>
    </row>
    <row r="3490" spans="15:22" x14ac:dyDescent="0.25">
      <c r="O3490" s="74"/>
      <c r="P3490" s="74"/>
      <c r="Q3490" s="74"/>
      <c r="R3490" s="74"/>
      <c r="V3490" s="72"/>
    </row>
    <row r="3491" spans="15:22" x14ac:dyDescent="0.25">
      <c r="O3491" s="74"/>
      <c r="P3491" s="74"/>
      <c r="Q3491" s="74"/>
      <c r="R3491" s="74"/>
      <c r="V3491" s="72"/>
    </row>
    <row r="3492" spans="15:22" x14ac:dyDescent="0.25">
      <c r="O3492" s="74"/>
      <c r="P3492" s="74"/>
      <c r="Q3492" s="74"/>
      <c r="R3492" s="74"/>
      <c r="V3492" s="72"/>
    </row>
    <row r="3493" spans="15:22" x14ac:dyDescent="0.25">
      <c r="O3493" s="74"/>
      <c r="P3493" s="74"/>
      <c r="Q3493" s="74"/>
      <c r="R3493" s="74"/>
      <c r="V3493" s="72"/>
    </row>
    <row r="3494" spans="15:22" x14ac:dyDescent="0.25">
      <c r="O3494" s="74"/>
      <c r="P3494" s="74"/>
      <c r="Q3494" s="74"/>
      <c r="R3494" s="74"/>
      <c r="V3494" s="72"/>
    </row>
    <row r="3495" spans="15:22" x14ac:dyDescent="0.25">
      <c r="O3495" s="74"/>
      <c r="P3495" s="74"/>
      <c r="Q3495" s="74"/>
      <c r="R3495" s="74"/>
      <c r="V3495" s="72"/>
    </row>
    <row r="3496" spans="15:22" x14ac:dyDescent="0.25">
      <c r="O3496" s="74"/>
      <c r="P3496" s="74"/>
      <c r="Q3496" s="74"/>
      <c r="R3496" s="74"/>
      <c r="V3496" s="72"/>
    </row>
    <row r="3497" spans="15:22" x14ac:dyDescent="0.25">
      <c r="O3497" s="74"/>
      <c r="P3497" s="74"/>
      <c r="Q3497" s="74"/>
      <c r="R3497" s="74"/>
      <c r="V3497" s="72"/>
    </row>
    <row r="3498" spans="15:22" x14ac:dyDescent="0.25">
      <c r="O3498" s="74"/>
      <c r="P3498" s="74"/>
      <c r="Q3498" s="74"/>
      <c r="R3498" s="74"/>
      <c r="V3498" s="72"/>
    </row>
    <row r="3499" spans="15:22" x14ac:dyDescent="0.25">
      <c r="O3499" s="74"/>
      <c r="P3499" s="74"/>
      <c r="Q3499" s="74"/>
      <c r="R3499" s="74"/>
      <c r="V3499" s="72"/>
    </row>
    <row r="3500" spans="15:22" x14ac:dyDescent="0.25">
      <c r="O3500" s="74"/>
      <c r="P3500" s="74"/>
      <c r="Q3500" s="74"/>
      <c r="R3500" s="74"/>
      <c r="V3500" s="72"/>
    </row>
    <row r="3501" spans="15:22" x14ac:dyDescent="0.25">
      <c r="O3501" s="74"/>
      <c r="P3501" s="74"/>
      <c r="Q3501" s="74"/>
      <c r="R3501" s="74"/>
      <c r="V3501" s="72"/>
    </row>
    <row r="3502" spans="15:22" x14ac:dyDescent="0.25">
      <c r="O3502" s="74"/>
      <c r="P3502" s="74"/>
      <c r="Q3502" s="74"/>
      <c r="R3502" s="74"/>
      <c r="V3502" s="72"/>
    </row>
    <row r="3503" spans="15:22" x14ac:dyDescent="0.25">
      <c r="O3503" s="74"/>
      <c r="P3503" s="74"/>
      <c r="Q3503" s="74"/>
      <c r="R3503" s="74"/>
      <c r="V3503" s="72"/>
    </row>
    <row r="3504" spans="15:22" x14ac:dyDescent="0.25">
      <c r="O3504" s="74"/>
      <c r="P3504" s="74"/>
      <c r="Q3504" s="74"/>
      <c r="R3504" s="74"/>
      <c r="V3504" s="72"/>
    </row>
    <row r="3505" spans="15:22" x14ac:dyDescent="0.25">
      <c r="O3505" s="74"/>
      <c r="P3505" s="74"/>
      <c r="Q3505" s="74"/>
      <c r="R3505" s="74"/>
      <c r="V3505" s="72"/>
    </row>
    <row r="3506" spans="15:22" x14ac:dyDescent="0.25">
      <c r="O3506" s="74"/>
      <c r="P3506" s="74"/>
      <c r="Q3506" s="74"/>
      <c r="R3506" s="74"/>
      <c r="V3506" s="72"/>
    </row>
    <row r="3507" spans="15:22" x14ac:dyDescent="0.25">
      <c r="O3507" s="74"/>
      <c r="P3507" s="74"/>
      <c r="Q3507" s="74"/>
      <c r="R3507" s="74"/>
      <c r="V3507" s="72"/>
    </row>
    <row r="3508" spans="15:22" x14ac:dyDescent="0.25">
      <c r="O3508" s="74"/>
      <c r="P3508" s="74"/>
      <c r="Q3508" s="74"/>
      <c r="R3508" s="74"/>
      <c r="V3508" s="72"/>
    </row>
    <row r="3509" spans="15:22" x14ac:dyDescent="0.25">
      <c r="O3509" s="74"/>
      <c r="P3509" s="74"/>
      <c r="Q3509" s="74"/>
      <c r="R3509" s="74"/>
      <c r="V3509" s="72"/>
    </row>
    <row r="3510" spans="15:22" x14ac:dyDescent="0.25">
      <c r="O3510" s="74"/>
      <c r="P3510" s="74"/>
      <c r="Q3510" s="74"/>
      <c r="R3510" s="74"/>
      <c r="V3510" s="72"/>
    </row>
    <row r="3511" spans="15:22" x14ac:dyDescent="0.25">
      <c r="O3511" s="74"/>
      <c r="P3511" s="74"/>
      <c r="Q3511" s="74"/>
      <c r="R3511" s="74"/>
      <c r="V3511" s="72"/>
    </row>
    <row r="3512" spans="15:22" x14ac:dyDescent="0.25">
      <c r="O3512" s="74"/>
      <c r="P3512" s="74"/>
      <c r="Q3512" s="74"/>
      <c r="R3512" s="74"/>
      <c r="V3512" s="72"/>
    </row>
    <row r="3513" spans="15:22" x14ac:dyDescent="0.25">
      <c r="O3513" s="74"/>
      <c r="P3513" s="74"/>
      <c r="Q3513" s="74"/>
      <c r="R3513" s="74"/>
      <c r="V3513" s="72"/>
    </row>
    <row r="3514" spans="15:22" x14ac:dyDescent="0.25">
      <c r="O3514" s="74"/>
      <c r="P3514" s="74"/>
      <c r="Q3514" s="74"/>
      <c r="R3514" s="74"/>
      <c r="V3514" s="72"/>
    </row>
    <row r="3515" spans="15:22" x14ac:dyDescent="0.25">
      <c r="O3515" s="74"/>
      <c r="P3515" s="74"/>
      <c r="Q3515" s="74"/>
      <c r="R3515" s="74"/>
      <c r="V3515" s="72"/>
    </row>
    <row r="3516" spans="15:22" x14ac:dyDescent="0.25">
      <c r="O3516" s="74"/>
      <c r="P3516" s="74"/>
      <c r="Q3516" s="74"/>
      <c r="R3516" s="74"/>
      <c r="V3516" s="72"/>
    </row>
    <row r="3517" spans="15:22" x14ac:dyDescent="0.25">
      <c r="O3517" s="74"/>
      <c r="P3517" s="74"/>
      <c r="Q3517" s="74"/>
      <c r="R3517" s="74"/>
      <c r="V3517" s="72"/>
    </row>
    <row r="3518" spans="15:22" x14ac:dyDescent="0.25">
      <c r="O3518" s="74"/>
      <c r="P3518" s="74"/>
      <c r="Q3518" s="74"/>
      <c r="R3518" s="74"/>
      <c r="V3518" s="72"/>
    </row>
    <row r="3519" spans="15:22" x14ac:dyDescent="0.25">
      <c r="O3519" s="74"/>
      <c r="P3519" s="74"/>
      <c r="Q3519" s="74"/>
      <c r="R3519" s="74"/>
      <c r="V3519" s="72"/>
    </row>
    <row r="3520" spans="15:22" x14ac:dyDescent="0.25">
      <c r="O3520" s="74"/>
      <c r="P3520" s="74"/>
      <c r="Q3520" s="74"/>
      <c r="R3520" s="74"/>
      <c r="V3520" s="72"/>
    </row>
    <row r="3521" spans="15:22" x14ac:dyDescent="0.25">
      <c r="O3521" s="74"/>
      <c r="P3521" s="74"/>
      <c r="Q3521" s="74"/>
      <c r="R3521" s="74"/>
      <c r="V3521" s="72"/>
    </row>
    <row r="3522" spans="15:22" x14ac:dyDescent="0.25">
      <c r="O3522" s="74"/>
      <c r="P3522" s="74"/>
      <c r="Q3522" s="74"/>
      <c r="R3522" s="74"/>
      <c r="V3522" s="72"/>
    </row>
    <row r="3523" spans="15:22" x14ac:dyDescent="0.25">
      <c r="O3523" s="74"/>
      <c r="P3523" s="74"/>
      <c r="Q3523" s="74"/>
      <c r="R3523" s="74"/>
      <c r="V3523" s="72"/>
    </row>
    <row r="3524" spans="15:22" x14ac:dyDescent="0.25">
      <c r="O3524" s="74"/>
      <c r="P3524" s="74"/>
      <c r="Q3524" s="74"/>
      <c r="R3524" s="74"/>
      <c r="V3524" s="72"/>
    </row>
    <row r="3525" spans="15:22" x14ac:dyDescent="0.25">
      <c r="O3525" s="74"/>
      <c r="P3525" s="74"/>
      <c r="Q3525" s="74"/>
      <c r="R3525" s="74"/>
      <c r="V3525" s="72"/>
    </row>
    <row r="3526" spans="15:22" x14ac:dyDescent="0.25">
      <c r="O3526" s="74"/>
      <c r="P3526" s="74"/>
      <c r="Q3526" s="74"/>
      <c r="R3526" s="74"/>
      <c r="V3526" s="72"/>
    </row>
    <row r="3527" spans="15:22" x14ac:dyDescent="0.25">
      <c r="O3527" s="74"/>
      <c r="P3527" s="74"/>
      <c r="Q3527" s="74"/>
      <c r="R3527" s="74"/>
      <c r="V3527" s="72"/>
    </row>
    <row r="3528" spans="15:22" x14ac:dyDescent="0.25">
      <c r="O3528" s="74"/>
      <c r="P3528" s="74"/>
      <c r="Q3528" s="74"/>
      <c r="R3528" s="74"/>
      <c r="V3528" s="72"/>
    </row>
    <row r="3529" spans="15:22" x14ac:dyDescent="0.25">
      <c r="O3529" s="74"/>
      <c r="P3529" s="74"/>
      <c r="Q3529" s="74"/>
      <c r="R3529" s="74"/>
      <c r="V3529" s="72"/>
    </row>
    <row r="3530" spans="15:22" x14ac:dyDescent="0.25">
      <c r="O3530" s="74"/>
      <c r="P3530" s="74"/>
      <c r="Q3530" s="74"/>
      <c r="R3530" s="74"/>
      <c r="V3530" s="72"/>
    </row>
    <row r="3531" spans="15:22" x14ac:dyDescent="0.25">
      <c r="O3531" s="74"/>
      <c r="P3531" s="74"/>
      <c r="Q3531" s="74"/>
      <c r="R3531" s="74"/>
      <c r="V3531" s="72"/>
    </row>
    <row r="3532" spans="15:22" x14ac:dyDescent="0.25">
      <c r="O3532" s="74"/>
      <c r="P3532" s="74"/>
      <c r="Q3532" s="74"/>
      <c r="R3532" s="74"/>
      <c r="V3532" s="72"/>
    </row>
    <row r="3533" spans="15:22" x14ac:dyDescent="0.25">
      <c r="O3533" s="74"/>
      <c r="P3533" s="74"/>
      <c r="Q3533" s="74"/>
      <c r="R3533" s="74"/>
      <c r="V3533" s="72"/>
    </row>
    <row r="3534" spans="15:22" x14ac:dyDescent="0.25">
      <c r="O3534" s="74"/>
      <c r="P3534" s="74"/>
      <c r="Q3534" s="74"/>
      <c r="R3534" s="74"/>
      <c r="V3534" s="72"/>
    </row>
    <row r="3535" spans="15:22" x14ac:dyDescent="0.25">
      <c r="O3535" s="74"/>
      <c r="P3535" s="74"/>
      <c r="Q3535" s="74"/>
      <c r="R3535" s="74"/>
      <c r="V3535" s="72"/>
    </row>
    <row r="3536" spans="15:22" x14ac:dyDescent="0.25">
      <c r="O3536" s="74"/>
      <c r="P3536" s="74"/>
      <c r="Q3536" s="74"/>
      <c r="R3536" s="74"/>
      <c r="V3536" s="72"/>
    </row>
    <row r="3537" spans="15:22" x14ac:dyDescent="0.25">
      <c r="O3537" s="74"/>
      <c r="P3537" s="74"/>
      <c r="Q3537" s="74"/>
      <c r="R3537" s="74"/>
      <c r="V3537" s="72"/>
    </row>
    <row r="3538" spans="15:22" x14ac:dyDescent="0.25">
      <c r="O3538" s="74"/>
      <c r="P3538" s="74"/>
      <c r="Q3538" s="74"/>
      <c r="R3538" s="74"/>
      <c r="V3538" s="72"/>
    </row>
    <row r="3539" spans="15:22" x14ac:dyDescent="0.25">
      <c r="O3539" s="74"/>
      <c r="P3539" s="74"/>
      <c r="Q3539" s="74"/>
      <c r="R3539" s="74"/>
      <c r="V3539" s="72"/>
    </row>
    <row r="3540" spans="15:22" x14ac:dyDescent="0.25">
      <c r="O3540" s="74"/>
      <c r="P3540" s="74"/>
      <c r="Q3540" s="74"/>
      <c r="R3540" s="74"/>
      <c r="V3540" s="72"/>
    </row>
    <row r="3541" spans="15:22" x14ac:dyDescent="0.25">
      <c r="O3541" s="74"/>
      <c r="P3541" s="74"/>
      <c r="Q3541" s="74"/>
      <c r="R3541" s="74"/>
      <c r="V3541" s="72"/>
    </row>
    <row r="3542" spans="15:22" x14ac:dyDescent="0.25">
      <c r="O3542" s="74"/>
      <c r="P3542" s="74"/>
      <c r="Q3542" s="74"/>
      <c r="R3542" s="74"/>
      <c r="V3542" s="72"/>
    </row>
    <row r="3543" spans="15:22" x14ac:dyDescent="0.25">
      <c r="O3543" s="74"/>
      <c r="P3543" s="74"/>
      <c r="Q3543" s="74"/>
      <c r="R3543" s="74"/>
      <c r="V3543" s="72"/>
    </row>
    <row r="3544" spans="15:22" x14ac:dyDescent="0.25">
      <c r="O3544" s="74"/>
      <c r="P3544" s="74"/>
      <c r="Q3544" s="74"/>
      <c r="R3544" s="74"/>
      <c r="V3544" s="72"/>
    </row>
    <row r="3545" spans="15:22" x14ac:dyDescent="0.25">
      <c r="O3545" s="74"/>
      <c r="P3545" s="74"/>
      <c r="Q3545" s="74"/>
      <c r="R3545" s="74"/>
      <c r="V3545" s="72"/>
    </row>
    <row r="3546" spans="15:22" x14ac:dyDescent="0.25">
      <c r="O3546" s="74"/>
      <c r="P3546" s="74"/>
      <c r="Q3546" s="74"/>
      <c r="R3546" s="74"/>
      <c r="V3546" s="72"/>
    </row>
    <row r="3547" spans="15:22" x14ac:dyDescent="0.25">
      <c r="O3547" s="74"/>
      <c r="P3547" s="74"/>
      <c r="Q3547" s="74"/>
      <c r="R3547" s="74"/>
      <c r="V3547" s="72"/>
    </row>
    <row r="3548" spans="15:22" x14ac:dyDescent="0.25">
      <c r="O3548" s="74"/>
      <c r="P3548" s="74"/>
      <c r="Q3548" s="74"/>
      <c r="R3548" s="74"/>
      <c r="V3548" s="72"/>
    </row>
    <row r="3549" spans="15:22" x14ac:dyDescent="0.25">
      <c r="O3549" s="74"/>
      <c r="P3549" s="74"/>
      <c r="Q3549" s="74"/>
      <c r="R3549" s="74"/>
      <c r="V3549" s="72"/>
    </row>
    <row r="3550" spans="15:22" x14ac:dyDescent="0.25">
      <c r="O3550" s="74"/>
      <c r="P3550" s="74"/>
      <c r="Q3550" s="74"/>
      <c r="R3550" s="74"/>
      <c r="V3550" s="72"/>
    </row>
    <row r="3551" spans="15:22" x14ac:dyDescent="0.25">
      <c r="O3551" s="74"/>
      <c r="P3551" s="74"/>
      <c r="Q3551" s="74"/>
      <c r="R3551" s="74"/>
      <c r="V3551" s="72"/>
    </row>
    <row r="3552" spans="15:22" x14ac:dyDescent="0.25">
      <c r="O3552" s="74"/>
      <c r="P3552" s="74"/>
      <c r="Q3552" s="74"/>
      <c r="R3552" s="74"/>
      <c r="V3552" s="72"/>
    </row>
    <row r="3553" spans="15:22" x14ac:dyDescent="0.25">
      <c r="O3553" s="74"/>
      <c r="P3553" s="74"/>
      <c r="Q3553" s="74"/>
      <c r="R3553" s="74"/>
      <c r="V3553" s="72"/>
    </row>
    <row r="3554" spans="15:22" x14ac:dyDescent="0.25">
      <c r="O3554" s="74"/>
      <c r="P3554" s="74"/>
      <c r="Q3554" s="74"/>
      <c r="R3554" s="74"/>
      <c r="V3554" s="72"/>
    </row>
    <row r="3555" spans="15:22" x14ac:dyDescent="0.25">
      <c r="O3555" s="74"/>
      <c r="P3555" s="74"/>
      <c r="Q3555" s="74"/>
      <c r="R3555" s="74"/>
      <c r="V3555" s="72"/>
    </row>
    <row r="3556" spans="15:22" x14ac:dyDescent="0.25">
      <c r="O3556" s="74"/>
      <c r="P3556" s="74"/>
      <c r="Q3556" s="74"/>
      <c r="R3556" s="74"/>
      <c r="V3556" s="72"/>
    </row>
    <row r="3557" spans="15:22" x14ac:dyDescent="0.25">
      <c r="O3557" s="74"/>
      <c r="P3557" s="74"/>
      <c r="Q3557" s="74"/>
      <c r="R3557" s="74"/>
      <c r="V3557" s="72"/>
    </row>
    <row r="3558" spans="15:22" x14ac:dyDescent="0.25">
      <c r="O3558" s="74"/>
      <c r="P3558" s="74"/>
      <c r="Q3558" s="74"/>
      <c r="R3558" s="74"/>
      <c r="V3558" s="72"/>
    </row>
    <row r="3559" spans="15:22" x14ac:dyDescent="0.25">
      <c r="O3559" s="74"/>
      <c r="P3559" s="74"/>
      <c r="Q3559" s="74"/>
      <c r="R3559" s="74"/>
      <c r="V3559" s="72"/>
    </row>
    <row r="3560" spans="15:22" x14ac:dyDescent="0.25">
      <c r="O3560" s="74"/>
      <c r="P3560" s="74"/>
      <c r="Q3560" s="74"/>
      <c r="R3560" s="74"/>
      <c r="V3560" s="72"/>
    </row>
    <row r="3561" spans="15:22" x14ac:dyDescent="0.25">
      <c r="O3561" s="74"/>
      <c r="P3561" s="74"/>
      <c r="Q3561" s="74"/>
      <c r="R3561" s="74"/>
      <c r="V3561" s="72"/>
    </row>
    <row r="3562" spans="15:22" x14ac:dyDescent="0.25">
      <c r="O3562" s="74"/>
      <c r="P3562" s="74"/>
      <c r="Q3562" s="74"/>
      <c r="R3562" s="74"/>
      <c r="V3562" s="72"/>
    </row>
    <row r="3563" spans="15:22" x14ac:dyDescent="0.25">
      <c r="O3563" s="74"/>
      <c r="P3563" s="74"/>
      <c r="Q3563" s="74"/>
      <c r="R3563" s="74"/>
      <c r="V3563" s="72"/>
    </row>
    <row r="3564" spans="15:22" x14ac:dyDescent="0.25">
      <c r="O3564" s="74"/>
      <c r="P3564" s="74"/>
      <c r="Q3564" s="74"/>
      <c r="R3564" s="74"/>
      <c r="V3564" s="72"/>
    </row>
    <row r="3565" spans="15:22" x14ac:dyDescent="0.25">
      <c r="O3565" s="74"/>
      <c r="P3565" s="74"/>
      <c r="Q3565" s="74"/>
      <c r="R3565" s="74"/>
      <c r="V3565" s="72"/>
    </row>
    <row r="3566" spans="15:22" x14ac:dyDescent="0.25">
      <c r="O3566" s="74"/>
      <c r="P3566" s="74"/>
      <c r="Q3566" s="74"/>
      <c r="R3566" s="74"/>
      <c r="V3566" s="72"/>
    </row>
    <row r="3567" spans="15:22" x14ac:dyDescent="0.25">
      <c r="O3567" s="74"/>
      <c r="P3567" s="74"/>
      <c r="Q3567" s="74"/>
      <c r="R3567" s="74"/>
      <c r="V3567" s="72"/>
    </row>
    <row r="3568" spans="15:22" x14ac:dyDescent="0.25">
      <c r="O3568" s="74"/>
      <c r="P3568" s="74"/>
      <c r="Q3568" s="74"/>
      <c r="R3568" s="74"/>
      <c r="V3568" s="72"/>
    </row>
    <row r="3569" spans="15:22" x14ac:dyDescent="0.25">
      <c r="O3569" s="74"/>
      <c r="P3569" s="74"/>
      <c r="Q3569" s="74"/>
      <c r="R3569" s="74"/>
      <c r="V3569" s="72"/>
    </row>
    <row r="3570" spans="15:22" x14ac:dyDescent="0.25">
      <c r="O3570" s="74"/>
      <c r="P3570" s="74"/>
      <c r="Q3570" s="74"/>
      <c r="R3570" s="74"/>
      <c r="V3570" s="72"/>
    </row>
    <row r="3571" spans="15:22" x14ac:dyDescent="0.25">
      <c r="O3571" s="74"/>
      <c r="P3571" s="74"/>
      <c r="Q3571" s="74"/>
      <c r="R3571" s="74"/>
      <c r="V3571" s="72"/>
    </row>
    <row r="3572" spans="15:22" x14ac:dyDescent="0.25">
      <c r="O3572" s="74"/>
      <c r="P3572" s="74"/>
      <c r="Q3572" s="74"/>
      <c r="R3572" s="74"/>
      <c r="V3572" s="72"/>
    </row>
    <row r="3573" spans="15:22" x14ac:dyDescent="0.25">
      <c r="O3573" s="74"/>
      <c r="P3573" s="74"/>
      <c r="Q3573" s="74"/>
      <c r="R3573" s="74"/>
      <c r="V3573" s="72"/>
    </row>
    <row r="3574" spans="15:22" x14ac:dyDescent="0.25">
      <c r="O3574" s="74"/>
      <c r="P3574" s="74"/>
      <c r="Q3574" s="74"/>
      <c r="R3574" s="74"/>
      <c r="V3574" s="72"/>
    </row>
    <row r="3575" spans="15:22" x14ac:dyDescent="0.25">
      <c r="O3575" s="74"/>
      <c r="P3575" s="74"/>
      <c r="Q3575" s="74"/>
      <c r="R3575" s="74"/>
      <c r="V3575" s="72"/>
    </row>
    <row r="3576" spans="15:22" x14ac:dyDescent="0.25">
      <c r="O3576" s="74"/>
      <c r="P3576" s="74"/>
      <c r="Q3576" s="74"/>
      <c r="R3576" s="74"/>
      <c r="V3576" s="72"/>
    </row>
    <row r="3577" spans="15:22" x14ac:dyDescent="0.25">
      <c r="O3577" s="74"/>
      <c r="P3577" s="74"/>
      <c r="Q3577" s="74"/>
      <c r="R3577" s="74"/>
      <c r="V3577" s="72"/>
    </row>
    <row r="3578" spans="15:22" x14ac:dyDescent="0.25">
      <c r="O3578" s="74"/>
      <c r="P3578" s="74"/>
      <c r="Q3578" s="74"/>
      <c r="R3578" s="74"/>
      <c r="V3578" s="72"/>
    </row>
    <row r="3579" spans="15:22" x14ac:dyDescent="0.25">
      <c r="O3579" s="74"/>
      <c r="P3579" s="74"/>
      <c r="Q3579" s="74"/>
      <c r="R3579" s="74"/>
      <c r="V3579" s="72"/>
    </row>
    <row r="3580" spans="15:22" x14ac:dyDescent="0.25">
      <c r="O3580" s="74"/>
      <c r="P3580" s="74"/>
      <c r="Q3580" s="74"/>
      <c r="R3580" s="74"/>
      <c r="V3580" s="72"/>
    </row>
    <row r="3581" spans="15:22" x14ac:dyDescent="0.25">
      <c r="O3581" s="74"/>
      <c r="P3581" s="74"/>
      <c r="Q3581" s="74"/>
      <c r="R3581" s="74"/>
      <c r="V3581" s="72"/>
    </row>
    <row r="3582" spans="15:22" x14ac:dyDescent="0.25">
      <c r="O3582" s="74"/>
      <c r="P3582" s="74"/>
      <c r="Q3582" s="74"/>
      <c r="R3582" s="74"/>
      <c r="V3582" s="72"/>
    </row>
    <row r="3583" spans="15:22" x14ac:dyDescent="0.25">
      <c r="O3583" s="74"/>
      <c r="P3583" s="74"/>
      <c r="Q3583" s="74"/>
      <c r="R3583" s="74"/>
      <c r="V3583" s="72"/>
    </row>
    <row r="3584" spans="15:22" x14ac:dyDescent="0.25">
      <c r="O3584" s="74"/>
      <c r="P3584" s="74"/>
      <c r="Q3584" s="74"/>
      <c r="R3584" s="74"/>
      <c r="V3584" s="72"/>
    </row>
    <row r="3585" spans="15:22" x14ac:dyDescent="0.25">
      <c r="O3585" s="74"/>
      <c r="P3585" s="74"/>
      <c r="Q3585" s="74"/>
      <c r="R3585" s="74"/>
      <c r="V3585" s="72"/>
    </row>
    <row r="3586" spans="15:22" x14ac:dyDescent="0.25">
      <c r="O3586" s="74"/>
      <c r="P3586" s="74"/>
      <c r="Q3586" s="74"/>
      <c r="R3586" s="74"/>
      <c r="V3586" s="72"/>
    </row>
    <row r="3587" spans="15:22" x14ac:dyDescent="0.25">
      <c r="O3587" s="74"/>
      <c r="P3587" s="74"/>
      <c r="Q3587" s="74"/>
      <c r="R3587" s="74"/>
      <c r="V3587" s="72"/>
    </row>
    <row r="3588" spans="15:22" x14ac:dyDescent="0.25">
      <c r="O3588" s="74"/>
      <c r="P3588" s="74"/>
      <c r="Q3588" s="74"/>
      <c r="R3588" s="74"/>
      <c r="V3588" s="72"/>
    </row>
    <row r="3589" spans="15:22" x14ac:dyDescent="0.25">
      <c r="O3589" s="74"/>
      <c r="P3589" s="74"/>
      <c r="Q3589" s="74"/>
      <c r="R3589" s="74"/>
      <c r="V3589" s="72"/>
    </row>
    <row r="3590" spans="15:22" x14ac:dyDescent="0.25">
      <c r="O3590" s="74"/>
      <c r="P3590" s="74"/>
      <c r="Q3590" s="74"/>
      <c r="R3590" s="74"/>
      <c r="V3590" s="72"/>
    </row>
    <row r="3591" spans="15:22" x14ac:dyDescent="0.25">
      <c r="O3591" s="74"/>
      <c r="P3591" s="74"/>
      <c r="Q3591" s="74"/>
      <c r="R3591" s="74"/>
      <c r="V3591" s="72"/>
    </row>
    <row r="3592" spans="15:22" x14ac:dyDescent="0.25">
      <c r="O3592" s="74"/>
      <c r="P3592" s="74"/>
      <c r="Q3592" s="74"/>
      <c r="R3592" s="74"/>
      <c r="V3592" s="72"/>
    </row>
    <row r="3593" spans="15:22" x14ac:dyDescent="0.25">
      <c r="O3593" s="74"/>
      <c r="P3593" s="74"/>
      <c r="Q3593" s="74"/>
      <c r="R3593" s="74"/>
      <c r="V3593" s="72"/>
    </row>
    <row r="3594" spans="15:22" x14ac:dyDescent="0.25">
      <c r="O3594" s="74"/>
      <c r="P3594" s="74"/>
      <c r="Q3594" s="74"/>
      <c r="R3594" s="74"/>
      <c r="V3594" s="72"/>
    </row>
    <row r="3595" spans="15:22" x14ac:dyDescent="0.25">
      <c r="O3595" s="74"/>
      <c r="P3595" s="74"/>
      <c r="Q3595" s="74"/>
      <c r="R3595" s="74"/>
      <c r="V3595" s="72"/>
    </row>
    <row r="3596" spans="15:22" x14ac:dyDescent="0.25">
      <c r="O3596" s="74"/>
      <c r="P3596" s="74"/>
      <c r="Q3596" s="74"/>
      <c r="R3596" s="74"/>
      <c r="V3596" s="72"/>
    </row>
    <row r="3597" spans="15:22" x14ac:dyDescent="0.25">
      <c r="O3597" s="74"/>
      <c r="P3597" s="74"/>
      <c r="Q3597" s="74"/>
      <c r="R3597" s="74"/>
      <c r="V3597" s="72"/>
    </row>
    <row r="3598" spans="15:22" x14ac:dyDescent="0.25">
      <c r="O3598" s="74"/>
      <c r="P3598" s="74"/>
      <c r="Q3598" s="74"/>
      <c r="R3598" s="74"/>
      <c r="V3598" s="72"/>
    </row>
    <row r="3599" spans="15:22" x14ac:dyDescent="0.25">
      <c r="O3599" s="74"/>
      <c r="P3599" s="74"/>
      <c r="Q3599" s="74"/>
      <c r="R3599" s="74"/>
      <c r="V3599" s="72"/>
    </row>
    <row r="3600" spans="15:22" x14ac:dyDescent="0.25">
      <c r="O3600" s="74"/>
      <c r="P3600" s="74"/>
      <c r="Q3600" s="74"/>
      <c r="R3600" s="74"/>
      <c r="V3600" s="72"/>
    </row>
    <row r="3601" spans="15:22" x14ac:dyDescent="0.25">
      <c r="O3601" s="74"/>
      <c r="P3601" s="74"/>
      <c r="Q3601" s="74"/>
      <c r="R3601" s="74"/>
      <c r="V3601" s="72"/>
    </row>
    <row r="3602" spans="15:22" x14ac:dyDescent="0.25">
      <c r="O3602" s="74"/>
      <c r="P3602" s="74"/>
      <c r="Q3602" s="74"/>
      <c r="R3602" s="74"/>
      <c r="V3602" s="72"/>
    </row>
    <row r="3603" spans="15:22" x14ac:dyDescent="0.25">
      <c r="O3603" s="74"/>
      <c r="P3603" s="74"/>
      <c r="Q3603" s="74"/>
      <c r="R3603" s="74"/>
      <c r="V3603" s="72"/>
    </row>
    <row r="3604" spans="15:22" x14ac:dyDescent="0.25">
      <c r="O3604" s="74"/>
      <c r="P3604" s="74"/>
      <c r="Q3604" s="74"/>
      <c r="R3604" s="74"/>
      <c r="V3604" s="72"/>
    </row>
    <row r="3605" spans="15:22" x14ac:dyDescent="0.25">
      <c r="O3605" s="74"/>
      <c r="P3605" s="74"/>
      <c r="Q3605" s="74"/>
      <c r="R3605" s="74"/>
      <c r="V3605" s="72"/>
    </row>
    <row r="3606" spans="15:22" x14ac:dyDescent="0.25">
      <c r="O3606" s="74"/>
      <c r="P3606" s="74"/>
      <c r="Q3606" s="74"/>
      <c r="R3606" s="74"/>
      <c r="V3606" s="72"/>
    </row>
    <row r="3607" spans="15:22" x14ac:dyDescent="0.25">
      <c r="O3607" s="74"/>
      <c r="P3607" s="74"/>
      <c r="Q3607" s="74"/>
      <c r="R3607" s="74"/>
      <c r="V3607" s="72"/>
    </row>
    <row r="3608" spans="15:22" x14ac:dyDescent="0.25">
      <c r="O3608" s="74"/>
      <c r="P3608" s="74"/>
      <c r="Q3608" s="74"/>
      <c r="R3608" s="74"/>
      <c r="V3608" s="72"/>
    </row>
    <row r="3609" spans="15:22" x14ac:dyDescent="0.25">
      <c r="O3609" s="74"/>
      <c r="P3609" s="74"/>
      <c r="Q3609" s="74"/>
      <c r="R3609" s="74"/>
      <c r="V3609" s="72"/>
    </row>
    <row r="3610" spans="15:22" x14ac:dyDescent="0.25">
      <c r="O3610" s="74"/>
      <c r="P3610" s="74"/>
      <c r="Q3610" s="74"/>
      <c r="R3610" s="74"/>
      <c r="V3610" s="72"/>
    </row>
    <row r="3611" spans="15:22" x14ac:dyDescent="0.25">
      <c r="O3611" s="74"/>
      <c r="P3611" s="74"/>
      <c r="Q3611" s="74"/>
      <c r="R3611" s="74"/>
      <c r="V3611" s="72"/>
    </row>
    <row r="3612" spans="15:22" x14ac:dyDescent="0.25">
      <c r="O3612" s="74"/>
      <c r="P3612" s="74"/>
      <c r="Q3612" s="74"/>
      <c r="R3612" s="74"/>
      <c r="V3612" s="72"/>
    </row>
    <row r="3613" spans="15:22" x14ac:dyDescent="0.25">
      <c r="O3613" s="74"/>
      <c r="P3613" s="74"/>
      <c r="Q3613" s="74"/>
      <c r="R3613" s="74"/>
      <c r="V3613" s="72"/>
    </row>
    <row r="3614" spans="15:22" x14ac:dyDescent="0.25">
      <c r="O3614" s="74"/>
      <c r="P3614" s="74"/>
      <c r="Q3614" s="74"/>
      <c r="R3614" s="74"/>
      <c r="V3614" s="72"/>
    </row>
    <row r="3615" spans="15:22" x14ac:dyDescent="0.25">
      <c r="O3615" s="74"/>
      <c r="P3615" s="74"/>
      <c r="Q3615" s="74"/>
      <c r="R3615" s="74"/>
      <c r="V3615" s="72"/>
    </row>
    <row r="3616" spans="15:22" x14ac:dyDescent="0.25">
      <c r="O3616" s="74"/>
      <c r="P3616" s="74"/>
      <c r="Q3616" s="74"/>
      <c r="R3616" s="74"/>
      <c r="V3616" s="72"/>
    </row>
    <row r="3617" spans="15:22" x14ac:dyDescent="0.25">
      <c r="O3617" s="74"/>
      <c r="P3617" s="74"/>
      <c r="Q3617" s="74"/>
      <c r="R3617" s="74"/>
      <c r="V3617" s="72"/>
    </row>
    <row r="3618" spans="15:22" x14ac:dyDescent="0.25">
      <c r="O3618" s="74"/>
      <c r="P3618" s="74"/>
      <c r="Q3618" s="74"/>
      <c r="R3618" s="74"/>
      <c r="V3618" s="72"/>
    </row>
    <row r="3619" spans="15:22" x14ac:dyDescent="0.25">
      <c r="O3619" s="74"/>
      <c r="P3619" s="74"/>
      <c r="Q3619" s="74"/>
      <c r="R3619" s="74"/>
      <c r="V3619" s="72"/>
    </row>
    <row r="3620" spans="15:22" x14ac:dyDescent="0.25">
      <c r="O3620" s="74"/>
      <c r="P3620" s="74"/>
      <c r="Q3620" s="74"/>
      <c r="R3620" s="74"/>
      <c r="V3620" s="72"/>
    </row>
    <row r="3621" spans="15:22" x14ac:dyDescent="0.25">
      <c r="O3621" s="74"/>
      <c r="P3621" s="74"/>
      <c r="Q3621" s="74"/>
      <c r="R3621" s="74"/>
      <c r="V3621" s="72"/>
    </row>
    <row r="3622" spans="15:22" x14ac:dyDescent="0.25">
      <c r="O3622" s="74"/>
      <c r="P3622" s="74"/>
      <c r="Q3622" s="74"/>
      <c r="R3622" s="74"/>
      <c r="V3622" s="72"/>
    </row>
    <row r="3623" spans="15:22" x14ac:dyDescent="0.25">
      <c r="O3623" s="74"/>
      <c r="P3623" s="74"/>
      <c r="Q3623" s="74"/>
      <c r="R3623" s="74"/>
      <c r="V3623" s="72"/>
    </row>
    <row r="3624" spans="15:22" x14ac:dyDescent="0.25">
      <c r="O3624" s="74"/>
      <c r="P3624" s="74"/>
      <c r="Q3624" s="74"/>
      <c r="R3624" s="74"/>
      <c r="V3624" s="72"/>
    </row>
    <row r="3625" spans="15:22" x14ac:dyDescent="0.25">
      <c r="O3625" s="74"/>
      <c r="P3625" s="74"/>
      <c r="Q3625" s="74"/>
      <c r="R3625" s="74"/>
      <c r="V3625" s="72"/>
    </row>
    <row r="3626" spans="15:22" x14ac:dyDescent="0.25">
      <c r="O3626" s="74"/>
      <c r="P3626" s="74"/>
      <c r="Q3626" s="74"/>
      <c r="R3626" s="74"/>
      <c r="V3626" s="72"/>
    </row>
    <row r="3627" spans="15:22" x14ac:dyDescent="0.25">
      <c r="O3627" s="74"/>
      <c r="P3627" s="74"/>
      <c r="Q3627" s="74"/>
      <c r="R3627" s="74"/>
      <c r="V3627" s="72"/>
    </row>
    <row r="3628" spans="15:22" x14ac:dyDescent="0.25">
      <c r="O3628" s="74"/>
      <c r="P3628" s="74"/>
      <c r="Q3628" s="74"/>
      <c r="R3628" s="74"/>
      <c r="V3628" s="72"/>
    </row>
    <row r="3629" spans="15:22" x14ac:dyDescent="0.25">
      <c r="O3629" s="74"/>
      <c r="P3629" s="74"/>
      <c r="Q3629" s="74"/>
      <c r="R3629" s="74"/>
      <c r="V3629" s="72"/>
    </row>
    <row r="3630" spans="15:22" x14ac:dyDescent="0.25">
      <c r="O3630" s="74"/>
      <c r="P3630" s="74"/>
      <c r="Q3630" s="74"/>
      <c r="R3630" s="74"/>
      <c r="V3630" s="72"/>
    </row>
    <row r="3631" spans="15:22" x14ac:dyDescent="0.25">
      <c r="O3631" s="74"/>
      <c r="P3631" s="74"/>
      <c r="Q3631" s="74"/>
      <c r="R3631" s="74"/>
      <c r="V3631" s="72"/>
    </row>
    <row r="3632" spans="15:22" x14ac:dyDescent="0.25">
      <c r="O3632" s="74"/>
      <c r="P3632" s="74"/>
      <c r="Q3632" s="74"/>
      <c r="R3632" s="74"/>
      <c r="V3632" s="72"/>
    </row>
    <row r="3633" spans="15:22" x14ac:dyDescent="0.25">
      <c r="O3633" s="74"/>
      <c r="P3633" s="74"/>
      <c r="Q3633" s="74"/>
      <c r="R3633" s="74"/>
      <c r="V3633" s="72"/>
    </row>
    <row r="3634" spans="15:22" x14ac:dyDescent="0.25">
      <c r="O3634" s="74"/>
      <c r="P3634" s="74"/>
      <c r="Q3634" s="74"/>
      <c r="R3634" s="74"/>
      <c r="V3634" s="72"/>
    </row>
    <row r="3635" spans="15:22" x14ac:dyDescent="0.25">
      <c r="O3635" s="74"/>
      <c r="P3635" s="74"/>
      <c r="Q3635" s="74"/>
      <c r="R3635" s="74"/>
      <c r="V3635" s="72"/>
    </row>
    <row r="3636" spans="15:22" x14ac:dyDescent="0.25">
      <c r="O3636" s="74"/>
      <c r="P3636" s="74"/>
      <c r="Q3636" s="74"/>
      <c r="R3636" s="74"/>
      <c r="V3636" s="72"/>
    </row>
    <row r="3637" spans="15:22" x14ac:dyDescent="0.25">
      <c r="O3637" s="74"/>
      <c r="P3637" s="74"/>
      <c r="Q3637" s="74"/>
      <c r="R3637" s="74"/>
      <c r="V3637" s="72"/>
    </row>
    <row r="3638" spans="15:22" x14ac:dyDescent="0.25">
      <c r="O3638" s="74"/>
      <c r="P3638" s="74"/>
      <c r="Q3638" s="74"/>
      <c r="R3638" s="74"/>
      <c r="V3638" s="72"/>
    </row>
    <row r="3639" spans="15:22" x14ac:dyDescent="0.25">
      <c r="O3639" s="74"/>
      <c r="P3639" s="74"/>
      <c r="Q3639" s="74"/>
      <c r="R3639" s="74"/>
      <c r="V3639" s="72"/>
    </row>
    <row r="3640" spans="15:22" x14ac:dyDescent="0.25">
      <c r="O3640" s="74"/>
      <c r="P3640" s="74"/>
      <c r="Q3640" s="74"/>
      <c r="R3640" s="74"/>
      <c r="V3640" s="72"/>
    </row>
    <row r="3641" spans="15:22" x14ac:dyDescent="0.25">
      <c r="O3641" s="74"/>
      <c r="P3641" s="74"/>
      <c r="Q3641" s="74"/>
      <c r="R3641" s="74"/>
      <c r="V3641" s="72"/>
    </row>
    <row r="3642" spans="15:22" x14ac:dyDescent="0.25">
      <c r="O3642" s="74"/>
      <c r="P3642" s="74"/>
      <c r="Q3642" s="74"/>
      <c r="R3642" s="74"/>
      <c r="V3642" s="72"/>
    </row>
    <row r="3643" spans="15:22" x14ac:dyDescent="0.25">
      <c r="O3643" s="74"/>
      <c r="P3643" s="74"/>
      <c r="Q3643" s="74"/>
      <c r="R3643" s="74"/>
      <c r="V3643" s="72"/>
    </row>
    <row r="3644" spans="15:22" x14ac:dyDescent="0.25">
      <c r="O3644" s="74"/>
      <c r="P3644" s="74"/>
      <c r="Q3644" s="74"/>
      <c r="R3644" s="74"/>
      <c r="V3644" s="72"/>
    </row>
    <row r="3645" spans="15:22" x14ac:dyDescent="0.25">
      <c r="O3645" s="74"/>
      <c r="P3645" s="74"/>
      <c r="Q3645" s="74"/>
      <c r="R3645" s="74"/>
      <c r="V3645" s="72"/>
    </row>
    <row r="3646" spans="15:22" x14ac:dyDescent="0.25">
      <c r="O3646" s="74"/>
      <c r="P3646" s="74"/>
      <c r="Q3646" s="74"/>
      <c r="R3646" s="74"/>
      <c r="V3646" s="72"/>
    </row>
    <row r="3647" spans="15:22" x14ac:dyDescent="0.25">
      <c r="O3647" s="74"/>
      <c r="P3647" s="74"/>
      <c r="Q3647" s="74"/>
      <c r="R3647" s="74"/>
      <c r="V3647" s="72"/>
    </row>
    <row r="3648" spans="15:22" x14ac:dyDescent="0.25">
      <c r="O3648" s="74"/>
      <c r="P3648" s="74"/>
      <c r="Q3648" s="74"/>
      <c r="R3648" s="74"/>
      <c r="V3648" s="72"/>
    </row>
    <row r="3649" spans="15:22" x14ac:dyDescent="0.25">
      <c r="O3649" s="74"/>
      <c r="P3649" s="74"/>
      <c r="Q3649" s="74"/>
      <c r="R3649" s="74"/>
      <c r="V3649" s="72"/>
    </row>
    <row r="3650" spans="15:22" x14ac:dyDescent="0.25">
      <c r="O3650" s="74"/>
      <c r="P3650" s="74"/>
      <c r="Q3650" s="74"/>
      <c r="R3650" s="74"/>
      <c r="V3650" s="72"/>
    </row>
    <row r="3651" spans="15:22" x14ac:dyDescent="0.25">
      <c r="O3651" s="74"/>
      <c r="P3651" s="74"/>
      <c r="Q3651" s="74"/>
      <c r="R3651" s="74"/>
      <c r="V3651" s="72"/>
    </row>
    <row r="3652" spans="15:22" x14ac:dyDescent="0.25">
      <c r="O3652" s="74"/>
      <c r="P3652" s="74"/>
      <c r="Q3652" s="74"/>
      <c r="R3652" s="74"/>
      <c r="V3652" s="72"/>
    </row>
    <row r="3653" spans="15:22" x14ac:dyDescent="0.25">
      <c r="O3653" s="74"/>
      <c r="P3653" s="74"/>
      <c r="Q3653" s="74"/>
      <c r="R3653" s="74"/>
      <c r="V3653" s="72"/>
    </row>
    <row r="3654" spans="15:22" x14ac:dyDescent="0.25">
      <c r="O3654" s="74"/>
      <c r="P3654" s="74"/>
      <c r="Q3654" s="74"/>
      <c r="R3654" s="74"/>
      <c r="V3654" s="72"/>
    </row>
    <row r="3655" spans="15:22" x14ac:dyDescent="0.25">
      <c r="O3655" s="74"/>
      <c r="P3655" s="74"/>
      <c r="Q3655" s="74"/>
      <c r="R3655" s="74"/>
      <c r="V3655" s="72"/>
    </row>
    <row r="3656" spans="15:22" x14ac:dyDescent="0.25">
      <c r="O3656" s="74"/>
      <c r="P3656" s="74"/>
      <c r="Q3656" s="74"/>
      <c r="R3656" s="74"/>
      <c r="V3656" s="72"/>
    </row>
    <row r="3657" spans="15:22" x14ac:dyDescent="0.25">
      <c r="O3657" s="74"/>
      <c r="P3657" s="74"/>
      <c r="Q3657" s="74"/>
      <c r="R3657" s="74"/>
      <c r="V3657" s="72"/>
    </row>
    <row r="3658" spans="15:22" x14ac:dyDescent="0.25">
      <c r="O3658" s="74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654"/>
  <sheetViews>
    <sheetView workbookViewId="0">
      <selection activeCell="K6" sqref="K6"/>
    </sheetView>
  </sheetViews>
  <sheetFormatPr defaultRowHeight="15" x14ac:dyDescent="0.25"/>
  <cols>
    <col min="1" max="1" width="17.140625" style="53" customWidth="1"/>
    <col min="2" max="2" width="6.7109375" style="53" customWidth="1"/>
    <col min="3" max="3" width="7" style="53" customWidth="1"/>
    <col min="4" max="4" width="7.140625" style="53" customWidth="1"/>
    <col min="5" max="5" width="12" style="53" customWidth="1"/>
    <col min="6" max="9" width="9.140625" style="53"/>
    <col min="17" max="17" width="10.85546875" customWidth="1"/>
  </cols>
  <sheetData>
    <row r="1" spans="1:33" s="54" customFormat="1" ht="37.5" customHeight="1" x14ac:dyDescent="0.25">
      <c r="A1" s="72" t="s">
        <v>92</v>
      </c>
      <c r="B1" s="82" t="s">
        <v>93</v>
      </c>
      <c r="C1" s="75" t="s">
        <v>74</v>
      </c>
      <c r="D1" s="75" t="s">
        <v>94</v>
      </c>
      <c r="E1" s="94" t="s">
        <v>95</v>
      </c>
      <c r="F1" s="55" t="s">
        <v>96</v>
      </c>
      <c r="G1" s="55" t="s">
        <v>97</v>
      </c>
      <c r="H1" s="55" t="s">
        <v>98</v>
      </c>
      <c r="I1" s="55" t="s">
        <v>99</v>
      </c>
      <c r="J1" s="55"/>
      <c r="O1" s="60" t="s">
        <v>100</v>
      </c>
      <c r="P1" s="60"/>
      <c r="AA1" t="s">
        <v>145</v>
      </c>
      <c r="AB1"/>
      <c r="AC1"/>
      <c r="AD1"/>
      <c r="AE1" t="s">
        <v>14</v>
      </c>
      <c r="AF1">
        <v>0.81</v>
      </c>
      <c r="AG1" t="s">
        <v>147</v>
      </c>
    </row>
    <row r="2" spans="1:33" x14ac:dyDescent="0.25">
      <c r="A2" s="93">
        <v>40148</v>
      </c>
      <c r="B2" s="35">
        <f t="shared" ref="B2:B65" si="0">C2+(D2-2009)*12</f>
        <v>12</v>
      </c>
      <c r="C2" s="76">
        <v>12</v>
      </c>
      <c r="D2" s="76">
        <v>2009</v>
      </c>
      <c r="E2" s="56">
        <v>3.3333333333333335</v>
      </c>
      <c r="F2" s="53">
        <f t="shared" ref="F2:F65" si="1">IF(E2&gt;0,1,0)</f>
        <v>1</v>
      </c>
      <c r="G2" s="53">
        <f t="shared" ref="G2:G65" si="2">SUM(F1:F2)</f>
        <v>1</v>
      </c>
      <c r="H2" s="53">
        <f t="shared" ref="H2:H65" si="3">IF(G2=1,IF(F1=1,1,-1),G2)</f>
        <v>-1</v>
      </c>
      <c r="I2" s="53" t="str">
        <f t="shared" ref="I2:I65" si="4">VLOOKUP(H2,codes,2,)</f>
        <v>dw</v>
      </c>
      <c r="J2" s="53"/>
      <c r="K2">
        <f>COUNTA(E2:E1964)</f>
        <v>1963</v>
      </c>
      <c r="L2" t="s">
        <v>101</v>
      </c>
      <c r="O2" s="61">
        <v>-1</v>
      </c>
      <c r="P2" s="61" t="s">
        <v>102</v>
      </c>
      <c r="AE2" t="s">
        <v>15</v>
      </c>
      <c r="AF2">
        <v>0.36</v>
      </c>
    </row>
    <row r="3" spans="1:33" x14ac:dyDescent="0.25">
      <c r="A3" s="93">
        <v>40149</v>
      </c>
      <c r="B3" s="35">
        <f t="shared" si="0"/>
        <v>12</v>
      </c>
      <c r="C3" s="76">
        <v>12</v>
      </c>
      <c r="D3" s="76">
        <v>2009</v>
      </c>
      <c r="E3" s="56">
        <v>1.5333333333333332</v>
      </c>
      <c r="F3" s="53">
        <f t="shared" si="1"/>
        <v>1</v>
      </c>
      <c r="G3" s="53">
        <f t="shared" si="2"/>
        <v>2</v>
      </c>
      <c r="H3" s="53">
        <f t="shared" si="3"/>
        <v>2</v>
      </c>
      <c r="I3" s="53" t="str">
        <f t="shared" si="4"/>
        <v>ww</v>
      </c>
      <c r="J3" s="53"/>
      <c r="K3">
        <f>COUNTIF(E2:E1964,"&gt;0")</f>
        <v>1503</v>
      </c>
      <c r="L3" t="s">
        <v>103</v>
      </c>
      <c r="O3" s="61">
        <v>0</v>
      </c>
      <c r="P3" s="61" t="s">
        <v>104</v>
      </c>
    </row>
    <row r="4" spans="1:33" x14ac:dyDescent="0.25">
      <c r="A4" s="93">
        <v>40150</v>
      </c>
      <c r="B4" s="35">
        <f t="shared" si="0"/>
        <v>12</v>
      </c>
      <c r="C4" s="76">
        <v>12</v>
      </c>
      <c r="D4" s="76">
        <v>2009</v>
      </c>
      <c r="E4" s="56">
        <v>0.66666666666666663</v>
      </c>
      <c r="F4" s="53">
        <f t="shared" si="1"/>
        <v>1</v>
      </c>
      <c r="G4" s="53">
        <f t="shared" si="2"/>
        <v>2</v>
      </c>
      <c r="H4" s="53">
        <f t="shared" si="3"/>
        <v>2</v>
      </c>
      <c r="I4" s="53" t="str">
        <f t="shared" si="4"/>
        <v>ww</v>
      </c>
      <c r="J4" s="53"/>
      <c r="K4">
        <f>COUNTIF(E2:E1964,"=0")</f>
        <v>460</v>
      </c>
      <c r="L4" t="s">
        <v>105</v>
      </c>
      <c r="O4" s="61">
        <v>1</v>
      </c>
      <c r="P4" s="61" t="s">
        <v>106</v>
      </c>
      <c r="AA4" t="s">
        <v>144</v>
      </c>
      <c r="AE4" t="s">
        <v>14</v>
      </c>
      <c r="AF4">
        <v>0.73</v>
      </c>
      <c r="AG4" t="s">
        <v>147</v>
      </c>
    </row>
    <row r="5" spans="1:33" x14ac:dyDescent="0.25">
      <c r="A5" s="93">
        <v>40151</v>
      </c>
      <c r="B5" s="35">
        <f t="shared" si="0"/>
        <v>12</v>
      </c>
      <c r="C5" s="76">
        <v>12</v>
      </c>
      <c r="D5" s="76">
        <v>2009</v>
      </c>
      <c r="E5" s="56">
        <v>1.3333333333333333</v>
      </c>
      <c r="F5" s="53">
        <f t="shared" si="1"/>
        <v>1</v>
      </c>
      <c r="G5" s="53">
        <f t="shared" si="2"/>
        <v>2</v>
      </c>
      <c r="H5" s="53">
        <f t="shared" si="3"/>
        <v>2</v>
      </c>
      <c r="I5" s="53" t="str">
        <f t="shared" si="4"/>
        <v>ww</v>
      </c>
      <c r="J5" s="53"/>
      <c r="K5" s="4">
        <f>K3/K2</f>
        <v>0.76566479877738158</v>
      </c>
      <c r="L5" t="s">
        <v>107</v>
      </c>
      <c r="O5" s="61">
        <v>2</v>
      </c>
      <c r="P5" s="61" t="s">
        <v>108</v>
      </c>
      <c r="AE5" t="s">
        <v>15</v>
      </c>
      <c r="AF5">
        <v>0.61</v>
      </c>
    </row>
    <row r="6" spans="1:33" x14ac:dyDescent="0.25">
      <c r="A6" s="93">
        <v>40152</v>
      </c>
      <c r="B6" s="35">
        <f t="shared" si="0"/>
        <v>12</v>
      </c>
      <c r="C6" s="76">
        <v>12</v>
      </c>
      <c r="D6" s="76">
        <v>2009</v>
      </c>
      <c r="E6" s="56">
        <v>4.2666666666666666</v>
      </c>
      <c r="F6" s="53">
        <f t="shared" si="1"/>
        <v>1</v>
      </c>
      <c r="G6" s="53">
        <f t="shared" si="2"/>
        <v>2</v>
      </c>
      <c r="H6" s="53">
        <f t="shared" si="3"/>
        <v>2</v>
      </c>
      <c r="I6" s="53" t="str">
        <f t="shared" si="4"/>
        <v>ww</v>
      </c>
      <c r="J6" s="53"/>
      <c r="K6" s="4">
        <f>1-K5</f>
        <v>0.23433520122261842</v>
      </c>
      <c r="L6" t="s">
        <v>109</v>
      </c>
    </row>
    <row r="7" spans="1:33" x14ac:dyDescent="0.25">
      <c r="A7" s="93">
        <v>40153</v>
      </c>
      <c r="B7" s="35">
        <f t="shared" si="0"/>
        <v>12</v>
      </c>
      <c r="C7" s="76">
        <v>12</v>
      </c>
      <c r="D7" s="76">
        <v>2009</v>
      </c>
      <c r="E7" s="56">
        <v>3.3333333333333335</v>
      </c>
      <c r="F7" s="53">
        <f t="shared" si="1"/>
        <v>1</v>
      </c>
      <c r="G7" s="53">
        <f t="shared" si="2"/>
        <v>2</v>
      </c>
      <c r="H7" s="53">
        <f t="shared" si="3"/>
        <v>2</v>
      </c>
      <c r="I7" s="53" t="str">
        <f t="shared" si="4"/>
        <v>ww</v>
      </c>
      <c r="J7" s="53"/>
      <c r="K7" s="4"/>
      <c r="L7" s="57" t="s">
        <v>110</v>
      </c>
      <c r="M7" s="57"/>
      <c r="N7" s="57"/>
      <c r="O7" s="57"/>
      <c r="P7" s="57"/>
      <c r="Q7" s="57"/>
      <c r="R7" s="57"/>
      <c r="AA7" t="s">
        <v>146</v>
      </c>
      <c r="AE7" t="s">
        <v>14</v>
      </c>
      <c r="AF7">
        <v>0.77</v>
      </c>
      <c r="AG7" t="s">
        <v>148</v>
      </c>
    </row>
    <row r="8" spans="1:33" x14ac:dyDescent="0.25">
      <c r="A8" s="93">
        <v>40154</v>
      </c>
      <c r="B8" s="35">
        <f t="shared" si="0"/>
        <v>12</v>
      </c>
      <c r="C8" s="76">
        <v>12</v>
      </c>
      <c r="D8" s="76">
        <v>2009</v>
      </c>
      <c r="E8" s="56">
        <v>0.13333333333333333</v>
      </c>
      <c r="F8" s="53">
        <f t="shared" si="1"/>
        <v>1</v>
      </c>
      <c r="G8" s="53">
        <f t="shared" si="2"/>
        <v>2</v>
      </c>
      <c r="H8" s="53">
        <f t="shared" si="3"/>
        <v>2</v>
      </c>
      <c r="I8" s="53" t="str">
        <f t="shared" si="4"/>
        <v>ww</v>
      </c>
      <c r="J8" s="53"/>
      <c r="AE8" t="s">
        <v>15</v>
      </c>
      <c r="AF8">
        <v>0.65</v>
      </c>
    </row>
    <row r="9" spans="1:33" x14ac:dyDescent="0.25">
      <c r="A9" s="93">
        <v>40155</v>
      </c>
      <c r="B9" s="35">
        <f t="shared" si="0"/>
        <v>12</v>
      </c>
      <c r="C9" s="76">
        <v>12</v>
      </c>
      <c r="D9" s="76">
        <v>2009</v>
      </c>
      <c r="E9" s="56">
        <v>0.8666666666666667</v>
      </c>
      <c r="F9" s="53">
        <f t="shared" si="1"/>
        <v>1</v>
      </c>
      <c r="G9" s="53">
        <f t="shared" si="2"/>
        <v>2</v>
      </c>
      <c r="H9" s="53">
        <f t="shared" si="3"/>
        <v>2</v>
      </c>
      <c r="I9" s="53" t="str">
        <f t="shared" si="4"/>
        <v>ww</v>
      </c>
      <c r="J9" s="53"/>
      <c r="K9" s="4">
        <f>COUNTIF(I$2:I$1964,"=ww")/K3</f>
        <v>0.80306054557551565</v>
      </c>
      <c r="L9" t="s">
        <v>14</v>
      </c>
      <c r="M9" t="s">
        <v>43</v>
      </c>
      <c r="O9" s="51">
        <v>0.71578445398187884</v>
      </c>
      <c r="P9" t="s">
        <v>14</v>
      </c>
    </row>
    <row r="10" spans="1:33" x14ac:dyDescent="0.25">
      <c r="A10" s="93">
        <v>40156</v>
      </c>
      <c r="B10" s="35">
        <f t="shared" si="0"/>
        <v>12</v>
      </c>
      <c r="C10" s="76">
        <v>12</v>
      </c>
      <c r="D10" s="76">
        <v>2009</v>
      </c>
      <c r="E10" s="56">
        <v>0.79999999999999993</v>
      </c>
      <c r="F10" s="53">
        <f t="shared" si="1"/>
        <v>1</v>
      </c>
      <c r="G10" s="53">
        <f t="shared" si="2"/>
        <v>2</v>
      </c>
      <c r="H10" s="53">
        <f t="shared" si="3"/>
        <v>2</v>
      </c>
      <c r="I10" s="53" t="str">
        <f t="shared" si="4"/>
        <v>ww</v>
      </c>
      <c r="J10" s="53"/>
      <c r="K10" s="4">
        <f>COUNTIF(I$2:I$1458,"=dd")/(1963-K3)</f>
        <v>0.27826086956521739</v>
      </c>
      <c r="L10" t="s">
        <v>15</v>
      </c>
      <c r="O10" s="51">
        <v>0.6180064308681672</v>
      </c>
      <c r="P10" t="s">
        <v>15</v>
      </c>
    </row>
    <row r="11" spans="1:33" x14ac:dyDescent="0.25">
      <c r="A11" s="93">
        <v>40157</v>
      </c>
      <c r="B11" s="35">
        <f t="shared" si="0"/>
        <v>12</v>
      </c>
      <c r="C11" s="76">
        <v>12</v>
      </c>
      <c r="D11" s="76">
        <v>2009</v>
      </c>
      <c r="E11" s="56">
        <v>1.1333333333333333</v>
      </c>
      <c r="F11" s="53">
        <f t="shared" si="1"/>
        <v>1</v>
      </c>
      <c r="G11" s="53">
        <f t="shared" si="2"/>
        <v>2</v>
      </c>
      <c r="H11" s="53">
        <f t="shared" si="3"/>
        <v>2</v>
      </c>
      <c r="I11" s="53" t="str">
        <f t="shared" si="4"/>
        <v>ww</v>
      </c>
      <c r="J11" s="53"/>
      <c r="K11" s="4">
        <f>COUNTIF(I$2:I$1964,"=wd")/K3</f>
        <v>0.19627411842980705</v>
      </c>
      <c r="L11" t="s">
        <v>111</v>
      </c>
      <c r="O11" s="51">
        <v>0.28421554601812116</v>
      </c>
      <c r="P11" t="s">
        <v>111</v>
      </c>
    </row>
    <row r="12" spans="1:33" x14ac:dyDescent="0.25">
      <c r="A12" s="93">
        <v>40158</v>
      </c>
      <c r="B12" s="35">
        <f t="shared" si="0"/>
        <v>12</v>
      </c>
      <c r="C12" s="76">
        <v>12</v>
      </c>
      <c r="D12" s="76">
        <v>2009</v>
      </c>
      <c r="E12" s="56">
        <v>0.13333333333333333</v>
      </c>
      <c r="F12" s="53">
        <f t="shared" si="1"/>
        <v>1</v>
      </c>
      <c r="G12" s="53">
        <f t="shared" si="2"/>
        <v>2</v>
      </c>
      <c r="H12" s="53">
        <f t="shared" si="3"/>
        <v>2</v>
      </c>
      <c r="I12" s="53" t="str">
        <f t="shared" si="4"/>
        <v>ww</v>
      </c>
      <c r="J12" s="53"/>
      <c r="K12" s="4">
        <f>COUNTIF(I$2:I$1964,"=dw")/(1963-K3)</f>
        <v>0.63695652173913042</v>
      </c>
      <c r="L12" t="s">
        <v>45</v>
      </c>
      <c r="O12" s="51">
        <v>0.3819935691318328</v>
      </c>
      <c r="P12" t="s">
        <v>45</v>
      </c>
    </row>
    <row r="13" spans="1:33" x14ac:dyDescent="0.25">
      <c r="A13" s="93">
        <v>40159</v>
      </c>
      <c r="B13" s="35">
        <f t="shared" si="0"/>
        <v>12</v>
      </c>
      <c r="C13" s="76">
        <v>12</v>
      </c>
      <c r="D13" s="76">
        <v>2009</v>
      </c>
      <c r="E13" s="56">
        <v>0.13333333333333333</v>
      </c>
      <c r="F13" s="53">
        <f t="shared" si="1"/>
        <v>1</v>
      </c>
      <c r="G13" s="53">
        <f t="shared" si="2"/>
        <v>2</v>
      </c>
      <c r="H13" s="53">
        <f t="shared" si="3"/>
        <v>2</v>
      </c>
      <c r="I13" s="53" t="str">
        <f t="shared" si="4"/>
        <v>ww</v>
      </c>
      <c r="J13" s="53"/>
    </row>
    <row r="14" spans="1:33" x14ac:dyDescent="0.25">
      <c r="A14" s="93">
        <v>40160</v>
      </c>
      <c r="B14" s="35">
        <f t="shared" si="0"/>
        <v>12</v>
      </c>
      <c r="C14" s="76">
        <v>12</v>
      </c>
      <c r="D14" s="76">
        <v>2009</v>
      </c>
      <c r="E14" s="56">
        <v>0.39999999999999997</v>
      </c>
      <c r="F14" s="53">
        <f t="shared" si="1"/>
        <v>1</v>
      </c>
      <c r="G14" s="53">
        <f t="shared" si="2"/>
        <v>2</v>
      </c>
      <c r="H14" s="53">
        <f t="shared" si="3"/>
        <v>2</v>
      </c>
      <c r="I14" s="53" t="str">
        <f t="shared" si="4"/>
        <v>ww</v>
      </c>
      <c r="J14" s="53"/>
    </row>
    <row r="15" spans="1:33" x14ac:dyDescent="0.25">
      <c r="A15" s="93">
        <v>40161</v>
      </c>
      <c r="B15" s="35">
        <f t="shared" si="0"/>
        <v>12</v>
      </c>
      <c r="C15" s="76">
        <v>12</v>
      </c>
      <c r="D15" s="76">
        <v>2009</v>
      </c>
      <c r="E15" s="56">
        <v>3.0666666666666664</v>
      </c>
      <c r="F15" s="53">
        <f t="shared" si="1"/>
        <v>1</v>
      </c>
      <c r="G15" s="53">
        <f t="shared" si="2"/>
        <v>2</v>
      </c>
      <c r="H15" s="53">
        <f t="shared" si="3"/>
        <v>2</v>
      </c>
      <c r="I15" s="53" t="str">
        <f t="shared" si="4"/>
        <v>ww</v>
      </c>
      <c r="J15" s="53"/>
      <c r="K15">
        <f>COUNTIF(obsdata,"&lt;0.5")</f>
        <v>722</v>
      </c>
      <c r="L15" t="s">
        <v>112</v>
      </c>
      <c r="O15" s="4">
        <f>K15/K$2</f>
        <v>0.36780438104941415</v>
      </c>
      <c r="P15" t="s">
        <v>113</v>
      </c>
    </row>
    <row r="16" spans="1:33" x14ac:dyDescent="0.25">
      <c r="A16" s="93">
        <v>40162</v>
      </c>
      <c r="B16" s="35">
        <f t="shared" si="0"/>
        <v>12</v>
      </c>
      <c r="C16" s="76">
        <v>12</v>
      </c>
      <c r="D16" s="76">
        <v>2009</v>
      </c>
      <c r="E16" s="56">
        <v>7.8</v>
      </c>
      <c r="F16" s="53">
        <f t="shared" si="1"/>
        <v>1</v>
      </c>
      <c r="G16" s="53">
        <f t="shared" si="2"/>
        <v>2</v>
      </c>
      <c r="H16" s="53">
        <f t="shared" si="3"/>
        <v>2</v>
      </c>
      <c r="I16" s="53" t="str">
        <f t="shared" si="4"/>
        <v>ww</v>
      </c>
      <c r="J16" s="53"/>
      <c r="K16">
        <f>COUNTIF(obsdata,"&lt;1.0")</f>
        <v>835</v>
      </c>
      <c r="L16" t="s">
        <v>114</v>
      </c>
      <c r="O16" s="4">
        <f t="shared" ref="O16:O18" si="5">K16/K$2</f>
        <v>0.42536933265410087</v>
      </c>
      <c r="P16" t="s">
        <v>115</v>
      </c>
    </row>
    <row r="17" spans="1:20" x14ac:dyDescent="0.25">
      <c r="A17" s="93">
        <v>40163</v>
      </c>
      <c r="B17" s="35">
        <f t="shared" si="0"/>
        <v>12</v>
      </c>
      <c r="C17" s="76">
        <v>12</v>
      </c>
      <c r="D17" s="76">
        <v>2009</v>
      </c>
      <c r="E17" s="56">
        <v>7.8666666666666671</v>
      </c>
      <c r="F17" s="53">
        <f t="shared" si="1"/>
        <v>1</v>
      </c>
      <c r="G17" s="53">
        <f t="shared" si="2"/>
        <v>2</v>
      </c>
      <c r="H17" s="53">
        <f t="shared" si="3"/>
        <v>2</v>
      </c>
      <c r="I17" s="53" t="str">
        <f t="shared" si="4"/>
        <v>ww</v>
      </c>
      <c r="J17" s="53"/>
      <c r="K17">
        <f>COUNTIF(obsdata,"&lt;2.0")</f>
        <v>1011</v>
      </c>
      <c r="L17" t="s">
        <v>116</v>
      </c>
      <c r="O17" s="4">
        <f t="shared" si="5"/>
        <v>0.51502801833927658</v>
      </c>
      <c r="P17" t="s">
        <v>117</v>
      </c>
    </row>
    <row r="18" spans="1:20" x14ac:dyDescent="0.25">
      <c r="A18" s="93">
        <v>40164</v>
      </c>
      <c r="B18" s="35">
        <f t="shared" si="0"/>
        <v>12</v>
      </c>
      <c r="C18" s="76">
        <v>12</v>
      </c>
      <c r="D18" s="76">
        <v>2009</v>
      </c>
      <c r="E18" s="56">
        <v>7.666666666666667</v>
      </c>
      <c r="F18" s="53">
        <f t="shared" si="1"/>
        <v>1</v>
      </c>
      <c r="G18" s="53">
        <f t="shared" si="2"/>
        <v>2</v>
      </c>
      <c r="H18" s="53">
        <f t="shared" si="3"/>
        <v>2</v>
      </c>
      <c r="I18" s="53" t="str">
        <f t="shared" si="4"/>
        <v>ww</v>
      </c>
      <c r="J18" s="53"/>
      <c r="K18">
        <f>COUNTIF(obsdata,"&lt;5.0")</f>
        <v>1249</v>
      </c>
      <c r="L18" t="s">
        <v>118</v>
      </c>
      <c r="O18" s="4">
        <f t="shared" si="5"/>
        <v>0.63627101375445749</v>
      </c>
      <c r="P18" t="s">
        <v>119</v>
      </c>
    </row>
    <row r="19" spans="1:20" x14ac:dyDescent="0.25">
      <c r="A19" s="93">
        <v>40165</v>
      </c>
      <c r="B19" s="35">
        <f t="shared" si="0"/>
        <v>12</v>
      </c>
      <c r="C19" s="76">
        <v>12</v>
      </c>
      <c r="D19" s="76">
        <v>2009</v>
      </c>
      <c r="E19" s="56">
        <v>1.1333333333333335</v>
      </c>
      <c r="F19" s="53">
        <f t="shared" si="1"/>
        <v>1</v>
      </c>
      <c r="G19" s="53">
        <f t="shared" si="2"/>
        <v>2</v>
      </c>
      <c r="H19" s="53">
        <f t="shared" si="3"/>
        <v>2</v>
      </c>
      <c r="I19" s="53" t="str">
        <f t="shared" si="4"/>
        <v>ww</v>
      </c>
      <c r="J19" s="53"/>
    </row>
    <row r="20" spans="1:20" x14ac:dyDescent="0.25">
      <c r="A20" s="93">
        <v>40166</v>
      </c>
      <c r="B20" s="35">
        <f t="shared" si="0"/>
        <v>12</v>
      </c>
      <c r="C20" s="76">
        <v>12</v>
      </c>
      <c r="D20" s="76">
        <v>2009</v>
      </c>
      <c r="E20" s="56">
        <v>0.79999999999999993</v>
      </c>
      <c r="F20" s="53">
        <f t="shared" si="1"/>
        <v>1</v>
      </c>
      <c r="G20" s="53">
        <f t="shared" si="2"/>
        <v>2</v>
      </c>
      <c r="H20" s="53">
        <f t="shared" si="3"/>
        <v>2</v>
      </c>
      <c r="I20" s="53" t="str">
        <f t="shared" si="4"/>
        <v>ww</v>
      </c>
      <c r="J20" s="53"/>
      <c r="K20" s="59" t="s">
        <v>60</v>
      </c>
      <c r="L20" s="59"/>
      <c r="M20" s="63">
        <f>SUM(E2:E1964)/15</f>
        <v>283.64333333333275</v>
      </c>
      <c r="N20" s="59" t="s">
        <v>61</v>
      </c>
      <c r="O20" s="59" t="s">
        <v>120</v>
      </c>
      <c r="P20" s="59"/>
      <c r="Q20" s="59"/>
      <c r="R20" s="59"/>
      <c r="S20" s="59"/>
      <c r="T20" s="59"/>
    </row>
    <row r="21" spans="1:20" x14ac:dyDescent="0.25">
      <c r="A21" s="93">
        <v>40167</v>
      </c>
      <c r="B21" s="35">
        <f t="shared" si="0"/>
        <v>12</v>
      </c>
      <c r="C21" s="76">
        <v>12</v>
      </c>
      <c r="D21" s="76">
        <v>2009</v>
      </c>
      <c r="E21" s="56">
        <v>1.3999999999999997</v>
      </c>
      <c r="F21" s="53">
        <f t="shared" si="1"/>
        <v>1</v>
      </c>
      <c r="G21" s="53">
        <f t="shared" si="2"/>
        <v>2</v>
      </c>
      <c r="H21" s="53">
        <f t="shared" si="3"/>
        <v>2</v>
      </c>
      <c r="I21" s="53" t="str">
        <f t="shared" si="4"/>
        <v>ww</v>
      </c>
      <c r="J21" s="53"/>
      <c r="K21" s="59"/>
      <c r="L21" s="59"/>
      <c r="M21" s="63"/>
      <c r="N21" s="59"/>
      <c r="O21" s="59" t="s">
        <v>121</v>
      </c>
      <c r="P21" s="59" t="s">
        <v>122</v>
      </c>
      <c r="Q21" s="59" t="s">
        <v>123</v>
      </c>
      <c r="R21" s="59" t="s">
        <v>124</v>
      </c>
      <c r="S21" s="59" t="s">
        <v>125</v>
      </c>
      <c r="T21" s="59" t="s">
        <v>126</v>
      </c>
    </row>
    <row r="22" spans="1:20" x14ac:dyDescent="0.25">
      <c r="A22" s="93">
        <v>40168</v>
      </c>
      <c r="B22" s="35">
        <f t="shared" si="0"/>
        <v>12</v>
      </c>
      <c r="C22" s="76">
        <v>12</v>
      </c>
      <c r="D22" s="76">
        <v>2009</v>
      </c>
      <c r="E22" s="56">
        <v>0.79999999999999993</v>
      </c>
      <c r="F22" s="53">
        <f t="shared" si="1"/>
        <v>1</v>
      </c>
      <c r="G22" s="53">
        <f t="shared" si="2"/>
        <v>2</v>
      </c>
      <c r="H22" s="53">
        <f t="shared" si="3"/>
        <v>2</v>
      </c>
      <c r="I22" s="53" t="str">
        <f t="shared" si="4"/>
        <v>ww</v>
      </c>
      <c r="J22" s="53"/>
      <c r="K22" s="59"/>
      <c r="L22" s="59"/>
      <c r="M22" s="63"/>
      <c r="N22" s="59"/>
      <c r="O22" s="59">
        <v>687.45999999999447</v>
      </c>
      <c r="P22" s="59">
        <v>914.69999999999322</v>
      </c>
      <c r="Q22" s="59">
        <v>873.61999999999603</v>
      </c>
      <c r="R22" s="59">
        <v>772.3999999999935</v>
      </c>
      <c r="S22" s="59">
        <v>812.04500000000121</v>
      </c>
      <c r="T22" s="59">
        <v>824.2920415224919</v>
      </c>
    </row>
    <row r="23" spans="1:20" x14ac:dyDescent="0.25">
      <c r="A23" s="93">
        <v>40169</v>
      </c>
      <c r="B23" s="35">
        <f t="shared" si="0"/>
        <v>12</v>
      </c>
      <c r="C23" s="76">
        <v>12</v>
      </c>
      <c r="D23" s="76">
        <v>2009</v>
      </c>
      <c r="E23" s="56">
        <v>0.39999999999999997</v>
      </c>
      <c r="F23" s="53">
        <f t="shared" si="1"/>
        <v>1</v>
      </c>
      <c r="G23" s="53">
        <f t="shared" si="2"/>
        <v>2</v>
      </c>
      <c r="H23" s="53">
        <f t="shared" si="3"/>
        <v>2</v>
      </c>
      <c r="I23" s="53" t="str">
        <f t="shared" si="4"/>
        <v>ww</v>
      </c>
      <c r="J23" s="53"/>
      <c r="K23" s="61" t="s">
        <v>127</v>
      </c>
      <c r="L23" s="61"/>
      <c r="M23" s="62">
        <f>SUM(E2:E1964)/1503</f>
        <v>2.83077178975382</v>
      </c>
      <c r="N23" s="61" t="s">
        <v>61</v>
      </c>
    </row>
    <row r="24" spans="1:20" x14ac:dyDescent="0.25">
      <c r="A24" s="93">
        <v>40170</v>
      </c>
      <c r="B24" s="35">
        <f t="shared" si="0"/>
        <v>12</v>
      </c>
      <c r="C24" s="76">
        <v>12</v>
      </c>
      <c r="D24" s="76">
        <v>2009</v>
      </c>
      <c r="E24" s="56">
        <v>0.13333333333333333</v>
      </c>
      <c r="F24" s="53">
        <f t="shared" si="1"/>
        <v>1</v>
      </c>
      <c r="G24" s="53">
        <f t="shared" si="2"/>
        <v>2</v>
      </c>
      <c r="H24" s="53">
        <f t="shared" si="3"/>
        <v>2</v>
      </c>
      <c r="I24" s="53" t="str">
        <f t="shared" si="4"/>
        <v>ww</v>
      </c>
      <c r="J24" s="53"/>
      <c r="K24" s="61" t="s">
        <v>128</v>
      </c>
      <c r="L24" s="61"/>
      <c r="M24" s="61"/>
      <c r="N24" s="61"/>
    </row>
    <row r="25" spans="1:20" x14ac:dyDescent="0.25">
      <c r="A25" s="93">
        <v>40171</v>
      </c>
      <c r="B25" s="35">
        <f t="shared" si="0"/>
        <v>12</v>
      </c>
      <c r="C25" s="76">
        <v>12</v>
      </c>
      <c r="D25" s="76">
        <v>2009</v>
      </c>
      <c r="E25" s="56">
        <v>0.6</v>
      </c>
      <c r="F25" s="53">
        <f t="shared" si="1"/>
        <v>1</v>
      </c>
      <c r="G25" s="53">
        <f t="shared" si="2"/>
        <v>2</v>
      </c>
      <c r="H25" s="53">
        <f t="shared" si="3"/>
        <v>2</v>
      </c>
      <c r="I25" s="53" t="str">
        <f t="shared" si="4"/>
        <v>ww</v>
      </c>
      <c r="J25" s="53"/>
    </row>
    <row r="26" spans="1:20" x14ac:dyDescent="0.25">
      <c r="A26" s="93">
        <v>40172</v>
      </c>
      <c r="B26" s="35">
        <f t="shared" si="0"/>
        <v>12</v>
      </c>
      <c r="C26" s="76">
        <v>12</v>
      </c>
      <c r="D26" s="76">
        <v>2009</v>
      </c>
      <c r="E26" s="56">
        <v>0.6</v>
      </c>
      <c r="F26" s="53">
        <f t="shared" si="1"/>
        <v>1</v>
      </c>
      <c r="G26" s="53">
        <f t="shared" si="2"/>
        <v>2</v>
      </c>
      <c r="H26" s="53">
        <f t="shared" si="3"/>
        <v>2</v>
      </c>
      <c r="I26" s="53" t="str">
        <f t="shared" si="4"/>
        <v>ww</v>
      </c>
      <c r="J26" s="53"/>
    </row>
    <row r="27" spans="1:20" x14ac:dyDescent="0.25">
      <c r="A27" s="93">
        <v>40173</v>
      </c>
      <c r="B27" s="35">
        <f t="shared" si="0"/>
        <v>12</v>
      </c>
      <c r="C27" s="76">
        <v>12</v>
      </c>
      <c r="D27" s="76">
        <v>2009</v>
      </c>
      <c r="E27" s="56">
        <v>1.4000000000000001</v>
      </c>
      <c r="F27" s="53">
        <f t="shared" si="1"/>
        <v>1</v>
      </c>
      <c r="G27" s="53">
        <f t="shared" si="2"/>
        <v>2</v>
      </c>
      <c r="H27" s="53">
        <f t="shared" si="3"/>
        <v>2</v>
      </c>
      <c r="I27" s="53" t="str">
        <f t="shared" si="4"/>
        <v>ww</v>
      </c>
      <c r="J27" s="53"/>
    </row>
    <row r="28" spans="1:20" x14ac:dyDescent="0.25">
      <c r="A28" s="93">
        <v>40174</v>
      </c>
      <c r="B28" s="35">
        <f t="shared" si="0"/>
        <v>12</v>
      </c>
      <c r="C28" s="76">
        <v>12</v>
      </c>
      <c r="D28" s="76">
        <v>2009</v>
      </c>
      <c r="E28" s="56">
        <v>3.6</v>
      </c>
      <c r="F28" s="53">
        <f t="shared" si="1"/>
        <v>1</v>
      </c>
      <c r="G28" s="53">
        <f t="shared" si="2"/>
        <v>2</v>
      </c>
      <c r="H28" s="53">
        <f t="shared" si="3"/>
        <v>2</v>
      </c>
      <c r="I28" s="53" t="str">
        <f t="shared" si="4"/>
        <v>ww</v>
      </c>
      <c r="J28" s="53"/>
    </row>
    <row r="29" spans="1:20" x14ac:dyDescent="0.25">
      <c r="A29" s="93">
        <v>40175</v>
      </c>
      <c r="B29" s="35">
        <f t="shared" si="0"/>
        <v>12</v>
      </c>
      <c r="C29" s="76">
        <v>12</v>
      </c>
      <c r="D29" s="76">
        <v>2009</v>
      </c>
      <c r="E29" s="56">
        <v>4.333333333333333</v>
      </c>
      <c r="F29" s="53">
        <f t="shared" si="1"/>
        <v>1</v>
      </c>
      <c r="G29" s="53">
        <f t="shared" si="2"/>
        <v>2</v>
      </c>
      <c r="H29" s="53">
        <f t="shared" si="3"/>
        <v>2</v>
      </c>
      <c r="I29" s="53" t="str">
        <f t="shared" si="4"/>
        <v>ww</v>
      </c>
      <c r="J29" s="53"/>
    </row>
    <row r="30" spans="1:20" x14ac:dyDescent="0.25">
      <c r="A30" s="93">
        <v>40176</v>
      </c>
      <c r="B30" s="35">
        <f t="shared" si="0"/>
        <v>12</v>
      </c>
      <c r="C30" s="76">
        <v>12</v>
      </c>
      <c r="D30" s="76">
        <v>2009</v>
      </c>
      <c r="E30" s="56">
        <v>1.7333333333333334</v>
      </c>
      <c r="F30" s="53">
        <f t="shared" si="1"/>
        <v>1</v>
      </c>
      <c r="G30" s="53">
        <f t="shared" si="2"/>
        <v>2</v>
      </c>
      <c r="H30" s="53">
        <f t="shared" si="3"/>
        <v>2</v>
      </c>
      <c r="I30" s="53" t="str">
        <f t="shared" si="4"/>
        <v>ww</v>
      </c>
      <c r="J30" s="53"/>
    </row>
    <row r="31" spans="1:20" x14ac:dyDescent="0.25">
      <c r="A31" s="93">
        <v>40177</v>
      </c>
      <c r="B31" s="35">
        <f t="shared" si="0"/>
        <v>12</v>
      </c>
      <c r="C31" s="76">
        <v>12</v>
      </c>
      <c r="D31" s="76">
        <v>2009</v>
      </c>
      <c r="E31" s="56">
        <v>7.8666666666666671</v>
      </c>
      <c r="F31" s="53">
        <f t="shared" si="1"/>
        <v>1</v>
      </c>
      <c r="G31" s="53">
        <f t="shared" si="2"/>
        <v>2</v>
      </c>
      <c r="H31" s="53">
        <f t="shared" si="3"/>
        <v>2</v>
      </c>
      <c r="I31" s="53" t="str">
        <f t="shared" si="4"/>
        <v>ww</v>
      </c>
      <c r="J31" s="53"/>
    </row>
    <row r="32" spans="1:20" x14ac:dyDescent="0.25">
      <c r="A32" s="93">
        <v>40178</v>
      </c>
      <c r="B32" s="35">
        <f t="shared" si="0"/>
        <v>12</v>
      </c>
      <c r="C32" s="76">
        <v>12</v>
      </c>
      <c r="D32" s="76">
        <v>2009</v>
      </c>
      <c r="E32" s="56">
        <v>1.0666666666666667</v>
      </c>
      <c r="F32" s="53">
        <f t="shared" si="1"/>
        <v>1</v>
      </c>
      <c r="G32" s="53">
        <f t="shared" si="2"/>
        <v>2</v>
      </c>
      <c r="H32" s="53">
        <f t="shared" si="3"/>
        <v>2</v>
      </c>
      <c r="I32" s="53" t="str">
        <f t="shared" si="4"/>
        <v>ww</v>
      </c>
      <c r="J32" s="53"/>
    </row>
    <row r="33" spans="1:10" x14ac:dyDescent="0.25">
      <c r="A33" s="93">
        <v>40514</v>
      </c>
      <c r="B33" s="35">
        <f t="shared" si="0"/>
        <v>24</v>
      </c>
      <c r="C33" s="76">
        <v>12</v>
      </c>
      <c r="D33" s="76">
        <v>2010</v>
      </c>
      <c r="E33" s="56">
        <v>4.3500000000000005</v>
      </c>
      <c r="F33" s="53">
        <f t="shared" si="1"/>
        <v>1</v>
      </c>
      <c r="G33" s="53">
        <f t="shared" si="2"/>
        <v>2</v>
      </c>
      <c r="H33" s="53">
        <f t="shared" si="3"/>
        <v>2</v>
      </c>
      <c r="I33" s="53" t="str">
        <f t="shared" si="4"/>
        <v>ww</v>
      </c>
      <c r="J33" s="53"/>
    </row>
    <row r="34" spans="1:10" x14ac:dyDescent="0.25">
      <c r="A34" s="93">
        <v>40515</v>
      </c>
      <c r="B34" s="35">
        <f t="shared" si="0"/>
        <v>24</v>
      </c>
      <c r="C34" s="76">
        <v>12</v>
      </c>
      <c r="D34" s="76">
        <v>2010</v>
      </c>
      <c r="E34" s="56">
        <v>5.75</v>
      </c>
      <c r="F34" s="53">
        <f t="shared" si="1"/>
        <v>1</v>
      </c>
      <c r="G34" s="53">
        <f t="shared" si="2"/>
        <v>2</v>
      </c>
      <c r="H34" s="53">
        <f t="shared" si="3"/>
        <v>2</v>
      </c>
      <c r="I34" s="53" t="str">
        <f t="shared" si="4"/>
        <v>ww</v>
      </c>
      <c r="J34" s="53"/>
    </row>
    <row r="35" spans="1:10" x14ac:dyDescent="0.25">
      <c r="A35" s="93">
        <v>40516</v>
      </c>
      <c r="B35" s="35">
        <f t="shared" si="0"/>
        <v>24</v>
      </c>
      <c r="C35" s="76">
        <v>12</v>
      </c>
      <c r="D35" s="76">
        <v>2010</v>
      </c>
      <c r="E35" s="56">
        <v>0.54999999999999993</v>
      </c>
      <c r="F35" s="53">
        <f t="shared" si="1"/>
        <v>1</v>
      </c>
      <c r="G35" s="53">
        <f t="shared" si="2"/>
        <v>2</v>
      </c>
      <c r="H35" s="53">
        <f t="shared" si="3"/>
        <v>2</v>
      </c>
      <c r="I35" s="53" t="str">
        <f t="shared" si="4"/>
        <v>ww</v>
      </c>
      <c r="J35" s="53"/>
    </row>
    <row r="36" spans="1:10" x14ac:dyDescent="0.25">
      <c r="A36" s="93">
        <v>40517</v>
      </c>
      <c r="B36" s="35">
        <f t="shared" si="0"/>
        <v>24</v>
      </c>
      <c r="C36" s="76">
        <v>12</v>
      </c>
      <c r="D36" s="76">
        <v>2010</v>
      </c>
      <c r="E36" s="56">
        <v>0.60000000000000009</v>
      </c>
      <c r="F36" s="53">
        <f t="shared" si="1"/>
        <v>1</v>
      </c>
      <c r="G36" s="53">
        <f t="shared" si="2"/>
        <v>2</v>
      </c>
      <c r="H36" s="53">
        <f t="shared" si="3"/>
        <v>2</v>
      </c>
      <c r="I36" s="53" t="str">
        <f t="shared" si="4"/>
        <v>ww</v>
      </c>
      <c r="J36" s="53"/>
    </row>
    <row r="37" spans="1:10" x14ac:dyDescent="0.25">
      <c r="A37" s="93">
        <v>40518</v>
      </c>
      <c r="B37" s="35">
        <f t="shared" si="0"/>
        <v>24</v>
      </c>
      <c r="C37" s="76">
        <v>12</v>
      </c>
      <c r="D37" s="76">
        <v>2010</v>
      </c>
      <c r="E37" s="56">
        <v>0.34999999999999992</v>
      </c>
      <c r="F37" s="53">
        <f t="shared" si="1"/>
        <v>1</v>
      </c>
      <c r="G37" s="53">
        <f t="shared" si="2"/>
        <v>2</v>
      </c>
      <c r="H37" s="53">
        <f t="shared" si="3"/>
        <v>2</v>
      </c>
      <c r="I37" s="53" t="str">
        <f t="shared" si="4"/>
        <v>ww</v>
      </c>
      <c r="J37" s="53"/>
    </row>
    <row r="38" spans="1:10" x14ac:dyDescent="0.25">
      <c r="A38" s="93">
        <v>40519</v>
      </c>
      <c r="B38" s="35">
        <f t="shared" si="0"/>
        <v>24</v>
      </c>
      <c r="C38" s="76">
        <v>12</v>
      </c>
      <c r="D38" s="76">
        <v>2010</v>
      </c>
      <c r="E38" s="56">
        <v>0.85</v>
      </c>
      <c r="F38" s="53">
        <f t="shared" si="1"/>
        <v>1</v>
      </c>
      <c r="G38" s="53">
        <f t="shared" si="2"/>
        <v>2</v>
      </c>
      <c r="H38" s="53">
        <f t="shared" si="3"/>
        <v>2</v>
      </c>
      <c r="I38" s="53" t="str">
        <f t="shared" si="4"/>
        <v>ww</v>
      </c>
      <c r="J38" s="53"/>
    </row>
    <row r="39" spans="1:10" x14ac:dyDescent="0.25">
      <c r="A39" s="93">
        <v>40520</v>
      </c>
      <c r="B39" s="35">
        <f t="shared" si="0"/>
        <v>24</v>
      </c>
      <c r="C39" s="76">
        <v>12</v>
      </c>
      <c r="D39" s="76">
        <v>2010</v>
      </c>
      <c r="E39" s="56">
        <v>0.10000000000000002</v>
      </c>
      <c r="F39" s="53">
        <f t="shared" si="1"/>
        <v>1</v>
      </c>
      <c r="G39" s="53">
        <f t="shared" si="2"/>
        <v>2</v>
      </c>
      <c r="H39" s="53">
        <f t="shared" si="3"/>
        <v>2</v>
      </c>
      <c r="I39" s="53" t="str">
        <f t="shared" si="4"/>
        <v>ww</v>
      </c>
      <c r="J39" s="53"/>
    </row>
    <row r="40" spans="1:10" x14ac:dyDescent="0.25">
      <c r="A40" s="93">
        <v>40521</v>
      </c>
      <c r="B40" s="35">
        <f t="shared" si="0"/>
        <v>24</v>
      </c>
      <c r="C40" s="76">
        <v>12</v>
      </c>
      <c r="D40" s="76">
        <v>2010</v>
      </c>
      <c r="E40" s="56">
        <v>0</v>
      </c>
      <c r="F40" s="53">
        <f t="shared" si="1"/>
        <v>0</v>
      </c>
      <c r="G40" s="53">
        <f t="shared" si="2"/>
        <v>1</v>
      </c>
      <c r="H40" s="53">
        <f t="shared" si="3"/>
        <v>1</v>
      </c>
      <c r="I40" s="53" t="str">
        <f t="shared" si="4"/>
        <v>wd</v>
      </c>
      <c r="J40" s="53"/>
    </row>
    <row r="41" spans="1:10" x14ac:dyDescent="0.25">
      <c r="A41" s="93">
        <v>40522</v>
      </c>
      <c r="B41" s="35">
        <f t="shared" si="0"/>
        <v>24</v>
      </c>
      <c r="C41" s="76">
        <v>12</v>
      </c>
      <c r="D41" s="76">
        <v>2010</v>
      </c>
      <c r="E41" s="56">
        <v>0</v>
      </c>
      <c r="F41" s="53">
        <f t="shared" si="1"/>
        <v>0</v>
      </c>
      <c r="G41" s="53">
        <f t="shared" si="2"/>
        <v>0</v>
      </c>
      <c r="H41" s="53">
        <f t="shared" si="3"/>
        <v>0</v>
      </c>
      <c r="I41" s="53" t="str">
        <f t="shared" si="4"/>
        <v>dd</v>
      </c>
      <c r="J41" s="53"/>
    </row>
    <row r="42" spans="1:10" x14ac:dyDescent="0.25">
      <c r="A42" s="93">
        <v>40523</v>
      </c>
      <c r="B42" s="35">
        <f t="shared" si="0"/>
        <v>24</v>
      </c>
      <c r="C42" s="76">
        <v>12</v>
      </c>
      <c r="D42" s="76">
        <v>2010</v>
      </c>
      <c r="E42" s="56">
        <v>0</v>
      </c>
      <c r="F42" s="53">
        <f t="shared" si="1"/>
        <v>0</v>
      </c>
      <c r="G42" s="53">
        <f t="shared" si="2"/>
        <v>0</v>
      </c>
      <c r="H42" s="53">
        <f t="shared" si="3"/>
        <v>0</v>
      </c>
      <c r="I42" s="53" t="str">
        <f t="shared" si="4"/>
        <v>dd</v>
      </c>
      <c r="J42" s="53"/>
    </row>
    <row r="43" spans="1:10" x14ac:dyDescent="0.25">
      <c r="A43" s="93">
        <v>40524</v>
      </c>
      <c r="B43" s="35">
        <f t="shared" si="0"/>
        <v>24</v>
      </c>
      <c r="C43" s="76">
        <v>12</v>
      </c>
      <c r="D43" s="76">
        <v>2010</v>
      </c>
      <c r="E43" s="56">
        <v>0</v>
      </c>
      <c r="F43" s="53">
        <f t="shared" si="1"/>
        <v>0</v>
      </c>
      <c r="G43" s="53">
        <f t="shared" si="2"/>
        <v>0</v>
      </c>
      <c r="H43" s="53">
        <f t="shared" si="3"/>
        <v>0</v>
      </c>
      <c r="I43" s="53" t="str">
        <f t="shared" si="4"/>
        <v>dd</v>
      </c>
      <c r="J43" s="53"/>
    </row>
    <row r="44" spans="1:10" x14ac:dyDescent="0.25">
      <c r="A44" s="93">
        <v>40525</v>
      </c>
      <c r="B44" s="35">
        <f t="shared" si="0"/>
        <v>24</v>
      </c>
      <c r="C44" s="76">
        <v>12</v>
      </c>
      <c r="D44" s="76">
        <v>2010</v>
      </c>
      <c r="E44" s="56">
        <v>3.6</v>
      </c>
      <c r="F44" s="53">
        <f t="shared" si="1"/>
        <v>1</v>
      </c>
      <c r="G44" s="53">
        <f t="shared" si="2"/>
        <v>1</v>
      </c>
      <c r="H44" s="53">
        <f t="shared" si="3"/>
        <v>-1</v>
      </c>
      <c r="I44" s="53" t="str">
        <f t="shared" si="4"/>
        <v>dw</v>
      </c>
      <c r="J44" s="53"/>
    </row>
    <row r="45" spans="1:10" x14ac:dyDescent="0.25">
      <c r="A45" s="93">
        <v>40526</v>
      </c>
      <c r="B45" s="35">
        <f t="shared" si="0"/>
        <v>24</v>
      </c>
      <c r="C45" s="76">
        <v>12</v>
      </c>
      <c r="D45" s="76">
        <v>2010</v>
      </c>
      <c r="E45" s="56">
        <v>0</v>
      </c>
      <c r="F45" s="53">
        <f t="shared" si="1"/>
        <v>0</v>
      </c>
      <c r="G45" s="53">
        <f t="shared" si="2"/>
        <v>1</v>
      </c>
      <c r="H45" s="53">
        <f t="shared" si="3"/>
        <v>1</v>
      </c>
      <c r="I45" s="53" t="str">
        <f t="shared" si="4"/>
        <v>wd</v>
      </c>
      <c r="J45" s="53"/>
    </row>
    <row r="46" spans="1:10" x14ac:dyDescent="0.25">
      <c r="A46" s="93">
        <v>40527</v>
      </c>
      <c r="B46" s="35">
        <f t="shared" si="0"/>
        <v>24</v>
      </c>
      <c r="C46" s="76">
        <v>12</v>
      </c>
      <c r="D46" s="76">
        <v>2010</v>
      </c>
      <c r="E46" s="56">
        <v>6.6000000000000005</v>
      </c>
      <c r="F46" s="53">
        <f t="shared" si="1"/>
        <v>1</v>
      </c>
      <c r="G46" s="53">
        <f t="shared" si="2"/>
        <v>1</v>
      </c>
      <c r="H46" s="53">
        <f t="shared" si="3"/>
        <v>-1</v>
      </c>
      <c r="I46" s="53" t="str">
        <f t="shared" si="4"/>
        <v>dw</v>
      </c>
      <c r="J46" s="53"/>
    </row>
    <row r="47" spans="1:10" x14ac:dyDescent="0.25">
      <c r="A47" s="93">
        <v>40528</v>
      </c>
      <c r="B47" s="35">
        <f t="shared" si="0"/>
        <v>24</v>
      </c>
      <c r="C47" s="76">
        <v>12</v>
      </c>
      <c r="D47" s="76">
        <v>2010</v>
      </c>
      <c r="E47" s="56">
        <v>4.5</v>
      </c>
      <c r="F47" s="53">
        <f t="shared" si="1"/>
        <v>1</v>
      </c>
      <c r="G47" s="53">
        <f t="shared" si="2"/>
        <v>2</v>
      </c>
      <c r="H47" s="53">
        <f t="shared" si="3"/>
        <v>2</v>
      </c>
      <c r="I47" s="53" t="str">
        <f t="shared" si="4"/>
        <v>ww</v>
      </c>
      <c r="J47" s="53"/>
    </row>
    <row r="48" spans="1:10" x14ac:dyDescent="0.25">
      <c r="A48" s="93">
        <v>40529</v>
      </c>
      <c r="B48" s="35">
        <f t="shared" si="0"/>
        <v>24</v>
      </c>
      <c r="C48" s="76">
        <v>12</v>
      </c>
      <c r="D48" s="76">
        <v>2010</v>
      </c>
      <c r="E48" s="56">
        <v>1.0999999999999999</v>
      </c>
      <c r="F48" s="53">
        <f t="shared" si="1"/>
        <v>1</v>
      </c>
      <c r="G48" s="53">
        <f t="shared" si="2"/>
        <v>2</v>
      </c>
      <c r="H48" s="53">
        <f t="shared" si="3"/>
        <v>2</v>
      </c>
      <c r="I48" s="53" t="str">
        <f t="shared" si="4"/>
        <v>ww</v>
      </c>
      <c r="J48" s="53"/>
    </row>
    <row r="49" spans="1:10" x14ac:dyDescent="0.25">
      <c r="A49" s="93">
        <v>40530</v>
      </c>
      <c r="B49" s="35">
        <f t="shared" si="0"/>
        <v>24</v>
      </c>
      <c r="C49" s="76">
        <v>12</v>
      </c>
      <c r="D49" s="76">
        <v>2010</v>
      </c>
      <c r="E49" s="56">
        <v>0</v>
      </c>
      <c r="F49" s="53">
        <f t="shared" si="1"/>
        <v>0</v>
      </c>
      <c r="G49" s="53">
        <f t="shared" si="2"/>
        <v>1</v>
      </c>
      <c r="H49" s="53">
        <f t="shared" si="3"/>
        <v>1</v>
      </c>
      <c r="I49" s="53" t="str">
        <f t="shared" si="4"/>
        <v>wd</v>
      </c>
      <c r="J49" s="53"/>
    </row>
    <row r="50" spans="1:10" x14ac:dyDescent="0.25">
      <c r="A50" s="93">
        <v>40531</v>
      </c>
      <c r="B50" s="35">
        <f t="shared" si="0"/>
        <v>24</v>
      </c>
      <c r="C50" s="76">
        <v>12</v>
      </c>
      <c r="D50" s="76">
        <v>2010</v>
      </c>
      <c r="E50" s="56">
        <v>0</v>
      </c>
      <c r="F50" s="53">
        <f t="shared" si="1"/>
        <v>0</v>
      </c>
      <c r="G50" s="53">
        <f t="shared" si="2"/>
        <v>0</v>
      </c>
      <c r="H50" s="53">
        <f t="shared" si="3"/>
        <v>0</v>
      </c>
      <c r="I50" s="53" t="str">
        <f t="shared" si="4"/>
        <v>dd</v>
      </c>
      <c r="J50" s="53"/>
    </row>
    <row r="51" spans="1:10" x14ac:dyDescent="0.25">
      <c r="A51" s="93">
        <v>40532</v>
      </c>
      <c r="B51" s="35">
        <f t="shared" si="0"/>
        <v>24</v>
      </c>
      <c r="C51" s="76">
        <v>12</v>
      </c>
      <c r="D51" s="76">
        <v>2010</v>
      </c>
      <c r="E51" s="56">
        <v>3.65</v>
      </c>
      <c r="F51" s="53">
        <f t="shared" si="1"/>
        <v>1</v>
      </c>
      <c r="G51" s="53">
        <f t="shared" si="2"/>
        <v>1</v>
      </c>
      <c r="H51" s="53">
        <f t="shared" si="3"/>
        <v>-1</v>
      </c>
      <c r="I51" s="53" t="str">
        <f t="shared" si="4"/>
        <v>dw</v>
      </c>
      <c r="J51" s="53"/>
    </row>
    <row r="52" spans="1:10" x14ac:dyDescent="0.25">
      <c r="A52" s="93">
        <v>40533</v>
      </c>
      <c r="B52" s="35">
        <f t="shared" si="0"/>
        <v>24</v>
      </c>
      <c r="C52" s="76">
        <v>12</v>
      </c>
      <c r="D52" s="76">
        <v>2010</v>
      </c>
      <c r="E52" s="56">
        <v>0</v>
      </c>
      <c r="F52" s="53">
        <f t="shared" si="1"/>
        <v>0</v>
      </c>
      <c r="G52" s="53">
        <f t="shared" si="2"/>
        <v>1</v>
      </c>
      <c r="H52" s="53">
        <f t="shared" si="3"/>
        <v>1</v>
      </c>
      <c r="I52" s="53" t="str">
        <f t="shared" si="4"/>
        <v>wd</v>
      </c>
      <c r="J52" s="53"/>
    </row>
    <row r="53" spans="1:10" x14ac:dyDescent="0.25">
      <c r="A53" s="93">
        <v>40534</v>
      </c>
      <c r="B53" s="35">
        <f t="shared" si="0"/>
        <v>24</v>
      </c>
      <c r="C53" s="76">
        <v>12</v>
      </c>
      <c r="D53" s="76">
        <v>2010</v>
      </c>
      <c r="E53" s="56">
        <v>0.15</v>
      </c>
      <c r="F53" s="53">
        <f t="shared" si="1"/>
        <v>1</v>
      </c>
      <c r="G53" s="53">
        <f t="shared" si="2"/>
        <v>1</v>
      </c>
      <c r="H53" s="53">
        <f t="shared" si="3"/>
        <v>-1</v>
      </c>
      <c r="I53" s="53" t="str">
        <f t="shared" si="4"/>
        <v>dw</v>
      </c>
      <c r="J53" s="53"/>
    </row>
    <row r="54" spans="1:10" x14ac:dyDescent="0.25">
      <c r="A54" s="93">
        <v>40535</v>
      </c>
      <c r="B54" s="35">
        <f t="shared" si="0"/>
        <v>24</v>
      </c>
      <c r="C54" s="76">
        <v>12</v>
      </c>
      <c r="D54" s="76">
        <v>2010</v>
      </c>
      <c r="E54" s="56">
        <v>2.6999999999999997</v>
      </c>
      <c r="F54" s="53">
        <f t="shared" si="1"/>
        <v>1</v>
      </c>
      <c r="G54" s="53">
        <f t="shared" si="2"/>
        <v>2</v>
      </c>
      <c r="H54" s="53">
        <f t="shared" si="3"/>
        <v>2</v>
      </c>
      <c r="I54" s="53" t="str">
        <f t="shared" si="4"/>
        <v>ww</v>
      </c>
      <c r="J54" s="53"/>
    </row>
    <row r="55" spans="1:10" x14ac:dyDescent="0.25">
      <c r="A55" s="93">
        <v>40536</v>
      </c>
      <c r="B55" s="35">
        <f t="shared" si="0"/>
        <v>24</v>
      </c>
      <c r="C55" s="76">
        <v>12</v>
      </c>
      <c r="D55" s="76">
        <v>2010</v>
      </c>
      <c r="E55" s="56">
        <v>1.55</v>
      </c>
      <c r="F55" s="53">
        <f t="shared" si="1"/>
        <v>1</v>
      </c>
      <c r="G55" s="53">
        <f t="shared" si="2"/>
        <v>2</v>
      </c>
      <c r="H55" s="53">
        <f t="shared" si="3"/>
        <v>2</v>
      </c>
      <c r="I55" s="53" t="str">
        <f t="shared" si="4"/>
        <v>ww</v>
      </c>
      <c r="J55" s="53"/>
    </row>
    <row r="56" spans="1:10" x14ac:dyDescent="0.25">
      <c r="A56" s="93">
        <v>40537</v>
      </c>
      <c r="B56" s="35">
        <f t="shared" si="0"/>
        <v>24</v>
      </c>
      <c r="C56" s="76">
        <v>12</v>
      </c>
      <c r="D56" s="76">
        <v>2010</v>
      </c>
      <c r="E56" s="56">
        <v>0</v>
      </c>
      <c r="F56" s="53">
        <f t="shared" si="1"/>
        <v>0</v>
      </c>
      <c r="G56" s="53">
        <f t="shared" si="2"/>
        <v>1</v>
      </c>
      <c r="H56" s="53">
        <f t="shared" si="3"/>
        <v>1</v>
      </c>
      <c r="I56" s="53" t="str">
        <f t="shared" si="4"/>
        <v>wd</v>
      </c>
      <c r="J56" s="53"/>
    </row>
    <row r="57" spans="1:10" x14ac:dyDescent="0.25">
      <c r="A57" s="93">
        <v>40538</v>
      </c>
      <c r="B57" s="35">
        <f t="shared" si="0"/>
        <v>24</v>
      </c>
      <c r="C57" s="76">
        <v>12</v>
      </c>
      <c r="D57" s="76">
        <v>2010</v>
      </c>
      <c r="E57" s="56">
        <v>0.10000000000000002</v>
      </c>
      <c r="F57" s="53">
        <f t="shared" si="1"/>
        <v>1</v>
      </c>
      <c r="G57" s="53">
        <f t="shared" si="2"/>
        <v>1</v>
      </c>
      <c r="H57" s="53">
        <f t="shared" si="3"/>
        <v>-1</v>
      </c>
      <c r="I57" s="53" t="str">
        <f t="shared" si="4"/>
        <v>dw</v>
      </c>
      <c r="J57" s="53"/>
    </row>
    <row r="58" spans="1:10" x14ac:dyDescent="0.25">
      <c r="A58" s="93">
        <v>40539</v>
      </c>
      <c r="B58" s="35">
        <f t="shared" si="0"/>
        <v>24</v>
      </c>
      <c r="C58" s="76">
        <v>12</v>
      </c>
      <c r="D58" s="76">
        <v>2010</v>
      </c>
      <c r="E58" s="56">
        <v>0.65</v>
      </c>
      <c r="F58" s="53">
        <f t="shared" si="1"/>
        <v>1</v>
      </c>
      <c r="G58" s="53">
        <f t="shared" si="2"/>
        <v>2</v>
      </c>
      <c r="H58" s="53">
        <f t="shared" si="3"/>
        <v>2</v>
      </c>
      <c r="I58" s="53" t="str">
        <f t="shared" si="4"/>
        <v>ww</v>
      </c>
      <c r="J58" s="53"/>
    </row>
    <row r="59" spans="1:10" x14ac:dyDescent="0.25">
      <c r="A59" s="93">
        <v>40540</v>
      </c>
      <c r="B59" s="35">
        <f t="shared" si="0"/>
        <v>24</v>
      </c>
      <c r="C59" s="76">
        <v>12</v>
      </c>
      <c r="D59" s="76">
        <v>2010</v>
      </c>
      <c r="E59" s="56">
        <v>10.450000000000001</v>
      </c>
      <c r="F59" s="53">
        <f t="shared" si="1"/>
        <v>1</v>
      </c>
      <c r="G59" s="53">
        <f t="shared" si="2"/>
        <v>2</v>
      </c>
      <c r="H59" s="53">
        <f t="shared" si="3"/>
        <v>2</v>
      </c>
      <c r="I59" s="53" t="str">
        <f t="shared" si="4"/>
        <v>ww</v>
      </c>
      <c r="J59" s="53"/>
    </row>
    <row r="60" spans="1:10" x14ac:dyDescent="0.25">
      <c r="A60" s="93">
        <v>40541</v>
      </c>
      <c r="B60" s="35">
        <f t="shared" si="0"/>
        <v>24</v>
      </c>
      <c r="C60" s="76">
        <v>12</v>
      </c>
      <c r="D60" s="76">
        <v>2010</v>
      </c>
      <c r="E60" s="56">
        <v>2.85</v>
      </c>
      <c r="F60" s="53">
        <f t="shared" si="1"/>
        <v>1</v>
      </c>
      <c r="G60" s="53">
        <f t="shared" si="2"/>
        <v>2</v>
      </c>
      <c r="H60" s="53">
        <f t="shared" si="3"/>
        <v>2</v>
      </c>
      <c r="I60" s="53" t="str">
        <f t="shared" si="4"/>
        <v>ww</v>
      </c>
      <c r="J60" s="53"/>
    </row>
    <row r="61" spans="1:10" x14ac:dyDescent="0.25">
      <c r="A61" s="93">
        <v>40542</v>
      </c>
      <c r="B61" s="35">
        <f t="shared" si="0"/>
        <v>24</v>
      </c>
      <c r="C61" s="76">
        <v>12</v>
      </c>
      <c r="D61" s="76">
        <v>2010</v>
      </c>
      <c r="E61" s="56">
        <v>0</v>
      </c>
      <c r="F61" s="53">
        <f t="shared" si="1"/>
        <v>0</v>
      </c>
      <c r="G61" s="53">
        <f t="shared" si="2"/>
        <v>1</v>
      </c>
      <c r="H61" s="53">
        <f t="shared" si="3"/>
        <v>1</v>
      </c>
      <c r="I61" s="53" t="str">
        <f t="shared" si="4"/>
        <v>wd</v>
      </c>
      <c r="J61" s="53"/>
    </row>
    <row r="62" spans="1:10" x14ac:dyDescent="0.25">
      <c r="A62" s="93">
        <v>40543</v>
      </c>
      <c r="B62" s="35">
        <f t="shared" si="0"/>
        <v>24</v>
      </c>
      <c r="C62" s="76">
        <v>12</v>
      </c>
      <c r="D62" s="76">
        <v>2010</v>
      </c>
      <c r="E62" s="56">
        <v>0</v>
      </c>
      <c r="F62" s="53">
        <f t="shared" si="1"/>
        <v>0</v>
      </c>
      <c r="G62" s="53">
        <f t="shared" si="2"/>
        <v>0</v>
      </c>
      <c r="H62" s="53">
        <f t="shared" si="3"/>
        <v>0</v>
      </c>
      <c r="I62" s="53" t="str">
        <f t="shared" si="4"/>
        <v>dd</v>
      </c>
      <c r="J62" s="53"/>
    </row>
    <row r="63" spans="1:10" x14ac:dyDescent="0.25">
      <c r="A63" s="93">
        <v>40879</v>
      </c>
      <c r="B63" s="35">
        <f t="shared" si="0"/>
        <v>36</v>
      </c>
      <c r="C63" s="76">
        <v>12</v>
      </c>
      <c r="D63" s="76">
        <v>2011</v>
      </c>
      <c r="E63" s="56">
        <v>0.20000000000000004</v>
      </c>
      <c r="F63" s="53">
        <f t="shared" si="1"/>
        <v>1</v>
      </c>
      <c r="G63" s="53">
        <f t="shared" si="2"/>
        <v>1</v>
      </c>
      <c r="H63" s="53">
        <f t="shared" si="3"/>
        <v>-1</v>
      </c>
      <c r="I63" s="53" t="str">
        <f t="shared" si="4"/>
        <v>dw</v>
      </c>
      <c r="J63" s="53"/>
    </row>
    <row r="64" spans="1:10" x14ac:dyDescent="0.25">
      <c r="A64" s="93">
        <v>40880</v>
      </c>
      <c r="B64" s="35">
        <f t="shared" si="0"/>
        <v>36</v>
      </c>
      <c r="C64" s="76">
        <v>12</v>
      </c>
      <c r="D64" s="76">
        <v>2011</v>
      </c>
      <c r="E64" s="56">
        <v>6.6666666666666666E-2</v>
      </c>
      <c r="F64" s="53">
        <f t="shared" si="1"/>
        <v>1</v>
      </c>
      <c r="G64" s="53">
        <f t="shared" si="2"/>
        <v>2</v>
      </c>
      <c r="H64" s="53">
        <f t="shared" si="3"/>
        <v>2</v>
      </c>
      <c r="I64" s="53" t="str">
        <f t="shared" si="4"/>
        <v>ww</v>
      </c>
      <c r="J64" s="53"/>
    </row>
    <row r="65" spans="1:10" x14ac:dyDescent="0.25">
      <c r="A65" s="93">
        <v>40881</v>
      </c>
      <c r="B65" s="35">
        <f t="shared" si="0"/>
        <v>36</v>
      </c>
      <c r="C65" s="76">
        <v>12</v>
      </c>
      <c r="D65" s="76">
        <v>2011</v>
      </c>
      <c r="E65" s="56">
        <v>1.0666666666666667</v>
      </c>
      <c r="F65" s="53">
        <f t="shared" si="1"/>
        <v>1</v>
      </c>
      <c r="G65" s="53">
        <f t="shared" si="2"/>
        <v>2</v>
      </c>
      <c r="H65" s="53">
        <f t="shared" si="3"/>
        <v>2</v>
      </c>
      <c r="I65" s="53" t="str">
        <f t="shared" si="4"/>
        <v>ww</v>
      </c>
      <c r="J65" s="53"/>
    </row>
    <row r="66" spans="1:10" x14ac:dyDescent="0.25">
      <c r="A66" s="93">
        <v>40882</v>
      </c>
      <c r="B66" s="35">
        <f t="shared" ref="B66:B129" si="6">C66+(D66-2009)*12</f>
        <v>36</v>
      </c>
      <c r="C66" s="76">
        <v>12</v>
      </c>
      <c r="D66" s="76">
        <v>2011</v>
      </c>
      <c r="E66" s="56">
        <v>0.26666666666666666</v>
      </c>
      <c r="F66" s="53">
        <f t="shared" ref="F66:F129" si="7">IF(E66&gt;0,1,0)</f>
        <v>1</v>
      </c>
      <c r="G66" s="53">
        <f t="shared" ref="G66:G129" si="8">SUM(F65:F66)</f>
        <v>2</v>
      </c>
      <c r="H66" s="53">
        <f t="shared" ref="H66:H129" si="9">IF(G66=1,IF(F65=1,1,-1),G66)</f>
        <v>2</v>
      </c>
      <c r="I66" s="53" t="str">
        <f t="shared" ref="I66:I129" si="10">VLOOKUP(H66,codes,2,)</f>
        <v>ww</v>
      </c>
      <c r="J66" s="53"/>
    </row>
    <row r="67" spans="1:10" x14ac:dyDescent="0.25">
      <c r="A67" s="93">
        <v>40883</v>
      </c>
      <c r="B67" s="35">
        <f t="shared" si="6"/>
        <v>36</v>
      </c>
      <c r="C67" s="76">
        <v>12</v>
      </c>
      <c r="D67" s="76">
        <v>2011</v>
      </c>
      <c r="E67" s="56">
        <v>6.6666666666666666E-2</v>
      </c>
      <c r="F67" s="53">
        <f t="shared" si="7"/>
        <v>1</v>
      </c>
      <c r="G67" s="53">
        <f t="shared" si="8"/>
        <v>2</v>
      </c>
      <c r="H67" s="53">
        <f t="shared" si="9"/>
        <v>2</v>
      </c>
      <c r="I67" s="53" t="str">
        <f t="shared" si="10"/>
        <v>ww</v>
      </c>
      <c r="J67" s="53"/>
    </row>
    <row r="68" spans="1:10" x14ac:dyDescent="0.25">
      <c r="A68" s="93">
        <v>40884</v>
      </c>
      <c r="B68" s="35">
        <f t="shared" si="6"/>
        <v>36</v>
      </c>
      <c r="C68" s="76">
        <v>12</v>
      </c>
      <c r="D68" s="76">
        <v>2011</v>
      </c>
      <c r="E68" s="56">
        <v>1</v>
      </c>
      <c r="F68" s="53">
        <f t="shared" si="7"/>
        <v>1</v>
      </c>
      <c r="G68" s="53">
        <f t="shared" si="8"/>
        <v>2</v>
      </c>
      <c r="H68" s="53">
        <f t="shared" si="9"/>
        <v>2</v>
      </c>
      <c r="I68" s="53" t="str">
        <f t="shared" si="10"/>
        <v>ww</v>
      </c>
      <c r="J68" s="53"/>
    </row>
    <row r="69" spans="1:10" x14ac:dyDescent="0.25">
      <c r="A69" s="93">
        <v>40885</v>
      </c>
      <c r="B69" s="35">
        <f t="shared" si="6"/>
        <v>36</v>
      </c>
      <c r="C69" s="76">
        <v>12</v>
      </c>
      <c r="D69" s="76">
        <v>2011</v>
      </c>
      <c r="E69" s="56">
        <v>1.2666666666666666</v>
      </c>
      <c r="F69" s="53">
        <f t="shared" si="7"/>
        <v>1</v>
      </c>
      <c r="G69" s="53">
        <f t="shared" si="8"/>
        <v>2</v>
      </c>
      <c r="H69" s="53">
        <f t="shared" si="9"/>
        <v>2</v>
      </c>
      <c r="I69" s="53" t="str">
        <f t="shared" si="10"/>
        <v>ww</v>
      </c>
      <c r="J69" s="53"/>
    </row>
    <row r="70" spans="1:10" x14ac:dyDescent="0.25">
      <c r="A70" s="93">
        <v>40886</v>
      </c>
      <c r="B70" s="35">
        <f t="shared" si="6"/>
        <v>36</v>
      </c>
      <c r="C70" s="76">
        <v>12</v>
      </c>
      <c r="D70" s="76">
        <v>2011</v>
      </c>
      <c r="E70" s="56">
        <v>2.6</v>
      </c>
      <c r="F70" s="53">
        <f t="shared" si="7"/>
        <v>1</v>
      </c>
      <c r="G70" s="53">
        <f t="shared" si="8"/>
        <v>2</v>
      </c>
      <c r="H70" s="53">
        <f t="shared" si="9"/>
        <v>2</v>
      </c>
      <c r="I70" s="53" t="str">
        <f t="shared" si="10"/>
        <v>ww</v>
      </c>
      <c r="J70" s="53"/>
    </row>
    <row r="71" spans="1:10" x14ac:dyDescent="0.25">
      <c r="A71" s="93">
        <v>40887</v>
      </c>
      <c r="B71" s="35">
        <f t="shared" si="6"/>
        <v>36</v>
      </c>
      <c r="C71" s="76">
        <v>12</v>
      </c>
      <c r="D71" s="76">
        <v>2011</v>
      </c>
      <c r="E71" s="56">
        <v>6.6666666666666666E-2</v>
      </c>
      <c r="F71" s="53">
        <f t="shared" si="7"/>
        <v>1</v>
      </c>
      <c r="G71" s="53">
        <f t="shared" si="8"/>
        <v>2</v>
      </c>
      <c r="H71" s="53">
        <f t="shared" si="9"/>
        <v>2</v>
      </c>
      <c r="I71" s="53" t="str">
        <f t="shared" si="10"/>
        <v>ww</v>
      </c>
      <c r="J71" s="53"/>
    </row>
    <row r="72" spans="1:10" x14ac:dyDescent="0.25">
      <c r="A72" s="93">
        <v>40888</v>
      </c>
      <c r="B72" s="35">
        <f t="shared" si="6"/>
        <v>36</v>
      </c>
      <c r="C72" s="76">
        <v>12</v>
      </c>
      <c r="D72" s="76">
        <v>2011</v>
      </c>
      <c r="E72" s="56">
        <v>0.40000000000000008</v>
      </c>
      <c r="F72" s="53">
        <f t="shared" si="7"/>
        <v>1</v>
      </c>
      <c r="G72" s="53">
        <f t="shared" si="8"/>
        <v>2</v>
      </c>
      <c r="H72" s="53">
        <f t="shared" si="9"/>
        <v>2</v>
      </c>
      <c r="I72" s="53" t="str">
        <f t="shared" si="10"/>
        <v>ww</v>
      </c>
      <c r="J72" s="53"/>
    </row>
    <row r="73" spans="1:10" x14ac:dyDescent="0.25">
      <c r="A73" s="93">
        <v>40889</v>
      </c>
      <c r="B73" s="35">
        <f t="shared" si="6"/>
        <v>36</v>
      </c>
      <c r="C73" s="76">
        <v>12</v>
      </c>
      <c r="D73" s="76">
        <v>2011</v>
      </c>
      <c r="E73" s="56">
        <v>0.40000000000000008</v>
      </c>
      <c r="F73" s="53">
        <f t="shared" si="7"/>
        <v>1</v>
      </c>
      <c r="G73" s="53">
        <f t="shared" si="8"/>
        <v>2</v>
      </c>
      <c r="H73" s="53">
        <f t="shared" si="9"/>
        <v>2</v>
      </c>
      <c r="I73" s="53" t="str">
        <f t="shared" si="10"/>
        <v>ww</v>
      </c>
      <c r="J73" s="53"/>
    </row>
    <row r="74" spans="1:10" x14ac:dyDescent="0.25">
      <c r="A74" s="93">
        <v>40890</v>
      </c>
      <c r="B74" s="35">
        <f t="shared" si="6"/>
        <v>36</v>
      </c>
      <c r="C74" s="76">
        <v>12</v>
      </c>
      <c r="D74" s="76">
        <v>2011</v>
      </c>
      <c r="E74" s="56">
        <v>5.2666666666666666</v>
      </c>
      <c r="F74" s="53">
        <f t="shared" si="7"/>
        <v>1</v>
      </c>
      <c r="G74" s="53">
        <f t="shared" si="8"/>
        <v>2</v>
      </c>
      <c r="H74" s="53">
        <f t="shared" si="9"/>
        <v>2</v>
      </c>
      <c r="I74" s="53" t="str">
        <f t="shared" si="10"/>
        <v>ww</v>
      </c>
      <c r="J74" s="53"/>
    </row>
    <row r="75" spans="1:10" x14ac:dyDescent="0.25">
      <c r="A75" s="93">
        <v>40891</v>
      </c>
      <c r="B75" s="35">
        <f t="shared" si="6"/>
        <v>36</v>
      </c>
      <c r="C75" s="76">
        <v>12</v>
      </c>
      <c r="D75" s="76">
        <v>2011</v>
      </c>
      <c r="E75" s="56">
        <v>0.13333333333333333</v>
      </c>
      <c r="F75" s="53">
        <f t="shared" si="7"/>
        <v>1</v>
      </c>
      <c r="G75" s="53">
        <f t="shared" si="8"/>
        <v>2</v>
      </c>
      <c r="H75" s="53">
        <f t="shared" si="9"/>
        <v>2</v>
      </c>
      <c r="I75" s="53" t="str">
        <f t="shared" si="10"/>
        <v>ww</v>
      </c>
      <c r="J75" s="53"/>
    </row>
    <row r="76" spans="1:10" x14ac:dyDescent="0.25">
      <c r="A76" s="93">
        <v>40892</v>
      </c>
      <c r="B76" s="35">
        <f t="shared" si="6"/>
        <v>36</v>
      </c>
      <c r="C76" s="76">
        <v>12</v>
      </c>
      <c r="D76" s="76">
        <v>2011</v>
      </c>
      <c r="E76" s="56">
        <v>0</v>
      </c>
      <c r="F76" s="53">
        <f t="shared" si="7"/>
        <v>0</v>
      </c>
      <c r="G76" s="53">
        <f t="shared" si="8"/>
        <v>1</v>
      </c>
      <c r="H76" s="53">
        <f t="shared" si="9"/>
        <v>1</v>
      </c>
      <c r="I76" s="53" t="str">
        <f t="shared" si="10"/>
        <v>wd</v>
      </c>
      <c r="J76" s="53"/>
    </row>
    <row r="77" spans="1:10" x14ac:dyDescent="0.25">
      <c r="A77" s="93">
        <v>40893</v>
      </c>
      <c r="B77" s="35">
        <f t="shared" si="6"/>
        <v>36</v>
      </c>
      <c r="C77" s="76">
        <v>12</v>
      </c>
      <c r="D77" s="76">
        <v>2011</v>
      </c>
      <c r="E77" s="56">
        <v>1.4666666666666668</v>
      </c>
      <c r="F77" s="53">
        <f t="shared" si="7"/>
        <v>1</v>
      </c>
      <c r="G77" s="53">
        <f t="shared" si="8"/>
        <v>1</v>
      </c>
      <c r="H77" s="53">
        <f t="shared" si="9"/>
        <v>-1</v>
      </c>
      <c r="I77" s="53" t="str">
        <f t="shared" si="10"/>
        <v>dw</v>
      </c>
      <c r="J77" s="53"/>
    </row>
    <row r="78" spans="1:10" x14ac:dyDescent="0.25">
      <c r="A78" s="93">
        <v>40894</v>
      </c>
      <c r="B78" s="35">
        <f t="shared" si="6"/>
        <v>36</v>
      </c>
      <c r="C78" s="76">
        <v>12</v>
      </c>
      <c r="D78" s="76">
        <v>2011</v>
      </c>
      <c r="E78" s="56">
        <v>7.1333333333333329</v>
      </c>
      <c r="F78" s="53">
        <f t="shared" si="7"/>
        <v>1</v>
      </c>
      <c r="G78" s="53">
        <f t="shared" si="8"/>
        <v>2</v>
      </c>
      <c r="H78" s="53">
        <f t="shared" si="9"/>
        <v>2</v>
      </c>
      <c r="I78" s="53" t="str">
        <f t="shared" si="10"/>
        <v>ww</v>
      </c>
      <c r="J78" s="53"/>
    </row>
    <row r="79" spans="1:10" x14ac:dyDescent="0.25">
      <c r="A79" s="93">
        <v>40895</v>
      </c>
      <c r="B79" s="35">
        <f t="shared" si="6"/>
        <v>36</v>
      </c>
      <c r="C79" s="76">
        <v>12</v>
      </c>
      <c r="D79" s="76">
        <v>2011</v>
      </c>
      <c r="E79" s="56">
        <v>0.13333333333333333</v>
      </c>
      <c r="F79" s="53">
        <f t="shared" si="7"/>
        <v>1</v>
      </c>
      <c r="G79" s="53">
        <f t="shared" si="8"/>
        <v>2</v>
      </c>
      <c r="H79" s="53">
        <f t="shared" si="9"/>
        <v>2</v>
      </c>
      <c r="I79" s="53" t="str">
        <f t="shared" si="10"/>
        <v>ww</v>
      </c>
      <c r="J79" s="53"/>
    </row>
    <row r="80" spans="1:10" x14ac:dyDescent="0.25">
      <c r="A80" s="93">
        <v>40896</v>
      </c>
      <c r="B80" s="35">
        <f t="shared" si="6"/>
        <v>36</v>
      </c>
      <c r="C80" s="76">
        <v>12</v>
      </c>
      <c r="D80" s="76">
        <v>2011</v>
      </c>
      <c r="E80" s="56">
        <v>0.13333333333333333</v>
      </c>
      <c r="F80" s="53">
        <f t="shared" si="7"/>
        <v>1</v>
      </c>
      <c r="G80" s="53">
        <f t="shared" si="8"/>
        <v>2</v>
      </c>
      <c r="H80" s="53">
        <f t="shared" si="9"/>
        <v>2</v>
      </c>
      <c r="I80" s="53" t="str">
        <f t="shared" si="10"/>
        <v>ww</v>
      </c>
      <c r="J80" s="53"/>
    </row>
    <row r="81" spans="1:10" x14ac:dyDescent="0.25">
      <c r="A81" s="93">
        <v>40897</v>
      </c>
      <c r="B81" s="35">
        <f t="shared" si="6"/>
        <v>36</v>
      </c>
      <c r="C81" s="76">
        <v>12</v>
      </c>
      <c r="D81" s="76">
        <v>2011</v>
      </c>
      <c r="E81" s="56">
        <v>1.7333333333333334</v>
      </c>
      <c r="F81" s="53">
        <f t="shared" si="7"/>
        <v>1</v>
      </c>
      <c r="G81" s="53">
        <f t="shared" si="8"/>
        <v>2</v>
      </c>
      <c r="H81" s="53">
        <f t="shared" si="9"/>
        <v>2</v>
      </c>
      <c r="I81" s="53" t="str">
        <f t="shared" si="10"/>
        <v>ww</v>
      </c>
      <c r="J81" s="53"/>
    </row>
    <row r="82" spans="1:10" x14ac:dyDescent="0.25">
      <c r="A82" s="93">
        <v>40898</v>
      </c>
      <c r="B82" s="35">
        <f t="shared" si="6"/>
        <v>36</v>
      </c>
      <c r="C82" s="76">
        <v>12</v>
      </c>
      <c r="D82" s="76">
        <v>2011</v>
      </c>
      <c r="E82" s="56">
        <v>5.1333333333333329</v>
      </c>
      <c r="F82" s="53">
        <f t="shared" si="7"/>
        <v>1</v>
      </c>
      <c r="G82" s="53">
        <f t="shared" si="8"/>
        <v>2</v>
      </c>
      <c r="H82" s="53">
        <f t="shared" si="9"/>
        <v>2</v>
      </c>
      <c r="I82" s="53" t="str">
        <f t="shared" si="10"/>
        <v>ww</v>
      </c>
      <c r="J82" s="53"/>
    </row>
    <row r="83" spans="1:10" x14ac:dyDescent="0.25">
      <c r="A83" s="93">
        <v>40899</v>
      </c>
      <c r="B83" s="35">
        <f t="shared" si="6"/>
        <v>36</v>
      </c>
      <c r="C83" s="76">
        <v>12</v>
      </c>
      <c r="D83" s="76">
        <v>2011</v>
      </c>
      <c r="E83" s="56">
        <v>0.13333333333333333</v>
      </c>
      <c r="F83" s="53">
        <f t="shared" si="7"/>
        <v>1</v>
      </c>
      <c r="G83" s="53">
        <f t="shared" si="8"/>
        <v>2</v>
      </c>
      <c r="H83" s="53">
        <f t="shared" si="9"/>
        <v>2</v>
      </c>
      <c r="I83" s="53" t="str">
        <f t="shared" si="10"/>
        <v>ww</v>
      </c>
      <c r="J83" s="53"/>
    </row>
    <row r="84" spans="1:10" x14ac:dyDescent="0.25">
      <c r="A84" s="93">
        <v>40900</v>
      </c>
      <c r="B84" s="35">
        <f t="shared" si="6"/>
        <v>36</v>
      </c>
      <c r="C84" s="76">
        <v>12</v>
      </c>
      <c r="D84" s="76">
        <v>2011</v>
      </c>
      <c r="E84" s="56">
        <v>6.6666666666666666E-2</v>
      </c>
      <c r="F84" s="53">
        <f t="shared" si="7"/>
        <v>1</v>
      </c>
      <c r="G84" s="53">
        <f t="shared" si="8"/>
        <v>2</v>
      </c>
      <c r="H84" s="53">
        <f t="shared" si="9"/>
        <v>2</v>
      </c>
      <c r="I84" s="53" t="str">
        <f t="shared" si="10"/>
        <v>ww</v>
      </c>
      <c r="J84" s="53"/>
    </row>
    <row r="85" spans="1:10" x14ac:dyDescent="0.25">
      <c r="A85" s="93">
        <v>40901</v>
      </c>
      <c r="B85" s="35">
        <f t="shared" si="6"/>
        <v>36</v>
      </c>
      <c r="C85" s="76">
        <v>12</v>
      </c>
      <c r="D85" s="76">
        <v>2011</v>
      </c>
      <c r="E85" s="56">
        <v>0.53333333333333333</v>
      </c>
      <c r="F85" s="53">
        <f t="shared" si="7"/>
        <v>1</v>
      </c>
      <c r="G85" s="53">
        <f t="shared" si="8"/>
        <v>2</v>
      </c>
      <c r="H85" s="53">
        <f t="shared" si="9"/>
        <v>2</v>
      </c>
      <c r="I85" s="53" t="str">
        <f t="shared" si="10"/>
        <v>ww</v>
      </c>
      <c r="J85" s="53"/>
    </row>
    <row r="86" spans="1:10" x14ac:dyDescent="0.25">
      <c r="A86" s="93">
        <v>40902</v>
      </c>
      <c r="B86" s="35">
        <f t="shared" si="6"/>
        <v>36</v>
      </c>
      <c r="C86" s="76">
        <v>12</v>
      </c>
      <c r="D86" s="76">
        <v>2011</v>
      </c>
      <c r="E86" s="56">
        <v>0.26666666666666666</v>
      </c>
      <c r="F86" s="53">
        <f t="shared" si="7"/>
        <v>1</v>
      </c>
      <c r="G86" s="53">
        <f t="shared" si="8"/>
        <v>2</v>
      </c>
      <c r="H86" s="53">
        <f t="shared" si="9"/>
        <v>2</v>
      </c>
      <c r="I86" s="53" t="str">
        <f t="shared" si="10"/>
        <v>ww</v>
      </c>
      <c r="J86" s="53"/>
    </row>
    <row r="87" spans="1:10" x14ac:dyDescent="0.25">
      <c r="A87" s="93">
        <v>40903</v>
      </c>
      <c r="B87" s="35">
        <f t="shared" si="6"/>
        <v>36</v>
      </c>
      <c r="C87" s="76">
        <v>12</v>
      </c>
      <c r="D87" s="76">
        <v>2011</v>
      </c>
      <c r="E87" s="56">
        <v>6.6666666666666666E-2</v>
      </c>
      <c r="F87" s="53">
        <f t="shared" si="7"/>
        <v>1</v>
      </c>
      <c r="G87" s="53">
        <f t="shared" si="8"/>
        <v>2</v>
      </c>
      <c r="H87" s="53">
        <f t="shared" si="9"/>
        <v>2</v>
      </c>
      <c r="I87" s="53" t="str">
        <f t="shared" si="10"/>
        <v>ww</v>
      </c>
      <c r="J87" s="53"/>
    </row>
    <row r="88" spans="1:10" x14ac:dyDescent="0.25">
      <c r="A88" s="93">
        <v>40904</v>
      </c>
      <c r="B88" s="35">
        <f t="shared" si="6"/>
        <v>36</v>
      </c>
      <c r="C88" s="76">
        <v>12</v>
      </c>
      <c r="D88" s="76">
        <v>2011</v>
      </c>
      <c r="E88" s="56">
        <v>0.40000000000000008</v>
      </c>
      <c r="F88" s="53">
        <f t="shared" si="7"/>
        <v>1</v>
      </c>
      <c r="G88" s="53">
        <f t="shared" si="8"/>
        <v>2</v>
      </c>
      <c r="H88" s="53">
        <f t="shared" si="9"/>
        <v>2</v>
      </c>
      <c r="I88" s="53" t="str">
        <f t="shared" si="10"/>
        <v>ww</v>
      </c>
      <c r="J88" s="53"/>
    </row>
    <row r="89" spans="1:10" x14ac:dyDescent="0.25">
      <c r="A89" s="93">
        <v>40905</v>
      </c>
      <c r="B89" s="35">
        <f t="shared" si="6"/>
        <v>36</v>
      </c>
      <c r="C89" s="76">
        <v>12</v>
      </c>
      <c r="D89" s="76">
        <v>2011</v>
      </c>
      <c r="E89" s="56">
        <v>1.5999999999999999</v>
      </c>
      <c r="F89" s="53">
        <f t="shared" si="7"/>
        <v>1</v>
      </c>
      <c r="G89" s="53">
        <f t="shared" si="8"/>
        <v>2</v>
      </c>
      <c r="H89" s="53">
        <f t="shared" si="9"/>
        <v>2</v>
      </c>
      <c r="I89" s="53" t="str">
        <f t="shared" si="10"/>
        <v>ww</v>
      </c>
      <c r="J89" s="53"/>
    </row>
    <row r="90" spans="1:10" x14ac:dyDescent="0.25">
      <c r="A90" s="93">
        <v>40906</v>
      </c>
      <c r="B90" s="35">
        <f t="shared" si="6"/>
        <v>36</v>
      </c>
      <c r="C90" s="76">
        <v>12</v>
      </c>
      <c r="D90" s="76">
        <v>2011</v>
      </c>
      <c r="E90" s="56">
        <v>0.39999999999999997</v>
      </c>
      <c r="F90" s="53">
        <f t="shared" si="7"/>
        <v>1</v>
      </c>
      <c r="G90" s="53">
        <f t="shared" si="8"/>
        <v>2</v>
      </c>
      <c r="H90" s="53">
        <f t="shared" si="9"/>
        <v>2</v>
      </c>
      <c r="I90" s="53" t="str">
        <f t="shared" si="10"/>
        <v>ww</v>
      </c>
      <c r="J90" s="53"/>
    </row>
    <row r="91" spans="1:10" x14ac:dyDescent="0.25">
      <c r="A91" s="93">
        <v>40907</v>
      </c>
      <c r="B91" s="35">
        <f t="shared" si="6"/>
        <v>36</v>
      </c>
      <c r="C91" s="76">
        <v>12</v>
      </c>
      <c r="D91" s="76">
        <v>2011</v>
      </c>
      <c r="E91" s="56">
        <v>0.46666666666666662</v>
      </c>
      <c r="F91" s="53">
        <f t="shared" si="7"/>
        <v>1</v>
      </c>
      <c r="G91" s="53">
        <f t="shared" si="8"/>
        <v>2</v>
      </c>
      <c r="H91" s="53">
        <f t="shared" si="9"/>
        <v>2</v>
      </c>
      <c r="I91" s="53" t="str">
        <f t="shared" si="10"/>
        <v>ww</v>
      </c>
      <c r="J91" s="53"/>
    </row>
    <row r="92" spans="1:10" x14ac:dyDescent="0.25">
      <c r="A92" s="93">
        <v>40908</v>
      </c>
      <c r="B92" s="35">
        <f t="shared" si="6"/>
        <v>36</v>
      </c>
      <c r="C92" s="76">
        <v>12</v>
      </c>
      <c r="D92" s="76">
        <v>2011</v>
      </c>
      <c r="E92" s="56">
        <v>7.8</v>
      </c>
      <c r="F92" s="53">
        <f t="shared" si="7"/>
        <v>1</v>
      </c>
      <c r="G92" s="53">
        <f t="shared" si="8"/>
        <v>2</v>
      </c>
      <c r="H92" s="53">
        <f t="shared" si="9"/>
        <v>2</v>
      </c>
      <c r="I92" s="53" t="str">
        <f t="shared" si="10"/>
        <v>ww</v>
      </c>
      <c r="J92" s="53"/>
    </row>
    <row r="93" spans="1:10" x14ac:dyDescent="0.25">
      <c r="A93" s="93">
        <v>41245</v>
      </c>
      <c r="B93" s="35">
        <f t="shared" si="6"/>
        <v>48</v>
      </c>
      <c r="C93" s="76">
        <v>12</v>
      </c>
      <c r="D93" s="76">
        <v>2012</v>
      </c>
      <c r="E93" s="56">
        <v>0</v>
      </c>
      <c r="F93" s="53">
        <f t="shared" si="7"/>
        <v>0</v>
      </c>
      <c r="G93" s="53">
        <f t="shared" si="8"/>
        <v>1</v>
      </c>
      <c r="H93" s="53">
        <f t="shared" si="9"/>
        <v>1</v>
      </c>
      <c r="I93" s="53" t="str">
        <f t="shared" si="10"/>
        <v>wd</v>
      </c>
      <c r="J93" s="53"/>
    </row>
    <row r="94" spans="1:10" x14ac:dyDescent="0.25">
      <c r="A94" s="93">
        <v>41246</v>
      </c>
      <c r="B94" s="35">
        <f t="shared" si="6"/>
        <v>48</v>
      </c>
      <c r="C94" s="76">
        <v>12</v>
      </c>
      <c r="D94" s="76">
        <v>2012</v>
      </c>
      <c r="E94" s="56">
        <v>1.8</v>
      </c>
      <c r="F94" s="53">
        <f t="shared" si="7"/>
        <v>1</v>
      </c>
      <c r="G94" s="53">
        <f t="shared" si="8"/>
        <v>1</v>
      </c>
      <c r="H94" s="53">
        <f t="shared" si="9"/>
        <v>-1</v>
      </c>
      <c r="I94" s="53" t="str">
        <f t="shared" si="10"/>
        <v>dw</v>
      </c>
      <c r="J94" s="53"/>
    </row>
    <row r="95" spans="1:10" x14ac:dyDescent="0.25">
      <c r="A95" s="93">
        <v>41247</v>
      </c>
      <c r="B95" s="35">
        <f t="shared" si="6"/>
        <v>48</v>
      </c>
      <c r="C95" s="76">
        <v>12</v>
      </c>
      <c r="D95" s="76">
        <v>2012</v>
      </c>
      <c r="E95" s="56">
        <v>0.6</v>
      </c>
      <c r="F95" s="53">
        <f t="shared" si="7"/>
        <v>1</v>
      </c>
      <c r="G95" s="53">
        <f t="shared" si="8"/>
        <v>2</v>
      </c>
      <c r="H95" s="53">
        <f t="shared" si="9"/>
        <v>2</v>
      </c>
      <c r="I95" s="53" t="str">
        <f t="shared" si="10"/>
        <v>ww</v>
      </c>
      <c r="J95" s="53"/>
    </row>
    <row r="96" spans="1:10" x14ac:dyDescent="0.25">
      <c r="A96" s="93">
        <v>41248</v>
      </c>
      <c r="B96" s="35">
        <f t="shared" si="6"/>
        <v>48</v>
      </c>
      <c r="C96" s="76">
        <v>12</v>
      </c>
      <c r="D96" s="76">
        <v>2012</v>
      </c>
      <c r="E96" s="56">
        <v>1.5999999999999999</v>
      </c>
      <c r="F96" s="53">
        <f t="shared" si="7"/>
        <v>1</v>
      </c>
      <c r="G96" s="53">
        <f t="shared" si="8"/>
        <v>2</v>
      </c>
      <c r="H96" s="53">
        <f t="shared" si="9"/>
        <v>2</v>
      </c>
      <c r="I96" s="53" t="str">
        <f t="shared" si="10"/>
        <v>ww</v>
      </c>
      <c r="J96" s="53"/>
    </row>
    <row r="97" spans="1:10" x14ac:dyDescent="0.25">
      <c r="A97" s="93">
        <v>41249</v>
      </c>
      <c r="B97" s="35">
        <f t="shared" si="6"/>
        <v>48</v>
      </c>
      <c r="C97" s="76">
        <v>12</v>
      </c>
      <c r="D97" s="76">
        <v>2012</v>
      </c>
      <c r="E97" s="56">
        <v>2.8000000000000003</v>
      </c>
      <c r="F97" s="53">
        <f t="shared" si="7"/>
        <v>1</v>
      </c>
      <c r="G97" s="53">
        <f t="shared" si="8"/>
        <v>2</v>
      </c>
      <c r="H97" s="53">
        <f t="shared" si="9"/>
        <v>2</v>
      </c>
      <c r="I97" s="53" t="str">
        <f t="shared" si="10"/>
        <v>ww</v>
      </c>
      <c r="J97" s="53"/>
    </row>
    <row r="98" spans="1:10" x14ac:dyDescent="0.25">
      <c r="A98" s="93">
        <v>41250</v>
      </c>
      <c r="B98" s="35">
        <f t="shared" si="6"/>
        <v>48</v>
      </c>
      <c r="C98" s="76">
        <v>12</v>
      </c>
      <c r="D98" s="76">
        <v>2012</v>
      </c>
      <c r="E98" s="56">
        <v>7.6666666666666679</v>
      </c>
      <c r="F98" s="53">
        <f t="shared" si="7"/>
        <v>1</v>
      </c>
      <c r="G98" s="53">
        <f t="shared" si="8"/>
        <v>2</v>
      </c>
      <c r="H98" s="53">
        <f t="shared" si="9"/>
        <v>2</v>
      </c>
      <c r="I98" s="53" t="str">
        <f t="shared" si="10"/>
        <v>ww</v>
      </c>
      <c r="J98" s="53"/>
    </row>
    <row r="99" spans="1:10" x14ac:dyDescent="0.25">
      <c r="A99" s="93">
        <v>41251</v>
      </c>
      <c r="B99" s="35">
        <f t="shared" si="6"/>
        <v>48</v>
      </c>
      <c r="C99" s="76">
        <v>12</v>
      </c>
      <c r="D99" s="76">
        <v>2012</v>
      </c>
      <c r="E99" s="56">
        <v>3.9333333333333336</v>
      </c>
      <c r="F99" s="53">
        <f t="shared" si="7"/>
        <v>1</v>
      </c>
      <c r="G99" s="53">
        <f t="shared" si="8"/>
        <v>2</v>
      </c>
      <c r="H99" s="53">
        <f t="shared" si="9"/>
        <v>2</v>
      </c>
      <c r="I99" s="53" t="str">
        <f t="shared" si="10"/>
        <v>ww</v>
      </c>
      <c r="J99" s="53"/>
    </row>
    <row r="100" spans="1:10" x14ac:dyDescent="0.25">
      <c r="A100" s="93">
        <v>41252</v>
      </c>
      <c r="B100" s="35">
        <f t="shared" si="6"/>
        <v>48</v>
      </c>
      <c r="C100" s="76">
        <v>12</v>
      </c>
      <c r="D100" s="76">
        <v>2012</v>
      </c>
      <c r="E100" s="56">
        <v>0.13333333333333333</v>
      </c>
      <c r="F100" s="53">
        <f t="shared" si="7"/>
        <v>1</v>
      </c>
      <c r="G100" s="53">
        <f t="shared" si="8"/>
        <v>2</v>
      </c>
      <c r="H100" s="53">
        <f t="shared" si="9"/>
        <v>2</v>
      </c>
      <c r="I100" s="53" t="str">
        <f t="shared" si="10"/>
        <v>ww</v>
      </c>
      <c r="J100" s="53"/>
    </row>
    <row r="101" spans="1:10" x14ac:dyDescent="0.25">
      <c r="A101" s="93">
        <v>41253</v>
      </c>
      <c r="B101" s="35">
        <f t="shared" si="6"/>
        <v>48</v>
      </c>
      <c r="C101" s="76">
        <v>12</v>
      </c>
      <c r="D101" s="76">
        <v>2012</v>
      </c>
      <c r="E101" s="56">
        <v>3.9333333333333336</v>
      </c>
      <c r="F101" s="53">
        <f t="shared" si="7"/>
        <v>1</v>
      </c>
      <c r="G101" s="53">
        <f t="shared" si="8"/>
        <v>2</v>
      </c>
      <c r="H101" s="53">
        <f t="shared" si="9"/>
        <v>2</v>
      </c>
      <c r="I101" s="53" t="str">
        <f t="shared" si="10"/>
        <v>ww</v>
      </c>
      <c r="J101" s="53"/>
    </row>
    <row r="102" spans="1:10" x14ac:dyDescent="0.25">
      <c r="A102" s="93">
        <v>41254</v>
      </c>
      <c r="B102" s="35">
        <f t="shared" si="6"/>
        <v>48</v>
      </c>
      <c r="C102" s="76">
        <v>12</v>
      </c>
      <c r="D102" s="76">
        <v>2012</v>
      </c>
      <c r="E102" s="56">
        <v>2.6</v>
      </c>
      <c r="F102" s="53">
        <f t="shared" si="7"/>
        <v>1</v>
      </c>
      <c r="G102" s="53">
        <f t="shared" si="8"/>
        <v>2</v>
      </c>
      <c r="H102" s="53">
        <f t="shared" si="9"/>
        <v>2</v>
      </c>
      <c r="I102" s="53" t="str">
        <f t="shared" si="10"/>
        <v>ww</v>
      </c>
      <c r="J102" s="53"/>
    </row>
    <row r="103" spans="1:10" x14ac:dyDescent="0.25">
      <c r="A103" s="93">
        <v>41255</v>
      </c>
      <c r="B103" s="35">
        <f t="shared" si="6"/>
        <v>48</v>
      </c>
      <c r="C103" s="76">
        <v>12</v>
      </c>
      <c r="D103" s="76">
        <v>2012</v>
      </c>
      <c r="E103" s="56">
        <v>0.20000000000000004</v>
      </c>
      <c r="F103" s="53">
        <f t="shared" si="7"/>
        <v>1</v>
      </c>
      <c r="G103" s="53">
        <f t="shared" si="8"/>
        <v>2</v>
      </c>
      <c r="H103" s="53">
        <f t="shared" si="9"/>
        <v>2</v>
      </c>
      <c r="I103" s="53" t="str">
        <f t="shared" si="10"/>
        <v>ww</v>
      </c>
      <c r="J103" s="53"/>
    </row>
    <row r="104" spans="1:10" x14ac:dyDescent="0.25">
      <c r="A104" s="93">
        <v>41256</v>
      </c>
      <c r="B104" s="35">
        <f t="shared" si="6"/>
        <v>48</v>
      </c>
      <c r="C104" s="76">
        <v>12</v>
      </c>
      <c r="D104" s="76">
        <v>2012</v>
      </c>
      <c r="E104" s="56">
        <v>0.33333333333333331</v>
      </c>
      <c r="F104" s="53">
        <f t="shared" si="7"/>
        <v>1</v>
      </c>
      <c r="G104" s="53">
        <f t="shared" si="8"/>
        <v>2</v>
      </c>
      <c r="H104" s="53">
        <f t="shared" si="9"/>
        <v>2</v>
      </c>
      <c r="I104" s="53" t="str">
        <f t="shared" si="10"/>
        <v>ww</v>
      </c>
      <c r="J104" s="53"/>
    </row>
    <row r="105" spans="1:10" x14ac:dyDescent="0.25">
      <c r="A105" s="93">
        <v>41257</v>
      </c>
      <c r="B105" s="35">
        <f t="shared" si="6"/>
        <v>48</v>
      </c>
      <c r="C105" s="76">
        <v>12</v>
      </c>
      <c r="D105" s="76">
        <v>2012</v>
      </c>
      <c r="E105" s="56">
        <v>0.20000000000000004</v>
      </c>
      <c r="F105" s="53">
        <f t="shared" si="7"/>
        <v>1</v>
      </c>
      <c r="G105" s="53">
        <f t="shared" si="8"/>
        <v>2</v>
      </c>
      <c r="H105" s="53">
        <f t="shared" si="9"/>
        <v>2</v>
      </c>
      <c r="I105" s="53" t="str">
        <f t="shared" si="10"/>
        <v>ww</v>
      </c>
      <c r="J105" s="53"/>
    </row>
    <row r="106" spans="1:10" x14ac:dyDescent="0.25">
      <c r="A106" s="93">
        <v>41258</v>
      </c>
      <c r="B106" s="35">
        <f t="shared" si="6"/>
        <v>48</v>
      </c>
      <c r="C106" s="76">
        <v>12</v>
      </c>
      <c r="D106" s="76">
        <v>2012</v>
      </c>
      <c r="E106" s="56">
        <v>12.6</v>
      </c>
      <c r="F106" s="53">
        <f t="shared" si="7"/>
        <v>1</v>
      </c>
      <c r="G106" s="53">
        <f t="shared" si="8"/>
        <v>2</v>
      </c>
      <c r="H106" s="53">
        <f t="shared" si="9"/>
        <v>2</v>
      </c>
      <c r="I106" s="53" t="str">
        <f t="shared" si="10"/>
        <v>ww</v>
      </c>
      <c r="J106" s="53"/>
    </row>
    <row r="107" spans="1:10" x14ac:dyDescent="0.25">
      <c r="A107" s="93">
        <v>41259</v>
      </c>
      <c r="B107" s="35">
        <f t="shared" si="6"/>
        <v>48</v>
      </c>
      <c r="C107" s="76">
        <v>12</v>
      </c>
      <c r="D107" s="76">
        <v>2012</v>
      </c>
      <c r="E107" s="56">
        <v>0</v>
      </c>
      <c r="F107" s="53">
        <f t="shared" si="7"/>
        <v>0</v>
      </c>
      <c r="G107" s="53">
        <f t="shared" si="8"/>
        <v>1</v>
      </c>
      <c r="H107" s="53">
        <f t="shared" si="9"/>
        <v>1</v>
      </c>
      <c r="I107" s="53" t="str">
        <f t="shared" si="10"/>
        <v>wd</v>
      </c>
      <c r="J107" s="53"/>
    </row>
    <row r="108" spans="1:10" x14ac:dyDescent="0.25">
      <c r="A108" s="93">
        <v>41260</v>
      </c>
      <c r="B108" s="35">
        <f t="shared" si="6"/>
        <v>48</v>
      </c>
      <c r="C108" s="76">
        <v>12</v>
      </c>
      <c r="D108" s="76">
        <v>2012</v>
      </c>
      <c r="E108" s="56">
        <v>3.7999999999999994</v>
      </c>
      <c r="F108" s="53">
        <f t="shared" si="7"/>
        <v>1</v>
      </c>
      <c r="G108" s="53">
        <f t="shared" si="8"/>
        <v>1</v>
      </c>
      <c r="H108" s="53">
        <f t="shared" si="9"/>
        <v>-1</v>
      </c>
      <c r="I108" s="53" t="str">
        <f t="shared" si="10"/>
        <v>dw</v>
      </c>
      <c r="J108" s="53"/>
    </row>
    <row r="109" spans="1:10" x14ac:dyDescent="0.25">
      <c r="A109" s="93">
        <v>41261</v>
      </c>
      <c r="B109" s="35">
        <f t="shared" si="6"/>
        <v>48</v>
      </c>
      <c r="C109" s="76">
        <v>12</v>
      </c>
      <c r="D109" s="76">
        <v>2012</v>
      </c>
      <c r="E109" s="56">
        <v>1.0666666666666667</v>
      </c>
      <c r="F109" s="53">
        <f t="shared" si="7"/>
        <v>1</v>
      </c>
      <c r="G109" s="53">
        <f t="shared" si="8"/>
        <v>2</v>
      </c>
      <c r="H109" s="53">
        <f t="shared" si="9"/>
        <v>2</v>
      </c>
      <c r="I109" s="53" t="str">
        <f t="shared" si="10"/>
        <v>ww</v>
      </c>
      <c r="J109" s="53"/>
    </row>
    <row r="110" spans="1:10" x14ac:dyDescent="0.25">
      <c r="A110" s="93">
        <v>41262</v>
      </c>
      <c r="B110" s="35">
        <f t="shared" si="6"/>
        <v>48</v>
      </c>
      <c r="C110" s="76">
        <v>12</v>
      </c>
      <c r="D110" s="76">
        <v>2012</v>
      </c>
      <c r="E110" s="56">
        <v>0.20000000000000004</v>
      </c>
      <c r="F110" s="53">
        <f t="shared" si="7"/>
        <v>1</v>
      </c>
      <c r="G110" s="53">
        <f t="shared" si="8"/>
        <v>2</v>
      </c>
      <c r="H110" s="53">
        <f t="shared" si="9"/>
        <v>2</v>
      </c>
      <c r="I110" s="53" t="str">
        <f t="shared" si="10"/>
        <v>ww</v>
      </c>
      <c r="J110" s="53"/>
    </row>
    <row r="111" spans="1:10" x14ac:dyDescent="0.25">
      <c r="A111" s="93">
        <v>41263</v>
      </c>
      <c r="B111" s="35">
        <f t="shared" si="6"/>
        <v>48</v>
      </c>
      <c r="C111" s="76">
        <v>12</v>
      </c>
      <c r="D111" s="76">
        <v>2012</v>
      </c>
      <c r="E111" s="56">
        <v>7.2</v>
      </c>
      <c r="F111" s="53">
        <f t="shared" si="7"/>
        <v>1</v>
      </c>
      <c r="G111" s="53">
        <f t="shared" si="8"/>
        <v>2</v>
      </c>
      <c r="H111" s="53">
        <f t="shared" si="9"/>
        <v>2</v>
      </c>
      <c r="I111" s="53" t="str">
        <f t="shared" si="10"/>
        <v>ww</v>
      </c>
      <c r="J111" s="53"/>
    </row>
    <row r="112" spans="1:10" x14ac:dyDescent="0.25">
      <c r="A112" s="93">
        <v>41264</v>
      </c>
      <c r="B112" s="35">
        <f t="shared" si="6"/>
        <v>48</v>
      </c>
      <c r="C112" s="76">
        <v>12</v>
      </c>
      <c r="D112" s="76">
        <v>2012</v>
      </c>
      <c r="E112" s="56">
        <v>32.933333333333337</v>
      </c>
      <c r="F112" s="53">
        <f t="shared" si="7"/>
        <v>1</v>
      </c>
      <c r="G112" s="53">
        <f t="shared" si="8"/>
        <v>2</v>
      </c>
      <c r="H112" s="53">
        <f t="shared" si="9"/>
        <v>2</v>
      </c>
      <c r="I112" s="53" t="str">
        <f t="shared" si="10"/>
        <v>ww</v>
      </c>
      <c r="J112" s="53"/>
    </row>
    <row r="113" spans="1:10" x14ac:dyDescent="0.25">
      <c r="A113" s="93">
        <v>41265</v>
      </c>
      <c r="B113" s="35">
        <f t="shared" si="6"/>
        <v>48</v>
      </c>
      <c r="C113" s="76">
        <v>12</v>
      </c>
      <c r="D113" s="76">
        <v>2012</v>
      </c>
      <c r="E113" s="56">
        <v>3.4666666666666663</v>
      </c>
      <c r="F113" s="53">
        <f t="shared" si="7"/>
        <v>1</v>
      </c>
      <c r="G113" s="53">
        <f t="shared" si="8"/>
        <v>2</v>
      </c>
      <c r="H113" s="53">
        <f t="shared" si="9"/>
        <v>2</v>
      </c>
      <c r="I113" s="53" t="str">
        <f t="shared" si="10"/>
        <v>ww</v>
      </c>
      <c r="J113" s="53"/>
    </row>
    <row r="114" spans="1:10" x14ac:dyDescent="0.25">
      <c r="A114" s="93">
        <v>41266</v>
      </c>
      <c r="B114" s="35">
        <f t="shared" si="6"/>
        <v>48</v>
      </c>
      <c r="C114" s="76">
        <v>12</v>
      </c>
      <c r="D114" s="76">
        <v>2012</v>
      </c>
      <c r="E114" s="56">
        <v>10.066666666666668</v>
      </c>
      <c r="F114" s="53">
        <f t="shared" si="7"/>
        <v>1</v>
      </c>
      <c r="G114" s="53">
        <f t="shared" si="8"/>
        <v>2</v>
      </c>
      <c r="H114" s="53">
        <f t="shared" si="9"/>
        <v>2</v>
      </c>
      <c r="I114" s="53" t="str">
        <f t="shared" si="10"/>
        <v>ww</v>
      </c>
      <c r="J114" s="53"/>
    </row>
    <row r="115" spans="1:10" x14ac:dyDescent="0.25">
      <c r="A115" s="93">
        <v>41267</v>
      </c>
      <c r="B115" s="35">
        <f t="shared" si="6"/>
        <v>48</v>
      </c>
      <c r="C115" s="76">
        <v>12</v>
      </c>
      <c r="D115" s="76">
        <v>2012</v>
      </c>
      <c r="E115" s="56">
        <v>0</v>
      </c>
      <c r="F115" s="53">
        <f t="shared" si="7"/>
        <v>0</v>
      </c>
      <c r="G115" s="53">
        <f t="shared" si="8"/>
        <v>1</v>
      </c>
      <c r="H115" s="53">
        <f t="shared" si="9"/>
        <v>1</v>
      </c>
      <c r="I115" s="53" t="str">
        <f t="shared" si="10"/>
        <v>wd</v>
      </c>
      <c r="J115" s="53"/>
    </row>
    <row r="116" spans="1:10" x14ac:dyDescent="0.25">
      <c r="A116" s="93">
        <v>41268</v>
      </c>
      <c r="B116" s="35">
        <f t="shared" si="6"/>
        <v>48</v>
      </c>
      <c r="C116" s="76">
        <v>12</v>
      </c>
      <c r="D116" s="76">
        <v>2012</v>
      </c>
      <c r="E116" s="56">
        <v>4.3999999999999995</v>
      </c>
      <c r="F116" s="53">
        <f t="shared" si="7"/>
        <v>1</v>
      </c>
      <c r="G116" s="53">
        <f t="shared" si="8"/>
        <v>1</v>
      </c>
      <c r="H116" s="53">
        <f t="shared" si="9"/>
        <v>-1</v>
      </c>
      <c r="I116" s="53" t="str">
        <f t="shared" si="10"/>
        <v>dw</v>
      </c>
      <c r="J116" s="53"/>
    </row>
    <row r="117" spans="1:10" x14ac:dyDescent="0.25">
      <c r="A117" s="93">
        <v>41269</v>
      </c>
      <c r="B117" s="35">
        <f t="shared" si="6"/>
        <v>48</v>
      </c>
      <c r="C117" s="76">
        <v>12</v>
      </c>
      <c r="D117" s="76">
        <v>2012</v>
      </c>
      <c r="E117" s="56">
        <v>2.4666666666666663</v>
      </c>
      <c r="F117" s="53">
        <f t="shared" si="7"/>
        <v>1</v>
      </c>
      <c r="G117" s="53">
        <f t="shared" si="8"/>
        <v>2</v>
      </c>
      <c r="H117" s="53">
        <f t="shared" si="9"/>
        <v>2</v>
      </c>
      <c r="I117" s="53" t="str">
        <f t="shared" si="10"/>
        <v>ww</v>
      </c>
      <c r="J117" s="53"/>
    </row>
    <row r="118" spans="1:10" x14ac:dyDescent="0.25">
      <c r="A118" s="93">
        <v>41270</v>
      </c>
      <c r="B118" s="35">
        <f t="shared" si="6"/>
        <v>48</v>
      </c>
      <c r="C118" s="76">
        <v>12</v>
      </c>
      <c r="D118" s="76">
        <v>2012</v>
      </c>
      <c r="E118" s="56">
        <v>11.6</v>
      </c>
      <c r="F118" s="53">
        <f t="shared" si="7"/>
        <v>1</v>
      </c>
      <c r="G118" s="53">
        <f t="shared" si="8"/>
        <v>2</v>
      </c>
      <c r="H118" s="53">
        <f t="shared" si="9"/>
        <v>2</v>
      </c>
      <c r="I118" s="53" t="str">
        <f t="shared" si="10"/>
        <v>ww</v>
      </c>
      <c r="J118" s="53"/>
    </row>
    <row r="119" spans="1:10" x14ac:dyDescent="0.25">
      <c r="A119" s="93">
        <v>41271</v>
      </c>
      <c r="B119" s="35">
        <f t="shared" si="6"/>
        <v>48</v>
      </c>
      <c r="C119" s="76">
        <v>12</v>
      </c>
      <c r="D119" s="76">
        <v>2012</v>
      </c>
      <c r="E119" s="56">
        <v>2.1999999999999997</v>
      </c>
      <c r="F119" s="53">
        <f t="shared" si="7"/>
        <v>1</v>
      </c>
      <c r="G119" s="53">
        <f t="shared" si="8"/>
        <v>2</v>
      </c>
      <c r="H119" s="53">
        <f t="shared" si="9"/>
        <v>2</v>
      </c>
      <c r="I119" s="53" t="str">
        <f t="shared" si="10"/>
        <v>ww</v>
      </c>
      <c r="J119" s="53"/>
    </row>
    <row r="120" spans="1:10" x14ac:dyDescent="0.25">
      <c r="A120" s="93">
        <v>41272</v>
      </c>
      <c r="B120" s="35">
        <f t="shared" si="6"/>
        <v>48</v>
      </c>
      <c r="C120" s="76">
        <v>12</v>
      </c>
      <c r="D120" s="76">
        <v>2012</v>
      </c>
      <c r="E120" s="56">
        <v>2.4</v>
      </c>
      <c r="F120" s="53">
        <f t="shared" si="7"/>
        <v>1</v>
      </c>
      <c r="G120" s="53">
        <f t="shared" si="8"/>
        <v>2</v>
      </c>
      <c r="H120" s="53">
        <f t="shared" si="9"/>
        <v>2</v>
      </c>
      <c r="I120" s="53" t="str">
        <f t="shared" si="10"/>
        <v>ww</v>
      </c>
      <c r="J120" s="53"/>
    </row>
    <row r="121" spans="1:10" x14ac:dyDescent="0.25">
      <c r="A121" s="93">
        <v>41273</v>
      </c>
      <c r="B121" s="35">
        <f t="shared" si="6"/>
        <v>48</v>
      </c>
      <c r="C121" s="76">
        <v>12</v>
      </c>
      <c r="D121" s="76">
        <v>2012</v>
      </c>
      <c r="E121" s="56">
        <v>4.2</v>
      </c>
      <c r="F121" s="53">
        <f t="shared" si="7"/>
        <v>1</v>
      </c>
      <c r="G121" s="53">
        <f t="shared" si="8"/>
        <v>2</v>
      </c>
      <c r="H121" s="53">
        <f t="shared" si="9"/>
        <v>2</v>
      </c>
      <c r="I121" s="53" t="str">
        <f t="shared" si="10"/>
        <v>ww</v>
      </c>
      <c r="J121" s="53"/>
    </row>
    <row r="122" spans="1:10" x14ac:dyDescent="0.25">
      <c r="A122" s="93">
        <v>41274</v>
      </c>
      <c r="B122" s="35">
        <f t="shared" si="6"/>
        <v>48</v>
      </c>
      <c r="C122" s="76">
        <v>12</v>
      </c>
      <c r="D122" s="76">
        <v>2012</v>
      </c>
      <c r="E122" s="56">
        <v>0.6</v>
      </c>
      <c r="F122" s="53">
        <f t="shared" si="7"/>
        <v>1</v>
      </c>
      <c r="G122" s="53">
        <f t="shared" si="8"/>
        <v>2</v>
      </c>
      <c r="H122" s="53">
        <f t="shared" si="9"/>
        <v>2</v>
      </c>
      <c r="I122" s="53" t="str">
        <f t="shared" si="10"/>
        <v>ww</v>
      </c>
      <c r="J122" s="53"/>
    </row>
    <row r="123" spans="1:10" x14ac:dyDescent="0.25">
      <c r="A123" s="93">
        <v>41610</v>
      </c>
      <c r="B123" s="35">
        <f t="shared" si="6"/>
        <v>60</v>
      </c>
      <c r="C123" s="76">
        <v>12</v>
      </c>
      <c r="D123" s="76">
        <v>2013</v>
      </c>
      <c r="E123" s="56">
        <v>0</v>
      </c>
      <c r="F123" s="53">
        <f t="shared" si="7"/>
        <v>0</v>
      </c>
      <c r="G123" s="53">
        <f t="shared" si="8"/>
        <v>1</v>
      </c>
      <c r="H123" s="53">
        <f t="shared" si="9"/>
        <v>1</v>
      </c>
      <c r="I123" s="53" t="str">
        <f t="shared" si="10"/>
        <v>wd</v>
      </c>
      <c r="J123" s="53"/>
    </row>
    <row r="124" spans="1:10" x14ac:dyDescent="0.25">
      <c r="A124" s="93">
        <v>41611</v>
      </c>
      <c r="B124" s="35">
        <f t="shared" si="6"/>
        <v>60</v>
      </c>
      <c r="C124" s="76">
        <v>12</v>
      </c>
      <c r="D124" s="76">
        <v>2013</v>
      </c>
      <c r="E124" s="56">
        <v>0</v>
      </c>
      <c r="F124" s="53">
        <f t="shared" si="7"/>
        <v>0</v>
      </c>
      <c r="G124" s="53">
        <f t="shared" si="8"/>
        <v>0</v>
      </c>
      <c r="H124" s="53">
        <f t="shared" si="9"/>
        <v>0</v>
      </c>
      <c r="I124" s="53" t="str">
        <f t="shared" si="10"/>
        <v>dd</v>
      </c>
      <c r="J124" s="53"/>
    </row>
    <row r="125" spans="1:10" x14ac:dyDescent="0.25">
      <c r="A125" s="93">
        <v>41612</v>
      </c>
      <c r="B125" s="35">
        <f t="shared" si="6"/>
        <v>60</v>
      </c>
      <c r="C125" s="76">
        <v>12</v>
      </c>
      <c r="D125" s="76">
        <v>2013</v>
      </c>
      <c r="E125" s="56">
        <v>0.13333333333333333</v>
      </c>
      <c r="F125" s="53">
        <f t="shared" si="7"/>
        <v>1</v>
      </c>
      <c r="G125" s="53">
        <f t="shared" si="8"/>
        <v>1</v>
      </c>
      <c r="H125" s="53">
        <f t="shared" si="9"/>
        <v>-1</v>
      </c>
      <c r="I125" s="53" t="str">
        <f t="shared" si="10"/>
        <v>dw</v>
      </c>
      <c r="J125" s="53"/>
    </row>
    <row r="126" spans="1:10" x14ac:dyDescent="0.25">
      <c r="A126" s="93">
        <v>41613</v>
      </c>
      <c r="B126" s="35">
        <f t="shared" si="6"/>
        <v>60</v>
      </c>
      <c r="C126" s="76">
        <v>12</v>
      </c>
      <c r="D126" s="76">
        <v>2013</v>
      </c>
      <c r="E126" s="56">
        <v>0.6</v>
      </c>
      <c r="F126" s="53">
        <f t="shared" si="7"/>
        <v>1</v>
      </c>
      <c r="G126" s="53">
        <f t="shared" si="8"/>
        <v>2</v>
      </c>
      <c r="H126" s="53">
        <f t="shared" si="9"/>
        <v>2</v>
      </c>
      <c r="I126" s="53" t="str">
        <f t="shared" si="10"/>
        <v>ww</v>
      </c>
      <c r="J126" s="53"/>
    </row>
    <row r="127" spans="1:10" x14ac:dyDescent="0.25">
      <c r="A127" s="93">
        <v>41614</v>
      </c>
      <c r="B127" s="35">
        <f t="shared" si="6"/>
        <v>60</v>
      </c>
      <c r="C127" s="76">
        <v>12</v>
      </c>
      <c r="D127" s="76">
        <v>2013</v>
      </c>
      <c r="E127" s="56">
        <v>4.4666666666666659</v>
      </c>
      <c r="F127" s="53">
        <f t="shared" si="7"/>
        <v>1</v>
      </c>
      <c r="G127" s="53">
        <f t="shared" si="8"/>
        <v>2</v>
      </c>
      <c r="H127" s="53">
        <f t="shared" si="9"/>
        <v>2</v>
      </c>
      <c r="I127" s="53" t="str">
        <f t="shared" si="10"/>
        <v>ww</v>
      </c>
      <c r="J127" s="53"/>
    </row>
    <row r="128" spans="1:10" x14ac:dyDescent="0.25">
      <c r="A128" s="93">
        <v>41615</v>
      </c>
      <c r="B128" s="35">
        <f t="shared" si="6"/>
        <v>60</v>
      </c>
      <c r="C128" s="76">
        <v>12</v>
      </c>
      <c r="D128" s="76">
        <v>2013</v>
      </c>
      <c r="E128" s="56">
        <v>0.46666666666666662</v>
      </c>
      <c r="F128" s="53">
        <f t="shared" si="7"/>
        <v>1</v>
      </c>
      <c r="G128" s="53">
        <f t="shared" si="8"/>
        <v>2</v>
      </c>
      <c r="H128" s="53">
        <f t="shared" si="9"/>
        <v>2</v>
      </c>
      <c r="I128" s="53" t="str">
        <f t="shared" si="10"/>
        <v>ww</v>
      </c>
      <c r="J128" s="53"/>
    </row>
    <row r="129" spans="1:10" x14ac:dyDescent="0.25">
      <c r="A129" s="93">
        <v>41616</v>
      </c>
      <c r="B129" s="35">
        <f t="shared" si="6"/>
        <v>60</v>
      </c>
      <c r="C129" s="76">
        <v>12</v>
      </c>
      <c r="D129" s="76">
        <v>2013</v>
      </c>
      <c r="E129" s="56">
        <v>0</v>
      </c>
      <c r="F129" s="53">
        <f t="shared" si="7"/>
        <v>0</v>
      </c>
      <c r="G129" s="53">
        <f t="shared" si="8"/>
        <v>1</v>
      </c>
      <c r="H129" s="53">
        <f t="shared" si="9"/>
        <v>1</v>
      </c>
      <c r="I129" s="53" t="str">
        <f t="shared" si="10"/>
        <v>wd</v>
      </c>
      <c r="J129" s="53"/>
    </row>
    <row r="130" spans="1:10" x14ac:dyDescent="0.25">
      <c r="A130" s="93">
        <v>41617</v>
      </c>
      <c r="B130" s="35">
        <f t="shared" ref="B130:B193" si="11">C130+(D130-2009)*12</f>
        <v>60</v>
      </c>
      <c r="C130" s="76">
        <v>12</v>
      </c>
      <c r="D130" s="76">
        <v>2013</v>
      </c>
      <c r="E130" s="56">
        <v>0.53333333333333333</v>
      </c>
      <c r="F130" s="53">
        <f t="shared" ref="F130:F193" si="12">IF(E130&gt;0,1,0)</f>
        <v>1</v>
      </c>
      <c r="G130" s="53">
        <f t="shared" ref="G130:G193" si="13">SUM(F129:F130)</f>
        <v>1</v>
      </c>
      <c r="H130" s="53">
        <f t="shared" ref="H130:H193" si="14">IF(G130=1,IF(F129=1,1,-1),G130)</f>
        <v>-1</v>
      </c>
      <c r="I130" s="53" t="str">
        <f t="shared" ref="I130:I193" si="15">VLOOKUP(H130,codes,2,)</f>
        <v>dw</v>
      </c>
      <c r="J130" s="53"/>
    </row>
    <row r="131" spans="1:10" x14ac:dyDescent="0.25">
      <c r="A131" s="93">
        <v>41618</v>
      </c>
      <c r="B131" s="35">
        <f t="shared" si="11"/>
        <v>60</v>
      </c>
      <c r="C131" s="76">
        <v>12</v>
      </c>
      <c r="D131" s="76">
        <v>2013</v>
      </c>
      <c r="E131" s="56">
        <v>0</v>
      </c>
      <c r="F131" s="53">
        <f t="shared" si="12"/>
        <v>0</v>
      </c>
      <c r="G131" s="53">
        <f t="shared" si="13"/>
        <v>1</v>
      </c>
      <c r="H131" s="53">
        <f t="shared" si="14"/>
        <v>1</v>
      </c>
      <c r="I131" s="53" t="str">
        <f t="shared" si="15"/>
        <v>wd</v>
      </c>
      <c r="J131" s="53"/>
    </row>
    <row r="132" spans="1:10" x14ac:dyDescent="0.25">
      <c r="A132" s="93">
        <v>41619</v>
      </c>
      <c r="B132" s="35">
        <f t="shared" si="11"/>
        <v>60</v>
      </c>
      <c r="C132" s="76">
        <v>12</v>
      </c>
      <c r="D132" s="76">
        <v>2013</v>
      </c>
      <c r="E132" s="56">
        <v>0</v>
      </c>
      <c r="F132" s="53">
        <f t="shared" si="12"/>
        <v>0</v>
      </c>
      <c r="G132" s="53">
        <f t="shared" si="13"/>
        <v>0</v>
      </c>
      <c r="H132" s="53">
        <f t="shared" si="14"/>
        <v>0</v>
      </c>
      <c r="I132" s="53" t="str">
        <f t="shared" si="15"/>
        <v>dd</v>
      </c>
      <c r="J132" s="53"/>
    </row>
    <row r="133" spans="1:10" x14ac:dyDescent="0.25">
      <c r="A133" s="93">
        <v>41620</v>
      </c>
      <c r="B133" s="35">
        <f t="shared" si="11"/>
        <v>60</v>
      </c>
      <c r="C133" s="76">
        <v>12</v>
      </c>
      <c r="D133" s="76">
        <v>2013</v>
      </c>
      <c r="E133" s="56">
        <v>0</v>
      </c>
      <c r="F133" s="53">
        <f t="shared" si="12"/>
        <v>0</v>
      </c>
      <c r="G133" s="53">
        <f t="shared" si="13"/>
        <v>0</v>
      </c>
      <c r="H133" s="53">
        <f t="shared" si="14"/>
        <v>0</v>
      </c>
      <c r="I133" s="53" t="str">
        <f t="shared" si="15"/>
        <v>dd</v>
      </c>
      <c r="J133" s="53"/>
    </row>
    <row r="134" spans="1:10" x14ac:dyDescent="0.25">
      <c r="A134" s="93">
        <v>41621</v>
      </c>
      <c r="B134" s="35">
        <f t="shared" si="11"/>
        <v>60</v>
      </c>
      <c r="C134" s="76">
        <v>12</v>
      </c>
      <c r="D134" s="76">
        <v>2013</v>
      </c>
      <c r="E134" s="56">
        <v>4.2666666666666666</v>
      </c>
      <c r="F134" s="53">
        <f t="shared" si="12"/>
        <v>1</v>
      </c>
      <c r="G134" s="53">
        <f t="shared" si="13"/>
        <v>1</v>
      </c>
      <c r="H134" s="53">
        <f t="shared" si="14"/>
        <v>-1</v>
      </c>
      <c r="I134" s="53" t="str">
        <f t="shared" si="15"/>
        <v>dw</v>
      </c>
      <c r="J134" s="53"/>
    </row>
    <row r="135" spans="1:10" x14ac:dyDescent="0.25">
      <c r="A135" s="93">
        <v>41622</v>
      </c>
      <c r="B135" s="35">
        <f t="shared" si="11"/>
        <v>60</v>
      </c>
      <c r="C135" s="76">
        <v>12</v>
      </c>
      <c r="D135" s="76">
        <v>2013</v>
      </c>
      <c r="E135" s="56">
        <v>0</v>
      </c>
      <c r="F135" s="53">
        <f t="shared" si="12"/>
        <v>0</v>
      </c>
      <c r="G135" s="53">
        <f t="shared" si="13"/>
        <v>1</v>
      </c>
      <c r="H135" s="53">
        <f t="shared" si="14"/>
        <v>1</v>
      </c>
      <c r="I135" s="53" t="str">
        <f t="shared" si="15"/>
        <v>wd</v>
      </c>
      <c r="J135" s="53"/>
    </row>
    <row r="136" spans="1:10" x14ac:dyDescent="0.25">
      <c r="A136" s="93">
        <v>41623</v>
      </c>
      <c r="B136" s="35">
        <f t="shared" si="11"/>
        <v>60</v>
      </c>
      <c r="C136" s="76">
        <v>12</v>
      </c>
      <c r="D136" s="76">
        <v>2013</v>
      </c>
      <c r="E136" s="56">
        <v>0.8666666666666667</v>
      </c>
      <c r="F136" s="53">
        <f t="shared" si="12"/>
        <v>1</v>
      </c>
      <c r="G136" s="53">
        <f t="shared" si="13"/>
        <v>1</v>
      </c>
      <c r="H136" s="53">
        <f t="shared" si="14"/>
        <v>-1</v>
      </c>
      <c r="I136" s="53" t="str">
        <f t="shared" si="15"/>
        <v>dw</v>
      </c>
      <c r="J136" s="53"/>
    </row>
    <row r="137" spans="1:10" x14ac:dyDescent="0.25">
      <c r="A137" s="93">
        <v>41624</v>
      </c>
      <c r="B137" s="35">
        <f t="shared" si="11"/>
        <v>60</v>
      </c>
      <c r="C137" s="76">
        <v>12</v>
      </c>
      <c r="D137" s="76">
        <v>2013</v>
      </c>
      <c r="E137" s="56">
        <v>3.3333333333333335</v>
      </c>
      <c r="F137" s="53">
        <f t="shared" si="12"/>
        <v>1</v>
      </c>
      <c r="G137" s="53">
        <f t="shared" si="13"/>
        <v>2</v>
      </c>
      <c r="H137" s="53">
        <f t="shared" si="14"/>
        <v>2</v>
      </c>
      <c r="I137" s="53" t="str">
        <f t="shared" si="15"/>
        <v>ww</v>
      </c>
      <c r="J137" s="53"/>
    </row>
    <row r="138" spans="1:10" x14ac:dyDescent="0.25">
      <c r="A138" s="93">
        <v>41625</v>
      </c>
      <c r="B138" s="35">
        <f t="shared" si="11"/>
        <v>60</v>
      </c>
      <c r="C138" s="76">
        <v>12</v>
      </c>
      <c r="D138" s="76">
        <v>2013</v>
      </c>
      <c r="E138" s="56">
        <v>0</v>
      </c>
      <c r="F138" s="53">
        <f t="shared" si="12"/>
        <v>0</v>
      </c>
      <c r="G138" s="53">
        <f t="shared" si="13"/>
        <v>1</v>
      </c>
      <c r="H138" s="53">
        <f t="shared" si="14"/>
        <v>1</v>
      </c>
      <c r="I138" s="53" t="str">
        <f t="shared" si="15"/>
        <v>wd</v>
      </c>
      <c r="J138" s="53"/>
    </row>
    <row r="139" spans="1:10" x14ac:dyDescent="0.25">
      <c r="A139" s="93">
        <v>41626</v>
      </c>
      <c r="B139" s="35">
        <f t="shared" si="11"/>
        <v>60</v>
      </c>
      <c r="C139" s="76">
        <v>12</v>
      </c>
      <c r="D139" s="76">
        <v>2013</v>
      </c>
      <c r="E139" s="56">
        <v>0.33333333333333331</v>
      </c>
      <c r="F139" s="53">
        <f t="shared" si="12"/>
        <v>1</v>
      </c>
      <c r="G139" s="53">
        <f t="shared" si="13"/>
        <v>1</v>
      </c>
      <c r="H139" s="53">
        <f t="shared" si="14"/>
        <v>-1</v>
      </c>
      <c r="I139" s="53" t="str">
        <f t="shared" si="15"/>
        <v>dw</v>
      </c>
      <c r="J139" s="53"/>
    </row>
    <row r="140" spans="1:10" x14ac:dyDescent="0.25">
      <c r="A140" s="93">
        <v>41627</v>
      </c>
      <c r="B140" s="35">
        <f t="shared" si="11"/>
        <v>60</v>
      </c>
      <c r="C140" s="76">
        <v>12</v>
      </c>
      <c r="D140" s="76">
        <v>2013</v>
      </c>
      <c r="E140" s="56">
        <v>5.0666666666666664</v>
      </c>
      <c r="F140" s="53">
        <f t="shared" si="12"/>
        <v>1</v>
      </c>
      <c r="G140" s="53">
        <f t="shared" si="13"/>
        <v>2</v>
      </c>
      <c r="H140" s="53">
        <f t="shared" si="14"/>
        <v>2</v>
      </c>
      <c r="I140" s="53" t="str">
        <f t="shared" si="15"/>
        <v>ww</v>
      </c>
      <c r="J140" s="53"/>
    </row>
    <row r="141" spans="1:10" x14ac:dyDescent="0.25">
      <c r="A141" s="93">
        <v>41628</v>
      </c>
      <c r="B141" s="35">
        <f t="shared" si="11"/>
        <v>60</v>
      </c>
      <c r="C141" s="76">
        <v>12</v>
      </c>
      <c r="D141" s="76">
        <v>2013</v>
      </c>
      <c r="E141" s="56">
        <v>0.19999999999999998</v>
      </c>
      <c r="F141" s="53">
        <f t="shared" si="12"/>
        <v>1</v>
      </c>
      <c r="G141" s="53">
        <f t="shared" si="13"/>
        <v>2</v>
      </c>
      <c r="H141" s="53">
        <f t="shared" si="14"/>
        <v>2</v>
      </c>
      <c r="I141" s="53" t="str">
        <f t="shared" si="15"/>
        <v>ww</v>
      </c>
      <c r="J141" s="53"/>
    </row>
    <row r="142" spans="1:10" x14ac:dyDescent="0.25">
      <c r="A142" s="93">
        <v>41629</v>
      </c>
      <c r="B142" s="35">
        <f t="shared" si="11"/>
        <v>60</v>
      </c>
      <c r="C142" s="76">
        <v>12</v>
      </c>
      <c r="D142" s="76">
        <v>2013</v>
      </c>
      <c r="E142" s="56">
        <v>6.6666666666666666E-2</v>
      </c>
      <c r="F142" s="53">
        <f t="shared" si="12"/>
        <v>1</v>
      </c>
      <c r="G142" s="53">
        <f t="shared" si="13"/>
        <v>2</v>
      </c>
      <c r="H142" s="53">
        <f t="shared" si="14"/>
        <v>2</v>
      </c>
      <c r="I142" s="53" t="str">
        <f t="shared" si="15"/>
        <v>ww</v>
      </c>
      <c r="J142" s="53"/>
    </row>
    <row r="143" spans="1:10" x14ac:dyDescent="0.25">
      <c r="A143" s="93">
        <v>41630</v>
      </c>
      <c r="B143" s="35">
        <f t="shared" si="11"/>
        <v>60</v>
      </c>
      <c r="C143" s="76">
        <v>12</v>
      </c>
      <c r="D143" s="76">
        <v>2013</v>
      </c>
      <c r="E143" s="56">
        <v>5.333333333333333</v>
      </c>
      <c r="F143" s="53">
        <f t="shared" si="12"/>
        <v>1</v>
      </c>
      <c r="G143" s="53">
        <f t="shared" si="13"/>
        <v>2</v>
      </c>
      <c r="H143" s="53">
        <f t="shared" si="14"/>
        <v>2</v>
      </c>
      <c r="I143" s="53" t="str">
        <f t="shared" si="15"/>
        <v>ww</v>
      </c>
      <c r="J143" s="53"/>
    </row>
    <row r="144" spans="1:10" x14ac:dyDescent="0.25">
      <c r="A144" s="93">
        <v>41631</v>
      </c>
      <c r="B144" s="35">
        <f t="shared" si="11"/>
        <v>60</v>
      </c>
      <c r="C144" s="76">
        <v>12</v>
      </c>
      <c r="D144" s="76">
        <v>2013</v>
      </c>
      <c r="E144" s="56">
        <v>0.53333333333333333</v>
      </c>
      <c r="F144" s="53">
        <f t="shared" si="12"/>
        <v>1</v>
      </c>
      <c r="G144" s="53">
        <f t="shared" si="13"/>
        <v>2</v>
      </c>
      <c r="H144" s="53">
        <f t="shared" si="14"/>
        <v>2</v>
      </c>
      <c r="I144" s="53" t="str">
        <f t="shared" si="15"/>
        <v>ww</v>
      </c>
      <c r="J144" s="53"/>
    </row>
    <row r="145" spans="1:10" x14ac:dyDescent="0.25">
      <c r="A145" s="93">
        <v>41632</v>
      </c>
      <c r="B145" s="35">
        <f t="shared" si="11"/>
        <v>60</v>
      </c>
      <c r="C145" s="76">
        <v>12</v>
      </c>
      <c r="D145" s="76">
        <v>2013</v>
      </c>
      <c r="E145" s="56">
        <v>8.5333333333333332</v>
      </c>
      <c r="F145" s="53">
        <f t="shared" si="12"/>
        <v>1</v>
      </c>
      <c r="G145" s="53">
        <f t="shared" si="13"/>
        <v>2</v>
      </c>
      <c r="H145" s="53">
        <f t="shared" si="14"/>
        <v>2</v>
      </c>
      <c r="I145" s="53" t="str">
        <f t="shared" si="15"/>
        <v>ww</v>
      </c>
      <c r="J145" s="53"/>
    </row>
    <row r="146" spans="1:10" x14ac:dyDescent="0.25">
      <c r="A146" s="93">
        <v>41633</v>
      </c>
      <c r="B146" s="35">
        <f t="shared" si="11"/>
        <v>60</v>
      </c>
      <c r="C146" s="76">
        <v>12</v>
      </c>
      <c r="D146" s="76">
        <v>2013</v>
      </c>
      <c r="E146" s="56">
        <v>2.8000000000000003</v>
      </c>
      <c r="F146" s="53">
        <f t="shared" si="12"/>
        <v>1</v>
      </c>
      <c r="G146" s="53">
        <f t="shared" si="13"/>
        <v>2</v>
      </c>
      <c r="H146" s="53">
        <f t="shared" si="14"/>
        <v>2</v>
      </c>
      <c r="I146" s="53" t="str">
        <f t="shared" si="15"/>
        <v>ww</v>
      </c>
      <c r="J146" s="53"/>
    </row>
    <row r="147" spans="1:10" x14ac:dyDescent="0.25">
      <c r="A147" s="93">
        <v>41634</v>
      </c>
      <c r="B147" s="35">
        <f t="shared" si="11"/>
        <v>60</v>
      </c>
      <c r="C147" s="76">
        <v>12</v>
      </c>
      <c r="D147" s="76">
        <v>2013</v>
      </c>
      <c r="E147" s="56">
        <v>0</v>
      </c>
      <c r="F147" s="53">
        <f t="shared" si="12"/>
        <v>0</v>
      </c>
      <c r="G147" s="53">
        <f t="shared" si="13"/>
        <v>1</v>
      </c>
      <c r="H147" s="53">
        <f t="shared" si="14"/>
        <v>1</v>
      </c>
      <c r="I147" s="53" t="str">
        <f t="shared" si="15"/>
        <v>wd</v>
      </c>
      <c r="J147" s="53"/>
    </row>
    <row r="148" spans="1:10" x14ac:dyDescent="0.25">
      <c r="A148" s="93">
        <v>41635</v>
      </c>
      <c r="B148" s="35">
        <f t="shared" si="11"/>
        <v>60</v>
      </c>
      <c r="C148" s="76">
        <v>12</v>
      </c>
      <c r="D148" s="76">
        <v>2013</v>
      </c>
      <c r="E148" s="56">
        <v>2.0666666666666669</v>
      </c>
      <c r="F148" s="53">
        <f t="shared" si="12"/>
        <v>1</v>
      </c>
      <c r="G148" s="53">
        <f t="shared" si="13"/>
        <v>1</v>
      </c>
      <c r="H148" s="53">
        <f t="shared" si="14"/>
        <v>-1</v>
      </c>
      <c r="I148" s="53" t="str">
        <f t="shared" si="15"/>
        <v>dw</v>
      </c>
      <c r="J148" s="53"/>
    </row>
    <row r="149" spans="1:10" x14ac:dyDescent="0.25">
      <c r="A149" s="93">
        <v>41636</v>
      </c>
      <c r="B149" s="35">
        <f t="shared" si="11"/>
        <v>60</v>
      </c>
      <c r="C149" s="76">
        <v>12</v>
      </c>
      <c r="D149" s="76">
        <v>2013</v>
      </c>
      <c r="E149" s="56">
        <v>1.8666666666666669</v>
      </c>
      <c r="F149" s="53">
        <f t="shared" si="12"/>
        <v>1</v>
      </c>
      <c r="G149" s="53">
        <f t="shared" si="13"/>
        <v>2</v>
      </c>
      <c r="H149" s="53">
        <f t="shared" si="14"/>
        <v>2</v>
      </c>
      <c r="I149" s="53" t="str">
        <f t="shared" si="15"/>
        <v>ww</v>
      </c>
      <c r="J149" s="53"/>
    </row>
    <row r="150" spans="1:10" x14ac:dyDescent="0.25">
      <c r="A150" s="93">
        <v>41637</v>
      </c>
      <c r="B150" s="35">
        <f t="shared" si="11"/>
        <v>60</v>
      </c>
      <c r="C150" s="76">
        <v>12</v>
      </c>
      <c r="D150" s="76">
        <v>2013</v>
      </c>
      <c r="E150" s="56">
        <v>0</v>
      </c>
      <c r="F150" s="53">
        <f t="shared" si="12"/>
        <v>0</v>
      </c>
      <c r="G150" s="53">
        <f t="shared" si="13"/>
        <v>1</v>
      </c>
      <c r="H150" s="53">
        <f t="shared" si="14"/>
        <v>1</v>
      </c>
      <c r="I150" s="53" t="str">
        <f t="shared" si="15"/>
        <v>wd</v>
      </c>
      <c r="J150" s="53"/>
    </row>
    <row r="151" spans="1:10" x14ac:dyDescent="0.25">
      <c r="A151" s="93">
        <v>41638</v>
      </c>
      <c r="B151" s="35">
        <f t="shared" si="11"/>
        <v>60</v>
      </c>
      <c r="C151" s="76">
        <v>12</v>
      </c>
      <c r="D151" s="76">
        <v>2013</v>
      </c>
      <c r="E151" s="56">
        <v>0</v>
      </c>
      <c r="F151" s="53">
        <f t="shared" si="12"/>
        <v>0</v>
      </c>
      <c r="G151" s="53">
        <f t="shared" si="13"/>
        <v>0</v>
      </c>
      <c r="H151" s="53">
        <f t="shared" si="14"/>
        <v>0</v>
      </c>
      <c r="I151" s="53" t="str">
        <f t="shared" si="15"/>
        <v>dd</v>
      </c>
      <c r="J151" s="53"/>
    </row>
    <row r="152" spans="1:10" x14ac:dyDescent="0.25">
      <c r="A152" s="93">
        <v>41639</v>
      </c>
      <c r="B152" s="35">
        <f t="shared" si="11"/>
        <v>60</v>
      </c>
      <c r="C152" s="76">
        <v>12</v>
      </c>
      <c r="D152" s="76">
        <v>2013</v>
      </c>
      <c r="E152" s="56">
        <v>1.5999999999999999</v>
      </c>
      <c r="F152" s="53">
        <f t="shared" si="12"/>
        <v>1</v>
      </c>
      <c r="G152" s="53">
        <f t="shared" si="13"/>
        <v>1</v>
      </c>
      <c r="H152" s="53">
        <f t="shared" si="14"/>
        <v>-1</v>
      </c>
      <c r="I152" s="53" t="str">
        <f t="shared" si="15"/>
        <v>dw</v>
      </c>
      <c r="J152" s="53"/>
    </row>
    <row r="153" spans="1:10" x14ac:dyDescent="0.25">
      <c r="A153" s="93">
        <v>41976</v>
      </c>
      <c r="B153" s="35">
        <f t="shared" si="11"/>
        <v>72</v>
      </c>
      <c r="C153" s="76">
        <v>12</v>
      </c>
      <c r="D153" s="76">
        <v>2014</v>
      </c>
      <c r="E153" s="56">
        <v>0</v>
      </c>
      <c r="F153" s="53">
        <f t="shared" si="12"/>
        <v>0</v>
      </c>
      <c r="G153" s="53">
        <f t="shared" si="13"/>
        <v>1</v>
      </c>
      <c r="H153" s="53">
        <f t="shared" si="14"/>
        <v>1</v>
      </c>
      <c r="I153" s="53" t="str">
        <f t="shared" si="15"/>
        <v>wd</v>
      </c>
      <c r="J153" s="53"/>
    </row>
    <row r="154" spans="1:10" x14ac:dyDescent="0.25">
      <c r="A154" s="93">
        <v>41977</v>
      </c>
      <c r="B154" s="35">
        <f t="shared" si="11"/>
        <v>72</v>
      </c>
      <c r="C154" s="76">
        <v>12</v>
      </c>
      <c r="D154" s="76">
        <v>2014</v>
      </c>
      <c r="E154" s="56">
        <v>0.20000000000000004</v>
      </c>
      <c r="F154" s="53">
        <f t="shared" si="12"/>
        <v>1</v>
      </c>
      <c r="G154" s="53">
        <f t="shared" si="13"/>
        <v>1</v>
      </c>
      <c r="H154" s="53">
        <f t="shared" si="14"/>
        <v>-1</v>
      </c>
      <c r="I154" s="53" t="str">
        <f t="shared" si="15"/>
        <v>dw</v>
      </c>
      <c r="J154" s="53"/>
    </row>
    <row r="155" spans="1:10" x14ac:dyDescent="0.25">
      <c r="A155" s="93">
        <v>41978</v>
      </c>
      <c r="B155" s="35">
        <f t="shared" si="11"/>
        <v>72</v>
      </c>
      <c r="C155" s="76">
        <v>12</v>
      </c>
      <c r="D155" s="76">
        <v>2014</v>
      </c>
      <c r="E155" s="56">
        <v>0.60000000000000009</v>
      </c>
      <c r="F155" s="53">
        <f t="shared" si="12"/>
        <v>1</v>
      </c>
      <c r="G155" s="53">
        <f t="shared" si="13"/>
        <v>2</v>
      </c>
      <c r="H155" s="53">
        <f t="shared" si="14"/>
        <v>2</v>
      </c>
      <c r="I155" s="53" t="str">
        <f t="shared" si="15"/>
        <v>ww</v>
      </c>
      <c r="J155" s="53"/>
    </row>
    <row r="156" spans="1:10" x14ac:dyDescent="0.25">
      <c r="A156" s="93">
        <v>41979</v>
      </c>
      <c r="B156" s="35">
        <f t="shared" si="11"/>
        <v>72</v>
      </c>
      <c r="C156" s="76">
        <v>12</v>
      </c>
      <c r="D156" s="76">
        <v>2014</v>
      </c>
      <c r="E156" s="56">
        <v>0</v>
      </c>
      <c r="F156" s="53">
        <f t="shared" si="12"/>
        <v>0</v>
      </c>
      <c r="G156" s="53">
        <f t="shared" si="13"/>
        <v>1</v>
      </c>
      <c r="H156" s="53">
        <f t="shared" si="14"/>
        <v>1</v>
      </c>
      <c r="I156" s="53" t="str">
        <f t="shared" si="15"/>
        <v>wd</v>
      </c>
      <c r="J156" s="53"/>
    </row>
    <row r="157" spans="1:10" x14ac:dyDescent="0.25">
      <c r="A157" s="93">
        <v>41980</v>
      </c>
      <c r="B157" s="35">
        <f t="shared" si="11"/>
        <v>72</v>
      </c>
      <c r="C157" s="76">
        <v>12</v>
      </c>
      <c r="D157" s="76">
        <v>2014</v>
      </c>
      <c r="E157" s="56">
        <v>0.86666666666666659</v>
      </c>
      <c r="F157" s="53">
        <f t="shared" si="12"/>
        <v>1</v>
      </c>
      <c r="G157" s="53">
        <f t="shared" si="13"/>
        <v>1</v>
      </c>
      <c r="H157" s="53">
        <f t="shared" si="14"/>
        <v>-1</v>
      </c>
      <c r="I157" s="53" t="str">
        <f t="shared" si="15"/>
        <v>dw</v>
      </c>
      <c r="J157" s="53"/>
    </row>
    <row r="158" spans="1:10" x14ac:dyDescent="0.25">
      <c r="A158" s="93">
        <v>41981</v>
      </c>
      <c r="B158" s="35">
        <f t="shared" si="11"/>
        <v>72</v>
      </c>
      <c r="C158" s="76">
        <v>12</v>
      </c>
      <c r="D158" s="76">
        <v>2014</v>
      </c>
      <c r="E158" s="56">
        <v>0.26666666666666666</v>
      </c>
      <c r="F158" s="53">
        <f t="shared" si="12"/>
        <v>1</v>
      </c>
      <c r="G158" s="53">
        <f t="shared" si="13"/>
        <v>2</v>
      </c>
      <c r="H158" s="53">
        <f t="shared" si="14"/>
        <v>2</v>
      </c>
      <c r="I158" s="53" t="str">
        <f t="shared" si="15"/>
        <v>ww</v>
      </c>
      <c r="J158" s="53"/>
    </row>
    <row r="159" spans="1:10" x14ac:dyDescent="0.25">
      <c r="A159" s="93">
        <v>41982</v>
      </c>
      <c r="B159" s="35">
        <f t="shared" si="11"/>
        <v>72</v>
      </c>
      <c r="C159" s="76">
        <v>12</v>
      </c>
      <c r="D159" s="76">
        <v>2014</v>
      </c>
      <c r="E159" s="56">
        <v>0</v>
      </c>
      <c r="F159" s="53">
        <f t="shared" si="12"/>
        <v>0</v>
      </c>
      <c r="G159" s="53">
        <f t="shared" si="13"/>
        <v>1</v>
      </c>
      <c r="H159" s="53">
        <f t="shared" si="14"/>
        <v>1</v>
      </c>
      <c r="I159" s="53" t="str">
        <f t="shared" si="15"/>
        <v>wd</v>
      </c>
      <c r="J159" s="53"/>
    </row>
    <row r="160" spans="1:10" x14ac:dyDescent="0.25">
      <c r="A160" s="93">
        <v>41983</v>
      </c>
      <c r="B160" s="35">
        <f t="shared" si="11"/>
        <v>72</v>
      </c>
      <c r="C160" s="76">
        <v>12</v>
      </c>
      <c r="D160" s="76">
        <v>2014</v>
      </c>
      <c r="E160" s="56">
        <v>0.6</v>
      </c>
      <c r="F160" s="53">
        <f t="shared" si="12"/>
        <v>1</v>
      </c>
      <c r="G160" s="53">
        <f t="shared" si="13"/>
        <v>1</v>
      </c>
      <c r="H160" s="53">
        <f t="shared" si="14"/>
        <v>-1</v>
      </c>
      <c r="I160" s="53" t="str">
        <f t="shared" si="15"/>
        <v>dw</v>
      </c>
      <c r="J160" s="53"/>
    </row>
    <row r="161" spans="1:10" x14ac:dyDescent="0.25">
      <c r="A161" s="93">
        <v>41984</v>
      </c>
      <c r="B161" s="35">
        <f t="shared" si="11"/>
        <v>72</v>
      </c>
      <c r="C161" s="76">
        <v>12</v>
      </c>
      <c r="D161" s="76">
        <v>2014</v>
      </c>
      <c r="E161" s="56">
        <v>7.666666666666667</v>
      </c>
      <c r="F161" s="53">
        <f t="shared" si="12"/>
        <v>1</v>
      </c>
      <c r="G161" s="53">
        <f t="shared" si="13"/>
        <v>2</v>
      </c>
      <c r="H161" s="53">
        <f t="shared" si="14"/>
        <v>2</v>
      </c>
      <c r="I161" s="53" t="str">
        <f t="shared" si="15"/>
        <v>ww</v>
      </c>
      <c r="J161" s="53"/>
    </row>
    <row r="162" spans="1:10" x14ac:dyDescent="0.25">
      <c r="A162" s="93">
        <v>41985</v>
      </c>
      <c r="B162" s="35">
        <f t="shared" si="11"/>
        <v>72</v>
      </c>
      <c r="C162" s="76">
        <v>12</v>
      </c>
      <c r="D162" s="76">
        <v>2014</v>
      </c>
      <c r="E162" s="56">
        <v>0.26666666666666666</v>
      </c>
      <c r="F162" s="53">
        <f t="shared" si="12"/>
        <v>1</v>
      </c>
      <c r="G162" s="53">
        <f t="shared" si="13"/>
        <v>2</v>
      </c>
      <c r="H162" s="53">
        <f t="shared" si="14"/>
        <v>2</v>
      </c>
      <c r="I162" s="53" t="str">
        <f t="shared" si="15"/>
        <v>ww</v>
      </c>
      <c r="J162" s="53"/>
    </row>
    <row r="163" spans="1:10" x14ac:dyDescent="0.25">
      <c r="A163" s="93">
        <v>41986</v>
      </c>
      <c r="B163" s="35">
        <f t="shared" si="11"/>
        <v>72</v>
      </c>
      <c r="C163" s="76">
        <v>12</v>
      </c>
      <c r="D163" s="76">
        <v>2014</v>
      </c>
      <c r="E163" s="56">
        <v>0</v>
      </c>
      <c r="F163" s="53">
        <f t="shared" si="12"/>
        <v>0</v>
      </c>
      <c r="G163" s="53">
        <f t="shared" si="13"/>
        <v>1</v>
      </c>
      <c r="H163" s="53">
        <f t="shared" si="14"/>
        <v>1</v>
      </c>
      <c r="I163" s="53" t="str">
        <f t="shared" si="15"/>
        <v>wd</v>
      </c>
      <c r="J163" s="53"/>
    </row>
    <row r="164" spans="1:10" x14ac:dyDescent="0.25">
      <c r="A164" s="93">
        <v>41987</v>
      </c>
      <c r="B164" s="35">
        <f t="shared" si="11"/>
        <v>72</v>
      </c>
      <c r="C164" s="76">
        <v>12</v>
      </c>
      <c r="D164" s="76">
        <v>2014</v>
      </c>
      <c r="E164" s="56">
        <v>6.6666666666666666E-2</v>
      </c>
      <c r="F164" s="53">
        <f t="shared" si="12"/>
        <v>1</v>
      </c>
      <c r="G164" s="53">
        <f t="shared" si="13"/>
        <v>1</v>
      </c>
      <c r="H164" s="53">
        <f t="shared" si="14"/>
        <v>-1</v>
      </c>
      <c r="I164" s="53" t="str">
        <f t="shared" si="15"/>
        <v>dw</v>
      </c>
      <c r="J164" s="53"/>
    </row>
    <row r="165" spans="1:10" x14ac:dyDescent="0.25">
      <c r="A165" s="93">
        <v>41988</v>
      </c>
      <c r="B165" s="35">
        <f t="shared" si="11"/>
        <v>72</v>
      </c>
      <c r="C165" s="76">
        <v>12</v>
      </c>
      <c r="D165" s="76">
        <v>2014</v>
      </c>
      <c r="E165" s="56">
        <v>0.93333333333333324</v>
      </c>
      <c r="F165" s="53">
        <f t="shared" si="12"/>
        <v>1</v>
      </c>
      <c r="G165" s="53">
        <f t="shared" si="13"/>
        <v>2</v>
      </c>
      <c r="H165" s="53">
        <f t="shared" si="14"/>
        <v>2</v>
      </c>
      <c r="I165" s="53" t="str">
        <f t="shared" si="15"/>
        <v>ww</v>
      </c>
      <c r="J165" s="53"/>
    </row>
    <row r="166" spans="1:10" x14ac:dyDescent="0.25">
      <c r="A166" s="93">
        <v>41989</v>
      </c>
      <c r="B166" s="35">
        <f t="shared" si="11"/>
        <v>72</v>
      </c>
      <c r="C166" s="76">
        <v>12</v>
      </c>
      <c r="D166" s="76">
        <v>2014</v>
      </c>
      <c r="E166" s="56">
        <v>6.6666666666666666E-2</v>
      </c>
      <c r="F166" s="53">
        <f t="shared" si="12"/>
        <v>1</v>
      </c>
      <c r="G166" s="53">
        <f t="shared" si="13"/>
        <v>2</v>
      </c>
      <c r="H166" s="53">
        <f t="shared" si="14"/>
        <v>2</v>
      </c>
      <c r="I166" s="53" t="str">
        <f t="shared" si="15"/>
        <v>ww</v>
      </c>
      <c r="J166" s="53"/>
    </row>
    <row r="167" spans="1:10" x14ac:dyDescent="0.25">
      <c r="A167" s="93">
        <v>41990</v>
      </c>
      <c r="B167" s="35">
        <f t="shared" si="11"/>
        <v>72</v>
      </c>
      <c r="C167" s="76">
        <v>12</v>
      </c>
      <c r="D167" s="76">
        <v>2014</v>
      </c>
      <c r="E167" s="56">
        <v>5.8666666666666663</v>
      </c>
      <c r="F167" s="53">
        <f t="shared" si="12"/>
        <v>1</v>
      </c>
      <c r="G167" s="53">
        <f t="shared" si="13"/>
        <v>2</v>
      </c>
      <c r="H167" s="53">
        <f t="shared" si="14"/>
        <v>2</v>
      </c>
      <c r="I167" s="53" t="str">
        <f t="shared" si="15"/>
        <v>ww</v>
      </c>
      <c r="J167" s="53"/>
    </row>
    <row r="168" spans="1:10" x14ac:dyDescent="0.25">
      <c r="A168" s="93">
        <v>41991</v>
      </c>
      <c r="B168" s="35">
        <f t="shared" si="11"/>
        <v>72</v>
      </c>
      <c r="C168" s="76">
        <v>12</v>
      </c>
      <c r="D168" s="76">
        <v>2014</v>
      </c>
      <c r="E168" s="56">
        <v>0.33333333333333331</v>
      </c>
      <c r="F168" s="53">
        <f t="shared" si="12"/>
        <v>1</v>
      </c>
      <c r="G168" s="53">
        <f t="shared" si="13"/>
        <v>2</v>
      </c>
      <c r="H168" s="53">
        <f t="shared" si="14"/>
        <v>2</v>
      </c>
      <c r="I168" s="53" t="str">
        <f t="shared" si="15"/>
        <v>ww</v>
      </c>
      <c r="J168" s="53"/>
    </row>
    <row r="169" spans="1:10" x14ac:dyDescent="0.25">
      <c r="A169" s="93">
        <v>41992</v>
      </c>
      <c r="B169" s="35">
        <f t="shared" si="11"/>
        <v>72</v>
      </c>
      <c r="C169" s="76">
        <v>12</v>
      </c>
      <c r="D169" s="76">
        <v>2014</v>
      </c>
      <c r="E169" s="56">
        <v>0.33333333333333331</v>
      </c>
      <c r="F169" s="53">
        <f t="shared" si="12"/>
        <v>1</v>
      </c>
      <c r="G169" s="53">
        <f t="shared" si="13"/>
        <v>2</v>
      </c>
      <c r="H169" s="53">
        <f t="shared" si="14"/>
        <v>2</v>
      </c>
      <c r="I169" s="53" t="str">
        <f t="shared" si="15"/>
        <v>ww</v>
      </c>
      <c r="J169" s="53"/>
    </row>
    <row r="170" spans="1:10" x14ac:dyDescent="0.25">
      <c r="A170" s="93">
        <v>41993</v>
      </c>
      <c r="B170" s="35">
        <f t="shared" si="11"/>
        <v>72</v>
      </c>
      <c r="C170" s="76">
        <v>12</v>
      </c>
      <c r="D170" s="76">
        <v>2014</v>
      </c>
      <c r="E170" s="56">
        <v>0.13333333333333333</v>
      </c>
      <c r="F170" s="53">
        <f t="shared" si="12"/>
        <v>1</v>
      </c>
      <c r="G170" s="53">
        <f t="shared" si="13"/>
        <v>2</v>
      </c>
      <c r="H170" s="53">
        <f t="shared" si="14"/>
        <v>2</v>
      </c>
      <c r="I170" s="53" t="str">
        <f t="shared" si="15"/>
        <v>ww</v>
      </c>
      <c r="J170" s="53"/>
    </row>
    <row r="171" spans="1:10" x14ac:dyDescent="0.25">
      <c r="A171" s="93">
        <v>41994</v>
      </c>
      <c r="B171" s="35">
        <f t="shared" si="11"/>
        <v>72</v>
      </c>
      <c r="C171" s="76">
        <v>12</v>
      </c>
      <c r="D171" s="76">
        <v>2014</v>
      </c>
      <c r="E171" s="56">
        <v>0</v>
      </c>
      <c r="F171" s="53">
        <f t="shared" si="12"/>
        <v>0</v>
      </c>
      <c r="G171" s="53">
        <f t="shared" si="13"/>
        <v>1</v>
      </c>
      <c r="H171" s="53">
        <f t="shared" si="14"/>
        <v>1</v>
      </c>
      <c r="I171" s="53" t="str">
        <f t="shared" si="15"/>
        <v>wd</v>
      </c>
      <c r="J171" s="53"/>
    </row>
    <row r="172" spans="1:10" x14ac:dyDescent="0.25">
      <c r="A172" s="93">
        <v>41995</v>
      </c>
      <c r="B172" s="35">
        <f t="shared" si="11"/>
        <v>72</v>
      </c>
      <c r="C172" s="76">
        <v>12</v>
      </c>
      <c r="D172" s="76">
        <v>2014</v>
      </c>
      <c r="E172" s="56">
        <v>1</v>
      </c>
      <c r="F172" s="53">
        <f t="shared" si="12"/>
        <v>1</v>
      </c>
      <c r="G172" s="53">
        <f t="shared" si="13"/>
        <v>1</v>
      </c>
      <c r="H172" s="53">
        <f t="shared" si="14"/>
        <v>-1</v>
      </c>
      <c r="I172" s="53" t="str">
        <f t="shared" si="15"/>
        <v>dw</v>
      </c>
      <c r="J172" s="53"/>
    </row>
    <row r="173" spans="1:10" x14ac:dyDescent="0.25">
      <c r="A173" s="93">
        <v>41996</v>
      </c>
      <c r="B173" s="35">
        <f t="shared" si="11"/>
        <v>72</v>
      </c>
      <c r="C173" s="76">
        <v>12</v>
      </c>
      <c r="D173" s="76">
        <v>2014</v>
      </c>
      <c r="E173" s="56">
        <v>5.6000000000000005</v>
      </c>
      <c r="F173" s="53">
        <f t="shared" si="12"/>
        <v>1</v>
      </c>
      <c r="G173" s="53">
        <f t="shared" si="13"/>
        <v>2</v>
      </c>
      <c r="H173" s="53">
        <f t="shared" si="14"/>
        <v>2</v>
      </c>
      <c r="I173" s="53" t="str">
        <f t="shared" si="15"/>
        <v>ww</v>
      </c>
      <c r="J173" s="53"/>
    </row>
    <row r="174" spans="1:10" x14ac:dyDescent="0.25">
      <c r="A174" s="93">
        <v>41997</v>
      </c>
      <c r="B174" s="35">
        <f t="shared" si="11"/>
        <v>72</v>
      </c>
      <c r="C174" s="76">
        <v>12</v>
      </c>
      <c r="D174" s="76">
        <v>2014</v>
      </c>
      <c r="E174" s="56">
        <v>5.8000000000000007</v>
      </c>
      <c r="F174" s="53">
        <f t="shared" si="12"/>
        <v>1</v>
      </c>
      <c r="G174" s="53">
        <f t="shared" si="13"/>
        <v>2</v>
      </c>
      <c r="H174" s="53">
        <f t="shared" si="14"/>
        <v>2</v>
      </c>
      <c r="I174" s="53" t="str">
        <f t="shared" si="15"/>
        <v>ww</v>
      </c>
      <c r="J174" s="53"/>
    </row>
    <row r="175" spans="1:10" x14ac:dyDescent="0.25">
      <c r="A175" s="93">
        <v>41998</v>
      </c>
      <c r="B175" s="35">
        <f t="shared" si="11"/>
        <v>72</v>
      </c>
      <c r="C175" s="76">
        <v>12</v>
      </c>
      <c r="D175" s="76">
        <v>2014</v>
      </c>
      <c r="E175" s="56">
        <v>6.6666666666666666E-2</v>
      </c>
      <c r="F175" s="53">
        <f t="shared" si="12"/>
        <v>1</v>
      </c>
      <c r="G175" s="53">
        <f t="shared" si="13"/>
        <v>2</v>
      </c>
      <c r="H175" s="53">
        <f t="shared" si="14"/>
        <v>2</v>
      </c>
      <c r="I175" s="53" t="str">
        <f t="shared" si="15"/>
        <v>ww</v>
      </c>
      <c r="J175" s="53"/>
    </row>
    <row r="176" spans="1:10" x14ac:dyDescent="0.25">
      <c r="A176" s="93">
        <v>41999</v>
      </c>
      <c r="B176" s="35">
        <f t="shared" si="11"/>
        <v>72</v>
      </c>
      <c r="C176" s="76">
        <v>12</v>
      </c>
      <c r="D176" s="76">
        <v>2014</v>
      </c>
      <c r="E176" s="56">
        <v>6.6666666666666666E-2</v>
      </c>
      <c r="F176" s="53">
        <f t="shared" si="12"/>
        <v>1</v>
      </c>
      <c r="G176" s="53">
        <f t="shared" si="13"/>
        <v>2</v>
      </c>
      <c r="H176" s="53">
        <f t="shared" si="14"/>
        <v>2</v>
      </c>
      <c r="I176" s="53" t="str">
        <f t="shared" si="15"/>
        <v>ww</v>
      </c>
      <c r="J176" s="53"/>
    </row>
    <row r="177" spans="1:10" x14ac:dyDescent="0.25">
      <c r="A177" s="93">
        <v>42000</v>
      </c>
      <c r="B177" s="35">
        <f t="shared" si="11"/>
        <v>72</v>
      </c>
      <c r="C177" s="76">
        <v>12</v>
      </c>
      <c r="D177" s="76">
        <v>2014</v>
      </c>
      <c r="E177" s="56">
        <v>0.20000000000000004</v>
      </c>
      <c r="F177" s="53">
        <f t="shared" si="12"/>
        <v>1</v>
      </c>
      <c r="G177" s="53">
        <f t="shared" si="13"/>
        <v>2</v>
      </c>
      <c r="H177" s="53">
        <f t="shared" si="14"/>
        <v>2</v>
      </c>
      <c r="I177" s="53" t="str">
        <f t="shared" si="15"/>
        <v>ww</v>
      </c>
      <c r="J177" s="53"/>
    </row>
    <row r="178" spans="1:10" x14ac:dyDescent="0.25">
      <c r="A178" s="93">
        <v>42001</v>
      </c>
      <c r="B178" s="35">
        <f t="shared" si="11"/>
        <v>72</v>
      </c>
      <c r="C178" s="76">
        <v>12</v>
      </c>
      <c r="D178" s="76">
        <v>2014</v>
      </c>
      <c r="E178" s="56">
        <v>4.333333333333333</v>
      </c>
      <c r="F178" s="53">
        <f t="shared" si="12"/>
        <v>1</v>
      </c>
      <c r="G178" s="53">
        <f t="shared" si="13"/>
        <v>2</v>
      </c>
      <c r="H178" s="53">
        <f t="shared" si="14"/>
        <v>2</v>
      </c>
      <c r="I178" s="53" t="str">
        <f t="shared" si="15"/>
        <v>ww</v>
      </c>
      <c r="J178" s="53"/>
    </row>
    <row r="179" spans="1:10" x14ac:dyDescent="0.25">
      <c r="A179" s="93">
        <v>42002</v>
      </c>
      <c r="B179" s="35">
        <f t="shared" si="11"/>
        <v>72</v>
      </c>
      <c r="C179" s="76">
        <v>12</v>
      </c>
      <c r="D179" s="76">
        <v>2014</v>
      </c>
      <c r="E179" s="56">
        <v>6.6666666666666666E-2</v>
      </c>
      <c r="F179" s="53">
        <f t="shared" si="12"/>
        <v>1</v>
      </c>
      <c r="G179" s="53">
        <f t="shared" si="13"/>
        <v>2</v>
      </c>
      <c r="H179" s="53">
        <f t="shared" si="14"/>
        <v>2</v>
      </c>
      <c r="I179" s="53" t="str">
        <f t="shared" si="15"/>
        <v>ww</v>
      </c>
      <c r="J179" s="53"/>
    </row>
    <row r="180" spans="1:10" x14ac:dyDescent="0.25">
      <c r="A180" s="93">
        <v>42003</v>
      </c>
      <c r="B180" s="35">
        <f t="shared" si="11"/>
        <v>72</v>
      </c>
      <c r="C180" s="76">
        <v>12</v>
      </c>
      <c r="D180" s="76">
        <v>2014</v>
      </c>
      <c r="E180" s="56">
        <v>0.26666666666666666</v>
      </c>
      <c r="F180" s="53">
        <f t="shared" si="12"/>
        <v>1</v>
      </c>
      <c r="G180" s="53">
        <f t="shared" si="13"/>
        <v>2</v>
      </c>
      <c r="H180" s="53">
        <f t="shared" si="14"/>
        <v>2</v>
      </c>
      <c r="I180" s="53" t="str">
        <f t="shared" si="15"/>
        <v>ww</v>
      </c>
      <c r="J180" s="53"/>
    </row>
    <row r="181" spans="1:10" x14ac:dyDescent="0.25">
      <c r="A181" s="93">
        <v>42004</v>
      </c>
      <c r="B181" s="35">
        <f t="shared" si="11"/>
        <v>72</v>
      </c>
      <c r="C181" s="76">
        <v>12</v>
      </c>
      <c r="D181" s="76">
        <v>2014</v>
      </c>
      <c r="E181" s="56">
        <v>6.6666666666666666E-2</v>
      </c>
      <c r="F181" s="53">
        <f t="shared" si="12"/>
        <v>1</v>
      </c>
      <c r="G181" s="53">
        <f t="shared" si="13"/>
        <v>2</v>
      </c>
      <c r="H181" s="53">
        <f t="shared" si="14"/>
        <v>2</v>
      </c>
      <c r="I181" s="53" t="str">
        <f t="shared" si="15"/>
        <v>ww</v>
      </c>
      <c r="J181" s="53"/>
    </row>
    <row r="182" spans="1:10" x14ac:dyDescent="0.25">
      <c r="A182" s="93">
        <v>42341</v>
      </c>
      <c r="B182" s="35">
        <f t="shared" si="11"/>
        <v>84</v>
      </c>
      <c r="C182" s="76">
        <v>12</v>
      </c>
      <c r="D182" s="76">
        <v>2015</v>
      </c>
      <c r="E182" s="56">
        <v>0</v>
      </c>
      <c r="F182" s="53">
        <f t="shared" si="12"/>
        <v>0</v>
      </c>
      <c r="G182" s="53">
        <f t="shared" si="13"/>
        <v>1</v>
      </c>
      <c r="H182" s="53">
        <f t="shared" si="14"/>
        <v>1</v>
      </c>
      <c r="I182" s="53" t="str">
        <f t="shared" si="15"/>
        <v>wd</v>
      </c>
      <c r="J182" s="53"/>
    </row>
    <row r="183" spans="1:10" x14ac:dyDescent="0.25">
      <c r="A183" s="93">
        <v>42342</v>
      </c>
      <c r="B183" s="35">
        <f t="shared" si="11"/>
        <v>84</v>
      </c>
      <c r="C183" s="76">
        <v>12</v>
      </c>
      <c r="D183" s="76">
        <v>2015</v>
      </c>
      <c r="E183" s="56">
        <v>12.4</v>
      </c>
      <c r="F183" s="53">
        <f t="shared" si="12"/>
        <v>1</v>
      </c>
      <c r="G183" s="53">
        <f t="shared" si="13"/>
        <v>1</v>
      </c>
      <c r="H183" s="53">
        <f t="shared" si="14"/>
        <v>-1</v>
      </c>
      <c r="I183" s="53" t="str">
        <f t="shared" si="15"/>
        <v>dw</v>
      </c>
      <c r="J183" s="53"/>
    </row>
    <row r="184" spans="1:10" x14ac:dyDescent="0.25">
      <c r="A184" s="93">
        <v>42343</v>
      </c>
      <c r="B184" s="35">
        <f t="shared" si="11"/>
        <v>84</v>
      </c>
      <c r="C184" s="76">
        <v>12</v>
      </c>
      <c r="D184" s="76">
        <v>2015</v>
      </c>
      <c r="E184" s="56">
        <v>0.79999999999999993</v>
      </c>
      <c r="F184" s="53">
        <f t="shared" si="12"/>
        <v>1</v>
      </c>
      <c r="G184" s="53">
        <f t="shared" si="13"/>
        <v>2</v>
      </c>
      <c r="H184" s="53">
        <f t="shared" si="14"/>
        <v>2</v>
      </c>
      <c r="I184" s="53" t="str">
        <f t="shared" si="15"/>
        <v>ww</v>
      </c>
      <c r="J184" s="53"/>
    </row>
    <row r="185" spans="1:10" x14ac:dyDescent="0.25">
      <c r="A185" s="93">
        <v>42344</v>
      </c>
      <c r="B185" s="35">
        <f t="shared" si="11"/>
        <v>84</v>
      </c>
      <c r="C185" s="76">
        <v>12</v>
      </c>
      <c r="D185" s="76">
        <v>2015</v>
      </c>
      <c r="E185" s="56">
        <v>0.69999999999999984</v>
      </c>
      <c r="F185" s="53">
        <f t="shared" si="12"/>
        <v>1</v>
      </c>
      <c r="G185" s="53">
        <f t="shared" si="13"/>
        <v>2</v>
      </c>
      <c r="H185" s="53">
        <f t="shared" si="14"/>
        <v>2</v>
      </c>
      <c r="I185" s="53" t="str">
        <f t="shared" si="15"/>
        <v>ww</v>
      </c>
      <c r="J185" s="53"/>
    </row>
    <row r="186" spans="1:10" x14ac:dyDescent="0.25">
      <c r="A186" s="93">
        <v>42345</v>
      </c>
      <c r="B186" s="35">
        <f t="shared" si="11"/>
        <v>84</v>
      </c>
      <c r="C186" s="76">
        <v>12</v>
      </c>
      <c r="D186" s="76">
        <v>2015</v>
      </c>
      <c r="E186" s="56">
        <v>0.6</v>
      </c>
      <c r="F186" s="53">
        <f t="shared" si="12"/>
        <v>1</v>
      </c>
      <c r="G186" s="53">
        <f t="shared" si="13"/>
        <v>2</v>
      </c>
      <c r="H186" s="53">
        <f t="shared" si="14"/>
        <v>2</v>
      </c>
      <c r="I186" s="53" t="str">
        <f t="shared" si="15"/>
        <v>ww</v>
      </c>
      <c r="J186" s="53"/>
    </row>
    <row r="187" spans="1:10" x14ac:dyDescent="0.25">
      <c r="A187" s="93">
        <v>42346</v>
      </c>
      <c r="B187" s="35">
        <f t="shared" si="11"/>
        <v>84</v>
      </c>
      <c r="C187" s="76">
        <v>12</v>
      </c>
      <c r="D187" s="76">
        <v>2015</v>
      </c>
      <c r="E187" s="56">
        <v>1.2</v>
      </c>
      <c r="F187" s="53">
        <f t="shared" si="12"/>
        <v>1</v>
      </c>
      <c r="G187" s="53">
        <f t="shared" si="13"/>
        <v>2</v>
      </c>
      <c r="H187" s="53">
        <f t="shared" si="14"/>
        <v>2</v>
      </c>
      <c r="I187" s="53" t="str">
        <f t="shared" si="15"/>
        <v>ww</v>
      </c>
      <c r="J187" s="53"/>
    </row>
    <row r="188" spans="1:10" x14ac:dyDescent="0.25">
      <c r="A188" s="93">
        <v>42347</v>
      </c>
      <c r="B188" s="35">
        <f t="shared" si="11"/>
        <v>84</v>
      </c>
      <c r="C188" s="76">
        <v>12</v>
      </c>
      <c r="D188" s="76">
        <v>2015</v>
      </c>
      <c r="E188" s="56">
        <v>0.20000000000000004</v>
      </c>
      <c r="F188" s="53">
        <f t="shared" si="12"/>
        <v>1</v>
      </c>
      <c r="G188" s="53">
        <f t="shared" si="13"/>
        <v>2</v>
      </c>
      <c r="H188" s="53">
        <f t="shared" si="14"/>
        <v>2</v>
      </c>
      <c r="I188" s="53" t="str">
        <f t="shared" si="15"/>
        <v>ww</v>
      </c>
      <c r="J188" s="53"/>
    </row>
    <row r="189" spans="1:10" x14ac:dyDescent="0.25">
      <c r="A189" s="93">
        <v>42348</v>
      </c>
      <c r="B189" s="35">
        <f t="shared" si="11"/>
        <v>84</v>
      </c>
      <c r="C189" s="76">
        <v>12</v>
      </c>
      <c r="D189" s="76">
        <v>2015</v>
      </c>
      <c r="E189" s="56">
        <v>2.7000000000000006</v>
      </c>
      <c r="F189" s="53">
        <f t="shared" si="12"/>
        <v>1</v>
      </c>
      <c r="G189" s="53">
        <f t="shared" si="13"/>
        <v>2</v>
      </c>
      <c r="H189" s="53">
        <f t="shared" si="14"/>
        <v>2</v>
      </c>
      <c r="I189" s="53" t="str">
        <f t="shared" si="15"/>
        <v>ww</v>
      </c>
      <c r="J189" s="53"/>
    </row>
    <row r="190" spans="1:10" x14ac:dyDescent="0.25">
      <c r="A190" s="93">
        <v>42349</v>
      </c>
      <c r="B190" s="35">
        <f t="shared" si="11"/>
        <v>84</v>
      </c>
      <c r="C190" s="76">
        <v>12</v>
      </c>
      <c r="D190" s="76">
        <v>2015</v>
      </c>
      <c r="E190" s="56">
        <v>2.2999999999999998</v>
      </c>
      <c r="F190" s="53">
        <f t="shared" si="12"/>
        <v>1</v>
      </c>
      <c r="G190" s="53">
        <f t="shared" si="13"/>
        <v>2</v>
      </c>
      <c r="H190" s="53">
        <f t="shared" si="14"/>
        <v>2</v>
      </c>
      <c r="I190" s="53" t="str">
        <f t="shared" si="15"/>
        <v>ww</v>
      </c>
      <c r="J190" s="53"/>
    </row>
    <row r="191" spans="1:10" x14ac:dyDescent="0.25">
      <c r="A191" s="93">
        <v>42350</v>
      </c>
      <c r="B191" s="35">
        <f t="shared" si="11"/>
        <v>84</v>
      </c>
      <c r="C191" s="76">
        <v>12</v>
      </c>
      <c r="D191" s="76">
        <v>2015</v>
      </c>
      <c r="E191" s="56">
        <v>0.10000000000000002</v>
      </c>
      <c r="F191" s="53">
        <f t="shared" si="12"/>
        <v>1</v>
      </c>
      <c r="G191" s="53">
        <f t="shared" si="13"/>
        <v>2</v>
      </c>
      <c r="H191" s="53">
        <f t="shared" si="14"/>
        <v>2</v>
      </c>
      <c r="I191" s="53" t="str">
        <f t="shared" si="15"/>
        <v>ww</v>
      </c>
      <c r="J191" s="53"/>
    </row>
    <row r="192" spans="1:10" x14ac:dyDescent="0.25">
      <c r="A192" s="93">
        <v>42351</v>
      </c>
      <c r="B192" s="35">
        <f t="shared" si="11"/>
        <v>84</v>
      </c>
      <c r="C192" s="76">
        <v>12</v>
      </c>
      <c r="D192" s="76">
        <v>2015</v>
      </c>
      <c r="E192" s="56">
        <v>14.9</v>
      </c>
      <c r="F192" s="53">
        <f t="shared" si="12"/>
        <v>1</v>
      </c>
      <c r="G192" s="53">
        <f t="shared" si="13"/>
        <v>2</v>
      </c>
      <c r="H192" s="53">
        <f t="shared" si="14"/>
        <v>2</v>
      </c>
      <c r="I192" s="53" t="str">
        <f t="shared" si="15"/>
        <v>ww</v>
      </c>
      <c r="J192" s="53"/>
    </row>
    <row r="193" spans="1:10" x14ac:dyDescent="0.25">
      <c r="A193" s="93">
        <v>42352</v>
      </c>
      <c r="B193" s="35">
        <f t="shared" si="11"/>
        <v>84</v>
      </c>
      <c r="C193" s="76">
        <v>12</v>
      </c>
      <c r="D193" s="76">
        <v>2015</v>
      </c>
      <c r="E193" s="56">
        <v>2.1</v>
      </c>
      <c r="F193" s="53">
        <f t="shared" si="12"/>
        <v>1</v>
      </c>
      <c r="G193" s="53">
        <f t="shared" si="13"/>
        <v>2</v>
      </c>
      <c r="H193" s="53">
        <f t="shared" si="14"/>
        <v>2</v>
      </c>
      <c r="I193" s="53" t="str">
        <f t="shared" si="15"/>
        <v>ww</v>
      </c>
      <c r="J193" s="53"/>
    </row>
    <row r="194" spans="1:10" x14ac:dyDescent="0.25">
      <c r="A194" s="93">
        <v>42353</v>
      </c>
      <c r="B194" s="35">
        <f t="shared" ref="B194:B257" si="16">C194+(D194-2009)*12</f>
        <v>84</v>
      </c>
      <c r="C194" s="76">
        <v>12</v>
      </c>
      <c r="D194" s="76">
        <v>2015</v>
      </c>
      <c r="E194" s="56">
        <v>0.10000000000000002</v>
      </c>
      <c r="F194" s="53">
        <f t="shared" ref="F194:F257" si="17">IF(E194&gt;0,1,0)</f>
        <v>1</v>
      </c>
      <c r="G194" s="53">
        <f t="shared" ref="G194:G257" si="18">SUM(F193:F194)</f>
        <v>2</v>
      </c>
      <c r="H194" s="53">
        <f t="shared" ref="H194:H257" si="19">IF(G194=1,IF(F193=1,1,-1),G194)</f>
        <v>2</v>
      </c>
      <c r="I194" s="53" t="str">
        <f t="shared" ref="I194:I257" si="20">VLOOKUP(H194,codes,2,)</f>
        <v>ww</v>
      </c>
      <c r="J194" s="53"/>
    </row>
    <row r="195" spans="1:10" x14ac:dyDescent="0.25">
      <c r="A195" s="93">
        <v>42354</v>
      </c>
      <c r="B195" s="35">
        <f t="shared" si="16"/>
        <v>84</v>
      </c>
      <c r="C195" s="76">
        <v>12</v>
      </c>
      <c r="D195" s="76">
        <v>2015</v>
      </c>
      <c r="E195" s="56">
        <v>0.80000000000000016</v>
      </c>
      <c r="F195" s="53">
        <f t="shared" si="17"/>
        <v>1</v>
      </c>
      <c r="G195" s="53">
        <f t="shared" si="18"/>
        <v>2</v>
      </c>
      <c r="H195" s="53">
        <f t="shared" si="19"/>
        <v>2</v>
      </c>
      <c r="I195" s="53" t="str">
        <f t="shared" si="20"/>
        <v>ww</v>
      </c>
      <c r="J195" s="53"/>
    </row>
    <row r="196" spans="1:10" x14ac:dyDescent="0.25">
      <c r="A196" s="93">
        <v>42355</v>
      </c>
      <c r="B196" s="35">
        <f t="shared" si="16"/>
        <v>84</v>
      </c>
      <c r="C196" s="76">
        <v>12</v>
      </c>
      <c r="D196" s="76">
        <v>2015</v>
      </c>
      <c r="E196" s="56">
        <v>0.10000000000000002</v>
      </c>
      <c r="F196" s="53">
        <f t="shared" si="17"/>
        <v>1</v>
      </c>
      <c r="G196" s="53">
        <f t="shared" si="18"/>
        <v>2</v>
      </c>
      <c r="H196" s="53">
        <f t="shared" si="19"/>
        <v>2</v>
      </c>
      <c r="I196" s="53" t="str">
        <f t="shared" si="20"/>
        <v>ww</v>
      </c>
      <c r="J196" s="53"/>
    </row>
    <row r="197" spans="1:10" x14ac:dyDescent="0.25">
      <c r="A197" s="93">
        <v>42356</v>
      </c>
      <c r="B197" s="35">
        <f t="shared" si="16"/>
        <v>84</v>
      </c>
      <c r="C197" s="76">
        <v>12</v>
      </c>
      <c r="D197" s="76">
        <v>2015</v>
      </c>
      <c r="E197" s="56">
        <v>0</v>
      </c>
      <c r="F197" s="53">
        <f t="shared" si="17"/>
        <v>0</v>
      </c>
      <c r="G197" s="53">
        <f t="shared" si="18"/>
        <v>1</v>
      </c>
      <c r="H197" s="53">
        <f t="shared" si="19"/>
        <v>1</v>
      </c>
      <c r="I197" s="53" t="str">
        <f t="shared" si="20"/>
        <v>wd</v>
      </c>
      <c r="J197" s="53"/>
    </row>
    <row r="198" spans="1:10" x14ac:dyDescent="0.25">
      <c r="A198" s="93">
        <v>42357</v>
      </c>
      <c r="B198" s="35">
        <f t="shared" si="16"/>
        <v>84</v>
      </c>
      <c r="C198" s="76">
        <v>12</v>
      </c>
      <c r="D198" s="76">
        <v>2015</v>
      </c>
      <c r="E198" s="56">
        <v>0</v>
      </c>
      <c r="F198" s="53">
        <f t="shared" si="17"/>
        <v>0</v>
      </c>
      <c r="G198" s="53">
        <f t="shared" si="18"/>
        <v>0</v>
      </c>
      <c r="H198" s="53">
        <f t="shared" si="19"/>
        <v>0</v>
      </c>
      <c r="I198" s="53" t="str">
        <f t="shared" si="20"/>
        <v>dd</v>
      </c>
      <c r="J198" s="53"/>
    </row>
    <row r="199" spans="1:10" x14ac:dyDescent="0.25">
      <c r="A199" s="93">
        <v>42358</v>
      </c>
      <c r="B199" s="35">
        <f t="shared" si="16"/>
        <v>84</v>
      </c>
      <c r="C199" s="76">
        <v>12</v>
      </c>
      <c r="D199" s="76">
        <v>2015</v>
      </c>
      <c r="E199" s="56">
        <v>15.800000000000002</v>
      </c>
      <c r="F199" s="53">
        <f t="shared" si="17"/>
        <v>1</v>
      </c>
      <c r="G199" s="53">
        <f t="shared" si="18"/>
        <v>1</v>
      </c>
      <c r="H199" s="53">
        <f t="shared" si="19"/>
        <v>-1</v>
      </c>
      <c r="I199" s="53" t="str">
        <f t="shared" si="20"/>
        <v>dw</v>
      </c>
      <c r="J199" s="53"/>
    </row>
    <row r="200" spans="1:10" x14ac:dyDescent="0.25">
      <c r="A200" s="93">
        <v>42359</v>
      </c>
      <c r="B200" s="35">
        <f t="shared" si="16"/>
        <v>84</v>
      </c>
      <c r="C200" s="76">
        <v>12</v>
      </c>
      <c r="D200" s="76">
        <v>2015</v>
      </c>
      <c r="E200" s="56">
        <v>0.9</v>
      </c>
      <c r="F200" s="53">
        <f t="shared" si="17"/>
        <v>1</v>
      </c>
      <c r="G200" s="53">
        <f t="shared" si="18"/>
        <v>2</v>
      </c>
      <c r="H200" s="53">
        <f t="shared" si="19"/>
        <v>2</v>
      </c>
      <c r="I200" s="53" t="str">
        <f t="shared" si="20"/>
        <v>ww</v>
      </c>
      <c r="J200" s="53"/>
    </row>
    <row r="201" spans="1:10" x14ac:dyDescent="0.25">
      <c r="A201" s="93">
        <v>42360</v>
      </c>
      <c r="B201" s="35">
        <f t="shared" si="16"/>
        <v>84</v>
      </c>
      <c r="C201" s="76">
        <v>12</v>
      </c>
      <c r="D201" s="76">
        <v>2015</v>
      </c>
      <c r="E201" s="56">
        <v>3.7000000000000006</v>
      </c>
      <c r="F201" s="53">
        <f t="shared" si="17"/>
        <v>1</v>
      </c>
      <c r="G201" s="53">
        <f t="shared" si="18"/>
        <v>2</v>
      </c>
      <c r="H201" s="53">
        <f t="shared" si="19"/>
        <v>2</v>
      </c>
      <c r="I201" s="53" t="str">
        <f t="shared" si="20"/>
        <v>ww</v>
      </c>
      <c r="J201" s="53"/>
    </row>
    <row r="202" spans="1:10" x14ac:dyDescent="0.25">
      <c r="A202" s="93">
        <v>42361</v>
      </c>
      <c r="B202" s="35">
        <f t="shared" si="16"/>
        <v>84</v>
      </c>
      <c r="C202" s="76">
        <v>12</v>
      </c>
      <c r="D202" s="76">
        <v>2015</v>
      </c>
      <c r="E202" s="56">
        <v>2.2999999999999998</v>
      </c>
      <c r="F202" s="53">
        <f t="shared" si="17"/>
        <v>1</v>
      </c>
      <c r="G202" s="53">
        <f t="shared" si="18"/>
        <v>2</v>
      </c>
      <c r="H202" s="53">
        <f t="shared" si="19"/>
        <v>2</v>
      </c>
      <c r="I202" s="53" t="str">
        <f t="shared" si="20"/>
        <v>ww</v>
      </c>
      <c r="J202" s="53"/>
    </row>
    <row r="203" spans="1:10" x14ac:dyDescent="0.25">
      <c r="A203" s="93">
        <v>42362</v>
      </c>
      <c r="B203" s="35">
        <f t="shared" si="16"/>
        <v>84</v>
      </c>
      <c r="C203" s="76">
        <v>12</v>
      </c>
      <c r="D203" s="76">
        <v>2015</v>
      </c>
      <c r="E203" s="56">
        <v>0.3</v>
      </c>
      <c r="F203" s="53">
        <f t="shared" si="17"/>
        <v>1</v>
      </c>
      <c r="G203" s="53">
        <f t="shared" si="18"/>
        <v>2</v>
      </c>
      <c r="H203" s="53">
        <f t="shared" si="19"/>
        <v>2</v>
      </c>
      <c r="I203" s="53" t="str">
        <f t="shared" si="20"/>
        <v>ww</v>
      </c>
      <c r="J203" s="53"/>
    </row>
    <row r="204" spans="1:10" x14ac:dyDescent="0.25">
      <c r="A204" s="93">
        <v>42363</v>
      </c>
      <c r="B204" s="35">
        <f t="shared" si="16"/>
        <v>84</v>
      </c>
      <c r="C204" s="76">
        <v>12</v>
      </c>
      <c r="D204" s="76">
        <v>2015</v>
      </c>
      <c r="E204" s="56">
        <v>0.69999999999999984</v>
      </c>
      <c r="F204" s="53">
        <f t="shared" si="17"/>
        <v>1</v>
      </c>
      <c r="G204" s="53">
        <f t="shared" si="18"/>
        <v>2</v>
      </c>
      <c r="H204" s="53">
        <f t="shared" si="19"/>
        <v>2</v>
      </c>
      <c r="I204" s="53" t="str">
        <f t="shared" si="20"/>
        <v>ww</v>
      </c>
      <c r="J204" s="53"/>
    </row>
    <row r="205" spans="1:10" x14ac:dyDescent="0.25">
      <c r="A205" s="93">
        <v>42364</v>
      </c>
      <c r="B205" s="35">
        <f t="shared" si="16"/>
        <v>84</v>
      </c>
      <c r="C205" s="76">
        <v>12</v>
      </c>
      <c r="D205" s="76">
        <v>2015</v>
      </c>
      <c r="E205" s="56">
        <v>23.299999999999997</v>
      </c>
      <c r="F205" s="53">
        <f t="shared" si="17"/>
        <v>1</v>
      </c>
      <c r="G205" s="53">
        <f t="shared" si="18"/>
        <v>2</v>
      </c>
      <c r="H205" s="53">
        <f t="shared" si="19"/>
        <v>2</v>
      </c>
      <c r="I205" s="53" t="str">
        <f t="shared" si="20"/>
        <v>ww</v>
      </c>
      <c r="J205" s="53"/>
    </row>
    <row r="206" spans="1:10" x14ac:dyDescent="0.25">
      <c r="A206" s="93">
        <v>42365</v>
      </c>
      <c r="B206" s="35">
        <f t="shared" si="16"/>
        <v>84</v>
      </c>
      <c r="C206" s="76">
        <v>12</v>
      </c>
      <c r="D206" s="76">
        <v>2015</v>
      </c>
      <c r="E206" s="56">
        <v>9.8000000000000007</v>
      </c>
      <c r="F206" s="53">
        <f t="shared" si="17"/>
        <v>1</v>
      </c>
      <c r="G206" s="53">
        <f t="shared" si="18"/>
        <v>2</v>
      </c>
      <c r="H206" s="53">
        <f t="shared" si="19"/>
        <v>2</v>
      </c>
      <c r="I206" s="53" t="str">
        <f t="shared" si="20"/>
        <v>ww</v>
      </c>
      <c r="J206" s="53"/>
    </row>
    <row r="207" spans="1:10" x14ac:dyDescent="0.25">
      <c r="A207" s="93">
        <v>42366</v>
      </c>
      <c r="B207" s="35">
        <f t="shared" si="16"/>
        <v>84</v>
      </c>
      <c r="C207" s="76">
        <v>12</v>
      </c>
      <c r="D207" s="76">
        <v>2015</v>
      </c>
      <c r="E207" s="56">
        <v>0.20000000000000004</v>
      </c>
      <c r="F207" s="53">
        <f t="shared" si="17"/>
        <v>1</v>
      </c>
      <c r="G207" s="53">
        <f t="shared" si="18"/>
        <v>2</v>
      </c>
      <c r="H207" s="53">
        <f t="shared" si="19"/>
        <v>2</v>
      </c>
      <c r="I207" s="53" t="str">
        <f t="shared" si="20"/>
        <v>ww</v>
      </c>
      <c r="J207" s="53"/>
    </row>
    <row r="208" spans="1:10" x14ac:dyDescent="0.25">
      <c r="A208" s="93">
        <v>42367</v>
      </c>
      <c r="B208" s="35">
        <f t="shared" si="16"/>
        <v>84</v>
      </c>
      <c r="C208" s="76">
        <v>12</v>
      </c>
      <c r="D208" s="76">
        <v>2015</v>
      </c>
      <c r="E208" s="56">
        <v>0</v>
      </c>
      <c r="F208" s="53">
        <f t="shared" si="17"/>
        <v>0</v>
      </c>
      <c r="G208" s="53">
        <f t="shared" si="18"/>
        <v>1</v>
      </c>
      <c r="H208" s="53">
        <f t="shared" si="19"/>
        <v>1</v>
      </c>
      <c r="I208" s="53" t="str">
        <f t="shared" si="20"/>
        <v>wd</v>
      </c>
      <c r="J208" s="53"/>
    </row>
    <row r="209" spans="1:10" x14ac:dyDescent="0.25">
      <c r="A209" s="93">
        <v>42368</v>
      </c>
      <c r="B209" s="35">
        <f t="shared" si="16"/>
        <v>84</v>
      </c>
      <c r="C209" s="76">
        <v>12</v>
      </c>
      <c r="D209" s="76">
        <v>2015</v>
      </c>
      <c r="E209" s="56">
        <v>0</v>
      </c>
      <c r="F209" s="53">
        <f t="shared" si="17"/>
        <v>0</v>
      </c>
      <c r="G209" s="53">
        <f t="shared" si="18"/>
        <v>0</v>
      </c>
      <c r="H209" s="53">
        <f t="shared" si="19"/>
        <v>0</v>
      </c>
      <c r="I209" s="53" t="str">
        <f t="shared" si="20"/>
        <v>dd</v>
      </c>
      <c r="J209" s="53"/>
    </row>
    <row r="210" spans="1:10" x14ac:dyDescent="0.25">
      <c r="A210" s="93">
        <v>42369</v>
      </c>
      <c r="B210" s="35">
        <f t="shared" si="16"/>
        <v>84</v>
      </c>
      <c r="C210" s="76">
        <v>12</v>
      </c>
      <c r="D210" s="76">
        <v>2015</v>
      </c>
      <c r="E210" s="56">
        <v>2.4</v>
      </c>
      <c r="F210" s="53">
        <f t="shared" si="17"/>
        <v>1</v>
      </c>
      <c r="G210" s="53">
        <f t="shared" si="18"/>
        <v>1</v>
      </c>
      <c r="H210" s="53">
        <f t="shared" si="19"/>
        <v>-1</v>
      </c>
      <c r="I210" s="53" t="str">
        <f t="shared" si="20"/>
        <v>dw</v>
      </c>
      <c r="J210" s="53"/>
    </row>
    <row r="211" spans="1:10" x14ac:dyDescent="0.25">
      <c r="A211" s="93">
        <v>42707</v>
      </c>
      <c r="B211" s="35">
        <f t="shared" si="16"/>
        <v>96</v>
      </c>
      <c r="C211" s="76">
        <v>12</v>
      </c>
      <c r="D211" s="76">
        <v>2016</v>
      </c>
      <c r="E211" s="56">
        <v>1.8</v>
      </c>
      <c r="F211" s="53">
        <f t="shared" si="17"/>
        <v>1</v>
      </c>
      <c r="G211" s="53">
        <f t="shared" si="18"/>
        <v>2</v>
      </c>
      <c r="H211" s="53">
        <f t="shared" si="19"/>
        <v>2</v>
      </c>
      <c r="I211" s="53" t="str">
        <f t="shared" si="20"/>
        <v>ww</v>
      </c>
      <c r="J211" s="53"/>
    </row>
    <row r="212" spans="1:10" x14ac:dyDescent="0.25">
      <c r="A212" s="93">
        <v>42708</v>
      </c>
      <c r="B212" s="35">
        <f t="shared" si="16"/>
        <v>96</v>
      </c>
      <c r="C212" s="76">
        <v>12</v>
      </c>
      <c r="D212" s="76">
        <v>2016</v>
      </c>
      <c r="E212" s="56">
        <v>0</v>
      </c>
      <c r="F212" s="53">
        <f t="shared" si="17"/>
        <v>0</v>
      </c>
      <c r="G212" s="53">
        <f t="shared" si="18"/>
        <v>1</v>
      </c>
      <c r="H212" s="53">
        <f t="shared" si="19"/>
        <v>1</v>
      </c>
      <c r="I212" s="53" t="str">
        <f t="shared" si="20"/>
        <v>wd</v>
      </c>
      <c r="J212" s="53"/>
    </row>
    <row r="213" spans="1:10" x14ac:dyDescent="0.25">
      <c r="A213" s="93">
        <v>42709</v>
      </c>
      <c r="B213" s="35">
        <f t="shared" si="16"/>
        <v>96</v>
      </c>
      <c r="C213" s="76">
        <v>12</v>
      </c>
      <c r="D213" s="76">
        <v>2016</v>
      </c>
      <c r="E213" s="56">
        <v>0</v>
      </c>
      <c r="F213" s="53">
        <f t="shared" si="17"/>
        <v>0</v>
      </c>
      <c r="G213" s="53">
        <f t="shared" si="18"/>
        <v>0</v>
      </c>
      <c r="H213" s="53">
        <f t="shared" si="19"/>
        <v>0</v>
      </c>
      <c r="I213" s="53" t="str">
        <f t="shared" si="20"/>
        <v>dd</v>
      </c>
      <c r="J213" s="53"/>
    </row>
    <row r="214" spans="1:10" x14ac:dyDescent="0.25">
      <c r="A214" s="93">
        <v>42710</v>
      </c>
      <c r="B214" s="35">
        <f t="shared" si="16"/>
        <v>96</v>
      </c>
      <c r="C214" s="76">
        <v>12</v>
      </c>
      <c r="D214" s="76">
        <v>2016</v>
      </c>
      <c r="E214" s="56">
        <v>0.20000000000000004</v>
      </c>
      <c r="F214" s="53">
        <f t="shared" si="17"/>
        <v>1</v>
      </c>
      <c r="G214" s="53">
        <f t="shared" si="18"/>
        <v>1</v>
      </c>
      <c r="H214" s="53">
        <f t="shared" si="19"/>
        <v>-1</v>
      </c>
      <c r="I214" s="53" t="str">
        <f t="shared" si="20"/>
        <v>dw</v>
      </c>
      <c r="J214" s="53"/>
    </row>
    <row r="215" spans="1:10" x14ac:dyDescent="0.25">
      <c r="A215" s="93">
        <v>42711</v>
      </c>
      <c r="B215" s="35">
        <f t="shared" si="16"/>
        <v>96</v>
      </c>
      <c r="C215" s="76">
        <v>12</v>
      </c>
      <c r="D215" s="76">
        <v>2016</v>
      </c>
      <c r="E215" s="56">
        <v>1.8666666666666665</v>
      </c>
      <c r="F215" s="53">
        <f t="shared" si="17"/>
        <v>1</v>
      </c>
      <c r="G215" s="53">
        <f t="shared" si="18"/>
        <v>2</v>
      </c>
      <c r="H215" s="53">
        <f t="shared" si="19"/>
        <v>2</v>
      </c>
      <c r="I215" s="53" t="str">
        <f t="shared" si="20"/>
        <v>ww</v>
      </c>
      <c r="J215" s="53"/>
    </row>
    <row r="216" spans="1:10" x14ac:dyDescent="0.25">
      <c r="A216" s="93">
        <v>42712</v>
      </c>
      <c r="B216" s="35">
        <f t="shared" si="16"/>
        <v>96</v>
      </c>
      <c r="C216" s="76">
        <v>12</v>
      </c>
      <c r="D216" s="76">
        <v>2016</v>
      </c>
      <c r="E216" s="56">
        <v>0.8666666666666667</v>
      </c>
      <c r="F216" s="53">
        <f t="shared" si="17"/>
        <v>1</v>
      </c>
      <c r="G216" s="53">
        <f t="shared" si="18"/>
        <v>2</v>
      </c>
      <c r="H216" s="53">
        <f t="shared" si="19"/>
        <v>2</v>
      </c>
      <c r="I216" s="53" t="str">
        <f t="shared" si="20"/>
        <v>ww</v>
      </c>
      <c r="J216" s="53"/>
    </row>
    <row r="217" spans="1:10" x14ac:dyDescent="0.25">
      <c r="A217" s="93">
        <v>42713</v>
      </c>
      <c r="B217" s="35">
        <f t="shared" si="16"/>
        <v>96</v>
      </c>
      <c r="C217" s="76">
        <v>12</v>
      </c>
      <c r="D217" s="76">
        <v>2016</v>
      </c>
      <c r="E217" s="56">
        <v>4.7333333333333334</v>
      </c>
      <c r="F217" s="53">
        <f t="shared" si="17"/>
        <v>1</v>
      </c>
      <c r="G217" s="53">
        <f t="shared" si="18"/>
        <v>2</v>
      </c>
      <c r="H217" s="53">
        <f t="shared" si="19"/>
        <v>2</v>
      </c>
      <c r="I217" s="53" t="str">
        <f t="shared" si="20"/>
        <v>ww</v>
      </c>
      <c r="J217" s="53"/>
    </row>
    <row r="218" spans="1:10" x14ac:dyDescent="0.25">
      <c r="A218" s="93">
        <v>42714</v>
      </c>
      <c r="B218" s="35">
        <f t="shared" si="16"/>
        <v>96</v>
      </c>
      <c r="C218" s="76">
        <v>12</v>
      </c>
      <c r="D218" s="76">
        <v>2016</v>
      </c>
      <c r="E218" s="56">
        <v>0</v>
      </c>
      <c r="F218" s="53">
        <f t="shared" si="17"/>
        <v>0</v>
      </c>
      <c r="G218" s="53">
        <f t="shared" si="18"/>
        <v>1</v>
      </c>
      <c r="H218" s="53">
        <f t="shared" si="19"/>
        <v>1</v>
      </c>
      <c r="I218" s="53" t="str">
        <f t="shared" si="20"/>
        <v>wd</v>
      </c>
      <c r="J218" s="53"/>
    </row>
    <row r="219" spans="1:10" x14ac:dyDescent="0.25">
      <c r="A219" s="93">
        <v>42715</v>
      </c>
      <c r="B219" s="35">
        <f t="shared" si="16"/>
        <v>96</v>
      </c>
      <c r="C219" s="76">
        <v>12</v>
      </c>
      <c r="D219" s="76">
        <v>2016</v>
      </c>
      <c r="E219" s="56">
        <v>0</v>
      </c>
      <c r="F219" s="53">
        <f t="shared" si="17"/>
        <v>0</v>
      </c>
      <c r="G219" s="53">
        <f t="shared" si="18"/>
        <v>0</v>
      </c>
      <c r="H219" s="53">
        <f t="shared" si="19"/>
        <v>0</v>
      </c>
      <c r="I219" s="53" t="str">
        <f t="shared" si="20"/>
        <v>dd</v>
      </c>
      <c r="J219" s="53"/>
    </row>
    <row r="220" spans="1:10" x14ac:dyDescent="0.25">
      <c r="A220" s="93">
        <v>42716</v>
      </c>
      <c r="B220" s="35">
        <f t="shared" si="16"/>
        <v>96</v>
      </c>
      <c r="C220" s="76">
        <v>12</v>
      </c>
      <c r="D220" s="76">
        <v>2016</v>
      </c>
      <c r="E220" s="56">
        <v>0</v>
      </c>
      <c r="F220" s="53">
        <f t="shared" si="17"/>
        <v>0</v>
      </c>
      <c r="G220" s="53">
        <f t="shared" si="18"/>
        <v>0</v>
      </c>
      <c r="H220" s="53">
        <f t="shared" si="19"/>
        <v>0</v>
      </c>
      <c r="I220" s="53" t="str">
        <f t="shared" si="20"/>
        <v>dd</v>
      </c>
      <c r="J220" s="53"/>
    </row>
    <row r="221" spans="1:10" x14ac:dyDescent="0.25">
      <c r="A221" s="93">
        <v>42717</v>
      </c>
      <c r="B221" s="35">
        <f t="shared" si="16"/>
        <v>96</v>
      </c>
      <c r="C221" s="76">
        <v>12</v>
      </c>
      <c r="D221" s="76">
        <v>2016</v>
      </c>
      <c r="E221" s="56">
        <v>1.8</v>
      </c>
      <c r="F221" s="53">
        <f t="shared" si="17"/>
        <v>1</v>
      </c>
      <c r="G221" s="53">
        <f t="shared" si="18"/>
        <v>1</v>
      </c>
      <c r="H221" s="53">
        <f t="shared" si="19"/>
        <v>-1</v>
      </c>
      <c r="I221" s="53" t="str">
        <f t="shared" si="20"/>
        <v>dw</v>
      </c>
      <c r="J221" s="53"/>
    </row>
    <row r="222" spans="1:10" x14ac:dyDescent="0.25">
      <c r="A222" s="93">
        <v>42718</v>
      </c>
      <c r="B222" s="35">
        <f t="shared" si="16"/>
        <v>96</v>
      </c>
      <c r="C222" s="76">
        <v>12</v>
      </c>
      <c r="D222" s="76">
        <v>2016</v>
      </c>
      <c r="E222" s="56">
        <v>2.1999999999999997</v>
      </c>
      <c r="F222" s="53">
        <f t="shared" si="17"/>
        <v>1</v>
      </c>
      <c r="G222" s="53">
        <f t="shared" si="18"/>
        <v>2</v>
      </c>
      <c r="H222" s="53">
        <f t="shared" si="19"/>
        <v>2</v>
      </c>
      <c r="I222" s="53" t="str">
        <f t="shared" si="20"/>
        <v>ww</v>
      </c>
      <c r="J222" s="53"/>
    </row>
    <row r="223" spans="1:10" x14ac:dyDescent="0.25">
      <c r="A223" s="93">
        <v>42719</v>
      </c>
      <c r="B223" s="35">
        <f t="shared" si="16"/>
        <v>96</v>
      </c>
      <c r="C223" s="76">
        <v>12</v>
      </c>
      <c r="D223" s="76">
        <v>2016</v>
      </c>
      <c r="E223" s="56">
        <v>0</v>
      </c>
      <c r="F223" s="53">
        <f t="shared" si="17"/>
        <v>0</v>
      </c>
      <c r="G223" s="53">
        <f t="shared" si="18"/>
        <v>1</v>
      </c>
      <c r="H223" s="53">
        <f t="shared" si="19"/>
        <v>1</v>
      </c>
      <c r="I223" s="53" t="str">
        <f t="shared" si="20"/>
        <v>wd</v>
      </c>
      <c r="J223" s="53"/>
    </row>
    <row r="224" spans="1:10" x14ac:dyDescent="0.25">
      <c r="A224" s="93">
        <v>42720</v>
      </c>
      <c r="B224" s="35">
        <f t="shared" si="16"/>
        <v>96</v>
      </c>
      <c r="C224" s="76">
        <v>12</v>
      </c>
      <c r="D224" s="76">
        <v>2016</v>
      </c>
      <c r="E224" s="56">
        <v>1.7333333333333334</v>
      </c>
      <c r="F224" s="53">
        <f t="shared" si="17"/>
        <v>1</v>
      </c>
      <c r="G224" s="53">
        <f t="shared" si="18"/>
        <v>1</v>
      </c>
      <c r="H224" s="53">
        <f t="shared" si="19"/>
        <v>-1</v>
      </c>
      <c r="I224" s="53" t="str">
        <f t="shared" si="20"/>
        <v>dw</v>
      </c>
      <c r="J224" s="53"/>
    </row>
    <row r="225" spans="1:10" x14ac:dyDescent="0.25">
      <c r="A225" s="93">
        <v>42721</v>
      </c>
      <c r="B225" s="35">
        <f t="shared" si="16"/>
        <v>96</v>
      </c>
      <c r="C225" s="76">
        <v>12</v>
      </c>
      <c r="D225" s="76">
        <v>2016</v>
      </c>
      <c r="E225" s="56">
        <v>6.6666666666666666E-2</v>
      </c>
      <c r="F225" s="53">
        <f t="shared" si="17"/>
        <v>1</v>
      </c>
      <c r="G225" s="53">
        <f t="shared" si="18"/>
        <v>2</v>
      </c>
      <c r="H225" s="53">
        <f t="shared" si="19"/>
        <v>2</v>
      </c>
      <c r="I225" s="53" t="str">
        <f t="shared" si="20"/>
        <v>ww</v>
      </c>
      <c r="J225" s="53"/>
    </row>
    <row r="226" spans="1:10" x14ac:dyDescent="0.25">
      <c r="A226" s="93">
        <v>42722</v>
      </c>
      <c r="B226" s="35">
        <f t="shared" si="16"/>
        <v>96</v>
      </c>
      <c r="C226" s="76">
        <v>12</v>
      </c>
      <c r="D226" s="76">
        <v>2016</v>
      </c>
      <c r="E226" s="56">
        <v>0.20000000000000004</v>
      </c>
      <c r="F226" s="53">
        <f t="shared" si="17"/>
        <v>1</v>
      </c>
      <c r="G226" s="53">
        <f t="shared" si="18"/>
        <v>2</v>
      </c>
      <c r="H226" s="53">
        <f t="shared" si="19"/>
        <v>2</v>
      </c>
      <c r="I226" s="53" t="str">
        <f t="shared" si="20"/>
        <v>ww</v>
      </c>
      <c r="J226" s="53"/>
    </row>
    <row r="227" spans="1:10" x14ac:dyDescent="0.25">
      <c r="A227" s="93">
        <v>42723</v>
      </c>
      <c r="B227" s="35">
        <f t="shared" si="16"/>
        <v>96</v>
      </c>
      <c r="C227" s="76">
        <v>12</v>
      </c>
      <c r="D227" s="76">
        <v>2016</v>
      </c>
      <c r="E227" s="56">
        <v>0</v>
      </c>
      <c r="F227" s="53">
        <f t="shared" si="17"/>
        <v>0</v>
      </c>
      <c r="G227" s="53">
        <f t="shared" si="18"/>
        <v>1</v>
      </c>
      <c r="H227" s="53">
        <f t="shared" si="19"/>
        <v>1</v>
      </c>
      <c r="I227" s="53" t="str">
        <f t="shared" si="20"/>
        <v>wd</v>
      </c>
      <c r="J227" s="53"/>
    </row>
    <row r="228" spans="1:10" x14ac:dyDescent="0.25">
      <c r="A228" s="93">
        <v>42724</v>
      </c>
      <c r="B228" s="35">
        <f t="shared" si="16"/>
        <v>96</v>
      </c>
      <c r="C228" s="76">
        <v>12</v>
      </c>
      <c r="D228" s="76">
        <v>2016</v>
      </c>
      <c r="E228" s="56">
        <v>0.40000000000000008</v>
      </c>
      <c r="F228" s="53">
        <f t="shared" si="17"/>
        <v>1</v>
      </c>
      <c r="G228" s="53">
        <f t="shared" si="18"/>
        <v>1</v>
      </c>
      <c r="H228" s="53">
        <f t="shared" si="19"/>
        <v>-1</v>
      </c>
      <c r="I228" s="53" t="str">
        <f t="shared" si="20"/>
        <v>dw</v>
      </c>
      <c r="J228" s="53"/>
    </row>
    <row r="229" spans="1:10" x14ac:dyDescent="0.25">
      <c r="A229" s="93">
        <v>42725</v>
      </c>
      <c r="B229" s="35">
        <f t="shared" si="16"/>
        <v>96</v>
      </c>
      <c r="C229" s="76">
        <v>12</v>
      </c>
      <c r="D229" s="76">
        <v>2016</v>
      </c>
      <c r="E229" s="56">
        <v>0.53333333333333333</v>
      </c>
      <c r="F229" s="53">
        <f t="shared" si="17"/>
        <v>1</v>
      </c>
      <c r="G229" s="53">
        <f t="shared" si="18"/>
        <v>2</v>
      </c>
      <c r="H229" s="53">
        <f t="shared" si="19"/>
        <v>2</v>
      </c>
      <c r="I229" s="53" t="str">
        <f t="shared" si="20"/>
        <v>ww</v>
      </c>
      <c r="J229" s="53"/>
    </row>
    <row r="230" spans="1:10" x14ac:dyDescent="0.25">
      <c r="A230" s="93">
        <v>42726</v>
      </c>
      <c r="B230" s="35">
        <f t="shared" si="16"/>
        <v>96</v>
      </c>
      <c r="C230" s="76">
        <v>12</v>
      </c>
      <c r="D230" s="76">
        <v>2016</v>
      </c>
      <c r="E230" s="56">
        <v>1.0666666666666667</v>
      </c>
      <c r="F230" s="53">
        <f t="shared" si="17"/>
        <v>1</v>
      </c>
      <c r="G230" s="53">
        <f t="shared" si="18"/>
        <v>2</v>
      </c>
      <c r="H230" s="53">
        <f t="shared" si="19"/>
        <v>2</v>
      </c>
      <c r="I230" s="53" t="str">
        <f t="shared" si="20"/>
        <v>ww</v>
      </c>
      <c r="J230" s="53"/>
    </row>
    <row r="231" spans="1:10" x14ac:dyDescent="0.25">
      <c r="A231" s="93">
        <v>42727</v>
      </c>
      <c r="B231" s="35">
        <f t="shared" si="16"/>
        <v>96</v>
      </c>
      <c r="C231" s="76">
        <v>12</v>
      </c>
      <c r="D231" s="76">
        <v>2016</v>
      </c>
      <c r="E231" s="56">
        <v>0.20000000000000004</v>
      </c>
      <c r="F231" s="53">
        <f t="shared" si="17"/>
        <v>1</v>
      </c>
      <c r="G231" s="53">
        <f t="shared" si="18"/>
        <v>2</v>
      </c>
      <c r="H231" s="53">
        <f t="shared" si="19"/>
        <v>2</v>
      </c>
      <c r="I231" s="53" t="str">
        <f t="shared" si="20"/>
        <v>ww</v>
      </c>
      <c r="J231" s="53"/>
    </row>
    <row r="232" spans="1:10" x14ac:dyDescent="0.25">
      <c r="A232" s="93">
        <v>42728</v>
      </c>
      <c r="B232" s="35">
        <f t="shared" si="16"/>
        <v>96</v>
      </c>
      <c r="C232" s="76">
        <v>12</v>
      </c>
      <c r="D232" s="76">
        <v>2016</v>
      </c>
      <c r="E232" s="56">
        <v>2.1999999999999997</v>
      </c>
      <c r="F232" s="53">
        <f t="shared" si="17"/>
        <v>1</v>
      </c>
      <c r="G232" s="53">
        <f t="shared" si="18"/>
        <v>2</v>
      </c>
      <c r="H232" s="53">
        <f t="shared" si="19"/>
        <v>2</v>
      </c>
      <c r="I232" s="53" t="str">
        <f t="shared" si="20"/>
        <v>ww</v>
      </c>
      <c r="J232" s="53"/>
    </row>
    <row r="233" spans="1:10" x14ac:dyDescent="0.25">
      <c r="A233" s="93">
        <v>42729</v>
      </c>
      <c r="B233" s="35">
        <f t="shared" si="16"/>
        <v>96</v>
      </c>
      <c r="C233" s="76">
        <v>12</v>
      </c>
      <c r="D233" s="76">
        <v>2016</v>
      </c>
      <c r="E233" s="56">
        <v>0.46666666666666662</v>
      </c>
      <c r="F233" s="53">
        <f t="shared" si="17"/>
        <v>1</v>
      </c>
      <c r="G233" s="53">
        <f t="shared" si="18"/>
        <v>2</v>
      </c>
      <c r="H233" s="53">
        <f t="shared" si="19"/>
        <v>2</v>
      </c>
      <c r="I233" s="53" t="str">
        <f t="shared" si="20"/>
        <v>ww</v>
      </c>
      <c r="J233" s="53"/>
    </row>
    <row r="234" spans="1:10" x14ac:dyDescent="0.25">
      <c r="A234" s="93">
        <v>42730</v>
      </c>
      <c r="B234" s="35">
        <f t="shared" si="16"/>
        <v>96</v>
      </c>
      <c r="C234" s="76">
        <v>12</v>
      </c>
      <c r="D234" s="76">
        <v>2016</v>
      </c>
      <c r="E234" s="56">
        <v>0.93333333333333324</v>
      </c>
      <c r="F234" s="53">
        <f t="shared" si="17"/>
        <v>1</v>
      </c>
      <c r="G234" s="53">
        <f t="shared" si="18"/>
        <v>2</v>
      </c>
      <c r="H234" s="53">
        <f t="shared" si="19"/>
        <v>2</v>
      </c>
      <c r="I234" s="53" t="str">
        <f t="shared" si="20"/>
        <v>ww</v>
      </c>
      <c r="J234" s="53"/>
    </row>
    <row r="235" spans="1:10" x14ac:dyDescent="0.25">
      <c r="A235" s="93">
        <v>42731</v>
      </c>
      <c r="B235" s="35">
        <f t="shared" si="16"/>
        <v>96</v>
      </c>
      <c r="C235" s="76">
        <v>12</v>
      </c>
      <c r="D235" s="76">
        <v>2016</v>
      </c>
      <c r="E235" s="56">
        <v>0</v>
      </c>
      <c r="F235" s="53">
        <f t="shared" si="17"/>
        <v>0</v>
      </c>
      <c r="G235" s="53">
        <f t="shared" si="18"/>
        <v>1</v>
      </c>
      <c r="H235" s="53">
        <f t="shared" si="19"/>
        <v>1</v>
      </c>
      <c r="I235" s="53" t="str">
        <f t="shared" si="20"/>
        <v>wd</v>
      </c>
      <c r="J235" s="53"/>
    </row>
    <row r="236" spans="1:10" x14ac:dyDescent="0.25">
      <c r="A236" s="93">
        <v>42732</v>
      </c>
      <c r="B236" s="35">
        <f t="shared" si="16"/>
        <v>96</v>
      </c>
      <c r="C236" s="76">
        <v>12</v>
      </c>
      <c r="D236" s="76">
        <v>2016</v>
      </c>
      <c r="E236" s="56">
        <v>0</v>
      </c>
      <c r="F236" s="53">
        <f t="shared" si="17"/>
        <v>0</v>
      </c>
      <c r="G236" s="53">
        <f t="shared" si="18"/>
        <v>0</v>
      </c>
      <c r="H236" s="53">
        <f t="shared" si="19"/>
        <v>0</v>
      </c>
      <c r="I236" s="53" t="str">
        <f t="shared" si="20"/>
        <v>dd</v>
      </c>
      <c r="J236" s="53"/>
    </row>
    <row r="237" spans="1:10" x14ac:dyDescent="0.25">
      <c r="A237" s="93">
        <v>42733</v>
      </c>
      <c r="B237" s="35">
        <f t="shared" si="16"/>
        <v>96</v>
      </c>
      <c r="C237" s="76">
        <v>12</v>
      </c>
      <c r="D237" s="76">
        <v>2016</v>
      </c>
      <c r="E237" s="56">
        <v>0.13333333333333333</v>
      </c>
      <c r="F237" s="53">
        <f t="shared" si="17"/>
        <v>1</v>
      </c>
      <c r="G237" s="53">
        <f t="shared" si="18"/>
        <v>1</v>
      </c>
      <c r="H237" s="53">
        <f t="shared" si="19"/>
        <v>-1</v>
      </c>
      <c r="I237" s="53" t="str">
        <f t="shared" si="20"/>
        <v>dw</v>
      </c>
      <c r="J237" s="53"/>
    </row>
    <row r="238" spans="1:10" x14ac:dyDescent="0.25">
      <c r="A238" s="93">
        <v>42734</v>
      </c>
      <c r="B238" s="35">
        <f t="shared" si="16"/>
        <v>96</v>
      </c>
      <c r="C238" s="76">
        <v>12</v>
      </c>
      <c r="D238" s="76">
        <v>2016</v>
      </c>
      <c r="E238" s="56">
        <v>0.20000000000000004</v>
      </c>
      <c r="F238" s="53">
        <f t="shared" si="17"/>
        <v>1</v>
      </c>
      <c r="G238" s="53">
        <f t="shared" si="18"/>
        <v>2</v>
      </c>
      <c r="H238" s="53">
        <f t="shared" si="19"/>
        <v>2</v>
      </c>
      <c r="I238" s="53" t="str">
        <f t="shared" si="20"/>
        <v>ww</v>
      </c>
      <c r="J238" s="53"/>
    </row>
    <row r="239" spans="1:10" x14ac:dyDescent="0.25">
      <c r="A239" s="93">
        <v>42735</v>
      </c>
      <c r="B239" s="35">
        <f t="shared" si="16"/>
        <v>96</v>
      </c>
      <c r="C239" s="76">
        <v>12</v>
      </c>
      <c r="D239" s="76">
        <v>2016</v>
      </c>
      <c r="E239" s="56">
        <v>0</v>
      </c>
      <c r="F239" s="53">
        <f t="shared" si="17"/>
        <v>0</v>
      </c>
      <c r="G239" s="53">
        <f t="shared" si="18"/>
        <v>1</v>
      </c>
      <c r="H239" s="53">
        <f t="shared" si="19"/>
        <v>1</v>
      </c>
      <c r="I239" s="53" t="str">
        <f t="shared" si="20"/>
        <v>wd</v>
      </c>
      <c r="J239" s="53"/>
    </row>
    <row r="240" spans="1:10" x14ac:dyDescent="0.25">
      <c r="A240" s="93">
        <v>43072</v>
      </c>
      <c r="B240" s="35">
        <f t="shared" si="16"/>
        <v>108</v>
      </c>
      <c r="C240" s="76">
        <v>12</v>
      </c>
      <c r="D240" s="76">
        <v>2017</v>
      </c>
      <c r="E240" s="56">
        <v>0</v>
      </c>
      <c r="F240" s="53">
        <f t="shared" si="17"/>
        <v>0</v>
      </c>
      <c r="G240" s="53">
        <f t="shared" si="18"/>
        <v>0</v>
      </c>
      <c r="H240" s="53">
        <f t="shared" si="19"/>
        <v>0</v>
      </c>
      <c r="I240" s="53" t="str">
        <f t="shared" si="20"/>
        <v>dd</v>
      </c>
      <c r="J240" s="53"/>
    </row>
    <row r="241" spans="1:10" x14ac:dyDescent="0.25">
      <c r="A241" s="93">
        <v>43073</v>
      </c>
      <c r="B241" s="35">
        <f t="shared" si="16"/>
        <v>108</v>
      </c>
      <c r="C241" s="76">
        <v>12</v>
      </c>
      <c r="D241" s="76">
        <v>2017</v>
      </c>
      <c r="E241" s="56">
        <v>0</v>
      </c>
      <c r="F241" s="53">
        <f t="shared" si="17"/>
        <v>0</v>
      </c>
      <c r="G241" s="53">
        <f t="shared" si="18"/>
        <v>0</v>
      </c>
      <c r="H241" s="53">
        <f t="shared" si="19"/>
        <v>0</v>
      </c>
      <c r="I241" s="53" t="str">
        <f t="shared" si="20"/>
        <v>dd</v>
      </c>
      <c r="J241" s="53"/>
    </row>
    <row r="242" spans="1:10" x14ac:dyDescent="0.25">
      <c r="A242" s="93">
        <v>43074</v>
      </c>
      <c r="B242" s="35">
        <f t="shared" si="16"/>
        <v>108</v>
      </c>
      <c r="C242" s="76">
        <v>12</v>
      </c>
      <c r="D242" s="76">
        <v>2017</v>
      </c>
      <c r="E242" s="56">
        <v>0.13333333333333333</v>
      </c>
      <c r="F242" s="53">
        <f t="shared" si="17"/>
        <v>1</v>
      </c>
      <c r="G242" s="53">
        <f t="shared" si="18"/>
        <v>1</v>
      </c>
      <c r="H242" s="53">
        <f t="shared" si="19"/>
        <v>-1</v>
      </c>
      <c r="I242" s="53" t="str">
        <f t="shared" si="20"/>
        <v>dw</v>
      </c>
      <c r="J242" s="53"/>
    </row>
    <row r="243" spans="1:10" x14ac:dyDescent="0.25">
      <c r="A243" s="93">
        <v>43075</v>
      </c>
      <c r="B243" s="35">
        <f t="shared" si="16"/>
        <v>108</v>
      </c>
      <c r="C243" s="76">
        <v>12</v>
      </c>
      <c r="D243" s="76">
        <v>2017</v>
      </c>
      <c r="E243" s="56">
        <v>0</v>
      </c>
      <c r="F243" s="53">
        <f t="shared" si="17"/>
        <v>0</v>
      </c>
      <c r="G243" s="53">
        <f t="shared" si="18"/>
        <v>1</v>
      </c>
      <c r="H243" s="53">
        <f t="shared" si="19"/>
        <v>1</v>
      </c>
      <c r="I243" s="53" t="str">
        <f t="shared" si="20"/>
        <v>wd</v>
      </c>
      <c r="J243" s="53"/>
    </row>
    <row r="244" spans="1:10" x14ac:dyDescent="0.25">
      <c r="A244" s="93">
        <v>43076</v>
      </c>
      <c r="B244" s="35">
        <f t="shared" si="16"/>
        <v>108</v>
      </c>
      <c r="C244" s="76">
        <v>12</v>
      </c>
      <c r="D244" s="76">
        <v>2017</v>
      </c>
      <c r="E244" s="56">
        <v>0.6</v>
      </c>
      <c r="F244" s="53">
        <f t="shared" si="17"/>
        <v>1</v>
      </c>
      <c r="G244" s="53">
        <f t="shared" si="18"/>
        <v>1</v>
      </c>
      <c r="H244" s="53">
        <f t="shared" si="19"/>
        <v>-1</v>
      </c>
      <c r="I244" s="53" t="str">
        <f t="shared" si="20"/>
        <v>dw</v>
      </c>
      <c r="J244" s="53"/>
    </row>
    <row r="245" spans="1:10" x14ac:dyDescent="0.25">
      <c r="A245" s="93">
        <v>43077</v>
      </c>
      <c r="B245" s="35">
        <f t="shared" si="16"/>
        <v>108</v>
      </c>
      <c r="C245" s="76">
        <v>12</v>
      </c>
      <c r="D245" s="76">
        <v>2017</v>
      </c>
      <c r="E245" s="56">
        <v>0</v>
      </c>
      <c r="F245" s="53">
        <f t="shared" si="17"/>
        <v>0</v>
      </c>
      <c r="G245" s="53">
        <f t="shared" si="18"/>
        <v>1</v>
      </c>
      <c r="H245" s="53">
        <f t="shared" si="19"/>
        <v>1</v>
      </c>
      <c r="I245" s="53" t="str">
        <f t="shared" si="20"/>
        <v>wd</v>
      </c>
      <c r="J245" s="53"/>
    </row>
    <row r="246" spans="1:10" x14ac:dyDescent="0.25">
      <c r="A246" s="93">
        <v>43078</v>
      </c>
      <c r="B246" s="35">
        <f t="shared" si="16"/>
        <v>108</v>
      </c>
      <c r="C246" s="76">
        <v>12</v>
      </c>
      <c r="D246" s="76">
        <v>2017</v>
      </c>
      <c r="E246" s="56">
        <v>0</v>
      </c>
      <c r="F246" s="53">
        <f t="shared" si="17"/>
        <v>0</v>
      </c>
      <c r="G246" s="53">
        <f t="shared" si="18"/>
        <v>0</v>
      </c>
      <c r="H246" s="53">
        <f t="shared" si="19"/>
        <v>0</v>
      </c>
      <c r="I246" s="53" t="str">
        <f t="shared" si="20"/>
        <v>dd</v>
      </c>
      <c r="J246" s="53"/>
    </row>
    <row r="247" spans="1:10" x14ac:dyDescent="0.25">
      <c r="A247" s="93">
        <v>43079</v>
      </c>
      <c r="B247" s="35">
        <f t="shared" si="16"/>
        <v>108</v>
      </c>
      <c r="C247" s="76">
        <v>12</v>
      </c>
      <c r="D247" s="76">
        <v>2017</v>
      </c>
      <c r="E247" s="56">
        <v>0</v>
      </c>
      <c r="F247" s="53">
        <f t="shared" si="17"/>
        <v>0</v>
      </c>
      <c r="G247" s="53">
        <f t="shared" si="18"/>
        <v>0</v>
      </c>
      <c r="H247" s="53">
        <f t="shared" si="19"/>
        <v>0</v>
      </c>
      <c r="I247" s="53" t="str">
        <f t="shared" si="20"/>
        <v>dd</v>
      </c>
      <c r="J247" s="53"/>
    </row>
    <row r="248" spans="1:10" x14ac:dyDescent="0.25">
      <c r="A248" s="93">
        <v>43080</v>
      </c>
      <c r="B248" s="35">
        <f t="shared" si="16"/>
        <v>108</v>
      </c>
      <c r="C248" s="76">
        <v>12</v>
      </c>
      <c r="D248" s="76">
        <v>2017</v>
      </c>
      <c r="E248" s="56">
        <v>6.6666666666666666E-2</v>
      </c>
      <c r="F248" s="53">
        <f t="shared" si="17"/>
        <v>1</v>
      </c>
      <c r="G248" s="53">
        <f t="shared" si="18"/>
        <v>1</v>
      </c>
      <c r="H248" s="53">
        <f t="shared" si="19"/>
        <v>-1</v>
      </c>
      <c r="I248" s="53" t="str">
        <f t="shared" si="20"/>
        <v>dw</v>
      </c>
      <c r="J248" s="53"/>
    </row>
    <row r="249" spans="1:10" x14ac:dyDescent="0.25">
      <c r="A249" s="93">
        <v>43081</v>
      </c>
      <c r="B249" s="35">
        <f t="shared" si="16"/>
        <v>108</v>
      </c>
      <c r="C249" s="76">
        <v>12</v>
      </c>
      <c r="D249" s="76">
        <v>2017</v>
      </c>
      <c r="E249" s="56">
        <v>0.39999999999999997</v>
      </c>
      <c r="F249" s="53">
        <f t="shared" si="17"/>
        <v>1</v>
      </c>
      <c r="G249" s="53">
        <f t="shared" si="18"/>
        <v>2</v>
      </c>
      <c r="H249" s="53">
        <f t="shared" si="19"/>
        <v>2</v>
      </c>
      <c r="I249" s="53" t="str">
        <f t="shared" si="20"/>
        <v>ww</v>
      </c>
      <c r="J249" s="53"/>
    </row>
    <row r="250" spans="1:10" x14ac:dyDescent="0.25">
      <c r="A250" s="93">
        <v>43082</v>
      </c>
      <c r="B250" s="35">
        <f t="shared" si="16"/>
        <v>108</v>
      </c>
      <c r="C250" s="76">
        <v>12</v>
      </c>
      <c r="D250" s="76">
        <v>2017</v>
      </c>
      <c r="E250" s="56">
        <v>0.93333333333333324</v>
      </c>
      <c r="F250" s="53">
        <f t="shared" si="17"/>
        <v>1</v>
      </c>
      <c r="G250" s="53">
        <f t="shared" si="18"/>
        <v>2</v>
      </c>
      <c r="H250" s="53">
        <f t="shared" si="19"/>
        <v>2</v>
      </c>
      <c r="I250" s="53" t="str">
        <f t="shared" si="20"/>
        <v>ww</v>
      </c>
      <c r="J250" s="53"/>
    </row>
    <row r="251" spans="1:10" x14ac:dyDescent="0.25">
      <c r="A251" s="93">
        <v>43083</v>
      </c>
      <c r="B251" s="35">
        <f t="shared" si="16"/>
        <v>108</v>
      </c>
      <c r="C251" s="76">
        <v>12</v>
      </c>
      <c r="D251" s="76">
        <v>2017</v>
      </c>
      <c r="E251" s="56">
        <v>1.0666666666666667</v>
      </c>
      <c r="F251" s="53">
        <f t="shared" si="17"/>
        <v>1</v>
      </c>
      <c r="G251" s="53">
        <f t="shared" si="18"/>
        <v>2</v>
      </c>
      <c r="H251" s="53">
        <f t="shared" si="19"/>
        <v>2</v>
      </c>
      <c r="I251" s="53" t="str">
        <f t="shared" si="20"/>
        <v>ww</v>
      </c>
      <c r="J251" s="53"/>
    </row>
    <row r="252" spans="1:10" x14ac:dyDescent="0.25">
      <c r="A252" s="93">
        <v>43084</v>
      </c>
      <c r="B252" s="35">
        <f t="shared" si="16"/>
        <v>108</v>
      </c>
      <c r="C252" s="76">
        <v>12</v>
      </c>
      <c r="D252" s="76">
        <v>2017</v>
      </c>
      <c r="E252" s="56">
        <v>4.333333333333333</v>
      </c>
      <c r="F252" s="53">
        <f t="shared" si="17"/>
        <v>1</v>
      </c>
      <c r="G252" s="53">
        <f t="shared" si="18"/>
        <v>2</v>
      </c>
      <c r="H252" s="53">
        <f t="shared" si="19"/>
        <v>2</v>
      </c>
      <c r="I252" s="53" t="str">
        <f t="shared" si="20"/>
        <v>ww</v>
      </c>
      <c r="J252" s="53"/>
    </row>
    <row r="253" spans="1:10" x14ac:dyDescent="0.25">
      <c r="A253" s="93">
        <v>43085</v>
      </c>
      <c r="B253" s="35">
        <f t="shared" si="16"/>
        <v>108</v>
      </c>
      <c r="C253" s="76">
        <v>12</v>
      </c>
      <c r="D253" s="76">
        <v>2017</v>
      </c>
      <c r="E253" s="56">
        <v>2</v>
      </c>
      <c r="F253" s="53">
        <f t="shared" si="17"/>
        <v>1</v>
      </c>
      <c r="G253" s="53">
        <f t="shared" si="18"/>
        <v>2</v>
      </c>
      <c r="H253" s="53">
        <f t="shared" si="19"/>
        <v>2</v>
      </c>
      <c r="I253" s="53" t="str">
        <f t="shared" si="20"/>
        <v>ww</v>
      </c>
      <c r="J253" s="53"/>
    </row>
    <row r="254" spans="1:10" x14ac:dyDescent="0.25">
      <c r="A254" s="93">
        <v>43086</v>
      </c>
      <c r="B254" s="35">
        <f t="shared" si="16"/>
        <v>108</v>
      </c>
      <c r="C254" s="76">
        <v>12</v>
      </c>
      <c r="D254" s="76">
        <v>2017</v>
      </c>
      <c r="E254" s="56">
        <v>6.6666666666666666E-2</v>
      </c>
      <c r="F254" s="53">
        <f t="shared" si="17"/>
        <v>1</v>
      </c>
      <c r="G254" s="53">
        <f t="shared" si="18"/>
        <v>2</v>
      </c>
      <c r="H254" s="53">
        <f t="shared" si="19"/>
        <v>2</v>
      </c>
      <c r="I254" s="53" t="str">
        <f t="shared" si="20"/>
        <v>ww</v>
      </c>
      <c r="J254" s="53"/>
    </row>
    <row r="255" spans="1:10" x14ac:dyDescent="0.25">
      <c r="A255" s="93">
        <v>43087</v>
      </c>
      <c r="B255" s="35">
        <f t="shared" si="16"/>
        <v>108</v>
      </c>
      <c r="C255" s="76">
        <v>12</v>
      </c>
      <c r="D255" s="76">
        <v>2017</v>
      </c>
      <c r="E255" s="56">
        <v>2.6</v>
      </c>
      <c r="F255" s="53">
        <f t="shared" si="17"/>
        <v>1</v>
      </c>
      <c r="G255" s="53">
        <f t="shared" si="18"/>
        <v>2</v>
      </c>
      <c r="H255" s="53">
        <f t="shared" si="19"/>
        <v>2</v>
      </c>
      <c r="I255" s="53" t="str">
        <f t="shared" si="20"/>
        <v>ww</v>
      </c>
      <c r="J255" s="53"/>
    </row>
    <row r="256" spans="1:10" x14ac:dyDescent="0.25">
      <c r="A256" s="93">
        <v>43088</v>
      </c>
      <c r="B256" s="35">
        <f t="shared" si="16"/>
        <v>108</v>
      </c>
      <c r="C256" s="76">
        <v>12</v>
      </c>
      <c r="D256" s="76">
        <v>2017</v>
      </c>
      <c r="E256" s="56">
        <v>0</v>
      </c>
      <c r="F256" s="53">
        <f t="shared" si="17"/>
        <v>0</v>
      </c>
      <c r="G256" s="53">
        <f t="shared" si="18"/>
        <v>1</v>
      </c>
      <c r="H256" s="53">
        <f t="shared" si="19"/>
        <v>1</v>
      </c>
      <c r="I256" s="53" t="str">
        <f t="shared" si="20"/>
        <v>wd</v>
      </c>
      <c r="J256" s="53"/>
    </row>
    <row r="257" spans="1:10" x14ac:dyDescent="0.25">
      <c r="A257" s="93">
        <v>43089</v>
      </c>
      <c r="B257" s="35">
        <f t="shared" si="16"/>
        <v>108</v>
      </c>
      <c r="C257" s="76">
        <v>12</v>
      </c>
      <c r="D257" s="76">
        <v>2017</v>
      </c>
      <c r="E257" s="56">
        <v>0.20000000000000004</v>
      </c>
      <c r="F257" s="53">
        <f t="shared" si="17"/>
        <v>1</v>
      </c>
      <c r="G257" s="53">
        <f t="shared" si="18"/>
        <v>1</v>
      </c>
      <c r="H257" s="53">
        <f t="shared" si="19"/>
        <v>-1</v>
      </c>
      <c r="I257" s="53" t="str">
        <f t="shared" si="20"/>
        <v>dw</v>
      </c>
      <c r="J257" s="53"/>
    </row>
    <row r="258" spans="1:10" x14ac:dyDescent="0.25">
      <c r="A258" s="93">
        <v>43090</v>
      </c>
      <c r="B258" s="35">
        <f t="shared" ref="B258:B321" si="21">C258+(D258-2009)*12</f>
        <v>108</v>
      </c>
      <c r="C258" s="76">
        <v>12</v>
      </c>
      <c r="D258" s="76">
        <v>2017</v>
      </c>
      <c r="E258" s="56">
        <v>6.6666666666666666E-2</v>
      </c>
      <c r="F258" s="53">
        <f t="shared" ref="F258:F321" si="22">IF(E258&gt;0,1,0)</f>
        <v>1</v>
      </c>
      <c r="G258" s="53">
        <f t="shared" ref="G258:G321" si="23">SUM(F257:F258)</f>
        <v>2</v>
      </c>
      <c r="H258" s="53">
        <f t="shared" ref="H258:H321" si="24">IF(G258=1,IF(F257=1,1,-1),G258)</f>
        <v>2</v>
      </c>
      <c r="I258" s="53" t="str">
        <f t="shared" ref="I258:I321" si="25">VLOOKUP(H258,codes,2,)</f>
        <v>ww</v>
      </c>
      <c r="J258" s="53"/>
    </row>
    <row r="259" spans="1:10" x14ac:dyDescent="0.25">
      <c r="A259" s="93">
        <v>43091</v>
      </c>
      <c r="B259" s="35">
        <f t="shared" si="21"/>
        <v>108</v>
      </c>
      <c r="C259" s="76">
        <v>12</v>
      </c>
      <c r="D259" s="76">
        <v>2017</v>
      </c>
      <c r="E259" s="56">
        <v>0</v>
      </c>
      <c r="F259" s="53">
        <f t="shared" si="22"/>
        <v>0</v>
      </c>
      <c r="G259" s="53">
        <f t="shared" si="23"/>
        <v>1</v>
      </c>
      <c r="H259" s="53">
        <f t="shared" si="24"/>
        <v>1</v>
      </c>
      <c r="I259" s="53" t="str">
        <f t="shared" si="25"/>
        <v>wd</v>
      </c>
      <c r="J259" s="53"/>
    </row>
    <row r="260" spans="1:10" x14ac:dyDescent="0.25">
      <c r="A260" s="93">
        <v>43092</v>
      </c>
      <c r="B260" s="35">
        <f t="shared" si="21"/>
        <v>108</v>
      </c>
      <c r="C260" s="76">
        <v>12</v>
      </c>
      <c r="D260" s="76">
        <v>2017</v>
      </c>
      <c r="E260" s="56">
        <v>0</v>
      </c>
      <c r="F260" s="53">
        <f t="shared" si="22"/>
        <v>0</v>
      </c>
      <c r="G260" s="53">
        <f t="shared" si="23"/>
        <v>0</v>
      </c>
      <c r="H260" s="53">
        <f t="shared" si="24"/>
        <v>0</v>
      </c>
      <c r="I260" s="53" t="str">
        <f t="shared" si="25"/>
        <v>dd</v>
      </c>
      <c r="J260" s="53"/>
    </row>
    <row r="261" spans="1:10" x14ac:dyDescent="0.25">
      <c r="A261" s="93">
        <v>43093</v>
      </c>
      <c r="B261" s="35">
        <f t="shared" si="21"/>
        <v>108</v>
      </c>
      <c r="C261" s="76">
        <v>12</v>
      </c>
      <c r="D261" s="76">
        <v>2017</v>
      </c>
      <c r="E261" s="56">
        <v>0</v>
      </c>
      <c r="F261" s="53">
        <f t="shared" si="22"/>
        <v>0</v>
      </c>
      <c r="G261" s="53">
        <f t="shared" si="23"/>
        <v>0</v>
      </c>
      <c r="H261" s="53">
        <f t="shared" si="24"/>
        <v>0</v>
      </c>
      <c r="I261" s="53" t="str">
        <f t="shared" si="25"/>
        <v>dd</v>
      </c>
      <c r="J261" s="53"/>
    </row>
    <row r="262" spans="1:10" x14ac:dyDescent="0.25">
      <c r="A262" s="93">
        <v>43094</v>
      </c>
      <c r="B262" s="35">
        <f t="shared" si="21"/>
        <v>108</v>
      </c>
      <c r="C262" s="76">
        <v>12</v>
      </c>
      <c r="D262" s="76">
        <v>2017</v>
      </c>
      <c r="E262" s="56">
        <v>0.53333333333333333</v>
      </c>
      <c r="F262" s="53">
        <f t="shared" si="22"/>
        <v>1</v>
      </c>
      <c r="G262" s="53">
        <f t="shared" si="23"/>
        <v>1</v>
      </c>
      <c r="H262" s="53">
        <f t="shared" si="24"/>
        <v>-1</v>
      </c>
      <c r="I262" s="53" t="str">
        <f t="shared" si="25"/>
        <v>dw</v>
      </c>
      <c r="J262" s="53"/>
    </row>
    <row r="263" spans="1:10" x14ac:dyDescent="0.25">
      <c r="A263" s="93">
        <v>43095</v>
      </c>
      <c r="B263" s="35">
        <f t="shared" si="21"/>
        <v>108</v>
      </c>
      <c r="C263" s="76">
        <v>12</v>
      </c>
      <c r="D263" s="76">
        <v>2017</v>
      </c>
      <c r="E263" s="56">
        <v>9.5333333333333332</v>
      </c>
      <c r="F263" s="53">
        <f t="shared" si="22"/>
        <v>1</v>
      </c>
      <c r="G263" s="53">
        <f t="shared" si="23"/>
        <v>2</v>
      </c>
      <c r="H263" s="53">
        <f t="shared" si="24"/>
        <v>2</v>
      </c>
      <c r="I263" s="53" t="str">
        <f t="shared" si="25"/>
        <v>ww</v>
      </c>
      <c r="J263" s="53"/>
    </row>
    <row r="264" spans="1:10" x14ac:dyDescent="0.25">
      <c r="A264" s="93">
        <v>43096</v>
      </c>
      <c r="B264" s="35">
        <f t="shared" si="21"/>
        <v>108</v>
      </c>
      <c r="C264" s="76">
        <v>12</v>
      </c>
      <c r="D264" s="76">
        <v>2017</v>
      </c>
      <c r="E264" s="56">
        <v>0.46666666666666662</v>
      </c>
      <c r="F264" s="53">
        <f t="shared" si="22"/>
        <v>1</v>
      </c>
      <c r="G264" s="53">
        <f t="shared" si="23"/>
        <v>2</v>
      </c>
      <c r="H264" s="53">
        <f t="shared" si="24"/>
        <v>2</v>
      </c>
      <c r="I264" s="53" t="str">
        <f t="shared" si="25"/>
        <v>ww</v>
      </c>
      <c r="J264" s="53"/>
    </row>
    <row r="265" spans="1:10" x14ac:dyDescent="0.25">
      <c r="A265" s="93">
        <v>43097</v>
      </c>
      <c r="B265" s="35">
        <f t="shared" si="21"/>
        <v>108</v>
      </c>
      <c r="C265" s="76">
        <v>12</v>
      </c>
      <c r="D265" s="76">
        <v>2017</v>
      </c>
      <c r="E265" s="56">
        <v>0</v>
      </c>
      <c r="F265" s="53">
        <f t="shared" si="22"/>
        <v>0</v>
      </c>
      <c r="G265" s="53">
        <f t="shared" si="23"/>
        <v>1</v>
      </c>
      <c r="H265" s="53">
        <f t="shared" si="24"/>
        <v>1</v>
      </c>
      <c r="I265" s="53" t="str">
        <f t="shared" si="25"/>
        <v>wd</v>
      </c>
      <c r="J265" s="53"/>
    </row>
    <row r="266" spans="1:10" x14ac:dyDescent="0.25">
      <c r="A266" s="93">
        <v>43098</v>
      </c>
      <c r="B266" s="35">
        <f t="shared" si="21"/>
        <v>108</v>
      </c>
      <c r="C266" s="76">
        <v>12</v>
      </c>
      <c r="D266" s="76">
        <v>2017</v>
      </c>
      <c r="E266" s="56">
        <v>0</v>
      </c>
      <c r="F266" s="53">
        <f t="shared" si="22"/>
        <v>0</v>
      </c>
      <c r="G266" s="53">
        <f t="shared" si="23"/>
        <v>0</v>
      </c>
      <c r="H266" s="53">
        <f t="shared" si="24"/>
        <v>0</v>
      </c>
      <c r="I266" s="53" t="str">
        <f t="shared" si="25"/>
        <v>dd</v>
      </c>
      <c r="J266" s="53"/>
    </row>
    <row r="267" spans="1:10" x14ac:dyDescent="0.25">
      <c r="A267" s="93">
        <v>43099</v>
      </c>
      <c r="B267" s="35">
        <f t="shared" si="21"/>
        <v>108</v>
      </c>
      <c r="C267" s="76">
        <v>12</v>
      </c>
      <c r="D267" s="76">
        <v>2017</v>
      </c>
      <c r="E267" s="56">
        <v>4.9333333333333336</v>
      </c>
      <c r="F267" s="53">
        <f t="shared" si="22"/>
        <v>1</v>
      </c>
      <c r="G267" s="53">
        <f t="shared" si="23"/>
        <v>1</v>
      </c>
      <c r="H267" s="53">
        <f t="shared" si="24"/>
        <v>-1</v>
      </c>
      <c r="I267" s="53" t="str">
        <f t="shared" si="25"/>
        <v>dw</v>
      </c>
      <c r="J267" s="53"/>
    </row>
    <row r="268" spans="1:10" x14ac:dyDescent="0.25">
      <c r="A268" s="93">
        <v>43100</v>
      </c>
      <c r="B268" s="35">
        <f t="shared" si="21"/>
        <v>108</v>
      </c>
      <c r="C268" s="76">
        <v>12</v>
      </c>
      <c r="D268" s="76">
        <v>2017</v>
      </c>
      <c r="E268" s="56">
        <v>1.0666666666666667</v>
      </c>
      <c r="F268" s="53">
        <f t="shared" si="22"/>
        <v>1</v>
      </c>
      <c r="G268" s="53">
        <f t="shared" si="23"/>
        <v>2</v>
      </c>
      <c r="H268" s="53">
        <f t="shared" si="24"/>
        <v>2</v>
      </c>
      <c r="I268" s="53" t="str">
        <f t="shared" si="25"/>
        <v>ww</v>
      </c>
      <c r="J268" s="53"/>
    </row>
    <row r="269" spans="1:10" x14ac:dyDescent="0.25">
      <c r="A269" s="93">
        <v>43438</v>
      </c>
      <c r="B269" s="35">
        <f t="shared" si="21"/>
        <v>120</v>
      </c>
      <c r="C269" s="76">
        <v>12</v>
      </c>
      <c r="D269" s="76">
        <v>2018</v>
      </c>
      <c r="E269" s="56">
        <v>0</v>
      </c>
      <c r="F269" s="53">
        <f t="shared" si="22"/>
        <v>0</v>
      </c>
      <c r="G269" s="53">
        <f t="shared" si="23"/>
        <v>1</v>
      </c>
      <c r="H269" s="53">
        <f t="shared" si="24"/>
        <v>1</v>
      </c>
      <c r="I269" s="53" t="str">
        <f t="shared" si="25"/>
        <v>wd</v>
      </c>
      <c r="J269" s="53"/>
    </row>
    <row r="270" spans="1:10" x14ac:dyDescent="0.25">
      <c r="A270" s="93">
        <v>43439</v>
      </c>
      <c r="B270" s="35">
        <f t="shared" si="21"/>
        <v>120</v>
      </c>
      <c r="C270" s="76">
        <v>12</v>
      </c>
      <c r="D270" s="76">
        <v>2018</v>
      </c>
      <c r="E270" s="56">
        <v>0.39999999999999997</v>
      </c>
      <c r="F270" s="53">
        <f t="shared" si="22"/>
        <v>1</v>
      </c>
      <c r="G270" s="53">
        <f t="shared" si="23"/>
        <v>1</v>
      </c>
      <c r="H270" s="53">
        <f t="shared" si="24"/>
        <v>-1</v>
      </c>
      <c r="I270" s="53" t="str">
        <f t="shared" si="25"/>
        <v>dw</v>
      </c>
      <c r="J270" s="53"/>
    </row>
    <row r="271" spans="1:10" x14ac:dyDescent="0.25">
      <c r="A271" s="93">
        <v>43440</v>
      </c>
      <c r="B271" s="35">
        <f t="shared" si="21"/>
        <v>120</v>
      </c>
      <c r="C271" s="76">
        <v>12</v>
      </c>
      <c r="D271" s="76">
        <v>2018</v>
      </c>
      <c r="E271" s="56">
        <v>6.4666666666666659</v>
      </c>
      <c r="F271" s="53">
        <f t="shared" si="22"/>
        <v>1</v>
      </c>
      <c r="G271" s="53">
        <f t="shared" si="23"/>
        <v>2</v>
      </c>
      <c r="H271" s="53">
        <f t="shared" si="24"/>
        <v>2</v>
      </c>
      <c r="I271" s="53" t="str">
        <f t="shared" si="25"/>
        <v>ww</v>
      </c>
      <c r="J271" s="53"/>
    </row>
    <row r="272" spans="1:10" x14ac:dyDescent="0.25">
      <c r="A272" s="93">
        <v>43441</v>
      </c>
      <c r="B272" s="35">
        <f t="shared" si="21"/>
        <v>120</v>
      </c>
      <c r="C272" s="76">
        <v>12</v>
      </c>
      <c r="D272" s="76">
        <v>2018</v>
      </c>
      <c r="E272" s="56">
        <v>2.3333333333333335</v>
      </c>
      <c r="F272" s="53">
        <f t="shared" si="22"/>
        <v>1</v>
      </c>
      <c r="G272" s="53">
        <f t="shared" si="23"/>
        <v>2</v>
      </c>
      <c r="H272" s="53">
        <f t="shared" si="24"/>
        <v>2</v>
      </c>
      <c r="I272" s="53" t="str">
        <f t="shared" si="25"/>
        <v>ww</v>
      </c>
      <c r="J272" s="53"/>
    </row>
    <row r="273" spans="1:10" x14ac:dyDescent="0.25">
      <c r="A273" s="93">
        <v>43442</v>
      </c>
      <c r="B273" s="35">
        <f t="shared" si="21"/>
        <v>120</v>
      </c>
      <c r="C273" s="76">
        <v>12</v>
      </c>
      <c r="D273" s="76">
        <v>2018</v>
      </c>
      <c r="E273" s="56">
        <v>0</v>
      </c>
      <c r="F273" s="53">
        <f t="shared" si="22"/>
        <v>0</v>
      </c>
      <c r="G273" s="53">
        <f t="shared" si="23"/>
        <v>1</v>
      </c>
      <c r="H273" s="53">
        <f t="shared" si="24"/>
        <v>1</v>
      </c>
      <c r="I273" s="53" t="str">
        <f t="shared" si="25"/>
        <v>wd</v>
      </c>
      <c r="J273" s="53"/>
    </row>
    <row r="274" spans="1:10" x14ac:dyDescent="0.25">
      <c r="A274" s="93">
        <v>43443</v>
      </c>
      <c r="B274" s="35">
        <f t="shared" si="21"/>
        <v>120</v>
      </c>
      <c r="C274" s="76">
        <v>12</v>
      </c>
      <c r="D274" s="76">
        <v>2018</v>
      </c>
      <c r="E274" s="56">
        <v>1.0666666666666667</v>
      </c>
      <c r="F274" s="53">
        <f t="shared" si="22"/>
        <v>1</v>
      </c>
      <c r="G274" s="53">
        <f t="shared" si="23"/>
        <v>1</v>
      </c>
      <c r="H274" s="53">
        <f t="shared" si="24"/>
        <v>-1</v>
      </c>
      <c r="I274" s="53" t="str">
        <f t="shared" si="25"/>
        <v>dw</v>
      </c>
      <c r="J274" s="53"/>
    </row>
    <row r="275" spans="1:10" x14ac:dyDescent="0.25">
      <c r="A275" s="93">
        <v>43444</v>
      </c>
      <c r="B275" s="35">
        <f t="shared" si="21"/>
        <v>120</v>
      </c>
      <c r="C275" s="76">
        <v>12</v>
      </c>
      <c r="D275" s="76">
        <v>2018</v>
      </c>
      <c r="E275" s="56">
        <v>6.6666666666666666E-2</v>
      </c>
      <c r="F275" s="53">
        <f t="shared" si="22"/>
        <v>1</v>
      </c>
      <c r="G275" s="53">
        <f t="shared" si="23"/>
        <v>2</v>
      </c>
      <c r="H275" s="53">
        <f t="shared" si="24"/>
        <v>2</v>
      </c>
      <c r="I275" s="53" t="str">
        <f t="shared" si="25"/>
        <v>ww</v>
      </c>
      <c r="J275" s="53"/>
    </row>
    <row r="276" spans="1:10" x14ac:dyDescent="0.25">
      <c r="A276" s="93">
        <v>43445</v>
      </c>
      <c r="B276" s="35">
        <f t="shared" si="21"/>
        <v>120</v>
      </c>
      <c r="C276" s="76">
        <v>12</v>
      </c>
      <c r="D276" s="76">
        <v>2018</v>
      </c>
      <c r="E276" s="56">
        <v>0</v>
      </c>
      <c r="F276" s="53">
        <f t="shared" si="22"/>
        <v>0</v>
      </c>
      <c r="G276" s="53">
        <f t="shared" si="23"/>
        <v>1</v>
      </c>
      <c r="H276" s="53">
        <f t="shared" si="24"/>
        <v>1</v>
      </c>
      <c r="I276" s="53" t="str">
        <f t="shared" si="25"/>
        <v>wd</v>
      </c>
      <c r="J276" s="53"/>
    </row>
    <row r="277" spans="1:10" x14ac:dyDescent="0.25">
      <c r="A277" s="93">
        <v>43446</v>
      </c>
      <c r="B277" s="35">
        <f t="shared" si="21"/>
        <v>120</v>
      </c>
      <c r="C277" s="76">
        <v>12</v>
      </c>
      <c r="D277" s="76">
        <v>2018</v>
      </c>
      <c r="E277" s="56">
        <v>0</v>
      </c>
      <c r="F277" s="53">
        <f t="shared" si="22"/>
        <v>0</v>
      </c>
      <c r="G277" s="53">
        <f t="shared" si="23"/>
        <v>0</v>
      </c>
      <c r="H277" s="53">
        <f t="shared" si="24"/>
        <v>0</v>
      </c>
      <c r="I277" s="53" t="str">
        <f t="shared" si="25"/>
        <v>dd</v>
      </c>
      <c r="J277" s="53"/>
    </row>
    <row r="278" spans="1:10" x14ac:dyDescent="0.25">
      <c r="A278" s="93">
        <v>43447</v>
      </c>
      <c r="B278" s="35">
        <f t="shared" si="21"/>
        <v>120</v>
      </c>
      <c r="C278" s="76">
        <v>12</v>
      </c>
      <c r="D278" s="76">
        <v>2018</v>
      </c>
      <c r="E278" s="56">
        <v>6.6666666666666666E-2</v>
      </c>
      <c r="F278" s="53">
        <f t="shared" si="22"/>
        <v>1</v>
      </c>
      <c r="G278" s="53">
        <f t="shared" si="23"/>
        <v>1</v>
      </c>
      <c r="H278" s="53">
        <f t="shared" si="24"/>
        <v>-1</v>
      </c>
      <c r="I278" s="53" t="str">
        <f t="shared" si="25"/>
        <v>dw</v>
      </c>
      <c r="J278" s="53"/>
    </row>
    <row r="279" spans="1:10" x14ac:dyDescent="0.25">
      <c r="A279" s="93">
        <v>43448</v>
      </c>
      <c r="B279" s="35">
        <f t="shared" si="21"/>
        <v>120</v>
      </c>
      <c r="C279" s="76">
        <v>12</v>
      </c>
      <c r="D279" s="76">
        <v>2018</v>
      </c>
      <c r="E279" s="56">
        <v>0</v>
      </c>
      <c r="F279" s="53">
        <f t="shared" si="22"/>
        <v>0</v>
      </c>
      <c r="G279" s="53">
        <f t="shared" si="23"/>
        <v>1</v>
      </c>
      <c r="H279" s="53">
        <f t="shared" si="24"/>
        <v>1</v>
      </c>
      <c r="I279" s="53" t="str">
        <f t="shared" si="25"/>
        <v>wd</v>
      </c>
      <c r="J279" s="53"/>
    </row>
    <row r="280" spans="1:10" x14ac:dyDescent="0.25">
      <c r="A280" s="93">
        <v>43449</v>
      </c>
      <c r="B280" s="35">
        <f t="shared" si="21"/>
        <v>120</v>
      </c>
      <c r="C280" s="76">
        <v>12</v>
      </c>
      <c r="D280" s="76">
        <v>2018</v>
      </c>
      <c r="E280" s="56">
        <v>0</v>
      </c>
      <c r="F280" s="53">
        <f t="shared" si="22"/>
        <v>0</v>
      </c>
      <c r="G280" s="53">
        <f t="shared" si="23"/>
        <v>0</v>
      </c>
      <c r="H280" s="53">
        <f t="shared" si="24"/>
        <v>0</v>
      </c>
      <c r="I280" s="53" t="str">
        <f t="shared" si="25"/>
        <v>dd</v>
      </c>
      <c r="J280" s="53"/>
    </row>
    <row r="281" spans="1:10" x14ac:dyDescent="0.25">
      <c r="A281" s="93">
        <v>43450</v>
      </c>
      <c r="B281" s="35">
        <f t="shared" si="21"/>
        <v>120</v>
      </c>
      <c r="C281" s="76">
        <v>12</v>
      </c>
      <c r="D281" s="76">
        <v>2018</v>
      </c>
      <c r="E281" s="56">
        <v>6.666666666666667</v>
      </c>
      <c r="F281" s="53">
        <f t="shared" si="22"/>
        <v>1</v>
      </c>
      <c r="G281" s="53">
        <f t="shared" si="23"/>
        <v>1</v>
      </c>
      <c r="H281" s="53">
        <f t="shared" si="24"/>
        <v>-1</v>
      </c>
      <c r="I281" s="53" t="str">
        <f t="shared" si="25"/>
        <v>dw</v>
      </c>
      <c r="J281" s="53"/>
    </row>
    <row r="282" spans="1:10" x14ac:dyDescent="0.25">
      <c r="A282" s="93">
        <v>43451</v>
      </c>
      <c r="B282" s="35">
        <f t="shared" si="21"/>
        <v>120</v>
      </c>
      <c r="C282" s="76">
        <v>12</v>
      </c>
      <c r="D282" s="76">
        <v>2018</v>
      </c>
      <c r="E282" s="56">
        <v>2.6666666666666665</v>
      </c>
      <c r="F282" s="53">
        <f t="shared" si="22"/>
        <v>1</v>
      </c>
      <c r="G282" s="53">
        <f t="shared" si="23"/>
        <v>2</v>
      </c>
      <c r="H282" s="53">
        <f t="shared" si="24"/>
        <v>2</v>
      </c>
      <c r="I282" s="53" t="str">
        <f t="shared" si="25"/>
        <v>ww</v>
      </c>
      <c r="J282" s="53"/>
    </row>
    <row r="283" spans="1:10" x14ac:dyDescent="0.25">
      <c r="A283" s="93">
        <v>43452</v>
      </c>
      <c r="B283" s="35">
        <f t="shared" si="21"/>
        <v>120</v>
      </c>
      <c r="C283" s="76">
        <v>12</v>
      </c>
      <c r="D283" s="76">
        <v>2018</v>
      </c>
      <c r="E283" s="56">
        <v>0</v>
      </c>
      <c r="F283" s="53">
        <f t="shared" si="22"/>
        <v>0</v>
      </c>
      <c r="G283" s="53">
        <f t="shared" si="23"/>
        <v>1</v>
      </c>
      <c r="H283" s="53">
        <f t="shared" si="24"/>
        <v>1</v>
      </c>
      <c r="I283" s="53" t="str">
        <f t="shared" si="25"/>
        <v>wd</v>
      </c>
      <c r="J283" s="53"/>
    </row>
    <row r="284" spans="1:10" x14ac:dyDescent="0.25">
      <c r="A284" s="93">
        <v>43453</v>
      </c>
      <c r="B284" s="35">
        <f t="shared" si="21"/>
        <v>120</v>
      </c>
      <c r="C284" s="76">
        <v>12</v>
      </c>
      <c r="D284" s="76">
        <v>2018</v>
      </c>
      <c r="E284" s="56">
        <v>1.9333333333333333</v>
      </c>
      <c r="F284" s="53">
        <f t="shared" si="22"/>
        <v>1</v>
      </c>
      <c r="G284" s="53">
        <f t="shared" si="23"/>
        <v>1</v>
      </c>
      <c r="H284" s="53">
        <f t="shared" si="24"/>
        <v>-1</v>
      </c>
      <c r="I284" s="53" t="str">
        <f t="shared" si="25"/>
        <v>dw</v>
      </c>
      <c r="J284" s="53"/>
    </row>
    <row r="285" spans="1:10" x14ac:dyDescent="0.25">
      <c r="A285" s="93">
        <v>43454</v>
      </c>
      <c r="B285" s="35">
        <f t="shared" si="21"/>
        <v>120</v>
      </c>
      <c r="C285" s="76">
        <v>12</v>
      </c>
      <c r="D285" s="76">
        <v>2018</v>
      </c>
      <c r="E285" s="56">
        <v>6.6666666666666666E-2</v>
      </c>
      <c r="F285" s="53">
        <f t="shared" si="22"/>
        <v>1</v>
      </c>
      <c r="G285" s="53">
        <f t="shared" si="23"/>
        <v>2</v>
      </c>
      <c r="H285" s="53">
        <f t="shared" si="24"/>
        <v>2</v>
      </c>
      <c r="I285" s="53" t="str">
        <f t="shared" si="25"/>
        <v>ww</v>
      </c>
      <c r="J285" s="53"/>
    </row>
    <row r="286" spans="1:10" x14ac:dyDescent="0.25">
      <c r="A286" s="93">
        <v>43455</v>
      </c>
      <c r="B286" s="35">
        <f t="shared" si="21"/>
        <v>120</v>
      </c>
      <c r="C286" s="76">
        <v>12</v>
      </c>
      <c r="D286" s="76">
        <v>2018</v>
      </c>
      <c r="E286" s="56">
        <v>0.46666666666666662</v>
      </c>
      <c r="F286" s="53">
        <f t="shared" si="22"/>
        <v>1</v>
      </c>
      <c r="G286" s="53">
        <f t="shared" si="23"/>
        <v>2</v>
      </c>
      <c r="H286" s="53">
        <f t="shared" si="24"/>
        <v>2</v>
      </c>
      <c r="I286" s="53" t="str">
        <f t="shared" si="25"/>
        <v>ww</v>
      </c>
      <c r="J286" s="53"/>
    </row>
    <row r="287" spans="1:10" x14ac:dyDescent="0.25">
      <c r="A287" s="93">
        <v>43456</v>
      </c>
      <c r="B287" s="35">
        <f t="shared" si="21"/>
        <v>120</v>
      </c>
      <c r="C287" s="76">
        <v>12</v>
      </c>
      <c r="D287" s="76">
        <v>2018</v>
      </c>
      <c r="E287" s="56">
        <v>5.0666666666666664</v>
      </c>
      <c r="F287" s="53">
        <f t="shared" si="22"/>
        <v>1</v>
      </c>
      <c r="G287" s="53">
        <f t="shared" si="23"/>
        <v>2</v>
      </c>
      <c r="H287" s="53">
        <f t="shared" si="24"/>
        <v>2</v>
      </c>
      <c r="I287" s="53" t="str">
        <f t="shared" si="25"/>
        <v>ww</v>
      </c>
      <c r="J287" s="53"/>
    </row>
    <row r="288" spans="1:10" x14ac:dyDescent="0.25">
      <c r="A288" s="93">
        <v>43457</v>
      </c>
      <c r="B288" s="35">
        <f t="shared" si="21"/>
        <v>120</v>
      </c>
      <c r="C288" s="76">
        <v>12</v>
      </c>
      <c r="D288" s="76">
        <v>2018</v>
      </c>
      <c r="E288" s="56">
        <v>0</v>
      </c>
      <c r="F288" s="53">
        <f t="shared" si="22"/>
        <v>0</v>
      </c>
      <c r="G288" s="53">
        <f t="shared" si="23"/>
        <v>1</v>
      </c>
      <c r="H288" s="53">
        <f t="shared" si="24"/>
        <v>1</v>
      </c>
      <c r="I288" s="53" t="str">
        <f t="shared" si="25"/>
        <v>wd</v>
      </c>
      <c r="J288" s="53"/>
    </row>
    <row r="289" spans="1:10" x14ac:dyDescent="0.25">
      <c r="A289" s="93">
        <v>43458</v>
      </c>
      <c r="B289" s="35">
        <f t="shared" si="21"/>
        <v>120</v>
      </c>
      <c r="C289" s="76">
        <v>12</v>
      </c>
      <c r="D289" s="76">
        <v>2018</v>
      </c>
      <c r="E289" s="56">
        <v>0</v>
      </c>
      <c r="F289" s="53">
        <f t="shared" si="22"/>
        <v>0</v>
      </c>
      <c r="G289" s="53">
        <f t="shared" si="23"/>
        <v>0</v>
      </c>
      <c r="H289" s="53">
        <f t="shared" si="24"/>
        <v>0</v>
      </c>
      <c r="I289" s="53" t="str">
        <f t="shared" si="25"/>
        <v>dd</v>
      </c>
      <c r="J289" s="53"/>
    </row>
    <row r="290" spans="1:10" x14ac:dyDescent="0.25">
      <c r="A290" s="93">
        <v>43459</v>
      </c>
      <c r="B290" s="35">
        <f t="shared" si="21"/>
        <v>120</v>
      </c>
      <c r="C290" s="76">
        <v>12</v>
      </c>
      <c r="D290" s="76">
        <v>2018</v>
      </c>
      <c r="E290" s="56">
        <v>0</v>
      </c>
      <c r="F290" s="53">
        <f t="shared" si="22"/>
        <v>0</v>
      </c>
      <c r="G290" s="53">
        <f t="shared" si="23"/>
        <v>0</v>
      </c>
      <c r="H290" s="53">
        <f t="shared" si="24"/>
        <v>0</v>
      </c>
      <c r="I290" s="53" t="str">
        <f t="shared" si="25"/>
        <v>dd</v>
      </c>
      <c r="J290" s="53"/>
    </row>
    <row r="291" spans="1:10" x14ac:dyDescent="0.25">
      <c r="A291" s="93">
        <v>43460</v>
      </c>
      <c r="B291" s="35">
        <f t="shared" si="21"/>
        <v>120</v>
      </c>
      <c r="C291" s="76">
        <v>12</v>
      </c>
      <c r="D291" s="76">
        <v>2018</v>
      </c>
      <c r="E291" s="56">
        <v>6.6666666666666666E-2</v>
      </c>
      <c r="F291" s="53">
        <f t="shared" si="22"/>
        <v>1</v>
      </c>
      <c r="G291" s="53">
        <f t="shared" si="23"/>
        <v>1</v>
      </c>
      <c r="H291" s="53">
        <f t="shared" si="24"/>
        <v>-1</v>
      </c>
      <c r="I291" s="53" t="str">
        <f t="shared" si="25"/>
        <v>dw</v>
      </c>
      <c r="J291" s="53"/>
    </row>
    <row r="292" spans="1:10" x14ac:dyDescent="0.25">
      <c r="A292" s="93">
        <v>43461</v>
      </c>
      <c r="B292" s="35">
        <f t="shared" si="21"/>
        <v>120</v>
      </c>
      <c r="C292" s="76">
        <v>12</v>
      </c>
      <c r="D292" s="76">
        <v>2018</v>
      </c>
      <c r="E292" s="56">
        <v>0</v>
      </c>
      <c r="F292" s="53">
        <f t="shared" si="22"/>
        <v>0</v>
      </c>
      <c r="G292" s="53">
        <f t="shared" si="23"/>
        <v>1</v>
      </c>
      <c r="H292" s="53">
        <f t="shared" si="24"/>
        <v>1</v>
      </c>
      <c r="I292" s="53" t="str">
        <f t="shared" si="25"/>
        <v>wd</v>
      </c>
      <c r="J292" s="53"/>
    </row>
    <row r="293" spans="1:10" x14ac:dyDescent="0.25">
      <c r="A293" s="93">
        <v>43462</v>
      </c>
      <c r="B293" s="35">
        <f t="shared" si="21"/>
        <v>120</v>
      </c>
      <c r="C293" s="76">
        <v>12</v>
      </c>
      <c r="D293" s="76">
        <v>2018</v>
      </c>
      <c r="E293" s="56">
        <v>6.6666666666666666E-2</v>
      </c>
      <c r="F293" s="53">
        <f t="shared" si="22"/>
        <v>1</v>
      </c>
      <c r="G293" s="53">
        <f t="shared" si="23"/>
        <v>1</v>
      </c>
      <c r="H293" s="53">
        <f t="shared" si="24"/>
        <v>-1</v>
      </c>
      <c r="I293" s="53" t="str">
        <f t="shared" si="25"/>
        <v>dw</v>
      </c>
      <c r="J293" s="53"/>
    </row>
    <row r="294" spans="1:10" x14ac:dyDescent="0.25">
      <c r="A294" s="93">
        <v>43463</v>
      </c>
      <c r="B294" s="35">
        <f t="shared" si="21"/>
        <v>120</v>
      </c>
      <c r="C294" s="76">
        <v>12</v>
      </c>
      <c r="D294" s="76">
        <v>2018</v>
      </c>
      <c r="E294" s="56">
        <v>6.6666666666666666E-2</v>
      </c>
      <c r="F294" s="53">
        <f t="shared" si="22"/>
        <v>1</v>
      </c>
      <c r="G294" s="53">
        <f t="shared" si="23"/>
        <v>2</v>
      </c>
      <c r="H294" s="53">
        <f t="shared" si="24"/>
        <v>2</v>
      </c>
      <c r="I294" s="53" t="str">
        <f t="shared" si="25"/>
        <v>ww</v>
      </c>
      <c r="J294" s="53"/>
    </row>
    <row r="295" spans="1:10" x14ac:dyDescent="0.25">
      <c r="A295" s="93">
        <v>43464</v>
      </c>
      <c r="B295" s="35">
        <f t="shared" si="21"/>
        <v>120</v>
      </c>
      <c r="C295" s="76">
        <v>12</v>
      </c>
      <c r="D295" s="76">
        <v>2018</v>
      </c>
      <c r="E295" s="56">
        <v>0.46666666666666662</v>
      </c>
      <c r="F295" s="53">
        <f t="shared" si="22"/>
        <v>1</v>
      </c>
      <c r="G295" s="53">
        <f t="shared" si="23"/>
        <v>2</v>
      </c>
      <c r="H295" s="53">
        <f t="shared" si="24"/>
        <v>2</v>
      </c>
      <c r="I295" s="53" t="str">
        <f t="shared" si="25"/>
        <v>ww</v>
      </c>
      <c r="J295" s="53"/>
    </row>
    <row r="296" spans="1:10" x14ac:dyDescent="0.25">
      <c r="A296" s="93">
        <v>43465</v>
      </c>
      <c r="B296" s="35">
        <f t="shared" si="21"/>
        <v>120</v>
      </c>
      <c r="C296" s="76">
        <v>12</v>
      </c>
      <c r="D296" s="76">
        <v>2018</v>
      </c>
      <c r="E296" s="56">
        <v>0</v>
      </c>
      <c r="F296" s="53">
        <f t="shared" si="22"/>
        <v>0</v>
      </c>
      <c r="G296" s="53">
        <f t="shared" si="23"/>
        <v>1</v>
      </c>
      <c r="H296" s="53">
        <f t="shared" si="24"/>
        <v>1</v>
      </c>
      <c r="I296" s="53" t="str">
        <f t="shared" si="25"/>
        <v>wd</v>
      </c>
      <c r="J296" s="53"/>
    </row>
    <row r="297" spans="1:10" x14ac:dyDescent="0.25">
      <c r="A297" s="93">
        <v>43800</v>
      </c>
      <c r="B297" s="35">
        <f t="shared" si="21"/>
        <v>132</v>
      </c>
      <c r="C297" s="76">
        <v>12</v>
      </c>
      <c r="D297" s="76">
        <v>2019</v>
      </c>
      <c r="E297" s="56">
        <v>0.93333333333333324</v>
      </c>
      <c r="F297" s="53">
        <f t="shared" si="22"/>
        <v>1</v>
      </c>
      <c r="G297" s="53">
        <f t="shared" si="23"/>
        <v>1</v>
      </c>
      <c r="H297" s="53">
        <f t="shared" si="24"/>
        <v>-1</v>
      </c>
      <c r="I297" s="53" t="str">
        <f t="shared" si="25"/>
        <v>dw</v>
      </c>
      <c r="J297" s="53"/>
    </row>
    <row r="298" spans="1:10" x14ac:dyDescent="0.25">
      <c r="A298" s="93">
        <v>43801</v>
      </c>
      <c r="B298" s="35">
        <f t="shared" si="21"/>
        <v>132</v>
      </c>
      <c r="C298" s="76">
        <v>12</v>
      </c>
      <c r="D298" s="76">
        <v>2019</v>
      </c>
      <c r="E298" s="56">
        <v>0</v>
      </c>
      <c r="F298" s="53">
        <f t="shared" si="22"/>
        <v>0</v>
      </c>
      <c r="G298" s="53">
        <f t="shared" si="23"/>
        <v>1</v>
      </c>
      <c r="H298" s="53">
        <f t="shared" si="24"/>
        <v>1</v>
      </c>
      <c r="I298" s="53" t="str">
        <f t="shared" si="25"/>
        <v>wd</v>
      </c>
      <c r="J298" s="53"/>
    </row>
    <row r="299" spans="1:10" x14ac:dyDescent="0.25">
      <c r="A299" s="93">
        <v>43802</v>
      </c>
      <c r="B299" s="35">
        <f t="shared" si="21"/>
        <v>132</v>
      </c>
      <c r="C299" s="76">
        <v>12</v>
      </c>
      <c r="D299" s="76">
        <v>2019</v>
      </c>
      <c r="E299" s="56">
        <v>0.20000000000000004</v>
      </c>
      <c r="F299" s="53">
        <f t="shared" si="22"/>
        <v>1</v>
      </c>
      <c r="G299" s="53">
        <f t="shared" si="23"/>
        <v>1</v>
      </c>
      <c r="H299" s="53">
        <f t="shared" si="24"/>
        <v>-1</v>
      </c>
      <c r="I299" s="53" t="str">
        <f t="shared" si="25"/>
        <v>dw</v>
      </c>
      <c r="J299" s="53"/>
    </row>
    <row r="300" spans="1:10" x14ac:dyDescent="0.25">
      <c r="A300" s="93">
        <v>43803</v>
      </c>
      <c r="B300" s="35">
        <f t="shared" si="21"/>
        <v>132</v>
      </c>
      <c r="C300" s="76">
        <v>12</v>
      </c>
      <c r="D300" s="76">
        <v>2019</v>
      </c>
      <c r="E300" s="56">
        <v>6.6666666666666666E-2</v>
      </c>
      <c r="F300" s="53">
        <f t="shared" si="22"/>
        <v>1</v>
      </c>
      <c r="G300" s="53">
        <f t="shared" si="23"/>
        <v>2</v>
      </c>
      <c r="H300" s="53">
        <f t="shared" si="24"/>
        <v>2</v>
      </c>
      <c r="I300" s="53" t="str">
        <f t="shared" si="25"/>
        <v>ww</v>
      </c>
      <c r="J300" s="53"/>
    </row>
    <row r="301" spans="1:10" x14ac:dyDescent="0.25">
      <c r="A301" s="93">
        <v>43804</v>
      </c>
      <c r="B301" s="35">
        <f t="shared" si="21"/>
        <v>132</v>
      </c>
      <c r="C301" s="76">
        <v>12</v>
      </c>
      <c r="D301" s="76">
        <v>2019</v>
      </c>
      <c r="E301" s="56">
        <v>0</v>
      </c>
      <c r="F301" s="53">
        <f t="shared" si="22"/>
        <v>0</v>
      </c>
      <c r="G301" s="53">
        <f t="shared" si="23"/>
        <v>1</v>
      </c>
      <c r="H301" s="53">
        <f t="shared" si="24"/>
        <v>1</v>
      </c>
      <c r="I301" s="53" t="str">
        <f t="shared" si="25"/>
        <v>wd</v>
      </c>
      <c r="J301" s="53"/>
    </row>
    <row r="302" spans="1:10" x14ac:dyDescent="0.25">
      <c r="A302" s="93">
        <v>43805</v>
      </c>
      <c r="B302" s="35">
        <f t="shared" si="21"/>
        <v>132</v>
      </c>
      <c r="C302" s="76">
        <v>12</v>
      </c>
      <c r="D302" s="76">
        <v>2019</v>
      </c>
      <c r="E302" s="56">
        <v>0.33333333333333331</v>
      </c>
      <c r="F302" s="53">
        <f t="shared" si="22"/>
        <v>1</v>
      </c>
      <c r="G302" s="53">
        <f t="shared" si="23"/>
        <v>1</v>
      </c>
      <c r="H302" s="53">
        <f t="shared" si="24"/>
        <v>-1</v>
      </c>
      <c r="I302" s="53" t="str">
        <f t="shared" si="25"/>
        <v>dw</v>
      </c>
      <c r="J302" s="53"/>
    </row>
    <row r="303" spans="1:10" x14ac:dyDescent="0.25">
      <c r="A303" s="93">
        <v>43806</v>
      </c>
      <c r="B303" s="35">
        <f t="shared" si="21"/>
        <v>132</v>
      </c>
      <c r="C303" s="76">
        <v>12</v>
      </c>
      <c r="D303" s="76">
        <v>2019</v>
      </c>
      <c r="E303" s="56">
        <v>0.53333333333333333</v>
      </c>
      <c r="F303" s="53">
        <f t="shared" si="22"/>
        <v>1</v>
      </c>
      <c r="G303" s="53">
        <f t="shared" si="23"/>
        <v>2</v>
      </c>
      <c r="H303" s="53">
        <f t="shared" si="24"/>
        <v>2</v>
      </c>
      <c r="I303" s="53" t="str">
        <f t="shared" si="25"/>
        <v>ww</v>
      </c>
      <c r="J303" s="53"/>
    </row>
    <row r="304" spans="1:10" x14ac:dyDescent="0.25">
      <c r="A304" s="93">
        <v>43807</v>
      </c>
      <c r="B304" s="35">
        <f t="shared" si="21"/>
        <v>132</v>
      </c>
      <c r="C304" s="76">
        <v>12</v>
      </c>
      <c r="D304" s="76">
        <v>2019</v>
      </c>
      <c r="E304" s="56">
        <v>0.20000000000000004</v>
      </c>
      <c r="F304" s="53">
        <f t="shared" si="22"/>
        <v>1</v>
      </c>
      <c r="G304" s="53">
        <f t="shared" si="23"/>
        <v>2</v>
      </c>
      <c r="H304" s="53">
        <f t="shared" si="24"/>
        <v>2</v>
      </c>
      <c r="I304" s="53" t="str">
        <f t="shared" si="25"/>
        <v>ww</v>
      </c>
      <c r="J304" s="53"/>
    </row>
    <row r="305" spans="1:10" x14ac:dyDescent="0.25">
      <c r="A305" s="93">
        <v>43808</v>
      </c>
      <c r="B305" s="35">
        <f t="shared" si="21"/>
        <v>132</v>
      </c>
      <c r="C305" s="76">
        <v>12</v>
      </c>
      <c r="D305" s="76">
        <v>2019</v>
      </c>
      <c r="E305" s="56">
        <v>0.46666666666666662</v>
      </c>
      <c r="F305" s="53">
        <f t="shared" si="22"/>
        <v>1</v>
      </c>
      <c r="G305" s="53">
        <f t="shared" si="23"/>
        <v>2</v>
      </c>
      <c r="H305" s="53">
        <f t="shared" si="24"/>
        <v>2</v>
      </c>
      <c r="I305" s="53" t="str">
        <f t="shared" si="25"/>
        <v>ww</v>
      </c>
      <c r="J305" s="53"/>
    </row>
    <row r="306" spans="1:10" x14ac:dyDescent="0.25">
      <c r="A306" s="93">
        <v>43809</v>
      </c>
      <c r="B306" s="35">
        <f t="shared" si="21"/>
        <v>132</v>
      </c>
      <c r="C306" s="76">
        <v>12</v>
      </c>
      <c r="D306" s="76">
        <v>2019</v>
      </c>
      <c r="E306" s="56">
        <v>1.8</v>
      </c>
      <c r="F306" s="53">
        <f t="shared" si="22"/>
        <v>1</v>
      </c>
      <c r="G306" s="53">
        <f t="shared" si="23"/>
        <v>2</v>
      </c>
      <c r="H306" s="53">
        <f t="shared" si="24"/>
        <v>2</v>
      </c>
      <c r="I306" s="53" t="str">
        <f t="shared" si="25"/>
        <v>ww</v>
      </c>
      <c r="J306" s="53"/>
    </row>
    <row r="307" spans="1:10" x14ac:dyDescent="0.25">
      <c r="A307" s="93">
        <v>43810</v>
      </c>
      <c r="B307" s="35">
        <f t="shared" si="21"/>
        <v>132</v>
      </c>
      <c r="C307" s="76">
        <v>12</v>
      </c>
      <c r="D307" s="76">
        <v>2019</v>
      </c>
      <c r="E307" s="56">
        <v>1.8666666666666665</v>
      </c>
      <c r="F307" s="53">
        <f t="shared" si="22"/>
        <v>1</v>
      </c>
      <c r="G307" s="53">
        <f t="shared" si="23"/>
        <v>2</v>
      </c>
      <c r="H307" s="53">
        <f t="shared" si="24"/>
        <v>2</v>
      </c>
      <c r="I307" s="53" t="str">
        <f t="shared" si="25"/>
        <v>ww</v>
      </c>
      <c r="J307" s="53"/>
    </row>
    <row r="308" spans="1:10" x14ac:dyDescent="0.25">
      <c r="A308" s="93">
        <v>43811</v>
      </c>
      <c r="B308" s="35">
        <f t="shared" si="21"/>
        <v>132</v>
      </c>
      <c r="C308" s="76">
        <v>12</v>
      </c>
      <c r="D308" s="76">
        <v>2019</v>
      </c>
      <c r="E308" s="56">
        <v>1</v>
      </c>
      <c r="F308" s="53">
        <f t="shared" si="22"/>
        <v>1</v>
      </c>
      <c r="G308" s="53">
        <f t="shared" si="23"/>
        <v>2</v>
      </c>
      <c r="H308" s="53">
        <f t="shared" si="24"/>
        <v>2</v>
      </c>
      <c r="I308" s="53" t="str">
        <f t="shared" si="25"/>
        <v>ww</v>
      </c>
      <c r="J308" s="53"/>
    </row>
    <row r="309" spans="1:10" x14ac:dyDescent="0.25">
      <c r="A309" s="93">
        <v>43812</v>
      </c>
      <c r="B309" s="35">
        <f t="shared" si="21"/>
        <v>132</v>
      </c>
      <c r="C309" s="76">
        <v>12</v>
      </c>
      <c r="D309" s="76">
        <v>2019</v>
      </c>
      <c r="E309" s="56">
        <v>3.5333333333333332</v>
      </c>
      <c r="F309" s="53">
        <f t="shared" si="22"/>
        <v>1</v>
      </c>
      <c r="G309" s="53">
        <f t="shared" si="23"/>
        <v>2</v>
      </c>
      <c r="H309" s="53">
        <f t="shared" si="24"/>
        <v>2</v>
      </c>
      <c r="I309" s="53" t="str">
        <f t="shared" si="25"/>
        <v>ww</v>
      </c>
      <c r="J309" s="53"/>
    </row>
    <row r="310" spans="1:10" x14ac:dyDescent="0.25">
      <c r="A310" s="93">
        <v>43813</v>
      </c>
      <c r="B310" s="35">
        <f t="shared" si="21"/>
        <v>132</v>
      </c>
      <c r="C310" s="76">
        <v>12</v>
      </c>
      <c r="D310" s="76">
        <v>2019</v>
      </c>
      <c r="E310" s="56">
        <v>1.8666666666666665</v>
      </c>
      <c r="F310" s="53">
        <f t="shared" si="22"/>
        <v>1</v>
      </c>
      <c r="G310" s="53">
        <f t="shared" si="23"/>
        <v>2</v>
      </c>
      <c r="H310" s="53">
        <f t="shared" si="24"/>
        <v>2</v>
      </c>
      <c r="I310" s="53" t="str">
        <f t="shared" si="25"/>
        <v>ww</v>
      </c>
      <c r="J310" s="53"/>
    </row>
    <row r="311" spans="1:10" x14ac:dyDescent="0.25">
      <c r="A311" s="93">
        <v>43814</v>
      </c>
      <c r="B311" s="35">
        <f t="shared" si="21"/>
        <v>132</v>
      </c>
      <c r="C311" s="76">
        <v>12</v>
      </c>
      <c r="D311" s="76">
        <v>2019</v>
      </c>
      <c r="E311" s="56">
        <v>0.46666666666666662</v>
      </c>
      <c r="F311" s="53">
        <f t="shared" si="22"/>
        <v>1</v>
      </c>
      <c r="G311" s="53">
        <f t="shared" si="23"/>
        <v>2</v>
      </c>
      <c r="H311" s="53">
        <f t="shared" si="24"/>
        <v>2</v>
      </c>
      <c r="I311" s="53" t="str">
        <f t="shared" si="25"/>
        <v>ww</v>
      </c>
      <c r="J311" s="53"/>
    </row>
    <row r="312" spans="1:10" x14ac:dyDescent="0.25">
      <c r="A312" s="93">
        <v>43815</v>
      </c>
      <c r="B312" s="35">
        <f t="shared" si="21"/>
        <v>132</v>
      </c>
      <c r="C312" s="76">
        <v>12</v>
      </c>
      <c r="D312" s="76">
        <v>2019</v>
      </c>
      <c r="E312" s="56">
        <v>0.73333333333333339</v>
      </c>
      <c r="F312" s="53">
        <f t="shared" si="22"/>
        <v>1</v>
      </c>
      <c r="G312" s="53">
        <f t="shared" si="23"/>
        <v>2</v>
      </c>
      <c r="H312" s="53">
        <f t="shared" si="24"/>
        <v>2</v>
      </c>
      <c r="I312" s="53" t="str">
        <f t="shared" si="25"/>
        <v>ww</v>
      </c>
      <c r="J312" s="53"/>
    </row>
    <row r="313" spans="1:10" x14ac:dyDescent="0.25">
      <c r="A313" s="93">
        <v>43816</v>
      </c>
      <c r="B313" s="35">
        <f t="shared" si="21"/>
        <v>132</v>
      </c>
      <c r="C313" s="76">
        <v>12</v>
      </c>
      <c r="D313" s="76">
        <v>2019</v>
      </c>
      <c r="E313" s="56">
        <v>0.53333333333333333</v>
      </c>
      <c r="F313" s="53">
        <f t="shared" si="22"/>
        <v>1</v>
      </c>
      <c r="G313" s="53">
        <f t="shared" si="23"/>
        <v>2</v>
      </c>
      <c r="H313" s="53">
        <f t="shared" si="24"/>
        <v>2</v>
      </c>
      <c r="I313" s="53" t="str">
        <f t="shared" si="25"/>
        <v>ww</v>
      </c>
      <c r="J313" s="53"/>
    </row>
    <row r="314" spans="1:10" x14ac:dyDescent="0.25">
      <c r="A314" s="93">
        <v>43817</v>
      </c>
      <c r="B314" s="35">
        <f t="shared" si="21"/>
        <v>132</v>
      </c>
      <c r="C314" s="76">
        <v>12</v>
      </c>
      <c r="D314" s="76">
        <v>2019</v>
      </c>
      <c r="E314" s="56">
        <v>6.6666666666666666E-2</v>
      </c>
      <c r="F314" s="53">
        <f t="shared" si="22"/>
        <v>1</v>
      </c>
      <c r="G314" s="53">
        <f t="shared" si="23"/>
        <v>2</v>
      </c>
      <c r="H314" s="53">
        <f t="shared" si="24"/>
        <v>2</v>
      </c>
      <c r="I314" s="53" t="str">
        <f t="shared" si="25"/>
        <v>ww</v>
      </c>
      <c r="J314" s="53"/>
    </row>
    <row r="315" spans="1:10" x14ac:dyDescent="0.25">
      <c r="A315" s="93">
        <v>43818</v>
      </c>
      <c r="B315" s="35">
        <f t="shared" si="21"/>
        <v>132</v>
      </c>
      <c r="C315" s="76">
        <v>12</v>
      </c>
      <c r="D315" s="76">
        <v>2019</v>
      </c>
      <c r="E315" s="56">
        <v>3.1999999999999997</v>
      </c>
      <c r="F315" s="53">
        <f t="shared" si="22"/>
        <v>1</v>
      </c>
      <c r="G315" s="53">
        <f t="shared" si="23"/>
        <v>2</v>
      </c>
      <c r="H315" s="53">
        <f t="shared" si="24"/>
        <v>2</v>
      </c>
      <c r="I315" s="53" t="str">
        <f t="shared" si="25"/>
        <v>ww</v>
      </c>
      <c r="J315" s="53"/>
    </row>
    <row r="316" spans="1:10" x14ac:dyDescent="0.25">
      <c r="A316" s="93">
        <v>43819</v>
      </c>
      <c r="B316" s="35">
        <f t="shared" si="21"/>
        <v>132</v>
      </c>
      <c r="C316" s="76">
        <v>12</v>
      </c>
      <c r="D316" s="76">
        <v>2019</v>
      </c>
      <c r="E316" s="56">
        <v>3.7999999999999994</v>
      </c>
      <c r="F316" s="53">
        <f t="shared" si="22"/>
        <v>1</v>
      </c>
      <c r="G316" s="53">
        <f t="shared" si="23"/>
        <v>2</v>
      </c>
      <c r="H316" s="53">
        <f t="shared" si="24"/>
        <v>2</v>
      </c>
      <c r="I316" s="53" t="str">
        <f t="shared" si="25"/>
        <v>ww</v>
      </c>
      <c r="J316" s="53"/>
    </row>
    <row r="317" spans="1:10" x14ac:dyDescent="0.25">
      <c r="A317" s="93">
        <v>43820</v>
      </c>
      <c r="B317" s="35">
        <f t="shared" si="21"/>
        <v>132</v>
      </c>
      <c r="C317" s="76">
        <v>12</v>
      </c>
      <c r="D317" s="76">
        <v>2019</v>
      </c>
      <c r="E317" s="56">
        <v>0.93333333333333324</v>
      </c>
      <c r="F317" s="53">
        <f t="shared" si="22"/>
        <v>1</v>
      </c>
      <c r="G317" s="53">
        <f t="shared" si="23"/>
        <v>2</v>
      </c>
      <c r="H317" s="53">
        <f t="shared" si="24"/>
        <v>2</v>
      </c>
      <c r="I317" s="53" t="str">
        <f t="shared" si="25"/>
        <v>ww</v>
      </c>
      <c r="J317" s="53"/>
    </row>
    <row r="318" spans="1:10" x14ac:dyDescent="0.25">
      <c r="A318" s="93">
        <v>43821</v>
      </c>
      <c r="B318" s="35">
        <f t="shared" si="21"/>
        <v>132</v>
      </c>
      <c r="C318" s="76">
        <v>12</v>
      </c>
      <c r="D318" s="76">
        <v>2019</v>
      </c>
      <c r="E318" s="56">
        <v>0.13333333333333333</v>
      </c>
      <c r="F318" s="53">
        <f t="shared" si="22"/>
        <v>1</v>
      </c>
      <c r="G318" s="53">
        <f t="shared" si="23"/>
        <v>2</v>
      </c>
      <c r="H318" s="53">
        <f t="shared" si="24"/>
        <v>2</v>
      </c>
      <c r="I318" s="53" t="str">
        <f t="shared" si="25"/>
        <v>ww</v>
      </c>
      <c r="J318" s="53"/>
    </row>
    <row r="319" spans="1:10" x14ac:dyDescent="0.25">
      <c r="A319" s="93">
        <v>43822</v>
      </c>
      <c r="B319" s="35">
        <f t="shared" si="21"/>
        <v>132</v>
      </c>
      <c r="C319" s="76">
        <v>12</v>
      </c>
      <c r="D319" s="76">
        <v>2019</v>
      </c>
      <c r="E319" s="56">
        <v>6.6666666666666666E-2</v>
      </c>
      <c r="F319" s="53">
        <f t="shared" si="22"/>
        <v>1</v>
      </c>
      <c r="G319" s="53">
        <f t="shared" si="23"/>
        <v>2</v>
      </c>
      <c r="H319" s="53">
        <f t="shared" si="24"/>
        <v>2</v>
      </c>
      <c r="I319" s="53" t="str">
        <f t="shared" si="25"/>
        <v>ww</v>
      </c>
      <c r="J319" s="53"/>
    </row>
    <row r="320" spans="1:10" x14ac:dyDescent="0.25">
      <c r="A320" s="93">
        <v>43823</v>
      </c>
      <c r="B320" s="35">
        <f t="shared" si="21"/>
        <v>132</v>
      </c>
      <c r="C320" s="76">
        <v>12</v>
      </c>
      <c r="D320" s="76">
        <v>2019</v>
      </c>
      <c r="E320" s="56">
        <v>2.4666666666666668</v>
      </c>
      <c r="F320" s="53">
        <f t="shared" si="22"/>
        <v>1</v>
      </c>
      <c r="G320" s="53">
        <f t="shared" si="23"/>
        <v>2</v>
      </c>
      <c r="H320" s="53">
        <f t="shared" si="24"/>
        <v>2</v>
      </c>
      <c r="I320" s="53" t="str">
        <f t="shared" si="25"/>
        <v>ww</v>
      </c>
      <c r="J320" s="53"/>
    </row>
    <row r="321" spans="1:10" x14ac:dyDescent="0.25">
      <c r="A321" s="93">
        <v>43824</v>
      </c>
      <c r="B321" s="35">
        <f t="shared" si="21"/>
        <v>132</v>
      </c>
      <c r="C321" s="76">
        <v>12</v>
      </c>
      <c r="D321" s="76">
        <v>2019</v>
      </c>
      <c r="E321" s="56">
        <v>1.3333333333333333</v>
      </c>
      <c r="F321" s="53">
        <f t="shared" si="22"/>
        <v>1</v>
      </c>
      <c r="G321" s="53">
        <f t="shared" si="23"/>
        <v>2</v>
      </c>
      <c r="H321" s="53">
        <f t="shared" si="24"/>
        <v>2</v>
      </c>
      <c r="I321" s="53" t="str">
        <f t="shared" si="25"/>
        <v>ww</v>
      </c>
      <c r="J321" s="53"/>
    </row>
    <row r="322" spans="1:10" x14ac:dyDescent="0.25">
      <c r="A322" s="93">
        <v>43825</v>
      </c>
      <c r="B322" s="35">
        <f t="shared" ref="B322:B385" si="26">C322+(D322-2009)*12</f>
        <v>132</v>
      </c>
      <c r="C322" s="76">
        <v>12</v>
      </c>
      <c r="D322" s="76">
        <v>2019</v>
      </c>
      <c r="E322" s="56">
        <v>6.6666666666666666E-2</v>
      </c>
      <c r="F322" s="53">
        <f t="shared" ref="F322:F385" si="27">IF(E322&gt;0,1,0)</f>
        <v>1</v>
      </c>
      <c r="G322" s="53">
        <f t="shared" ref="G322:G385" si="28">SUM(F321:F322)</f>
        <v>2</v>
      </c>
      <c r="H322" s="53">
        <f t="shared" ref="H322:H385" si="29">IF(G322=1,IF(F321=1,1,-1),G322)</f>
        <v>2</v>
      </c>
      <c r="I322" s="53" t="str">
        <f t="shared" ref="I322:I385" si="30">VLOOKUP(H322,codes,2,)</f>
        <v>ww</v>
      </c>
      <c r="J322" s="53"/>
    </row>
    <row r="323" spans="1:10" x14ac:dyDescent="0.25">
      <c r="A323" s="93">
        <v>43826</v>
      </c>
      <c r="B323" s="35">
        <f t="shared" si="26"/>
        <v>132</v>
      </c>
      <c r="C323" s="76">
        <v>12</v>
      </c>
      <c r="D323" s="76">
        <v>2019</v>
      </c>
      <c r="E323" s="56">
        <v>0</v>
      </c>
      <c r="F323" s="53">
        <f t="shared" si="27"/>
        <v>0</v>
      </c>
      <c r="G323" s="53">
        <f t="shared" si="28"/>
        <v>1</v>
      </c>
      <c r="H323" s="53">
        <f t="shared" si="29"/>
        <v>1</v>
      </c>
      <c r="I323" s="53" t="str">
        <f t="shared" si="30"/>
        <v>wd</v>
      </c>
      <c r="J323" s="53"/>
    </row>
    <row r="324" spans="1:10" x14ac:dyDescent="0.25">
      <c r="A324" s="93">
        <v>43827</v>
      </c>
      <c r="B324" s="35">
        <f t="shared" si="26"/>
        <v>132</v>
      </c>
      <c r="C324" s="76">
        <v>12</v>
      </c>
      <c r="D324" s="76">
        <v>2019</v>
      </c>
      <c r="E324" s="56">
        <v>0.33333333333333331</v>
      </c>
      <c r="F324" s="53">
        <f t="shared" si="27"/>
        <v>1</v>
      </c>
      <c r="G324" s="53">
        <f t="shared" si="28"/>
        <v>1</v>
      </c>
      <c r="H324" s="53">
        <f t="shared" si="29"/>
        <v>-1</v>
      </c>
      <c r="I324" s="53" t="str">
        <f t="shared" si="30"/>
        <v>dw</v>
      </c>
      <c r="J324" s="53"/>
    </row>
    <row r="325" spans="1:10" x14ac:dyDescent="0.25">
      <c r="A325" s="93">
        <v>43828</v>
      </c>
      <c r="B325" s="35">
        <f t="shared" si="26"/>
        <v>132</v>
      </c>
      <c r="C325" s="76">
        <v>12</v>
      </c>
      <c r="D325" s="76">
        <v>2019</v>
      </c>
      <c r="E325" s="56">
        <v>0.13333333333333333</v>
      </c>
      <c r="F325" s="53">
        <f t="shared" si="27"/>
        <v>1</v>
      </c>
      <c r="G325" s="53">
        <f t="shared" si="28"/>
        <v>2</v>
      </c>
      <c r="H325" s="53">
        <f t="shared" si="29"/>
        <v>2</v>
      </c>
      <c r="I325" s="53" t="str">
        <f t="shared" si="30"/>
        <v>ww</v>
      </c>
      <c r="J325" s="53"/>
    </row>
    <row r="326" spans="1:10" x14ac:dyDescent="0.25">
      <c r="A326" s="93">
        <v>43829</v>
      </c>
      <c r="B326" s="35">
        <f t="shared" si="26"/>
        <v>132</v>
      </c>
      <c r="C326" s="76">
        <v>12</v>
      </c>
      <c r="D326" s="76">
        <v>2019</v>
      </c>
      <c r="E326" s="56">
        <v>0</v>
      </c>
      <c r="F326" s="53">
        <f t="shared" si="27"/>
        <v>0</v>
      </c>
      <c r="G326" s="53">
        <f t="shared" si="28"/>
        <v>1</v>
      </c>
      <c r="H326" s="53">
        <f t="shared" si="29"/>
        <v>1</v>
      </c>
      <c r="I326" s="53" t="str">
        <f t="shared" si="30"/>
        <v>wd</v>
      </c>
      <c r="J326" s="53"/>
    </row>
    <row r="327" spans="1:10" x14ac:dyDescent="0.25">
      <c r="A327" s="93">
        <v>43830</v>
      </c>
      <c r="B327" s="35">
        <f t="shared" si="26"/>
        <v>132</v>
      </c>
      <c r="C327" s="76">
        <v>12</v>
      </c>
      <c r="D327" s="76">
        <v>2019</v>
      </c>
      <c r="E327" s="56">
        <v>0</v>
      </c>
      <c r="F327" s="53">
        <f t="shared" si="27"/>
        <v>0</v>
      </c>
      <c r="G327" s="53">
        <f t="shared" si="28"/>
        <v>0</v>
      </c>
      <c r="H327" s="53">
        <f t="shared" si="29"/>
        <v>0</v>
      </c>
      <c r="I327" s="53" t="str">
        <f t="shared" si="30"/>
        <v>dd</v>
      </c>
      <c r="J327" s="53"/>
    </row>
    <row r="328" spans="1:10" x14ac:dyDescent="0.25">
      <c r="A328" s="93">
        <v>44166</v>
      </c>
      <c r="B328" s="35">
        <f t="shared" si="26"/>
        <v>144</v>
      </c>
      <c r="C328" s="76">
        <v>12</v>
      </c>
      <c r="D328" s="53">
        <v>2020</v>
      </c>
      <c r="E328" s="56">
        <v>1.2</v>
      </c>
      <c r="F328" s="53">
        <f t="shared" si="27"/>
        <v>1</v>
      </c>
      <c r="G328" s="53">
        <f t="shared" si="28"/>
        <v>1</v>
      </c>
      <c r="H328" s="53">
        <f t="shared" si="29"/>
        <v>-1</v>
      </c>
      <c r="I328" s="53" t="str">
        <f t="shared" si="30"/>
        <v>dw</v>
      </c>
      <c r="J328" s="53"/>
    </row>
    <row r="329" spans="1:10" x14ac:dyDescent="0.25">
      <c r="A329" s="93">
        <v>44167</v>
      </c>
      <c r="B329" s="35">
        <f t="shared" si="26"/>
        <v>144</v>
      </c>
      <c r="C329" s="76">
        <v>12</v>
      </c>
      <c r="D329" s="53">
        <v>2020</v>
      </c>
      <c r="E329" s="56">
        <v>0</v>
      </c>
      <c r="F329" s="53">
        <f t="shared" si="27"/>
        <v>0</v>
      </c>
      <c r="G329" s="53">
        <f t="shared" si="28"/>
        <v>1</v>
      </c>
      <c r="H329" s="53">
        <f t="shared" si="29"/>
        <v>1</v>
      </c>
      <c r="I329" s="53" t="str">
        <f t="shared" si="30"/>
        <v>wd</v>
      </c>
      <c r="J329" s="53"/>
    </row>
    <row r="330" spans="1:10" x14ac:dyDescent="0.25">
      <c r="A330" s="93">
        <v>44168</v>
      </c>
      <c r="B330" s="35">
        <f t="shared" si="26"/>
        <v>144</v>
      </c>
      <c r="C330" s="76">
        <v>12</v>
      </c>
      <c r="D330" s="53">
        <v>2020</v>
      </c>
      <c r="E330" s="56">
        <v>0.13333333333333333</v>
      </c>
      <c r="F330" s="53">
        <f t="shared" si="27"/>
        <v>1</v>
      </c>
      <c r="G330" s="53">
        <f t="shared" si="28"/>
        <v>1</v>
      </c>
      <c r="H330" s="53">
        <f t="shared" si="29"/>
        <v>-1</v>
      </c>
      <c r="I330" s="53" t="str">
        <f t="shared" si="30"/>
        <v>dw</v>
      </c>
      <c r="J330" s="53"/>
    </row>
    <row r="331" spans="1:10" x14ac:dyDescent="0.25">
      <c r="A331" s="93">
        <v>44169</v>
      </c>
      <c r="B331" s="35">
        <f t="shared" si="26"/>
        <v>144</v>
      </c>
      <c r="C331" s="76">
        <v>12</v>
      </c>
      <c r="D331" s="53">
        <v>2020</v>
      </c>
      <c r="E331" s="56">
        <v>12.433333333333332</v>
      </c>
      <c r="F331" s="53">
        <f t="shared" si="27"/>
        <v>1</v>
      </c>
      <c r="G331" s="53">
        <f t="shared" si="28"/>
        <v>2</v>
      </c>
      <c r="H331" s="53">
        <f t="shared" si="29"/>
        <v>2</v>
      </c>
      <c r="I331" s="53" t="str">
        <f t="shared" si="30"/>
        <v>ww</v>
      </c>
      <c r="J331" s="53"/>
    </row>
    <row r="332" spans="1:10" x14ac:dyDescent="0.25">
      <c r="A332" s="93">
        <v>44170</v>
      </c>
      <c r="B332" s="35">
        <f t="shared" si="26"/>
        <v>144</v>
      </c>
      <c r="C332" s="76">
        <v>12</v>
      </c>
      <c r="D332" s="53">
        <v>2020</v>
      </c>
      <c r="E332" s="56">
        <v>11.700000000000001</v>
      </c>
      <c r="F332" s="53">
        <f t="shared" si="27"/>
        <v>1</v>
      </c>
      <c r="G332" s="53">
        <f t="shared" si="28"/>
        <v>2</v>
      </c>
      <c r="H332" s="53">
        <f t="shared" si="29"/>
        <v>2</v>
      </c>
      <c r="I332" s="53" t="str">
        <f t="shared" si="30"/>
        <v>ww</v>
      </c>
      <c r="J332" s="53"/>
    </row>
    <row r="333" spans="1:10" x14ac:dyDescent="0.25">
      <c r="A333" s="93">
        <v>44171</v>
      </c>
      <c r="B333" s="35">
        <f t="shared" si="26"/>
        <v>144</v>
      </c>
      <c r="C333" s="76">
        <v>12</v>
      </c>
      <c r="D333" s="53">
        <v>2020</v>
      </c>
      <c r="E333" s="56">
        <v>8.2999999999999989</v>
      </c>
      <c r="F333" s="53">
        <f t="shared" si="27"/>
        <v>1</v>
      </c>
      <c r="G333" s="53">
        <f t="shared" si="28"/>
        <v>2</v>
      </c>
      <c r="H333" s="53">
        <f t="shared" si="29"/>
        <v>2</v>
      </c>
      <c r="I333" s="53" t="str">
        <f t="shared" si="30"/>
        <v>ww</v>
      </c>
      <c r="J333" s="53"/>
    </row>
    <row r="334" spans="1:10" x14ac:dyDescent="0.25">
      <c r="A334" s="93">
        <v>44172</v>
      </c>
      <c r="B334" s="35">
        <f t="shared" si="26"/>
        <v>144</v>
      </c>
      <c r="C334" s="76">
        <v>12</v>
      </c>
      <c r="D334" s="53">
        <v>2020</v>
      </c>
      <c r="E334" s="56">
        <v>5.6333333333333329</v>
      </c>
      <c r="F334" s="53">
        <f t="shared" si="27"/>
        <v>1</v>
      </c>
      <c r="G334" s="53">
        <f t="shared" si="28"/>
        <v>2</v>
      </c>
      <c r="H334" s="53">
        <f t="shared" si="29"/>
        <v>2</v>
      </c>
      <c r="I334" s="53" t="str">
        <f t="shared" si="30"/>
        <v>ww</v>
      </c>
      <c r="J334" s="53"/>
    </row>
    <row r="335" spans="1:10" x14ac:dyDescent="0.25">
      <c r="A335" s="93">
        <v>44173</v>
      </c>
      <c r="B335" s="35">
        <f t="shared" si="26"/>
        <v>144</v>
      </c>
      <c r="C335" s="76">
        <v>12</v>
      </c>
      <c r="D335" s="53">
        <v>2020</v>
      </c>
      <c r="E335" s="56">
        <v>2.4666666666666668</v>
      </c>
      <c r="F335" s="53">
        <f t="shared" si="27"/>
        <v>1</v>
      </c>
      <c r="G335" s="53">
        <f t="shared" si="28"/>
        <v>2</v>
      </c>
      <c r="H335" s="53">
        <f t="shared" si="29"/>
        <v>2</v>
      </c>
      <c r="I335" s="53" t="str">
        <f t="shared" si="30"/>
        <v>ww</v>
      </c>
      <c r="J335" s="53"/>
    </row>
    <row r="336" spans="1:10" x14ac:dyDescent="0.25">
      <c r="A336" s="93">
        <v>44174</v>
      </c>
      <c r="B336" s="35">
        <f t="shared" si="26"/>
        <v>144</v>
      </c>
      <c r="C336" s="76">
        <v>12</v>
      </c>
      <c r="D336" s="53">
        <v>2020</v>
      </c>
      <c r="E336" s="56">
        <v>2.3333333333333335</v>
      </c>
      <c r="F336" s="53">
        <f t="shared" si="27"/>
        <v>1</v>
      </c>
      <c r="G336" s="53">
        <f t="shared" si="28"/>
        <v>2</v>
      </c>
      <c r="H336" s="53">
        <f t="shared" si="29"/>
        <v>2</v>
      </c>
      <c r="I336" s="53" t="str">
        <f t="shared" si="30"/>
        <v>ww</v>
      </c>
      <c r="J336" s="53"/>
    </row>
    <row r="337" spans="1:10" x14ac:dyDescent="0.25">
      <c r="A337" s="93">
        <v>44175</v>
      </c>
      <c r="B337" s="35">
        <f t="shared" si="26"/>
        <v>144</v>
      </c>
      <c r="C337" s="76">
        <v>12</v>
      </c>
      <c r="D337" s="53">
        <v>2020</v>
      </c>
      <c r="E337" s="56">
        <v>0.13333333333333333</v>
      </c>
      <c r="F337" s="53">
        <f t="shared" si="27"/>
        <v>1</v>
      </c>
      <c r="G337" s="53">
        <f t="shared" si="28"/>
        <v>2</v>
      </c>
      <c r="H337" s="53">
        <f t="shared" si="29"/>
        <v>2</v>
      </c>
      <c r="I337" s="53" t="str">
        <f t="shared" si="30"/>
        <v>ww</v>
      </c>
      <c r="J337" s="53"/>
    </row>
    <row r="338" spans="1:10" x14ac:dyDescent="0.25">
      <c r="A338" s="93">
        <v>44176</v>
      </c>
      <c r="B338" s="35">
        <f t="shared" si="26"/>
        <v>144</v>
      </c>
      <c r="C338" s="76">
        <v>12</v>
      </c>
      <c r="D338" s="53">
        <v>2020</v>
      </c>
      <c r="E338" s="56">
        <v>1.8</v>
      </c>
      <c r="F338" s="53">
        <f t="shared" si="27"/>
        <v>1</v>
      </c>
      <c r="G338" s="53">
        <f t="shared" si="28"/>
        <v>2</v>
      </c>
      <c r="H338" s="53">
        <f t="shared" si="29"/>
        <v>2</v>
      </c>
      <c r="I338" s="53" t="str">
        <f t="shared" si="30"/>
        <v>ww</v>
      </c>
      <c r="J338" s="53"/>
    </row>
    <row r="339" spans="1:10" x14ac:dyDescent="0.25">
      <c r="A339" s="93">
        <v>44177</v>
      </c>
      <c r="B339" s="35">
        <f t="shared" si="26"/>
        <v>144</v>
      </c>
      <c r="C339" s="76">
        <v>12</v>
      </c>
      <c r="D339" s="53">
        <v>2020</v>
      </c>
      <c r="E339" s="56">
        <v>1.5333333333333334</v>
      </c>
      <c r="F339" s="53">
        <f t="shared" si="27"/>
        <v>1</v>
      </c>
      <c r="G339" s="53">
        <f t="shared" si="28"/>
        <v>2</v>
      </c>
      <c r="H339" s="53">
        <f t="shared" si="29"/>
        <v>2</v>
      </c>
      <c r="I339" s="53" t="str">
        <f t="shared" si="30"/>
        <v>ww</v>
      </c>
      <c r="J339" s="53"/>
    </row>
    <row r="340" spans="1:10" x14ac:dyDescent="0.25">
      <c r="A340" s="93">
        <v>44178</v>
      </c>
      <c r="B340" s="35">
        <f t="shared" si="26"/>
        <v>144</v>
      </c>
      <c r="C340" s="76">
        <v>12</v>
      </c>
      <c r="D340" s="53">
        <v>2020</v>
      </c>
      <c r="E340" s="56">
        <v>3.0666666666666669</v>
      </c>
      <c r="F340" s="53">
        <f t="shared" si="27"/>
        <v>1</v>
      </c>
      <c r="G340" s="53">
        <f t="shared" si="28"/>
        <v>2</v>
      </c>
      <c r="H340" s="53">
        <f t="shared" si="29"/>
        <v>2</v>
      </c>
      <c r="I340" s="53" t="str">
        <f t="shared" si="30"/>
        <v>ww</v>
      </c>
      <c r="J340" s="53"/>
    </row>
    <row r="341" spans="1:10" x14ac:dyDescent="0.25">
      <c r="A341" s="93">
        <v>44179</v>
      </c>
      <c r="B341" s="35">
        <f t="shared" si="26"/>
        <v>144</v>
      </c>
      <c r="C341" s="76">
        <v>12</v>
      </c>
      <c r="D341" s="53">
        <v>2020</v>
      </c>
      <c r="E341" s="56">
        <v>3.1999999999999997</v>
      </c>
      <c r="F341" s="53">
        <f t="shared" si="27"/>
        <v>1</v>
      </c>
      <c r="G341" s="53">
        <f t="shared" si="28"/>
        <v>2</v>
      </c>
      <c r="H341" s="53">
        <f t="shared" si="29"/>
        <v>2</v>
      </c>
      <c r="I341" s="53" t="str">
        <f t="shared" si="30"/>
        <v>ww</v>
      </c>
      <c r="J341" s="53"/>
    </row>
    <row r="342" spans="1:10" x14ac:dyDescent="0.25">
      <c r="A342" s="93">
        <v>44180</v>
      </c>
      <c r="B342" s="35">
        <f t="shared" si="26"/>
        <v>144</v>
      </c>
      <c r="C342" s="76">
        <v>12</v>
      </c>
      <c r="D342" s="53">
        <v>2020</v>
      </c>
      <c r="E342" s="56">
        <v>6.6666666666666666E-2</v>
      </c>
      <c r="F342" s="53">
        <f t="shared" si="27"/>
        <v>1</v>
      </c>
      <c r="G342" s="53">
        <f t="shared" si="28"/>
        <v>2</v>
      </c>
      <c r="H342" s="53">
        <f t="shared" si="29"/>
        <v>2</v>
      </c>
      <c r="I342" s="53" t="str">
        <f t="shared" si="30"/>
        <v>ww</v>
      </c>
      <c r="J342" s="53"/>
    </row>
    <row r="343" spans="1:10" x14ac:dyDescent="0.25">
      <c r="A343" s="93">
        <v>44181</v>
      </c>
      <c r="B343" s="35">
        <f t="shared" si="26"/>
        <v>144</v>
      </c>
      <c r="C343" s="76">
        <v>12</v>
      </c>
      <c r="D343" s="53">
        <v>2020</v>
      </c>
      <c r="E343" s="56">
        <v>1.1333333333333333</v>
      </c>
      <c r="F343" s="53">
        <f t="shared" si="27"/>
        <v>1</v>
      </c>
      <c r="G343" s="53">
        <f t="shared" si="28"/>
        <v>2</v>
      </c>
      <c r="H343" s="53">
        <f t="shared" si="29"/>
        <v>2</v>
      </c>
      <c r="I343" s="53" t="str">
        <f t="shared" si="30"/>
        <v>ww</v>
      </c>
      <c r="J343" s="53"/>
    </row>
    <row r="344" spans="1:10" x14ac:dyDescent="0.25">
      <c r="A344" s="93">
        <v>44182</v>
      </c>
      <c r="B344" s="35">
        <f t="shared" si="26"/>
        <v>144</v>
      </c>
      <c r="C344" s="76">
        <v>12</v>
      </c>
      <c r="D344" s="53">
        <v>2020</v>
      </c>
      <c r="E344" s="56">
        <v>1.9333333333333336</v>
      </c>
      <c r="F344" s="53">
        <f t="shared" si="27"/>
        <v>1</v>
      </c>
      <c r="G344" s="53">
        <f t="shared" si="28"/>
        <v>2</v>
      </c>
      <c r="H344" s="53">
        <f t="shared" si="29"/>
        <v>2</v>
      </c>
      <c r="I344" s="53" t="str">
        <f t="shared" si="30"/>
        <v>ww</v>
      </c>
      <c r="J344" s="53"/>
    </row>
    <row r="345" spans="1:10" x14ac:dyDescent="0.25">
      <c r="A345" s="93">
        <v>44183</v>
      </c>
      <c r="B345" s="35">
        <f t="shared" si="26"/>
        <v>144</v>
      </c>
      <c r="C345" s="76">
        <v>12</v>
      </c>
      <c r="D345" s="53">
        <v>2020</v>
      </c>
      <c r="E345" s="56">
        <v>0.73333333333333339</v>
      </c>
      <c r="F345" s="53">
        <f t="shared" si="27"/>
        <v>1</v>
      </c>
      <c r="G345" s="53">
        <f t="shared" si="28"/>
        <v>2</v>
      </c>
      <c r="H345" s="53">
        <f t="shared" si="29"/>
        <v>2</v>
      </c>
      <c r="I345" s="53" t="str">
        <f t="shared" si="30"/>
        <v>ww</v>
      </c>
      <c r="J345" s="53"/>
    </row>
    <row r="346" spans="1:10" x14ac:dyDescent="0.25">
      <c r="A346" s="93">
        <v>44184</v>
      </c>
      <c r="B346" s="35">
        <f t="shared" si="26"/>
        <v>144</v>
      </c>
      <c r="C346" s="76">
        <v>12</v>
      </c>
      <c r="D346" s="53">
        <v>2020</v>
      </c>
      <c r="E346" s="56">
        <v>2.0666666666666669</v>
      </c>
      <c r="F346" s="53">
        <f t="shared" si="27"/>
        <v>1</v>
      </c>
      <c r="G346" s="53">
        <f t="shared" si="28"/>
        <v>2</v>
      </c>
      <c r="H346" s="53">
        <f t="shared" si="29"/>
        <v>2</v>
      </c>
      <c r="I346" s="53" t="str">
        <f t="shared" si="30"/>
        <v>ww</v>
      </c>
      <c r="J346" s="53"/>
    </row>
    <row r="347" spans="1:10" x14ac:dyDescent="0.25">
      <c r="A347" s="93">
        <v>44185</v>
      </c>
      <c r="B347" s="35">
        <f t="shared" si="26"/>
        <v>144</v>
      </c>
      <c r="C347" s="76">
        <v>12</v>
      </c>
      <c r="D347" s="53">
        <v>2020</v>
      </c>
      <c r="E347" s="56">
        <v>0</v>
      </c>
      <c r="F347" s="53">
        <f t="shared" si="27"/>
        <v>0</v>
      </c>
      <c r="G347" s="53">
        <f t="shared" si="28"/>
        <v>1</v>
      </c>
      <c r="H347" s="53">
        <f t="shared" si="29"/>
        <v>1</v>
      </c>
      <c r="I347" s="53" t="str">
        <f t="shared" si="30"/>
        <v>wd</v>
      </c>
      <c r="J347" s="53"/>
    </row>
    <row r="348" spans="1:10" x14ac:dyDescent="0.25">
      <c r="A348" s="93">
        <v>44186</v>
      </c>
      <c r="B348" s="35">
        <f t="shared" si="26"/>
        <v>144</v>
      </c>
      <c r="C348" s="76">
        <v>12</v>
      </c>
      <c r="D348" s="53">
        <v>2020</v>
      </c>
      <c r="E348" s="56">
        <v>0.73333333333333339</v>
      </c>
      <c r="F348" s="53">
        <f t="shared" si="27"/>
        <v>1</v>
      </c>
      <c r="G348" s="53">
        <f t="shared" si="28"/>
        <v>1</v>
      </c>
      <c r="H348" s="53">
        <f t="shared" si="29"/>
        <v>-1</v>
      </c>
      <c r="I348" s="53" t="str">
        <f t="shared" si="30"/>
        <v>dw</v>
      </c>
      <c r="J348" s="53"/>
    </row>
    <row r="349" spans="1:10" x14ac:dyDescent="0.25">
      <c r="A349" s="93">
        <v>44187</v>
      </c>
      <c r="B349" s="35">
        <f t="shared" si="26"/>
        <v>144</v>
      </c>
      <c r="C349" s="76">
        <v>12</v>
      </c>
      <c r="D349" s="53">
        <v>2020</v>
      </c>
      <c r="E349" s="56">
        <v>1.4000000000000001</v>
      </c>
      <c r="F349" s="53">
        <f t="shared" si="27"/>
        <v>1</v>
      </c>
      <c r="G349" s="53">
        <f t="shared" si="28"/>
        <v>2</v>
      </c>
      <c r="H349" s="53">
        <f t="shared" si="29"/>
        <v>2</v>
      </c>
      <c r="I349" s="53" t="str">
        <f t="shared" si="30"/>
        <v>ww</v>
      </c>
      <c r="J349" s="53"/>
    </row>
    <row r="350" spans="1:10" x14ac:dyDescent="0.25">
      <c r="A350" s="93">
        <v>44188</v>
      </c>
      <c r="B350" s="35">
        <f t="shared" si="26"/>
        <v>144</v>
      </c>
      <c r="C350" s="76">
        <v>12</v>
      </c>
      <c r="D350" s="53">
        <v>2020</v>
      </c>
      <c r="E350" s="56">
        <v>3.2666666666666671</v>
      </c>
      <c r="F350" s="53">
        <f t="shared" si="27"/>
        <v>1</v>
      </c>
      <c r="G350" s="53">
        <f t="shared" si="28"/>
        <v>2</v>
      </c>
      <c r="H350" s="53">
        <f t="shared" si="29"/>
        <v>2</v>
      </c>
      <c r="I350" s="53" t="str">
        <f t="shared" si="30"/>
        <v>ww</v>
      </c>
      <c r="J350" s="53"/>
    </row>
    <row r="351" spans="1:10" x14ac:dyDescent="0.25">
      <c r="A351" s="93">
        <v>44189</v>
      </c>
      <c r="B351" s="35">
        <f t="shared" si="26"/>
        <v>144</v>
      </c>
      <c r="C351" s="76">
        <v>12</v>
      </c>
      <c r="D351" s="53">
        <v>2020</v>
      </c>
      <c r="E351" s="56">
        <v>6.8666666666666671</v>
      </c>
      <c r="F351" s="53">
        <f t="shared" si="27"/>
        <v>1</v>
      </c>
      <c r="G351" s="53">
        <f t="shared" si="28"/>
        <v>2</v>
      </c>
      <c r="H351" s="53">
        <f t="shared" si="29"/>
        <v>2</v>
      </c>
      <c r="I351" s="53" t="str">
        <f t="shared" si="30"/>
        <v>ww</v>
      </c>
      <c r="J351" s="53"/>
    </row>
    <row r="352" spans="1:10" x14ac:dyDescent="0.25">
      <c r="A352" s="93">
        <v>44190</v>
      </c>
      <c r="B352" s="35">
        <f t="shared" si="26"/>
        <v>144</v>
      </c>
      <c r="C352" s="76">
        <v>12</v>
      </c>
      <c r="D352" s="53">
        <v>2020</v>
      </c>
      <c r="E352" s="56">
        <v>3.2666666666666671</v>
      </c>
      <c r="F352" s="53">
        <f t="shared" si="27"/>
        <v>1</v>
      </c>
      <c r="G352" s="53">
        <f t="shared" si="28"/>
        <v>2</v>
      </c>
      <c r="H352" s="53">
        <f t="shared" si="29"/>
        <v>2</v>
      </c>
      <c r="I352" s="53" t="str">
        <f t="shared" si="30"/>
        <v>ww</v>
      </c>
      <c r="J352" s="53"/>
    </row>
    <row r="353" spans="1:10" x14ac:dyDescent="0.25">
      <c r="A353" s="93">
        <v>44191</v>
      </c>
      <c r="B353" s="35">
        <f t="shared" si="26"/>
        <v>144</v>
      </c>
      <c r="C353" s="76">
        <v>12</v>
      </c>
      <c r="D353" s="53">
        <v>2020</v>
      </c>
      <c r="E353" s="56">
        <v>0.19999999999999998</v>
      </c>
      <c r="F353" s="53">
        <f t="shared" si="27"/>
        <v>1</v>
      </c>
      <c r="G353" s="53">
        <f t="shared" si="28"/>
        <v>2</v>
      </c>
      <c r="H353" s="53">
        <f t="shared" si="29"/>
        <v>2</v>
      </c>
      <c r="I353" s="53" t="str">
        <f t="shared" si="30"/>
        <v>ww</v>
      </c>
      <c r="J353" s="53"/>
    </row>
    <row r="354" spans="1:10" x14ac:dyDescent="0.25">
      <c r="A354" s="93">
        <v>44192</v>
      </c>
      <c r="B354" s="35">
        <f t="shared" si="26"/>
        <v>144</v>
      </c>
      <c r="C354" s="76">
        <v>12</v>
      </c>
      <c r="D354" s="53">
        <v>2020</v>
      </c>
      <c r="E354" s="56">
        <v>3.4</v>
      </c>
      <c r="F354" s="53">
        <f t="shared" si="27"/>
        <v>1</v>
      </c>
      <c r="G354" s="53">
        <f t="shared" si="28"/>
        <v>2</v>
      </c>
      <c r="H354" s="53">
        <f t="shared" si="29"/>
        <v>2</v>
      </c>
      <c r="I354" s="53" t="str">
        <f t="shared" si="30"/>
        <v>ww</v>
      </c>
      <c r="J354" s="53"/>
    </row>
    <row r="355" spans="1:10" x14ac:dyDescent="0.25">
      <c r="A355" s="93">
        <v>44193</v>
      </c>
      <c r="B355" s="35">
        <f t="shared" si="26"/>
        <v>144</v>
      </c>
      <c r="C355" s="76">
        <v>12</v>
      </c>
      <c r="D355" s="53">
        <v>2020</v>
      </c>
      <c r="E355" s="56">
        <v>0.33333333333333331</v>
      </c>
      <c r="F355" s="53">
        <f t="shared" si="27"/>
        <v>1</v>
      </c>
      <c r="G355" s="53">
        <f t="shared" si="28"/>
        <v>2</v>
      </c>
      <c r="H355" s="53">
        <f t="shared" si="29"/>
        <v>2</v>
      </c>
      <c r="I355" s="53" t="str">
        <f t="shared" si="30"/>
        <v>ww</v>
      </c>
      <c r="J355" s="53"/>
    </row>
    <row r="356" spans="1:10" x14ac:dyDescent="0.25">
      <c r="A356" s="93">
        <v>44194</v>
      </c>
      <c r="B356" s="35">
        <f t="shared" si="26"/>
        <v>144</v>
      </c>
      <c r="C356" s="76">
        <v>12</v>
      </c>
      <c r="D356" s="53">
        <v>2020</v>
      </c>
      <c r="E356" s="56">
        <v>3.1333333333333329</v>
      </c>
      <c r="F356" s="53">
        <f t="shared" si="27"/>
        <v>1</v>
      </c>
      <c r="G356" s="53">
        <f t="shared" si="28"/>
        <v>2</v>
      </c>
      <c r="H356" s="53">
        <f t="shared" si="29"/>
        <v>2</v>
      </c>
      <c r="I356" s="53" t="str">
        <f t="shared" si="30"/>
        <v>ww</v>
      </c>
      <c r="J356" s="53"/>
    </row>
    <row r="357" spans="1:10" x14ac:dyDescent="0.25">
      <c r="A357" s="93">
        <v>44195</v>
      </c>
      <c r="B357" s="35">
        <f t="shared" si="26"/>
        <v>144</v>
      </c>
      <c r="C357" s="76">
        <v>12</v>
      </c>
      <c r="D357" s="53">
        <v>2020</v>
      </c>
      <c r="E357" s="56">
        <v>0.53333333333333333</v>
      </c>
      <c r="F357" s="53">
        <f t="shared" si="27"/>
        <v>1</v>
      </c>
      <c r="G357" s="53">
        <f t="shared" si="28"/>
        <v>2</v>
      </c>
      <c r="H357" s="53">
        <f t="shared" si="29"/>
        <v>2</v>
      </c>
      <c r="I357" s="53" t="str">
        <f t="shared" si="30"/>
        <v>ww</v>
      </c>
      <c r="J357" s="53"/>
    </row>
    <row r="358" spans="1:10" x14ac:dyDescent="0.25">
      <c r="A358" s="93">
        <v>44196</v>
      </c>
      <c r="B358" s="35">
        <f t="shared" si="26"/>
        <v>144</v>
      </c>
      <c r="C358" s="76">
        <v>12</v>
      </c>
      <c r="D358" s="53">
        <v>2020</v>
      </c>
      <c r="E358" s="56">
        <v>0</v>
      </c>
      <c r="F358" s="53">
        <f t="shared" si="27"/>
        <v>0</v>
      </c>
      <c r="G358" s="53">
        <f t="shared" si="28"/>
        <v>1</v>
      </c>
      <c r="H358" s="53">
        <f t="shared" si="29"/>
        <v>1</v>
      </c>
      <c r="I358" s="53" t="str">
        <f t="shared" si="30"/>
        <v>wd</v>
      </c>
      <c r="J358" s="53"/>
    </row>
    <row r="359" spans="1:10" x14ac:dyDescent="0.25">
      <c r="A359" s="93">
        <v>44531</v>
      </c>
      <c r="B359" s="35">
        <f t="shared" si="26"/>
        <v>156</v>
      </c>
      <c r="C359" s="76">
        <v>12</v>
      </c>
      <c r="D359" s="53">
        <v>2021</v>
      </c>
      <c r="E359" s="56">
        <v>9.7333333333333325</v>
      </c>
      <c r="F359" s="53">
        <f t="shared" si="27"/>
        <v>1</v>
      </c>
      <c r="G359" s="53">
        <f t="shared" si="28"/>
        <v>1</v>
      </c>
      <c r="H359" s="53">
        <f t="shared" si="29"/>
        <v>-1</v>
      </c>
      <c r="I359" s="53" t="str">
        <f t="shared" si="30"/>
        <v>dw</v>
      </c>
      <c r="J359" s="53"/>
    </row>
    <row r="360" spans="1:10" x14ac:dyDescent="0.25">
      <c r="A360" s="93">
        <v>44532</v>
      </c>
      <c r="B360" s="35">
        <f t="shared" si="26"/>
        <v>156</v>
      </c>
      <c r="C360" s="76">
        <v>12</v>
      </c>
      <c r="D360" s="53">
        <v>2021</v>
      </c>
      <c r="E360" s="56">
        <v>2.7333333333333329</v>
      </c>
      <c r="F360" s="53">
        <f t="shared" si="27"/>
        <v>1</v>
      </c>
      <c r="G360" s="53">
        <f t="shared" si="28"/>
        <v>2</v>
      </c>
      <c r="H360" s="53">
        <f t="shared" si="29"/>
        <v>2</v>
      </c>
      <c r="I360" s="53" t="str">
        <f t="shared" si="30"/>
        <v>ww</v>
      </c>
      <c r="J360" s="53"/>
    </row>
    <row r="361" spans="1:10" x14ac:dyDescent="0.25">
      <c r="A361" s="93">
        <v>44533</v>
      </c>
      <c r="B361" s="35">
        <f t="shared" si="26"/>
        <v>156</v>
      </c>
      <c r="C361" s="76">
        <v>12</v>
      </c>
      <c r="D361" s="53">
        <v>2021</v>
      </c>
      <c r="E361" s="56">
        <v>1.1333333333333333</v>
      </c>
      <c r="F361" s="53">
        <f t="shared" si="27"/>
        <v>1</v>
      </c>
      <c r="G361" s="53">
        <f t="shared" si="28"/>
        <v>2</v>
      </c>
      <c r="H361" s="53">
        <f t="shared" si="29"/>
        <v>2</v>
      </c>
      <c r="I361" s="53" t="str">
        <f t="shared" si="30"/>
        <v>ww</v>
      </c>
      <c r="J361" s="53"/>
    </row>
    <row r="362" spans="1:10" x14ac:dyDescent="0.25">
      <c r="A362" s="93">
        <v>44534</v>
      </c>
      <c r="B362" s="35">
        <f t="shared" si="26"/>
        <v>156</v>
      </c>
      <c r="C362" s="76">
        <v>12</v>
      </c>
      <c r="D362" s="53">
        <v>2021</v>
      </c>
      <c r="E362" s="56">
        <v>1.2666666666666666</v>
      </c>
      <c r="F362" s="53">
        <f t="shared" si="27"/>
        <v>1</v>
      </c>
      <c r="G362" s="53">
        <f t="shared" si="28"/>
        <v>2</v>
      </c>
      <c r="H362" s="53">
        <f t="shared" si="29"/>
        <v>2</v>
      </c>
      <c r="I362" s="53" t="str">
        <f t="shared" si="30"/>
        <v>ww</v>
      </c>
      <c r="J362" s="53"/>
    </row>
    <row r="363" spans="1:10" x14ac:dyDescent="0.25">
      <c r="A363" s="93">
        <v>44535</v>
      </c>
      <c r="B363" s="35">
        <f t="shared" si="26"/>
        <v>156</v>
      </c>
      <c r="C363" s="76">
        <v>12</v>
      </c>
      <c r="D363" s="53">
        <v>2021</v>
      </c>
      <c r="E363" s="56">
        <v>15.199999999999998</v>
      </c>
      <c r="F363" s="53">
        <f t="shared" si="27"/>
        <v>1</v>
      </c>
      <c r="G363" s="53">
        <f t="shared" si="28"/>
        <v>2</v>
      </c>
      <c r="H363" s="53">
        <f t="shared" si="29"/>
        <v>2</v>
      </c>
      <c r="I363" s="53" t="str">
        <f t="shared" si="30"/>
        <v>ww</v>
      </c>
      <c r="J363" s="53"/>
    </row>
    <row r="364" spans="1:10" x14ac:dyDescent="0.25">
      <c r="A364" s="93">
        <v>44536</v>
      </c>
      <c r="B364" s="35">
        <f t="shared" si="26"/>
        <v>156</v>
      </c>
      <c r="C364" s="76">
        <v>12</v>
      </c>
      <c r="D364" s="53">
        <v>2021</v>
      </c>
      <c r="E364" s="56">
        <v>10.066666666666668</v>
      </c>
      <c r="F364" s="53">
        <f t="shared" si="27"/>
        <v>1</v>
      </c>
      <c r="G364" s="53">
        <f t="shared" si="28"/>
        <v>2</v>
      </c>
      <c r="H364" s="53">
        <f t="shared" si="29"/>
        <v>2</v>
      </c>
      <c r="I364" s="53" t="str">
        <f t="shared" si="30"/>
        <v>ww</v>
      </c>
      <c r="J364" s="53"/>
    </row>
    <row r="365" spans="1:10" x14ac:dyDescent="0.25">
      <c r="A365" s="93">
        <v>44537</v>
      </c>
      <c r="B365" s="35">
        <f t="shared" si="26"/>
        <v>156</v>
      </c>
      <c r="C365" s="76">
        <v>12</v>
      </c>
      <c r="D365" s="53">
        <v>2021</v>
      </c>
      <c r="E365" s="56">
        <v>1.2</v>
      </c>
      <c r="F365" s="53">
        <f t="shared" si="27"/>
        <v>1</v>
      </c>
      <c r="G365" s="53">
        <f t="shared" si="28"/>
        <v>2</v>
      </c>
      <c r="H365" s="53">
        <f t="shared" si="29"/>
        <v>2</v>
      </c>
      <c r="I365" s="53" t="str">
        <f t="shared" si="30"/>
        <v>ww</v>
      </c>
      <c r="J365" s="53"/>
    </row>
    <row r="366" spans="1:10" x14ac:dyDescent="0.25">
      <c r="A366" s="93">
        <v>44538</v>
      </c>
      <c r="B366" s="35">
        <f t="shared" si="26"/>
        <v>156</v>
      </c>
      <c r="C366" s="76">
        <v>12</v>
      </c>
      <c r="D366" s="53">
        <v>2021</v>
      </c>
      <c r="E366" s="56">
        <v>2.8000000000000003</v>
      </c>
      <c r="F366" s="53">
        <f t="shared" si="27"/>
        <v>1</v>
      </c>
      <c r="G366" s="53">
        <f t="shared" si="28"/>
        <v>2</v>
      </c>
      <c r="H366" s="53">
        <f t="shared" si="29"/>
        <v>2</v>
      </c>
      <c r="I366" s="53" t="str">
        <f t="shared" si="30"/>
        <v>ww</v>
      </c>
      <c r="J366" s="53"/>
    </row>
    <row r="367" spans="1:10" x14ac:dyDescent="0.25">
      <c r="A367" s="93">
        <v>44539</v>
      </c>
      <c r="B367" s="35">
        <f t="shared" si="26"/>
        <v>156</v>
      </c>
      <c r="C367" s="76">
        <v>12</v>
      </c>
      <c r="D367" s="53">
        <v>2021</v>
      </c>
      <c r="E367" s="56">
        <v>0</v>
      </c>
      <c r="F367" s="53">
        <f t="shared" si="27"/>
        <v>0</v>
      </c>
      <c r="G367" s="53">
        <f t="shared" si="28"/>
        <v>1</v>
      </c>
      <c r="H367" s="53">
        <f t="shared" si="29"/>
        <v>1</v>
      </c>
      <c r="I367" s="53" t="str">
        <f t="shared" si="30"/>
        <v>wd</v>
      </c>
      <c r="J367" s="53"/>
    </row>
    <row r="368" spans="1:10" x14ac:dyDescent="0.25">
      <c r="A368" s="93">
        <v>44540</v>
      </c>
      <c r="B368" s="35">
        <f t="shared" si="26"/>
        <v>156</v>
      </c>
      <c r="C368" s="76">
        <v>12</v>
      </c>
      <c r="D368" s="53">
        <v>2021</v>
      </c>
      <c r="E368" s="56">
        <v>6.4666666666666659</v>
      </c>
      <c r="F368" s="53">
        <f t="shared" si="27"/>
        <v>1</v>
      </c>
      <c r="G368" s="53">
        <f t="shared" si="28"/>
        <v>1</v>
      </c>
      <c r="H368" s="53">
        <f t="shared" si="29"/>
        <v>-1</v>
      </c>
      <c r="I368" s="53" t="str">
        <f t="shared" si="30"/>
        <v>dw</v>
      </c>
      <c r="J368" s="53"/>
    </row>
    <row r="369" spans="1:10" x14ac:dyDescent="0.25">
      <c r="A369" s="93">
        <v>44541</v>
      </c>
      <c r="B369" s="35">
        <f t="shared" si="26"/>
        <v>156</v>
      </c>
      <c r="C369" s="76">
        <v>12</v>
      </c>
      <c r="D369" s="53">
        <v>2021</v>
      </c>
      <c r="E369" s="56">
        <v>6.6666666666666666E-2</v>
      </c>
      <c r="F369" s="53">
        <f t="shared" si="27"/>
        <v>1</v>
      </c>
      <c r="G369" s="53">
        <f t="shared" si="28"/>
        <v>2</v>
      </c>
      <c r="H369" s="53">
        <f t="shared" si="29"/>
        <v>2</v>
      </c>
      <c r="I369" s="53" t="str">
        <f t="shared" si="30"/>
        <v>ww</v>
      </c>
      <c r="J369" s="53"/>
    </row>
    <row r="370" spans="1:10" x14ac:dyDescent="0.25">
      <c r="A370" s="93">
        <v>44542</v>
      </c>
      <c r="B370" s="35">
        <f t="shared" si="26"/>
        <v>156</v>
      </c>
      <c r="C370" s="76">
        <v>12</v>
      </c>
      <c r="D370" s="53">
        <v>2021</v>
      </c>
      <c r="E370" s="56">
        <v>1.4000000000000001</v>
      </c>
      <c r="F370" s="53">
        <f t="shared" si="27"/>
        <v>1</v>
      </c>
      <c r="G370" s="53">
        <f t="shared" si="28"/>
        <v>2</v>
      </c>
      <c r="H370" s="53">
        <f t="shared" si="29"/>
        <v>2</v>
      </c>
      <c r="I370" s="53" t="str">
        <f t="shared" si="30"/>
        <v>ww</v>
      </c>
      <c r="J370" s="53"/>
    </row>
    <row r="371" spans="1:10" x14ac:dyDescent="0.25">
      <c r="A371" s="93">
        <v>44543</v>
      </c>
      <c r="B371" s="35">
        <f t="shared" si="26"/>
        <v>156</v>
      </c>
      <c r="C371" s="76">
        <v>12</v>
      </c>
      <c r="D371" s="53">
        <v>2021</v>
      </c>
      <c r="E371" s="56">
        <v>0.13333333333333333</v>
      </c>
      <c r="F371" s="53">
        <f t="shared" si="27"/>
        <v>1</v>
      </c>
      <c r="G371" s="53">
        <f t="shared" si="28"/>
        <v>2</v>
      </c>
      <c r="H371" s="53">
        <f t="shared" si="29"/>
        <v>2</v>
      </c>
      <c r="I371" s="53" t="str">
        <f t="shared" si="30"/>
        <v>ww</v>
      </c>
      <c r="J371" s="53"/>
    </row>
    <row r="372" spans="1:10" x14ac:dyDescent="0.25">
      <c r="A372" s="93">
        <v>44544</v>
      </c>
      <c r="B372" s="35">
        <f t="shared" si="26"/>
        <v>156</v>
      </c>
      <c r="C372" s="76">
        <v>12</v>
      </c>
      <c r="D372" s="53">
        <v>2021</v>
      </c>
      <c r="E372" s="56">
        <v>6.6666666666666666E-2</v>
      </c>
      <c r="F372" s="53">
        <f t="shared" si="27"/>
        <v>1</v>
      </c>
      <c r="G372" s="53">
        <f t="shared" si="28"/>
        <v>2</v>
      </c>
      <c r="H372" s="53">
        <f t="shared" si="29"/>
        <v>2</v>
      </c>
      <c r="I372" s="53" t="str">
        <f t="shared" si="30"/>
        <v>ww</v>
      </c>
      <c r="J372" s="53"/>
    </row>
    <row r="373" spans="1:10" x14ac:dyDescent="0.25">
      <c r="A373" s="93">
        <v>44545</v>
      </c>
      <c r="B373" s="35">
        <f t="shared" si="26"/>
        <v>156</v>
      </c>
      <c r="C373" s="76">
        <v>12</v>
      </c>
      <c r="D373" s="53">
        <v>2021</v>
      </c>
      <c r="E373" s="56">
        <v>0</v>
      </c>
      <c r="F373" s="53">
        <f t="shared" si="27"/>
        <v>0</v>
      </c>
      <c r="G373" s="53">
        <f t="shared" si="28"/>
        <v>1</v>
      </c>
      <c r="H373" s="53">
        <f t="shared" si="29"/>
        <v>1</v>
      </c>
      <c r="I373" s="53" t="str">
        <f t="shared" si="30"/>
        <v>wd</v>
      </c>
      <c r="J373" s="53"/>
    </row>
    <row r="374" spans="1:10" x14ac:dyDescent="0.25">
      <c r="A374" s="93">
        <v>44546</v>
      </c>
      <c r="B374" s="35">
        <f t="shared" si="26"/>
        <v>156</v>
      </c>
      <c r="C374" s="76">
        <v>12</v>
      </c>
      <c r="D374" s="53">
        <v>2021</v>
      </c>
      <c r="E374" s="56">
        <v>0</v>
      </c>
      <c r="F374" s="53">
        <f t="shared" si="27"/>
        <v>0</v>
      </c>
      <c r="G374" s="53">
        <f t="shared" si="28"/>
        <v>0</v>
      </c>
      <c r="H374" s="53">
        <f t="shared" si="29"/>
        <v>0</v>
      </c>
      <c r="I374" s="53" t="str">
        <f t="shared" si="30"/>
        <v>dd</v>
      </c>
      <c r="J374" s="53"/>
    </row>
    <row r="375" spans="1:10" x14ac:dyDescent="0.25">
      <c r="A375" s="93">
        <v>44547</v>
      </c>
      <c r="B375" s="35">
        <f t="shared" si="26"/>
        <v>156</v>
      </c>
      <c r="C375" s="76">
        <v>12</v>
      </c>
      <c r="D375" s="53">
        <v>2021</v>
      </c>
      <c r="E375" s="56">
        <v>0</v>
      </c>
      <c r="F375" s="53">
        <f t="shared" si="27"/>
        <v>0</v>
      </c>
      <c r="G375" s="53">
        <f t="shared" si="28"/>
        <v>0</v>
      </c>
      <c r="H375" s="53">
        <f t="shared" si="29"/>
        <v>0</v>
      </c>
      <c r="I375" s="53" t="str">
        <f t="shared" si="30"/>
        <v>dd</v>
      </c>
      <c r="J375" s="53"/>
    </row>
    <row r="376" spans="1:10" x14ac:dyDescent="0.25">
      <c r="A376" s="93">
        <v>44548</v>
      </c>
      <c r="B376" s="35">
        <f t="shared" si="26"/>
        <v>156</v>
      </c>
      <c r="C376" s="76">
        <v>12</v>
      </c>
      <c r="D376" s="53">
        <v>2021</v>
      </c>
      <c r="E376" s="56">
        <v>6.6666666666666666E-2</v>
      </c>
      <c r="F376" s="53">
        <f t="shared" si="27"/>
        <v>1</v>
      </c>
      <c r="G376" s="53">
        <f t="shared" si="28"/>
        <v>1</v>
      </c>
      <c r="H376" s="53">
        <f t="shared" si="29"/>
        <v>-1</v>
      </c>
      <c r="I376" s="53" t="str">
        <f t="shared" si="30"/>
        <v>dw</v>
      </c>
      <c r="J376" s="53"/>
    </row>
    <row r="377" spans="1:10" x14ac:dyDescent="0.25">
      <c r="A377" s="93">
        <v>44549</v>
      </c>
      <c r="B377" s="35">
        <f t="shared" si="26"/>
        <v>156</v>
      </c>
      <c r="C377" s="76">
        <v>12</v>
      </c>
      <c r="D377" s="53">
        <v>2021</v>
      </c>
      <c r="E377" s="56">
        <v>0.53333333333333333</v>
      </c>
      <c r="F377" s="53">
        <f t="shared" si="27"/>
        <v>1</v>
      </c>
      <c r="G377" s="53">
        <f t="shared" si="28"/>
        <v>2</v>
      </c>
      <c r="H377" s="53">
        <f t="shared" si="29"/>
        <v>2</v>
      </c>
      <c r="I377" s="53" t="str">
        <f t="shared" si="30"/>
        <v>ww</v>
      </c>
      <c r="J377" s="53"/>
    </row>
    <row r="378" spans="1:10" x14ac:dyDescent="0.25">
      <c r="A378" s="93">
        <v>44550</v>
      </c>
      <c r="B378" s="35">
        <f t="shared" si="26"/>
        <v>156</v>
      </c>
      <c r="C378" s="76">
        <v>12</v>
      </c>
      <c r="D378" s="53">
        <v>2021</v>
      </c>
      <c r="E378" s="56">
        <v>0.93333333333333346</v>
      </c>
      <c r="F378" s="53">
        <f t="shared" si="27"/>
        <v>1</v>
      </c>
      <c r="G378" s="53">
        <f t="shared" si="28"/>
        <v>2</v>
      </c>
      <c r="H378" s="53">
        <f t="shared" si="29"/>
        <v>2</v>
      </c>
      <c r="I378" s="53" t="str">
        <f t="shared" si="30"/>
        <v>ww</v>
      </c>
      <c r="J378" s="53"/>
    </row>
    <row r="379" spans="1:10" x14ac:dyDescent="0.25">
      <c r="A379" s="93">
        <v>44551</v>
      </c>
      <c r="B379" s="35">
        <f t="shared" si="26"/>
        <v>156</v>
      </c>
      <c r="C379" s="76">
        <v>12</v>
      </c>
      <c r="D379" s="53">
        <v>2021</v>
      </c>
      <c r="E379" s="56">
        <v>0</v>
      </c>
      <c r="F379" s="53">
        <f t="shared" si="27"/>
        <v>0</v>
      </c>
      <c r="G379" s="53">
        <f t="shared" si="28"/>
        <v>1</v>
      </c>
      <c r="H379" s="53">
        <f t="shared" si="29"/>
        <v>1</v>
      </c>
      <c r="I379" s="53" t="str">
        <f t="shared" si="30"/>
        <v>wd</v>
      </c>
      <c r="J379" s="53"/>
    </row>
    <row r="380" spans="1:10" x14ac:dyDescent="0.25">
      <c r="A380" s="93">
        <v>44552</v>
      </c>
      <c r="B380" s="35">
        <f t="shared" si="26"/>
        <v>156</v>
      </c>
      <c r="C380" s="76">
        <v>12</v>
      </c>
      <c r="D380" s="53">
        <v>2021</v>
      </c>
      <c r="E380" s="56">
        <v>0</v>
      </c>
      <c r="F380" s="53">
        <f t="shared" si="27"/>
        <v>0</v>
      </c>
      <c r="G380" s="53">
        <f t="shared" si="28"/>
        <v>0</v>
      </c>
      <c r="H380" s="53">
        <f t="shared" si="29"/>
        <v>0</v>
      </c>
      <c r="I380" s="53" t="str">
        <f t="shared" si="30"/>
        <v>dd</v>
      </c>
      <c r="J380" s="53"/>
    </row>
    <row r="381" spans="1:10" x14ac:dyDescent="0.25">
      <c r="A381" s="93">
        <v>44553</v>
      </c>
      <c r="B381" s="35">
        <f t="shared" si="26"/>
        <v>156</v>
      </c>
      <c r="C381" s="76">
        <v>12</v>
      </c>
      <c r="D381" s="53">
        <v>2021</v>
      </c>
      <c r="E381" s="56">
        <v>2.3333333333333335</v>
      </c>
      <c r="F381" s="53">
        <f t="shared" si="27"/>
        <v>1</v>
      </c>
      <c r="G381" s="53">
        <f t="shared" si="28"/>
        <v>1</v>
      </c>
      <c r="H381" s="53">
        <f t="shared" si="29"/>
        <v>-1</v>
      </c>
      <c r="I381" s="53" t="str">
        <f t="shared" si="30"/>
        <v>dw</v>
      </c>
      <c r="J381" s="53"/>
    </row>
    <row r="382" spans="1:10" x14ac:dyDescent="0.25">
      <c r="A382" s="93">
        <v>44554</v>
      </c>
      <c r="B382" s="35">
        <f t="shared" si="26"/>
        <v>156</v>
      </c>
      <c r="C382" s="76">
        <v>12</v>
      </c>
      <c r="D382" s="53">
        <v>2021</v>
      </c>
      <c r="E382" s="56">
        <v>6.8</v>
      </c>
      <c r="F382" s="53">
        <f t="shared" si="27"/>
        <v>1</v>
      </c>
      <c r="G382" s="53">
        <f t="shared" si="28"/>
        <v>2</v>
      </c>
      <c r="H382" s="53">
        <f t="shared" si="29"/>
        <v>2</v>
      </c>
      <c r="I382" s="53" t="str">
        <f t="shared" si="30"/>
        <v>ww</v>
      </c>
      <c r="J382" s="53"/>
    </row>
    <row r="383" spans="1:10" x14ac:dyDescent="0.25">
      <c r="A383" s="93">
        <v>44555</v>
      </c>
      <c r="B383" s="35">
        <f t="shared" si="26"/>
        <v>156</v>
      </c>
      <c r="C383" s="76">
        <v>12</v>
      </c>
      <c r="D383" s="53">
        <v>2021</v>
      </c>
      <c r="E383" s="56">
        <v>0.86666666666666659</v>
      </c>
      <c r="F383" s="53">
        <f t="shared" si="27"/>
        <v>1</v>
      </c>
      <c r="G383" s="53">
        <f t="shared" si="28"/>
        <v>2</v>
      </c>
      <c r="H383" s="53">
        <f t="shared" si="29"/>
        <v>2</v>
      </c>
      <c r="I383" s="53" t="str">
        <f t="shared" si="30"/>
        <v>ww</v>
      </c>
      <c r="J383" s="53"/>
    </row>
    <row r="384" spans="1:10" x14ac:dyDescent="0.25">
      <c r="A384" s="93">
        <v>44556</v>
      </c>
      <c r="B384" s="35">
        <f t="shared" si="26"/>
        <v>156</v>
      </c>
      <c r="C384" s="76">
        <v>12</v>
      </c>
      <c r="D384" s="53">
        <v>2021</v>
      </c>
      <c r="E384" s="56">
        <v>1.8</v>
      </c>
      <c r="F384" s="53">
        <f t="shared" si="27"/>
        <v>1</v>
      </c>
      <c r="G384" s="53">
        <f t="shared" si="28"/>
        <v>2</v>
      </c>
      <c r="H384" s="53">
        <f t="shared" si="29"/>
        <v>2</v>
      </c>
      <c r="I384" s="53" t="str">
        <f t="shared" si="30"/>
        <v>ww</v>
      </c>
      <c r="J384" s="53"/>
    </row>
    <row r="385" spans="1:10" x14ac:dyDescent="0.25">
      <c r="A385" s="93">
        <v>44557</v>
      </c>
      <c r="B385" s="35">
        <f t="shared" si="26"/>
        <v>156</v>
      </c>
      <c r="C385" s="76">
        <v>12</v>
      </c>
      <c r="D385" s="53">
        <v>2021</v>
      </c>
      <c r="E385" s="56">
        <v>3.7333333333333338</v>
      </c>
      <c r="F385" s="53">
        <f t="shared" si="27"/>
        <v>1</v>
      </c>
      <c r="G385" s="53">
        <f t="shared" si="28"/>
        <v>2</v>
      </c>
      <c r="H385" s="53">
        <f t="shared" si="29"/>
        <v>2</v>
      </c>
      <c r="I385" s="53" t="str">
        <f t="shared" si="30"/>
        <v>ww</v>
      </c>
      <c r="J385" s="53"/>
    </row>
    <row r="386" spans="1:10" x14ac:dyDescent="0.25">
      <c r="A386" s="93">
        <v>44558</v>
      </c>
      <c r="B386" s="35">
        <f t="shared" ref="B386:B449" si="31">C386+(D386-2009)*12</f>
        <v>156</v>
      </c>
      <c r="C386" s="76">
        <v>12</v>
      </c>
      <c r="D386" s="53">
        <v>2021</v>
      </c>
      <c r="E386" s="56">
        <v>2.5333333333333332</v>
      </c>
      <c r="F386" s="53">
        <f t="shared" ref="F386:F449" si="32">IF(E386&gt;0,1,0)</f>
        <v>1</v>
      </c>
      <c r="G386" s="53">
        <f t="shared" ref="G386:G449" si="33">SUM(F385:F386)</f>
        <v>2</v>
      </c>
      <c r="H386" s="53">
        <f t="shared" ref="H386:H449" si="34">IF(G386=1,IF(F385=1,1,-1),G386)</f>
        <v>2</v>
      </c>
      <c r="I386" s="53" t="str">
        <f t="shared" ref="I386:I449" si="35">VLOOKUP(H386,codes,2,)</f>
        <v>ww</v>
      </c>
      <c r="J386" s="53"/>
    </row>
    <row r="387" spans="1:10" x14ac:dyDescent="0.25">
      <c r="A387" s="93">
        <v>44559</v>
      </c>
      <c r="B387" s="35">
        <f t="shared" si="31"/>
        <v>156</v>
      </c>
      <c r="C387" s="76">
        <v>12</v>
      </c>
      <c r="D387" s="53">
        <v>2021</v>
      </c>
      <c r="E387" s="56">
        <v>1.8666666666666665</v>
      </c>
      <c r="F387" s="53">
        <f t="shared" si="32"/>
        <v>1</v>
      </c>
      <c r="G387" s="53">
        <f t="shared" si="33"/>
        <v>2</v>
      </c>
      <c r="H387" s="53">
        <f t="shared" si="34"/>
        <v>2</v>
      </c>
      <c r="I387" s="53" t="str">
        <f t="shared" si="35"/>
        <v>ww</v>
      </c>
      <c r="J387" s="53"/>
    </row>
    <row r="388" spans="1:10" x14ac:dyDescent="0.25">
      <c r="A388" s="93">
        <v>44560</v>
      </c>
      <c r="B388" s="35">
        <f t="shared" si="31"/>
        <v>156</v>
      </c>
      <c r="C388" s="76">
        <v>12</v>
      </c>
      <c r="D388" s="53">
        <v>2021</v>
      </c>
      <c r="E388" s="56">
        <v>3.6666666666666665</v>
      </c>
      <c r="F388" s="53">
        <f t="shared" si="32"/>
        <v>1</v>
      </c>
      <c r="G388" s="53">
        <f t="shared" si="33"/>
        <v>2</v>
      </c>
      <c r="H388" s="53">
        <f t="shared" si="34"/>
        <v>2</v>
      </c>
      <c r="I388" s="53" t="str">
        <f t="shared" si="35"/>
        <v>ww</v>
      </c>
      <c r="J388" s="53"/>
    </row>
    <row r="389" spans="1:10" x14ac:dyDescent="0.25">
      <c r="A389" s="93">
        <v>44561</v>
      </c>
      <c r="B389" s="35">
        <f t="shared" si="31"/>
        <v>156</v>
      </c>
      <c r="C389" s="76">
        <v>12</v>
      </c>
      <c r="D389" s="53">
        <v>2021</v>
      </c>
      <c r="E389" s="56">
        <v>15</v>
      </c>
      <c r="F389" s="53">
        <f t="shared" si="32"/>
        <v>1</v>
      </c>
      <c r="G389" s="53">
        <f t="shared" si="33"/>
        <v>2</v>
      </c>
      <c r="H389" s="53">
        <f t="shared" si="34"/>
        <v>2</v>
      </c>
      <c r="I389" s="53" t="str">
        <f t="shared" si="35"/>
        <v>ww</v>
      </c>
      <c r="J389" s="53"/>
    </row>
    <row r="390" spans="1:10" x14ac:dyDescent="0.25">
      <c r="A390" s="93">
        <v>44896</v>
      </c>
      <c r="B390" s="35">
        <f t="shared" si="31"/>
        <v>168</v>
      </c>
      <c r="C390" s="76">
        <v>12</v>
      </c>
      <c r="D390" s="53">
        <v>2022</v>
      </c>
      <c r="E390" s="56">
        <v>0</v>
      </c>
      <c r="F390" s="53">
        <f t="shared" si="32"/>
        <v>0</v>
      </c>
      <c r="G390" s="53">
        <f t="shared" si="33"/>
        <v>1</v>
      </c>
      <c r="H390" s="53">
        <f t="shared" si="34"/>
        <v>1</v>
      </c>
      <c r="I390" s="53" t="str">
        <f t="shared" si="35"/>
        <v>wd</v>
      </c>
      <c r="J390" s="53"/>
    </row>
    <row r="391" spans="1:10" x14ac:dyDescent="0.25">
      <c r="A391" s="93">
        <v>44897</v>
      </c>
      <c r="B391" s="35">
        <f t="shared" si="31"/>
        <v>168</v>
      </c>
      <c r="C391" s="76">
        <v>12</v>
      </c>
      <c r="D391" s="53">
        <v>2022</v>
      </c>
      <c r="E391" s="56">
        <v>1.2</v>
      </c>
      <c r="F391" s="53">
        <f t="shared" si="32"/>
        <v>1</v>
      </c>
      <c r="G391" s="53">
        <f t="shared" si="33"/>
        <v>1</v>
      </c>
      <c r="H391" s="53">
        <f t="shared" si="34"/>
        <v>-1</v>
      </c>
      <c r="I391" s="53" t="str">
        <f t="shared" si="35"/>
        <v>dw</v>
      </c>
      <c r="J391" s="53"/>
    </row>
    <row r="392" spans="1:10" x14ac:dyDescent="0.25">
      <c r="A392" s="93">
        <v>44898</v>
      </c>
      <c r="B392" s="35">
        <f t="shared" si="31"/>
        <v>168</v>
      </c>
      <c r="C392" s="76">
        <v>12</v>
      </c>
      <c r="D392" s="53">
        <v>2022</v>
      </c>
      <c r="E392" s="56">
        <v>1.2000000000000002</v>
      </c>
      <c r="F392" s="53">
        <f t="shared" si="32"/>
        <v>1</v>
      </c>
      <c r="G392" s="53">
        <f t="shared" si="33"/>
        <v>2</v>
      </c>
      <c r="H392" s="53">
        <f t="shared" si="34"/>
        <v>2</v>
      </c>
      <c r="I392" s="53" t="str">
        <f t="shared" si="35"/>
        <v>ww</v>
      </c>
      <c r="J392" s="53"/>
    </row>
    <row r="393" spans="1:10" x14ac:dyDescent="0.25">
      <c r="A393" s="93">
        <v>44899</v>
      </c>
      <c r="B393" s="35">
        <f t="shared" si="31"/>
        <v>168</v>
      </c>
      <c r="C393" s="76">
        <v>12</v>
      </c>
      <c r="D393" s="53">
        <v>2022</v>
      </c>
      <c r="E393" s="56">
        <v>2.8000000000000003</v>
      </c>
      <c r="F393" s="53">
        <f t="shared" si="32"/>
        <v>1</v>
      </c>
      <c r="G393" s="53">
        <f t="shared" si="33"/>
        <v>2</v>
      </c>
      <c r="H393" s="53">
        <f t="shared" si="34"/>
        <v>2</v>
      </c>
      <c r="I393" s="53" t="str">
        <f t="shared" si="35"/>
        <v>ww</v>
      </c>
      <c r="J393" s="53"/>
    </row>
    <row r="394" spans="1:10" x14ac:dyDescent="0.25">
      <c r="A394" s="93">
        <v>44900</v>
      </c>
      <c r="B394" s="35">
        <f t="shared" si="31"/>
        <v>168</v>
      </c>
      <c r="C394" s="76">
        <v>12</v>
      </c>
      <c r="D394" s="53">
        <v>2022</v>
      </c>
      <c r="E394" s="56">
        <v>5.3999999999999995</v>
      </c>
      <c r="F394" s="53">
        <f t="shared" si="32"/>
        <v>1</v>
      </c>
      <c r="G394" s="53">
        <f t="shared" si="33"/>
        <v>2</v>
      </c>
      <c r="H394" s="53">
        <f t="shared" si="34"/>
        <v>2</v>
      </c>
      <c r="I394" s="53" t="str">
        <f t="shared" si="35"/>
        <v>ww</v>
      </c>
      <c r="J394" s="53"/>
    </row>
    <row r="395" spans="1:10" x14ac:dyDescent="0.25">
      <c r="A395" s="93">
        <v>44901</v>
      </c>
      <c r="B395" s="35">
        <f t="shared" si="31"/>
        <v>168</v>
      </c>
      <c r="C395" s="76">
        <v>12</v>
      </c>
      <c r="D395" s="53">
        <v>2022</v>
      </c>
      <c r="E395" s="56">
        <v>3.9333333333333336</v>
      </c>
      <c r="F395" s="53">
        <f t="shared" si="32"/>
        <v>1</v>
      </c>
      <c r="G395" s="53">
        <f t="shared" si="33"/>
        <v>2</v>
      </c>
      <c r="H395" s="53">
        <f t="shared" si="34"/>
        <v>2</v>
      </c>
      <c r="I395" s="53" t="str">
        <f t="shared" si="35"/>
        <v>ww</v>
      </c>
      <c r="J395" s="53"/>
    </row>
    <row r="396" spans="1:10" x14ac:dyDescent="0.25">
      <c r="A396" s="93">
        <v>44902</v>
      </c>
      <c r="B396" s="35">
        <f t="shared" si="31"/>
        <v>168</v>
      </c>
      <c r="C396" s="76">
        <v>12</v>
      </c>
      <c r="D396" s="53">
        <v>2022</v>
      </c>
      <c r="E396" s="56">
        <v>4.333333333333333</v>
      </c>
      <c r="F396" s="53">
        <f t="shared" si="32"/>
        <v>1</v>
      </c>
      <c r="G396" s="53">
        <f t="shared" si="33"/>
        <v>2</v>
      </c>
      <c r="H396" s="53">
        <f t="shared" si="34"/>
        <v>2</v>
      </c>
      <c r="I396" s="53" t="str">
        <f t="shared" si="35"/>
        <v>ww</v>
      </c>
      <c r="J396" s="53"/>
    </row>
    <row r="397" spans="1:10" x14ac:dyDescent="0.25">
      <c r="A397" s="93">
        <v>44903</v>
      </c>
      <c r="B397" s="35">
        <f t="shared" si="31"/>
        <v>168</v>
      </c>
      <c r="C397" s="76">
        <v>12</v>
      </c>
      <c r="D397" s="53">
        <v>2022</v>
      </c>
      <c r="E397" s="56">
        <v>6.6666666666666666E-2</v>
      </c>
      <c r="F397" s="53">
        <f t="shared" si="32"/>
        <v>1</v>
      </c>
      <c r="G397" s="53">
        <f t="shared" si="33"/>
        <v>2</v>
      </c>
      <c r="H397" s="53">
        <f t="shared" si="34"/>
        <v>2</v>
      </c>
      <c r="I397" s="53" t="str">
        <f t="shared" si="35"/>
        <v>ww</v>
      </c>
      <c r="J397" s="53"/>
    </row>
    <row r="398" spans="1:10" x14ac:dyDescent="0.25">
      <c r="A398" s="93">
        <v>44904</v>
      </c>
      <c r="B398" s="35">
        <f t="shared" si="31"/>
        <v>168</v>
      </c>
      <c r="C398" s="76">
        <v>12</v>
      </c>
      <c r="D398" s="53">
        <v>2022</v>
      </c>
      <c r="E398" s="56">
        <v>2.7999999999999994</v>
      </c>
      <c r="F398" s="53">
        <f t="shared" si="32"/>
        <v>1</v>
      </c>
      <c r="G398" s="53">
        <f t="shared" si="33"/>
        <v>2</v>
      </c>
      <c r="H398" s="53">
        <f t="shared" si="34"/>
        <v>2</v>
      </c>
      <c r="I398" s="53" t="str">
        <f t="shared" si="35"/>
        <v>ww</v>
      </c>
      <c r="J398" s="53"/>
    </row>
    <row r="399" spans="1:10" x14ac:dyDescent="0.25">
      <c r="A399" s="93">
        <v>44905</v>
      </c>
      <c r="B399" s="35">
        <f t="shared" si="31"/>
        <v>168</v>
      </c>
      <c r="C399" s="76">
        <v>12</v>
      </c>
      <c r="D399" s="53">
        <v>2022</v>
      </c>
      <c r="E399" s="56">
        <v>6.6666666666666666E-2</v>
      </c>
      <c r="F399" s="53">
        <f t="shared" si="32"/>
        <v>1</v>
      </c>
      <c r="G399" s="53">
        <f t="shared" si="33"/>
        <v>2</v>
      </c>
      <c r="H399" s="53">
        <f t="shared" si="34"/>
        <v>2</v>
      </c>
      <c r="I399" s="53" t="str">
        <f t="shared" si="35"/>
        <v>ww</v>
      </c>
      <c r="J399" s="53"/>
    </row>
    <row r="400" spans="1:10" x14ac:dyDescent="0.25">
      <c r="A400" s="93">
        <v>44906</v>
      </c>
      <c r="B400" s="35">
        <f t="shared" si="31"/>
        <v>168</v>
      </c>
      <c r="C400" s="76">
        <v>12</v>
      </c>
      <c r="D400" s="53">
        <v>2022</v>
      </c>
      <c r="E400" s="56">
        <v>0.46666666666666662</v>
      </c>
      <c r="F400" s="53">
        <f t="shared" si="32"/>
        <v>1</v>
      </c>
      <c r="G400" s="53">
        <f t="shared" si="33"/>
        <v>2</v>
      </c>
      <c r="H400" s="53">
        <f t="shared" si="34"/>
        <v>2</v>
      </c>
      <c r="I400" s="53" t="str">
        <f t="shared" si="35"/>
        <v>ww</v>
      </c>
      <c r="J400" s="53"/>
    </row>
    <row r="401" spans="1:10" x14ac:dyDescent="0.25">
      <c r="A401" s="93">
        <v>44907</v>
      </c>
      <c r="B401" s="35">
        <f t="shared" si="31"/>
        <v>168</v>
      </c>
      <c r="C401" s="76">
        <v>12</v>
      </c>
      <c r="D401" s="53">
        <v>2022</v>
      </c>
      <c r="E401" s="56">
        <v>2.8000000000000003</v>
      </c>
      <c r="F401" s="53">
        <f t="shared" si="32"/>
        <v>1</v>
      </c>
      <c r="G401" s="53">
        <f t="shared" si="33"/>
        <v>2</v>
      </c>
      <c r="H401" s="53">
        <f t="shared" si="34"/>
        <v>2</v>
      </c>
      <c r="I401" s="53" t="str">
        <f t="shared" si="35"/>
        <v>ww</v>
      </c>
      <c r="J401" s="53"/>
    </row>
    <row r="402" spans="1:10" x14ac:dyDescent="0.25">
      <c r="A402" s="93">
        <v>44908</v>
      </c>
      <c r="B402" s="35">
        <f t="shared" si="31"/>
        <v>168</v>
      </c>
      <c r="C402" s="76">
        <v>12</v>
      </c>
      <c r="D402" s="53">
        <v>2022</v>
      </c>
      <c r="E402" s="56">
        <v>0</v>
      </c>
      <c r="F402" s="53">
        <f t="shared" si="32"/>
        <v>0</v>
      </c>
      <c r="G402" s="53">
        <f t="shared" si="33"/>
        <v>1</v>
      </c>
      <c r="H402" s="53">
        <f t="shared" si="34"/>
        <v>1</v>
      </c>
      <c r="I402" s="53" t="str">
        <f t="shared" si="35"/>
        <v>wd</v>
      </c>
      <c r="J402" s="53"/>
    </row>
    <row r="403" spans="1:10" x14ac:dyDescent="0.25">
      <c r="A403" s="93">
        <v>44909</v>
      </c>
      <c r="B403" s="35">
        <f t="shared" si="31"/>
        <v>168</v>
      </c>
      <c r="C403" s="76">
        <v>12</v>
      </c>
      <c r="D403" s="53">
        <v>2022</v>
      </c>
      <c r="E403" s="56">
        <v>0.16666666666666666</v>
      </c>
      <c r="F403" s="53">
        <f t="shared" si="32"/>
        <v>1</v>
      </c>
      <c r="G403" s="53">
        <f t="shared" si="33"/>
        <v>1</v>
      </c>
      <c r="H403" s="53">
        <f t="shared" si="34"/>
        <v>-1</v>
      </c>
      <c r="I403" s="53" t="str">
        <f t="shared" si="35"/>
        <v>dw</v>
      </c>
      <c r="J403" s="53"/>
    </row>
    <row r="404" spans="1:10" x14ac:dyDescent="0.25">
      <c r="A404" s="93">
        <v>44910</v>
      </c>
      <c r="B404" s="35">
        <f t="shared" si="31"/>
        <v>168</v>
      </c>
      <c r="C404" s="76">
        <v>12</v>
      </c>
      <c r="D404" s="53">
        <v>2022</v>
      </c>
      <c r="E404" s="56">
        <v>6.6666666666666666E-2</v>
      </c>
      <c r="F404" s="53">
        <f t="shared" si="32"/>
        <v>1</v>
      </c>
      <c r="G404" s="53">
        <f t="shared" si="33"/>
        <v>2</v>
      </c>
      <c r="H404" s="53">
        <f t="shared" si="34"/>
        <v>2</v>
      </c>
      <c r="I404" s="53" t="str">
        <f t="shared" si="35"/>
        <v>ww</v>
      </c>
      <c r="J404" s="53"/>
    </row>
    <row r="405" spans="1:10" x14ac:dyDescent="0.25">
      <c r="A405" s="93">
        <v>44911</v>
      </c>
      <c r="B405" s="35">
        <f t="shared" si="31"/>
        <v>168</v>
      </c>
      <c r="C405" s="76">
        <v>12</v>
      </c>
      <c r="D405" s="53">
        <v>2022</v>
      </c>
      <c r="E405" s="56">
        <v>0.79999999999999993</v>
      </c>
      <c r="F405" s="53">
        <f t="shared" si="32"/>
        <v>1</v>
      </c>
      <c r="G405" s="53">
        <f t="shared" si="33"/>
        <v>2</v>
      </c>
      <c r="H405" s="53">
        <f t="shared" si="34"/>
        <v>2</v>
      </c>
      <c r="I405" s="53" t="str">
        <f t="shared" si="35"/>
        <v>ww</v>
      </c>
      <c r="J405" s="53"/>
    </row>
    <row r="406" spans="1:10" x14ac:dyDescent="0.25">
      <c r="A406" s="93">
        <v>44912</v>
      </c>
      <c r="B406" s="35">
        <f t="shared" si="31"/>
        <v>168</v>
      </c>
      <c r="C406" s="76">
        <v>12</v>
      </c>
      <c r="D406" s="53">
        <v>2022</v>
      </c>
      <c r="E406" s="56">
        <v>0.70000000000000007</v>
      </c>
      <c r="F406" s="53">
        <f t="shared" si="32"/>
        <v>1</v>
      </c>
      <c r="G406" s="53">
        <f t="shared" si="33"/>
        <v>2</v>
      </c>
      <c r="H406" s="53">
        <f t="shared" si="34"/>
        <v>2</v>
      </c>
      <c r="I406" s="53" t="str">
        <f t="shared" si="35"/>
        <v>ww</v>
      </c>
      <c r="J406" s="53"/>
    </row>
    <row r="407" spans="1:10" x14ac:dyDescent="0.25">
      <c r="A407" s="93">
        <v>44913</v>
      </c>
      <c r="B407" s="35">
        <f t="shared" si="31"/>
        <v>168</v>
      </c>
      <c r="C407" s="76">
        <v>12</v>
      </c>
      <c r="D407" s="53">
        <v>2022</v>
      </c>
      <c r="E407" s="56">
        <v>0.13333333333333333</v>
      </c>
      <c r="F407" s="53">
        <f t="shared" si="32"/>
        <v>1</v>
      </c>
      <c r="G407" s="53">
        <f t="shared" si="33"/>
        <v>2</v>
      </c>
      <c r="H407" s="53">
        <f t="shared" si="34"/>
        <v>2</v>
      </c>
      <c r="I407" s="53" t="str">
        <f t="shared" si="35"/>
        <v>ww</v>
      </c>
      <c r="J407" s="53"/>
    </row>
    <row r="408" spans="1:10" x14ac:dyDescent="0.25">
      <c r="A408" s="93">
        <v>44914</v>
      </c>
      <c r="B408" s="35">
        <f t="shared" si="31"/>
        <v>168</v>
      </c>
      <c r="C408" s="76">
        <v>12</v>
      </c>
      <c r="D408" s="53">
        <v>2022</v>
      </c>
      <c r="E408" s="56">
        <v>2.9333333333333336</v>
      </c>
      <c r="F408" s="53">
        <f t="shared" si="32"/>
        <v>1</v>
      </c>
      <c r="G408" s="53">
        <f t="shared" si="33"/>
        <v>2</v>
      </c>
      <c r="H408" s="53">
        <f t="shared" si="34"/>
        <v>2</v>
      </c>
      <c r="I408" s="53" t="str">
        <f t="shared" si="35"/>
        <v>ww</v>
      </c>
      <c r="J408" s="53"/>
    </row>
    <row r="409" spans="1:10" x14ac:dyDescent="0.25">
      <c r="A409" s="93">
        <v>44915</v>
      </c>
      <c r="B409" s="35">
        <f t="shared" si="31"/>
        <v>168</v>
      </c>
      <c r="C409" s="76">
        <v>12</v>
      </c>
      <c r="D409" s="53">
        <v>2022</v>
      </c>
      <c r="E409" s="56">
        <v>0</v>
      </c>
      <c r="F409" s="53">
        <f t="shared" si="32"/>
        <v>0</v>
      </c>
      <c r="G409" s="53">
        <f t="shared" si="33"/>
        <v>1</v>
      </c>
      <c r="H409" s="53">
        <f t="shared" si="34"/>
        <v>1</v>
      </c>
      <c r="I409" s="53" t="str">
        <f t="shared" si="35"/>
        <v>wd</v>
      </c>
      <c r="J409" s="53"/>
    </row>
    <row r="410" spans="1:10" x14ac:dyDescent="0.25">
      <c r="A410" s="93">
        <v>44916</v>
      </c>
      <c r="B410" s="35">
        <f t="shared" si="31"/>
        <v>168</v>
      </c>
      <c r="C410" s="76">
        <v>12</v>
      </c>
      <c r="D410" s="53">
        <v>2022</v>
      </c>
      <c r="E410" s="56">
        <v>6.6666666666666666E-2</v>
      </c>
      <c r="F410" s="53">
        <f t="shared" si="32"/>
        <v>1</v>
      </c>
      <c r="G410" s="53">
        <f t="shared" si="33"/>
        <v>1</v>
      </c>
      <c r="H410" s="53">
        <f t="shared" si="34"/>
        <v>-1</v>
      </c>
      <c r="I410" s="53" t="str">
        <f t="shared" si="35"/>
        <v>dw</v>
      </c>
      <c r="J410" s="53"/>
    </row>
    <row r="411" spans="1:10" x14ac:dyDescent="0.25">
      <c r="A411" s="93">
        <v>44917</v>
      </c>
      <c r="B411" s="35">
        <f t="shared" si="31"/>
        <v>168</v>
      </c>
      <c r="C411" s="76">
        <v>12</v>
      </c>
      <c r="D411" s="53">
        <v>2022</v>
      </c>
      <c r="E411" s="56">
        <v>0</v>
      </c>
      <c r="F411" s="53">
        <f t="shared" si="32"/>
        <v>0</v>
      </c>
      <c r="G411" s="53">
        <f t="shared" si="33"/>
        <v>1</v>
      </c>
      <c r="H411" s="53">
        <f t="shared" si="34"/>
        <v>1</v>
      </c>
      <c r="I411" s="53" t="str">
        <f t="shared" si="35"/>
        <v>wd</v>
      </c>
      <c r="J411" s="53"/>
    </row>
    <row r="412" spans="1:10" x14ac:dyDescent="0.25">
      <c r="A412" s="93">
        <v>44918</v>
      </c>
      <c r="B412" s="35">
        <f t="shared" si="31"/>
        <v>168</v>
      </c>
      <c r="C412" s="76">
        <v>12</v>
      </c>
      <c r="D412" s="53">
        <v>2022</v>
      </c>
      <c r="E412" s="56">
        <v>0.66666666666666663</v>
      </c>
      <c r="F412" s="53">
        <f t="shared" si="32"/>
        <v>1</v>
      </c>
      <c r="G412" s="53">
        <f t="shared" si="33"/>
        <v>1</v>
      </c>
      <c r="H412" s="53">
        <f t="shared" si="34"/>
        <v>-1</v>
      </c>
      <c r="I412" s="53" t="str">
        <f t="shared" si="35"/>
        <v>dw</v>
      </c>
      <c r="J412" s="53"/>
    </row>
    <row r="413" spans="1:10" x14ac:dyDescent="0.25">
      <c r="A413" s="93">
        <v>44919</v>
      </c>
      <c r="B413" s="35">
        <f t="shared" si="31"/>
        <v>168</v>
      </c>
      <c r="C413" s="76">
        <v>12</v>
      </c>
      <c r="D413" s="53">
        <v>2022</v>
      </c>
      <c r="E413" s="56">
        <v>10.866666666666665</v>
      </c>
      <c r="F413" s="53">
        <f t="shared" si="32"/>
        <v>1</v>
      </c>
      <c r="G413" s="53">
        <f t="shared" si="33"/>
        <v>2</v>
      </c>
      <c r="H413" s="53">
        <f t="shared" si="34"/>
        <v>2</v>
      </c>
      <c r="I413" s="53" t="str">
        <f t="shared" si="35"/>
        <v>ww</v>
      </c>
      <c r="J413" s="53"/>
    </row>
    <row r="414" spans="1:10" x14ac:dyDescent="0.25">
      <c r="A414" s="93">
        <v>44920</v>
      </c>
      <c r="B414" s="35">
        <f t="shared" si="31"/>
        <v>168</v>
      </c>
      <c r="C414" s="76">
        <v>12</v>
      </c>
      <c r="D414" s="53">
        <v>2022</v>
      </c>
      <c r="E414" s="56">
        <v>0.53333333333333333</v>
      </c>
      <c r="F414" s="53">
        <f t="shared" si="32"/>
        <v>1</v>
      </c>
      <c r="G414" s="53">
        <f t="shared" si="33"/>
        <v>2</v>
      </c>
      <c r="H414" s="53">
        <f t="shared" si="34"/>
        <v>2</v>
      </c>
      <c r="I414" s="53" t="str">
        <f t="shared" si="35"/>
        <v>ww</v>
      </c>
      <c r="J414" s="53"/>
    </row>
    <row r="415" spans="1:10" x14ac:dyDescent="0.25">
      <c r="A415" s="93">
        <v>44921</v>
      </c>
      <c r="B415" s="35">
        <f t="shared" si="31"/>
        <v>168</v>
      </c>
      <c r="C415" s="76">
        <v>12</v>
      </c>
      <c r="D415" s="53">
        <v>2022</v>
      </c>
      <c r="E415" s="56">
        <v>6.1333333333333329</v>
      </c>
      <c r="F415" s="53">
        <f t="shared" si="32"/>
        <v>1</v>
      </c>
      <c r="G415" s="53">
        <f t="shared" si="33"/>
        <v>2</v>
      </c>
      <c r="H415" s="53">
        <f t="shared" si="34"/>
        <v>2</v>
      </c>
      <c r="I415" s="53" t="str">
        <f t="shared" si="35"/>
        <v>ww</v>
      </c>
      <c r="J415" s="53"/>
    </row>
    <row r="416" spans="1:10" x14ac:dyDescent="0.25">
      <c r="A416" s="93">
        <v>44922</v>
      </c>
      <c r="B416" s="35">
        <f t="shared" si="31"/>
        <v>168</v>
      </c>
      <c r="C416" s="76">
        <v>12</v>
      </c>
      <c r="D416" s="53">
        <v>2022</v>
      </c>
      <c r="E416" s="56">
        <v>0.20000000000000004</v>
      </c>
      <c r="F416" s="53">
        <f t="shared" si="32"/>
        <v>1</v>
      </c>
      <c r="G416" s="53">
        <f t="shared" si="33"/>
        <v>2</v>
      </c>
      <c r="H416" s="53">
        <f t="shared" si="34"/>
        <v>2</v>
      </c>
      <c r="I416" s="53" t="str">
        <f t="shared" si="35"/>
        <v>ww</v>
      </c>
      <c r="J416" s="53"/>
    </row>
    <row r="417" spans="1:10" x14ac:dyDescent="0.25">
      <c r="A417" s="93">
        <v>44923</v>
      </c>
      <c r="B417" s="35">
        <f t="shared" si="31"/>
        <v>168</v>
      </c>
      <c r="C417" s="76">
        <v>12</v>
      </c>
      <c r="D417" s="53">
        <v>2022</v>
      </c>
      <c r="E417" s="56">
        <v>1.0666666666666667</v>
      </c>
      <c r="F417" s="53">
        <f t="shared" si="32"/>
        <v>1</v>
      </c>
      <c r="G417" s="53">
        <f t="shared" si="33"/>
        <v>2</v>
      </c>
      <c r="H417" s="53">
        <f t="shared" si="34"/>
        <v>2</v>
      </c>
      <c r="I417" s="53" t="str">
        <f t="shared" si="35"/>
        <v>ww</v>
      </c>
      <c r="J417" s="53"/>
    </row>
    <row r="418" spans="1:10" x14ac:dyDescent="0.25">
      <c r="A418" s="93">
        <v>44924</v>
      </c>
      <c r="B418" s="35">
        <f t="shared" si="31"/>
        <v>168</v>
      </c>
      <c r="C418" s="76">
        <v>12</v>
      </c>
      <c r="D418" s="53">
        <v>2022</v>
      </c>
      <c r="E418" s="56">
        <v>3.9333333333333336</v>
      </c>
      <c r="F418" s="53">
        <f t="shared" si="32"/>
        <v>1</v>
      </c>
      <c r="G418" s="53">
        <f t="shared" si="33"/>
        <v>2</v>
      </c>
      <c r="H418" s="53">
        <f t="shared" si="34"/>
        <v>2</v>
      </c>
      <c r="I418" s="53" t="str">
        <f t="shared" si="35"/>
        <v>ww</v>
      </c>
      <c r="J418" s="53"/>
    </row>
    <row r="419" spans="1:10" x14ac:dyDescent="0.25">
      <c r="A419" s="93">
        <v>44925</v>
      </c>
      <c r="B419" s="35">
        <f t="shared" si="31"/>
        <v>168</v>
      </c>
      <c r="C419" s="76">
        <v>12</v>
      </c>
      <c r="D419" s="53">
        <v>2022</v>
      </c>
      <c r="E419" s="56">
        <v>0.26666666666666666</v>
      </c>
      <c r="F419" s="53">
        <f t="shared" si="32"/>
        <v>1</v>
      </c>
      <c r="G419" s="53">
        <f t="shared" si="33"/>
        <v>2</v>
      </c>
      <c r="H419" s="53">
        <f t="shared" si="34"/>
        <v>2</v>
      </c>
      <c r="I419" s="53" t="str">
        <f t="shared" si="35"/>
        <v>ww</v>
      </c>
      <c r="J419" s="53"/>
    </row>
    <row r="420" spans="1:10" x14ac:dyDescent="0.25">
      <c r="A420" s="93">
        <v>44926</v>
      </c>
      <c r="B420" s="35">
        <f t="shared" si="31"/>
        <v>168</v>
      </c>
      <c r="C420" s="76">
        <v>12</v>
      </c>
      <c r="D420" s="53">
        <v>2022</v>
      </c>
      <c r="E420" s="56">
        <v>0.39999999999999997</v>
      </c>
      <c r="F420" s="53">
        <f t="shared" si="32"/>
        <v>1</v>
      </c>
      <c r="G420" s="53">
        <f t="shared" si="33"/>
        <v>2</v>
      </c>
      <c r="H420" s="53">
        <f t="shared" si="34"/>
        <v>2</v>
      </c>
      <c r="I420" s="53" t="str">
        <f t="shared" si="35"/>
        <v>ww</v>
      </c>
      <c r="J420" s="53"/>
    </row>
    <row r="421" spans="1:10" x14ac:dyDescent="0.25">
      <c r="A421" s="93">
        <v>45261</v>
      </c>
      <c r="B421" s="35">
        <f t="shared" si="31"/>
        <v>180</v>
      </c>
      <c r="C421" s="76">
        <v>12</v>
      </c>
      <c r="D421" s="53">
        <v>2023</v>
      </c>
      <c r="E421" s="56">
        <v>4.1333333333333337</v>
      </c>
      <c r="F421" s="53">
        <f t="shared" si="32"/>
        <v>1</v>
      </c>
      <c r="G421" s="53">
        <f t="shared" si="33"/>
        <v>2</v>
      </c>
      <c r="H421" s="53">
        <f t="shared" si="34"/>
        <v>2</v>
      </c>
      <c r="I421" s="53" t="str">
        <f t="shared" si="35"/>
        <v>ww</v>
      </c>
      <c r="J421" s="53"/>
    </row>
    <row r="422" spans="1:10" x14ac:dyDescent="0.25">
      <c r="A422" s="93">
        <v>45262</v>
      </c>
      <c r="B422" s="35">
        <f t="shared" si="31"/>
        <v>180</v>
      </c>
      <c r="C422" s="76">
        <v>12</v>
      </c>
      <c r="D422" s="53">
        <v>2023</v>
      </c>
      <c r="E422" s="56">
        <v>0.33333333333333331</v>
      </c>
      <c r="F422" s="53">
        <f t="shared" si="32"/>
        <v>1</v>
      </c>
      <c r="G422" s="53">
        <f t="shared" si="33"/>
        <v>2</v>
      </c>
      <c r="H422" s="53">
        <f t="shared" si="34"/>
        <v>2</v>
      </c>
      <c r="I422" s="53" t="str">
        <f t="shared" si="35"/>
        <v>ww</v>
      </c>
      <c r="J422" s="53"/>
    </row>
    <row r="423" spans="1:10" x14ac:dyDescent="0.25">
      <c r="A423" s="93">
        <v>45263</v>
      </c>
      <c r="B423" s="35">
        <f t="shared" si="31"/>
        <v>180</v>
      </c>
      <c r="C423" s="76">
        <v>12</v>
      </c>
      <c r="D423" s="53">
        <v>2023</v>
      </c>
      <c r="E423" s="56">
        <v>0.79999999999999993</v>
      </c>
      <c r="F423" s="53">
        <f t="shared" si="32"/>
        <v>1</v>
      </c>
      <c r="G423" s="53">
        <f t="shared" si="33"/>
        <v>2</v>
      </c>
      <c r="H423" s="53">
        <f t="shared" si="34"/>
        <v>2</v>
      </c>
      <c r="I423" s="53" t="str">
        <f t="shared" si="35"/>
        <v>ww</v>
      </c>
      <c r="J423" s="53"/>
    </row>
    <row r="424" spans="1:10" x14ac:dyDescent="0.25">
      <c r="A424" s="93">
        <v>45264</v>
      </c>
      <c r="B424" s="35">
        <f t="shared" si="31"/>
        <v>180</v>
      </c>
      <c r="C424" s="76">
        <v>12</v>
      </c>
      <c r="D424" s="53">
        <v>2023</v>
      </c>
      <c r="E424" s="56">
        <v>4.666666666666667</v>
      </c>
      <c r="F424" s="53">
        <f t="shared" si="32"/>
        <v>1</v>
      </c>
      <c r="G424" s="53">
        <f t="shared" si="33"/>
        <v>2</v>
      </c>
      <c r="H424" s="53">
        <f t="shared" si="34"/>
        <v>2</v>
      </c>
      <c r="I424" s="53" t="str">
        <f t="shared" si="35"/>
        <v>ww</v>
      </c>
      <c r="J424" s="53"/>
    </row>
    <row r="425" spans="1:10" x14ac:dyDescent="0.25">
      <c r="A425" s="93">
        <v>45265</v>
      </c>
      <c r="B425" s="35">
        <f t="shared" si="31"/>
        <v>180</v>
      </c>
      <c r="C425" s="76">
        <v>12</v>
      </c>
      <c r="D425" s="53">
        <v>2023</v>
      </c>
      <c r="E425" s="56">
        <v>25.466666666666669</v>
      </c>
      <c r="F425" s="53">
        <f t="shared" si="32"/>
        <v>1</v>
      </c>
      <c r="G425" s="53">
        <f t="shared" si="33"/>
        <v>2</v>
      </c>
      <c r="H425" s="53">
        <f t="shared" si="34"/>
        <v>2</v>
      </c>
      <c r="I425" s="53" t="str">
        <f t="shared" si="35"/>
        <v>ww</v>
      </c>
      <c r="J425" s="53"/>
    </row>
    <row r="426" spans="1:10" x14ac:dyDescent="0.25">
      <c r="A426" s="93">
        <v>45266</v>
      </c>
      <c r="B426" s="35">
        <f t="shared" si="31"/>
        <v>180</v>
      </c>
      <c r="C426" s="76">
        <v>12</v>
      </c>
      <c r="D426" s="53">
        <v>2023</v>
      </c>
      <c r="E426" s="56">
        <v>0</v>
      </c>
      <c r="F426" s="53">
        <f t="shared" si="32"/>
        <v>0</v>
      </c>
      <c r="G426" s="53">
        <f t="shared" si="33"/>
        <v>1</v>
      </c>
      <c r="H426" s="53">
        <f t="shared" si="34"/>
        <v>1</v>
      </c>
      <c r="I426" s="53" t="str">
        <f t="shared" si="35"/>
        <v>wd</v>
      </c>
      <c r="J426" s="53"/>
    </row>
    <row r="427" spans="1:10" x14ac:dyDescent="0.25">
      <c r="A427" s="93">
        <v>45267</v>
      </c>
      <c r="B427" s="35">
        <f t="shared" si="31"/>
        <v>180</v>
      </c>
      <c r="C427" s="76">
        <v>12</v>
      </c>
      <c r="D427" s="53">
        <v>2023</v>
      </c>
      <c r="E427" s="56">
        <v>0.13333333333333333</v>
      </c>
      <c r="F427" s="53">
        <f t="shared" si="32"/>
        <v>1</v>
      </c>
      <c r="G427" s="53">
        <f t="shared" si="33"/>
        <v>1</v>
      </c>
      <c r="H427" s="53">
        <f t="shared" si="34"/>
        <v>-1</v>
      </c>
      <c r="I427" s="53" t="str">
        <f t="shared" si="35"/>
        <v>dw</v>
      </c>
      <c r="J427" s="53"/>
    </row>
    <row r="428" spans="1:10" x14ac:dyDescent="0.25">
      <c r="A428" s="93">
        <v>45268</v>
      </c>
      <c r="B428" s="35">
        <f t="shared" si="31"/>
        <v>180</v>
      </c>
      <c r="C428" s="76">
        <v>12</v>
      </c>
      <c r="D428" s="53">
        <v>2023</v>
      </c>
      <c r="E428" s="56">
        <v>14.866666666666667</v>
      </c>
      <c r="F428" s="53">
        <f t="shared" si="32"/>
        <v>1</v>
      </c>
      <c r="G428" s="53">
        <f t="shared" si="33"/>
        <v>2</v>
      </c>
      <c r="H428" s="53">
        <f t="shared" si="34"/>
        <v>2</v>
      </c>
      <c r="I428" s="53" t="str">
        <f t="shared" si="35"/>
        <v>ww</v>
      </c>
      <c r="J428" s="53"/>
    </row>
    <row r="429" spans="1:10" x14ac:dyDescent="0.25">
      <c r="A429" s="93">
        <v>45269</v>
      </c>
      <c r="B429" s="35">
        <f t="shared" si="31"/>
        <v>180</v>
      </c>
      <c r="C429" s="76">
        <v>12</v>
      </c>
      <c r="D429" s="53">
        <v>2023</v>
      </c>
      <c r="E429" s="56">
        <v>1.5333333333333334</v>
      </c>
      <c r="F429" s="53">
        <f t="shared" si="32"/>
        <v>1</v>
      </c>
      <c r="G429" s="53">
        <f t="shared" si="33"/>
        <v>2</v>
      </c>
      <c r="H429" s="53">
        <f t="shared" si="34"/>
        <v>2</v>
      </c>
      <c r="I429" s="53" t="str">
        <f t="shared" si="35"/>
        <v>ww</v>
      </c>
      <c r="J429" s="53"/>
    </row>
    <row r="430" spans="1:10" x14ac:dyDescent="0.25">
      <c r="A430" s="93">
        <v>45270</v>
      </c>
      <c r="B430" s="35">
        <f t="shared" si="31"/>
        <v>180</v>
      </c>
      <c r="C430" s="76">
        <v>12</v>
      </c>
      <c r="D430" s="53">
        <v>2023</v>
      </c>
      <c r="E430" s="56">
        <v>2.9333333333333336</v>
      </c>
      <c r="F430" s="53">
        <f t="shared" si="32"/>
        <v>1</v>
      </c>
      <c r="G430" s="53">
        <f t="shared" si="33"/>
        <v>2</v>
      </c>
      <c r="H430" s="53">
        <f t="shared" si="34"/>
        <v>2</v>
      </c>
      <c r="I430" s="53" t="str">
        <f t="shared" si="35"/>
        <v>ww</v>
      </c>
      <c r="J430" s="53"/>
    </row>
    <row r="431" spans="1:10" x14ac:dyDescent="0.25">
      <c r="A431" s="93">
        <v>45271</v>
      </c>
      <c r="B431" s="35">
        <f t="shared" si="31"/>
        <v>180</v>
      </c>
      <c r="C431" s="76">
        <v>12</v>
      </c>
      <c r="D431" s="53">
        <v>2023</v>
      </c>
      <c r="E431" s="56">
        <v>2.1333333333333333</v>
      </c>
      <c r="F431" s="53">
        <f t="shared" si="32"/>
        <v>1</v>
      </c>
      <c r="G431" s="53">
        <f t="shared" si="33"/>
        <v>2</v>
      </c>
      <c r="H431" s="53">
        <f t="shared" si="34"/>
        <v>2</v>
      </c>
      <c r="I431" s="53" t="str">
        <f t="shared" si="35"/>
        <v>ww</v>
      </c>
      <c r="J431" s="53"/>
    </row>
    <row r="432" spans="1:10" x14ac:dyDescent="0.25">
      <c r="A432" s="93">
        <v>45272</v>
      </c>
      <c r="B432" s="35">
        <f t="shared" si="31"/>
        <v>180</v>
      </c>
      <c r="C432" s="76">
        <v>12</v>
      </c>
      <c r="D432" s="53">
        <v>2023</v>
      </c>
      <c r="E432" s="56">
        <v>5.8</v>
      </c>
      <c r="F432" s="53">
        <f t="shared" si="32"/>
        <v>1</v>
      </c>
      <c r="G432" s="53">
        <f t="shared" si="33"/>
        <v>2</v>
      </c>
      <c r="H432" s="53">
        <f t="shared" si="34"/>
        <v>2</v>
      </c>
      <c r="I432" s="53" t="str">
        <f t="shared" si="35"/>
        <v>ww</v>
      </c>
      <c r="J432" s="53"/>
    </row>
    <row r="433" spans="1:10" x14ac:dyDescent="0.25">
      <c r="A433" s="93">
        <v>45273</v>
      </c>
      <c r="B433" s="35">
        <f t="shared" si="31"/>
        <v>180</v>
      </c>
      <c r="C433" s="76">
        <v>12</v>
      </c>
      <c r="D433" s="53">
        <v>2023</v>
      </c>
      <c r="E433" s="56">
        <v>8.2666666666666675</v>
      </c>
      <c r="F433" s="53">
        <f t="shared" si="32"/>
        <v>1</v>
      </c>
      <c r="G433" s="53">
        <f t="shared" si="33"/>
        <v>2</v>
      </c>
      <c r="H433" s="53">
        <f t="shared" si="34"/>
        <v>2</v>
      </c>
      <c r="I433" s="53" t="str">
        <f t="shared" si="35"/>
        <v>ww</v>
      </c>
      <c r="J433" s="53"/>
    </row>
    <row r="434" spans="1:10" x14ac:dyDescent="0.25">
      <c r="A434" s="93">
        <v>45274</v>
      </c>
      <c r="B434" s="35">
        <f t="shared" si="31"/>
        <v>180</v>
      </c>
      <c r="C434" s="76">
        <v>12</v>
      </c>
      <c r="D434" s="53">
        <v>2023</v>
      </c>
      <c r="E434" s="56">
        <v>2.2666666666666671</v>
      </c>
      <c r="F434" s="53">
        <f t="shared" si="32"/>
        <v>1</v>
      </c>
      <c r="G434" s="53">
        <f t="shared" si="33"/>
        <v>2</v>
      </c>
      <c r="H434" s="53">
        <f t="shared" si="34"/>
        <v>2</v>
      </c>
      <c r="I434" s="53" t="str">
        <f t="shared" si="35"/>
        <v>ww</v>
      </c>
      <c r="J434" s="53"/>
    </row>
    <row r="435" spans="1:10" x14ac:dyDescent="0.25">
      <c r="A435" s="93">
        <v>45275</v>
      </c>
      <c r="B435" s="35">
        <f t="shared" si="31"/>
        <v>180</v>
      </c>
      <c r="C435" s="76">
        <v>12</v>
      </c>
      <c r="D435" s="53">
        <v>2023</v>
      </c>
      <c r="E435" s="56">
        <v>0.13333333333333333</v>
      </c>
      <c r="F435" s="53">
        <f t="shared" si="32"/>
        <v>1</v>
      </c>
      <c r="G435" s="53">
        <f t="shared" si="33"/>
        <v>2</v>
      </c>
      <c r="H435" s="53">
        <f t="shared" si="34"/>
        <v>2</v>
      </c>
      <c r="I435" s="53" t="str">
        <f t="shared" si="35"/>
        <v>ww</v>
      </c>
      <c r="J435" s="53"/>
    </row>
    <row r="436" spans="1:10" x14ac:dyDescent="0.25">
      <c r="A436" s="93">
        <v>45276</v>
      </c>
      <c r="B436" s="35">
        <f t="shared" si="31"/>
        <v>180</v>
      </c>
      <c r="C436" s="76">
        <v>12</v>
      </c>
      <c r="D436" s="53">
        <v>2023</v>
      </c>
      <c r="E436" s="56">
        <v>0</v>
      </c>
      <c r="F436" s="53">
        <f t="shared" si="32"/>
        <v>0</v>
      </c>
      <c r="G436" s="53">
        <f t="shared" si="33"/>
        <v>1</v>
      </c>
      <c r="H436" s="53">
        <f t="shared" si="34"/>
        <v>1</v>
      </c>
      <c r="I436" s="53" t="str">
        <f t="shared" si="35"/>
        <v>wd</v>
      </c>
      <c r="J436" s="53"/>
    </row>
    <row r="437" spans="1:10" x14ac:dyDescent="0.25">
      <c r="A437" s="93">
        <v>45277</v>
      </c>
      <c r="B437" s="35">
        <f t="shared" si="31"/>
        <v>180</v>
      </c>
      <c r="C437" s="76">
        <v>12</v>
      </c>
      <c r="D437" s="53">
        <v>2023</v>
      </c>
      <c r="E437" s="56">
        <v>0</v>
      </c>
      <c r="F437" s="53">
        <f t="shared" si="32"/>
        <v>0</v>
      </c>
      <c r="G437" s="53">
        <f t="shared" si="33"/>
        <v>0</v>
      </c>
      <c r="H437" s="53">
        <f t="shared" si="34"/>
        <v>0</v>
      </c>
      <c r="I437" s="53" t="str">
        <f t="shared" si="35"/>
        <v>dd</v>
      </c>
      <c r="J437" s="53"/>
    </row>
    <row r="438" spans="1:10" x14ac:dyDescent="0.25">
      <c r="A438" s="93">
        <v>45278</v>
      </c>
      <c r="B438" s="35">
        <f t="shared" si="31"/>
        <v>180</v>
      </c>
      <c r="C438" s="76">
        <v>12</v>
      </c>
      <c r="D438" s="53">
        <v>2023</v>
      </c>
      <c r="E438" s="56">
        <v>0</v>
      </c>
      <c r="F438" s="53">
        <f t="shared" si="32"/>
        <v>0</v>
      </c>
      <c r="G438" s="53">
        <f t="shared" si="33"/>
        <v>0</v>
      </c>
      <c r="H438" s="53">
        <f t="shared" si="34"/>
        <v>0</v>
      </c>
      <c r="I438" s="53" t="str">
        <f t="shared" si="35"/>
        <v>dd</v>
      </c>
      <c r="J438" s="53"/>
    </row>
    <row r="439" spans="1:10" x14ac:dyDescent="0.25">
      <c r="A439" s="93">
        <v>45279</v>
      </c>
      <c r="B439" s="35">
        <f t="shared" si="31"/>
        <v>180</v>
      </c>
      <c r="C439" s="76">
        <v>12</v>
      </c>
      <c r="D439" s="53">
        <v>2023</v>
      </c>
      <c r="E439" s="56">
        <v>0.39999999999999997</v>
      </c>
      <c r="F439" s="53">
        <f t="shared" si="32"/>
        <v>1</v>
      </c>
      <c r="G439" s="53">
        <f t="shared" si="33"/>
        <v>1</v>
      </c>
      <c r="H439" s="53">
        <f t="shared" si="34"/>
        <v>-1</v>
      </c>
      <c r="I439" s="53" t="str">
        <f t="shared" si="35"/>
        <v>dw</v>
      </c>
      <c r="J439" s="53"/>
    </row>
    <row r="440" spans="1:10" x14ac:dyDescent="0.25">
      <c r="A440" s="93">
        <v>45280</v>
      </c>
      <c r="B440" s="35">
        <f t="shared" si="31"/>
        <v>180</v>
      </c>
      <c r="C440" s="76">
        <v>12</v>
      </c>
      <c r="D440" s="53">
        <v>2023</v>
      </c>
      <c r="E440" s="56">
        <v>0</v>
      </c>
      <c r="F440" s="53">
        <f t="shared" si="32"/>
        <v>0</v>
      </c>
      <c r="G440" s="53">
        <f t="shared" si="33"/>
        <v>1</v>
      </c>
      <c r="H440" s="53">
        <f t="shared" si="34"/>
        <v>1</v>
      </c>
      <c r="I440" s="53" t="str">
        <f t="shared" si="35"/>
        <v>wd</v>
      </c>
      <c r="J440" s="53"/>
    </row>
    <row r="441" spans="1:10" x14ac:dyDescent="0.25">
      <c r="A441" s="93">
        <v>45281</v>
      </c>
      <c r="B441" s="35">
        <f t="shared" si="31"/>
        <v>180</v>
      </c>
      <c r="C441" s="76">
        <v>12</v>
      </c>
      <c r="D441" s="53">
        <v>2023</v>
      </c>
      <c r="E441" s="56">
        <v>0</v>
      </c>
      <c r="F441" s="53">
        <f t="shared" si="32"/>
        <v>0</v>
      </c>
      <c r="G441" s="53">
        <f t="shared" si="33"/>
        <v>0</v>
      </c>
      <c r="H441" s="53">
        <f t="shared" si="34"/>
        <v>0</v>
      </c>
      <c r="I441" s="53" t="str">
        <f t="shared" si="35"/>
        <v>dd</v>
      </c>
      <c r="J441" s="53"/>
    </row>
    <row r="442" spans="1:10" x14ac:dyDescent="0.25">
      <c r="A442" s="93">
        <v>45282</v>
      </c>
      <c r="B442" s="35">
        <f t="shared" si="31"/>
        <v>180</v>
      </c>
      <c r="C442" s="76">
        <v>12</v>
      </c>
      <c r="D442" s="53">
        <v>2023</v>
      </c>
      <c r="E442" s="56">
        <v>0.13333333333333333</v>
      </c>
      <c r="F442" s="53">
        <f t="shared" si="32"/>
        <v>1</v>
      </c>
      <c r="G442" s="53">
        <f t="shared" si="33"/>
        <v>1</v>
      </c>
      <c r="H442" s="53">
        <f t="shared" si="34"/>
        <v>-1</v>
      </c>
      <c r="I442" s="53" t="str">
        <f t="shared" si="35"/>
        <v>dw</v>
      </c>
      <c r="J442" s="53"/>
    </row>
    <row r="443" spans="1:10" x14ac:dyDescent="0.25">
      <c r="A443" s="93">
        <v>45283</v>
      </c>
      <c r="B443" s="35">
        <f t="shared" si="31"/>
        <v>180</v>
      </c>
      <c r="C443" s="76">
        <v>12</v>
      </c>
      <c r="D443" s="53">
        <v>2023</v>
      </c>
      <c r="E443" s="56">
        <v>0.26666666666666666</v>
      </c>
      <c r="F443" s="53">
        <f t="shared" si="32"/>
        <v>1</v>
      </c>
      <c r="G443" s="53">
        <f t="shared" si="33"/>
        <v>2</v>
      </c>
      <c r="H443" s="53">
        <f t="shared" si="34"/>
        <v>2</v>
      </c>
      <c r="I443" s="53" t="str">
        <f t="shared" si="35"/>
        <v>ww</v>
      </c>
      <c r="J443" s="53"/>
    </row>
    <row r="444" spans="1:10" x14ac:dyDescent="0.25">
      <c r="A444" s="93">
        <v>45284</v>
      </c>
      <c r="B444" s="35">
        <f t="shared" si="31"/>
        <v>180</v>
      </c>
      <c r="C444" s="76">
        <v>12</v>
      </c>
      <c r="D444" s="53">
        <v>2023</v>
      </c>
      <c r="E444" s="56">
        <v>6.6666666666666666E-2</v>
      </c>
      <c r="F444" s="53">
        <f t="shared" si="32"/>
        <v>1</v>
      </c>
      <c r="G444" s="53">
        <f t="shared" si="33"/>
        <v>2</v>
      </c>
      <c r="H444" s="53">
        <f t="shared" si="34"/>
        <v>2</v>
      </c>
      <c r="I444" s="53" t="str">
        <f t="shared" si="35"/>
        <v>ww</v>
      </c>
      <c r="J444" s="53"/>
    </row>
    <row r="445" spans="1:10" x14ac:dyDescent="0.25">
      <c r="A445" s="93">
        <v>45285</v>
      </c>
      <c r="B445" s="35">
        <f t="shared" si="31"/>
        <v>180</v>
      </c>
      <c r="C445" s="76">
        <v>12</v>
      </c>
      <c r="D445" s="53">
        <v>2023</v>
      </c>
      <c r="E445" s="56">
        <v>6.6666666666666666E-2</v>
      </c>
      <c r="F445" s="53">
        <f t="shared" si="32"/>
        <v>1</v>
      </c>
      <c r="G445" s="53">
        <f t="shared" si="33"/>
        <v>2</v>
      </c>
      <c r="H445" s="53">
        <f t="shared" si="34"/>
        <v>2</v>
      </c>
      <c r="I445" s="53" t="str">
        <f t="shared" si="35"/>
        <v>ww</v>
      </c>
      <c r="J445" s="53"/>
    </row>
    <row r="446" spans="1:10" x14ac:dyDescent="0.25">
      <c r="A446" s="93">
        <v>45286</v>
      </c>
      <c r="B446" s="35">
        <f t="shared" si="31"/>
        <v>180</v>
      </c>
      <c r="C446" s="76">
        <v>12</v>
      </c>
      <c r="D446" s="53">
        <v>2023</v>
      </c>
      <c r="E446" s="56">
        <v>0.53333333333333333</v>
      </c>
      <c r="F446" s="53">
        <f t="shared" si="32"/>
        <v>1</v>
      </c>
      <c r="G446" s="53">
        <f t="shared" si="33"/>
        <v>2</v>
      </c>
      <c r="H446" s="53">
        <f t="shared" si="34"/>
        <v>2</v>
      </c>
      <c r="I446" s="53" t="str">
        <f t="shared" si="35"/>
        <v>ww</v>
      </c>
      <c r="J446" s="53"/>
    </row>
    <row r="447" spans="1:10" x14ac:dyDescent="0.25">
      <c r="A447" s="93">
        <v>45287</v>
      </c>
      <c r="B447" s="35">
        <f t="shared" si="31"/>
        <v>180</v>
      </c>
      <c r="C447" s="76">
        <v>12</v>
      </c>
      <c r="D447" s="53">
        <v>2023</v>
      </c>
      <c r="E447" s="56">
        <v>5.666666666666667</v>
      </c>
      <c r="F447" s="53">
        <f t="shared" si="32"/>
        <v>1</v>
      </c>
      <c r="G447" s="53">
        <f t="shared" si="33"/>
        <v>2</v>
      </c>
      <c r="H447" s="53">
        <f t="shared" si="34"/>
        <v>2</v>
      </c>
      <c r="I447" s="53" t="str">
        <f t="shared" si="35"/>
        <v>ww</v>
      </c>
      <c r="J447" s="53"/>
    </row>
    <row r="448" spans="1:10" x14ac:dyDescent="0.25">
      <c r="A448" s="93">
        <v>45288</v>
      </c>
      <c r="B448" s="35">
        <f t="shared" si="31"/>
        <v>180</v>
      </c>
      <c r="C448" s="76">
        <v>12</v>
      </c>
      <c r="D448" s="53">
        <v>2023</v>
      </c>
      <c r="E448" s="56">
        <v>11.4</v>
      </c>
      <c r="F448" s="53">
        <f t="shared" si="32"/>
        <v>1</v>
      </c>
      <c r="G448" s="53">
        <f t="shared" si="33"/>
        <v>2</v>
      </c>
      <c r="H448" s="53">
        <f t="shared" si="34"/>
        <v>2</v>
      </c>
      <c r="I448" s="53" t="str">
        <f t="shared" si="35"/>
        <v>ww</v>
      </c>
      <c r="J448" s="53"/>
    </row>
    <row r="449" spans="1:10" x14ac:dyDescent="0.25">
      <c r="A449" s="93">
        <v>45289</v>
      </c>
      <c r="B449" s="35">
        <f t="shared" si="31"/>
        <v>180</v>
      </c>
      <c r="C449" s="76">
        <v>12</v>
      </c>
      <c r="D449" s="53">
        <v>2023</v>
      </c>
      <c r="E449" s="56">
        <v>1.6666666666666667</v>
      </c>
      <c r="F449" s="53">
        <f t="shared" si="32"/>
        <v>1</v>
      </c>
      <c r="G449" s="53">
        <f t="shared" si="33"/>
        <v>2</v>
      </c>
      <c r="H449" s="53">
        <f t="shared" si="34"/>
        <v>2</v>
      </c>
      <c r="I449" s="53" t="str">
        <f t="shared" si="35"/>
        <v>ww</v>
      </c>
      <c r="J449" s="53"/>
    </row>
    <row r="450" spans="1:10" x14ac:dyDescent="0.25">
      <c r="A450" s="93">
        <v>45290</v>
      </c>
      <c r="B450" s="35">
        <f t="shared" ref="B450:B513" si="36">C450+(D450-2009)*12</f>
        <v>180</v>
      </c>
      <c r="C450" s="76">
        <v>12</v>
      </c>
      <c r="D450" s="53">
        <v>2023</v>
      </c>
      <c r="E450" s="56">
        <v>1.8</v>
      </c>
      <c r="F450" s="53">
        <f t="shared" ref="F450:F513" si="37">IF(E450&gt;0,1,0)</f>
        <v>1</v>
      </c>
      <c r="G450" s="53">
        <f t="shared" ref="G450:G513" si="38">SUM(F449:F450)</f>
        <v>2</v>
      </c>
      <c r="H450" s="53">
        <f t="shared" ref="H450:H513" si="39">IF(G450=1,IF(F449=1,1,-1),G450)</f>
        <v>2</v>
      </c>
      <c r="I450" s="53" t="str">
        <f t="shared" ref="I450:I513" si="40">VLOOKUP(H450,codes,2,)</f>
        <v>ww</v>
      </c>
      <c r="J450" s="53"/>
    </row>
    <row r="451" spans="1:10" x14ac:dyDescent="0.25">
      <c r="A451" s="93">
        <v>45291</v>
      </c>
      <c r="B451" s="35">
        <f t="shared" si="36"/>
        <v>180</v>
      </c>
      <c r="C451" s="76">
        <v>12</v>
      </c>
      <c r="D451" s="53">
        <v>2023</v>
      </c>
      <c r="E451" s="56">
        <v>1.8</v>
      </c>
      <c r="F451" s="53">
        <f t="shared" si="37"/>
        <v>1</v>
      </c>
      <c r="G451" s="53">
        <f t="shared" si="38"/>
        <v>2</v>
      </c>
      <c r="H451" s="53">
        <f t="shared" si="39"/>
        <v>2</v>
      </c>
      <c r="I451" s="53" t="str">
        <f t="shared" si="40"/>
        <v>ww</v>
      </c>
      <c r="J451" s="53"/>
    </row>
    <row r="452" spans="1:10" x14ac:dyDescent="0.25">
      <c r="A452" s="93">
        <v>45627</v>
      </c>
      <c r="B452" s="35">
        <f t="shared" si="36"/>
        <v>192</v>
      </c>
      <c r="C452" s="76">
        <v>12</v>
      </c>
      <c r="D452" s="53">
        <v>2024</v>
      </c>
      <c r="E452" s="56">
        <v>0.13333333333333333</v>
      </c>
      <c r="F452" s="53">
        <f t="shared" si="37"/>
        <v>1</v>
      </c>
      <c r="G452" s="53">
        <f t="shared" si="38"/>
        <v>2</v>
      </c>
      <c r="H452" s="53">
        <f t="shared" si="39"/>
        <v>2</v>
      </c>
      <c r="I452" s="53" t="str">
        <f t="shared" si="40"/>
        <v>ww</v>
      </c>
      <c r="J452" s="53"/>
    </row>
    <row r="453" spans="1:10" x14ac:dyDescent="0.25">
      <c r="A453" s="93">
        <v>45628</v>
      </c>
      <c r="B453" s="35">
        <f t="shared" si="36"/>
        <v>192</v>
      </c>
      <c r="C453" s="76">
        <v>12</v>
      </c>
      <c r="D453" s="53">
        <v>2024</v>
      </c>
      <c r="E453" s="56">
        <v>2.4666666666666668</v>
      </c>
      <c r="F453" s="53">
        <f t="shared" si="37"/>
        <v>1</v>
      </c>
      <c r="G453" s="53">
        <f t="shared" si="38"/>
        <v>2</v>
      </c>
      <c r="H453" s="53">
        <f t="shared" si="39"/>
        <v>2</v>
      </c>
      <c r="I453" s="53" t="str">
        <f t="shared" si="40"/>
        <v>ww</v>
      </c>
      <c r="J453" s="53"/>
    </row>
    <row r="454" spans="1:10" x14ac:dyDescent="0.25">
      <c r="A454" s="93">
        <v>45629</v>
      </c>
      <c r="B454" s="35">
        <f t="shared" si="36"/>
        <v>192</v>
      </c>
      <c r="C454" s="76">
        <v>12</v>
      </c>
      <c r="D454" s="53">
        <v>2024</v>
      </c>
      <c r="E454" s="56">
        <v>1.8666666666666665</v>
      </c>
      <c r="F454" s="53">
        <f t="shared" si="37"/>
        <v>1</v>
      </c>
      <c r="G454" s="53">
        <f t="shared" si="38"/>
        <v>2</v>
      </c>
      <c r="H454" s="53">
        <f t="shared" si="39"/>
        <v>2</v>
      </c>
      <c r="I454" s="53" t="str">
        <f t="shared" si="40"/>
        <v>ww</v>
      </c>
      <c r="J454" s="53"/>
    </row>
    <row r="455" spans="1:10" x14ac:dyDescent="0.25">
      <c r="A455" s="93">
        <v>45630</v>
      </c>
      <c r="B455" s="35">
        <f t="shared" si="36"/>
        <v>192</v>
      </c>
      <c r="C455" s="76">
        <v>12</v>
      </c>
      <c r="D455" s="53">
        <v>2024</v>
      </c>
      <c r="E455" s="56">
        <v>0.46666666666666662</v>
      </c>
      <c r="F455" s="53">
        <f t="shared" si="37"/>
        <v>1</v>
      </c>
      <c r="G455" s="53">
        <f t="shared" si="38"/>
        <v>2</v>
      </c>
      <c r="H455" s="53">
        <f t="shared" si="39"/>
        <v>2</v>
      </c>
      <c r="I455" s="53" t="str">
        <f t="shared" si="40"/>
        <v>ww</v>
      </c>
      <c r="J455" s="53"/>
    </row>
    <row r="456" spans="1:10" x14ac:dyDescent="0.25">
      <c r="A456" s="93">
        <v>45631</v>
      </c>
      <c r="B456" s="35">
        <f t="shared" si="36"/>
        <v>192</v>
      </c>
      <c r="C456" s="76">
        <v>12</v>
      </c>
      <c r="D456" s="53">
        <v>2024</v>
      </c>
      <c r="E456" s="56">
        <v>0.73333333333333339</v>
      </c>
      <c r="F456" s="53">
        <f t="shared" si="37"/>
        <v>1</v>
      </c>
      <c r="G456" s="53">
        <f t="shared" si="38"/>
        <v>2</v>
      </c>
      <c r="H456" s="53">
        <f t="shared" si="39"/>
        <v>2</v>
      </c>
      <c r="I456" s="53" t="str">
        <f t="shared" si="40"/>
        <v>ww</v>
      </c>
      <c r="J456" s="53"/>
    </row>
    <row r="457" spans="1:10" x14ac:dyDescent="0.25">
      <c r="A457" s="93">
        <v>45632</v>
      </c>
      <c r="B457" s="35">
        <f t="shared" si="36"/>
        <v>192</v>
      </c>
      <c r="C457" s="76">
        <v>12</v>
      </c>
      <c r="D457" s="53">
        <v>2024</v>
      </c>
      <c r="E457" s="56">
        <v>2.4</v>
      </c>
      <c r="F457" s="53">
        <f t="shared" si="37"/>
        <v>1</v>
      </c>
      <c r="G457" s="53">
        <f t="shared" si="38"/>
        <v>2</v>
      </c>
      <c r="H457" s="53">
        <f t="shared" si="39"/>
        <v>2</v>
      </c>
      <c r="I457" s="53" t="str">
        <f t="shared" si="40"/>
        <v>ww</v>
      </c>
      <c r="J457" s="53"/>
    </row>
    <row r="458" spans="1:10" x14ac:dyDescent="0.25">
      <c r="A458" s="93">
        <v>45633</v>
      </c>
      <c r="B458" s="35">
        <f t="shared" si="36"/>
        <v>192</v>
      </c>
      <c r="C458" s="76">
        <v>12</v>
      </c>
      <c r="D458" s="53">
        <v>2024</v>
      </c>
      <c r="E458" s="56">
        <v>3.7333333333333329</v>
      </c>
      <c r="F458" s="53">
        <f t="shared" si="37"/>
        <v>1</v>
      </c>
      <c r="G458" s="53">
        <f t="shared" si="38"/>
        <v>2</v>
      </c>
      <c r="H458" s="53">
        <f t="shared" si="39"/>
        <v>2</v>
      </c>
      <c r="I458" s="53" t="str">
        <f t="shared" si="40"/>
        <v>ww</v>
      </c>
      <c r="J458" s="53"/>
    </row>
    <row r="459" spans="1:10" x14ac:dyDescent="0.25">
      <c r="A459" s="93">
        <v>45634</v>
      </c>
      <c r="B459" s="35">
        <f t="shared" si="36"/>
        <v>192</v>
      </c>
      <c r="C459" s="76">
        <v>12</v>
      </c>
      <c r="D459" s="53">
        <v>2024</v>
      </c>
      <c r="E459" s="56">
        <v>17.599999999999998</v>
      </c>
      <c r="F459" s="53">
        <f t="shared" si="37"/>
        <v>1</v>
      </c>
      <c r="G459" s="53">
        <f t="shared" si="38"/>
        <v>2</v>
      </c>
      <c r="H459" s="53">
        <f t="shared" si="39"/>
        <v>2</v>
      </c>
      <c r="I459" s="53" t="str">
        <f t="shared" si="40"/>
        <v>ww</v>
      </c>
      <c r="J459" s="53"/>
    </row>
    <row r="460" spans="1:10" x14ac:dyDescent="0.25">
      <c r="A460" s="93">
        <v>45635</v>
      </c>
      <c r="B460" s="35">
        <f t="shared" si="36"/>
        <v>192</v>
      </c>
      <c r="C460" s="76">
        <v>12</v>
      </c>
      <c r="D460" s="53">
        <v>2024</v>
      </c>
      <c r="E460" s="56">
        <v>3.0666666666666664</v>
      </c>
      <c r="F460" s="53">
        <f t="shared" si="37"/>
        <v>1</v>
      </c>
      <c r="G460" s="53">
        <f t="shared" si="38"/>
        <v>2</v>
      </c>
      <c r="H460" s="53">
        <f t="shared" si="39"/>
        <v>2</v>
      </c>
      <c r="I460" s="53" t="str">
        <f t="shared" si="40"/>
        <v>ww</v>
      </c>
      <c r="J460" s="53"/>
    </row>
    <row r="461" spans="1:10" x14ac:dyDescent="0.25">
      <c r="A461" s="93">
        <v>45636</v>
      </c>
      <c r="B461" s="35">
        <f t="shared" si="36"/>
        <v>192</v>
      </c>
      <c r="C461" s="76">
        <v>12</v>
      </c>
      <c r="D461" s="53">
        <v>2024</v>
      </c>
      <c r="E461" s="56">
        <v>0.20000000000000004</v>
      </c>
      <c r="F461" s="53">
        <f t="shared" si="37"/>
        <v>1</v>
      </c>
      <c r="G461" s="53">
        <f t="shared" si="38"/>
        <v>2</v>
      </c>
      <c r="H461" s="53">
        <f t="shared" si="39"/>
        <v>2</v>
      </c>
      <c r="I461" s="53" t="str">
        <f t="shared" si="40"/>
        <v>ww</v>
      </c>
      <c r="J461" s="53"/>
    </row>
    <row r="462" spans="1:10" x14ac:dyDescent="0.25">
      <c r="A462" s="93">
        <v>45637</v>
      </c>
      <c r="B462" s="35">
        <f t="shared" si="36"/>
        <v>192</v>
      </c>
      <c r="C462" s="76">
        <v>12</v>
      </c>
      <c r="D462" s="53">
        <v>2024</v>
      </c>
      <c r="E462" s="56">
        <v>0</v>
      </c>
      <c r="F462" s="53">
        <f t="shared" si="37"/>
        <v>0</v>
      </c>
      <c r="G462" s="53">
        <f t="shared" si="38"/>
        <v>1</v>
      </c>
      <c r="H462" s="53">
        <f t="shared" si="39"/>
        <v>1</v>
      </c>
      <c r="I462" s="53" t="str">
        <f t="shared" si="40"/>
        <v>wd</v>
      </c>
      <c r="J462" s="53"/>
    </row>
    <row r="463" spans="1:10" x14ac:dyDescent="0.25">
      <c r="A463" s="93">
        <v>45638</v>
      </c>
      <c r="B463" s="35">
        <f t="shared" si="36"/>
        <v>192</v>
      </c>
      <c r="C463" s="76">
        <v>12</v>
      </c>
      <c r="D463" s="53">
        <v>2024</v>
      </c>
      <c r="E463" s="56">
        <v>0</v>
      </c>
      <c r="F463" s="53">
        <f t="shared" si="37"/>
        <v>0</v>
      </c>
      <c r="G463" s="53">
        <f t="shared" si="38"/>
        <v>0</v>
      </c>
      <c r="H463" s="53">
        <f t="shared" si="39"/>
        <v>0</v>
      </c>
      <c r="I463" s="53" t="str">
        <f t="shared" si="40"/>
        <v>dd</v>
      </c>
      <c r="J463" s="53"/>
    </row>
    <row r="464" spans="1:10" x14ac:dyDescent="0.25">
      <c r="A464" s="93">
        <v>45639</v>
      </c>
      <c r="B464" s="35">
        <f t="shared" si="36"/>
        <v>192</v>
      </c>
      <c r="C464" s="76">
        <v>12</v>
      </c>
      <c r="D464" s="53">
        <v>2024</v>
      </c>
      <c r="E464" s="56">
        <v>0.20000000000000004</v>
      </c>
      <c r="F464" s="53">
        <f t="shared" si="37"/>
        <v>1</v>
      </c>
      <c r="G464" s="53">
        <f t="shared" si="38"/>
        <v>1</v>
      </c>
      <c r="H464" s="53">
        <f t="shared" si="39"/>
        <v>-1</v>
      </c>
      <c r="I464" s="53" t="str">
        <f t="shared" si="40"/>
        <v>dw</v>
      </c>
      <c r="J464" s="53"/>
    </row>
    <row r="465" spans="1:10" x14ac:dyDescent="0.25">
      <c r="A465" s="93">
        <v>45640</v>
      </c>
      <c r="B465" s="35">
        <f t="shared" si="36"/>
        <v>192</v>
      </c>
      <c r="C465" s="76">
        <v>12</v>
      </c>
      <c r="D465" s="53">
        <v>2024</v>
      </c>
      <c r="E465" s="56">
        <v>6.6666666666666666E-2</v>
      </c>
      <c r="F465" s="53">
        <f t="shared" si="37"/>
        <v>1</v>
      </c>
      <c r="G465" s="53">
        <f t="shared" si="38"/>
        <v>2</v>
      </c>
      <c r="H465" s="53">
        <f t="shared" si="39"/>
        <v>2</v>
      </c>
      <c r="I465" s="53" t="str">
        <f t="shared" si="40"/>
        <v>ww</v>
      </c>
      <c r="J465" s="53"/>
    </row>
    <row r="466" spans="1:10" x14ac:dyDescent="0.25">
      <c r="A466" s="93">
        <v>45641</v>
      </c>
      <c r="B466" s="35">
        <f t="shared" si="36"/>
        <v>192</v>
      </c>
      <c r="C466" s="76">
        <v>12</v>
      </c>
      <c r="D466" s="53">
        <v>2024</v>
      </c>
      <c r="E466" s="56">
        <v>0</v>
      </c>
      <c r="F466" s="53">
        <f t="shared" si="37"/>
        <v>0</v>
      </c>
      <c r="G466" s="53">
        <f t="shared" si="38"/>
        <v>1</v>
      </c>
      <c r="H466" s="53">
        <f t="shared" si="39"/>
        <v>1</v>
      </c>
      <c r="I466" s="53" t="str">
        <f t="shared" si="40"/>
        <v>wd</v>
      </c>
      <c r="J466" s="53"/>
    </row>
    <row r="467" spans="1:10" x14ac:dyDescent="0.25">
      <c r="A467" s="93">
        <v>45642</v>
      </c>
      <c r="B467" s="35">
        <f t="shared" si="36"/>
        <v>192</v>
      </c>
      <c r="C467" s="76">
        <v>12</v>
      </c>
      <c r="D467" s="53">
        <v>2024</v>
      </c>
      <c r="E467" s="56">
        <v>0</v>
      </c>
      <c r="F467" s="53">
        <f t="shared" si="37"/>
        <v>0</v>
      </c>
      <c r="G467" s="53">
        <f t="shared" si="38"/>
        <v>0</v>
      </c>
      <c r="H467" s="53">
        <f t="shared" si="39"/>
        <v>0</v>
      </c>
      <c r="I467" s="53" t="str">
        <f t="shared" si="40"/>
        <v>dd</v>
      </c>
      <c r="J467" s="53"/>
    </row>
    <row r="468" spans="1:10" x14ac:dyDescent="0.25">
      <c r="A468" s="93">
        <v>45643</v>
      </c>
      <c r="B468" s="35">
        <f t="shared" si="36"/>
        <v>192</v>
      </c>
      <c r="C468" s="76">
        <v>12</v>
      </c>
      <c r="D468" s="53">
        <v>2024</v>
      </c>
      <c r="E468" s="56">
        <v>0.33333333333333331</v>
      </c>
      <c r="F468" s="53">
        <f t="shared" si="37"/>
        <v>1</v>
      </c>
      <c r="G468" s="53">
        <f t="shared" si="38"/>
        <v>1</v>
      </c>
      <c r="H468" s="53">
        <f t="shared" si="39"/>
        <v>-1</v>
      </c>
      <c r="I468" s="53" t="str">
        <f t="shared" si="40"/>
        <v>dw</v>
      </c>
      <c r="J468" s="53"/>
    </row>
    <row r="469" spans="1:10" x14ac:dyDescent="0.25">
      <c r="A469" s="93">
        <v>45644</v>
      </c>
      <c r="B469" s="35">
        <f t="shared" si="36"/>
        <v>192</v>
      </c>
      <c r="C469" s="76">
        <v>12</v>
      </c>
      <c r="D469" s="53">
        <v>2024</v>
      </c>
      <c r="E469" s="56">
        <v>0</v>
      </c>
      <c r="F469" s="53">
        <f t="shared" si="37"/>
        <v>0</v>
      </c>
      <c r="G469" s="53">
        <f t="shared" si="38"/>
        <v>1</v>
      </c>
      <c r="H469" s="53">
        <f t="shared" si="39"/>
        <v>1</v>
      </c>
      <c r="I469" s="53" t="str">
        <f t="shared" si="40"/>
        <v>wd</v>
      </c>
      <c r="J469" s="53"/>
    </row>
    <row r="470" spans="1:10" x14ac:dyDescent="0.25">
      <c r="A470" s="93">
        <v>45645</v>
      </c>
      <c r="B470" s="35">
        <f t="shared" si="36"/>
        <v>192</v>
      </c>
      <c r="C470" s="76">
        <v>12</v>
      </c>
      <c r="D470" s="53">
        <v>2024</v>
      </c>
      <c r="E470" s="56">
        <v>0</v>
      </c>
      <c r="F470" s="53">
        <f t="shared" si="37"/>
        <v>0</v>
      </c>
      <c r="G470" s="53">
        <f t="shared" si="38"/>
        <v>0</v>
      </c>
      <c r="H470" s="53">
        <f t="shared" si="39"/>
        <v>0</v>
      </c>
      <c r="I470" s="53" t="str">
        <f t="shared" si="40"/>
        <v>dd</v>
      </c>
      <c r="J470" s="53"/>
    </row>
    <row r="471" spans="1:10" x14ac:dyDescent="0.25">
      <c r="A471" s="93">
        <v>45646</v>
      </c>
      <c r="B471" s="35">
        <f t="shared" si="36"/>
        <v>192</v>
      </c>
      <c r="C471" s="76">
        <v>12</v>
      </c>
      <c r="D471" s="53">
        <v>2024</v>
      </c>
      <c r="E471" s="56">
        <v>0</v>
      </c>
      <c r="F471" s="53">
        <f t="shared" si="37"/>
        <v>0</v>
      </c>
      <c r="G471" s="53">
        <f t="shared" si="38"/>
        <v>0</v>
      </c>
      <c r="H471" s="53">
        <f t="shared" si="39"/>
        <v>0</v>
      </c>
      <c r="I471" s="53" t="str">
        <f t="shared" si="40"/>
        <v>dd</v>
      </c>
      <c r="J471" s="53"/>
    </row>
    <row r="472" spans="1:10" x14ac:dyDescent="0.25">
      <c r="A472" s="93">
        <v>45647</v>
      </c>
      <c r="B472" s="35">
        <f t="shared" si="36"/>
        <v>192</v>
      </c>
      <c r="C472" s="76">
        <v>12</v>
      </c>
      <c r="D472" s="53">
        <v>2024</v>
      </c>
      <c r="E472" s="56">
        <v>0.13333333333333333</v>
      </c>
      <c r="F472" s="53">
        <f t="shared" si="37"/>
        <v>1</v>
      </c>
      <c r="G472" s="53">
        <f t="shared" si="38"/>
        <v>1</v>
      </c>
      <c r="H472" s="53">
        <f t="shared" si="39"/>
        <v>-1</v>
      </c>
      <c r="I472" s="53" t="str">
        <f t="shared" si="40"/>
        <v>dw</v>
      </c>
      <c r="J472" s="53"/>
    </row>
    <row r="473" spans="1:10" x14ac:dyDescent="0.25">
      <c r="A473" s="93">
        <v>45648</v>
      </c>
      <c r="B473" s="35">
        <f t="shared" si="36"/>
        <v>192</v>
      </c>
      <c r="C473" s="76">
        <v>12</v>
      </c>
      <c r="D473" s="53">
        <v>2024</v>
      </c>
      <c r="E473" s="56">
        <v>0.79999999999999993</v>
      </c>
      <c r="F473" s="53">
        <f t="shared" si="37"/>
        <v>1</v>
      </c>
      <c r="G473" s="53">
        <f t="shared" si="38"/>
        <v>2</v>
      </c>
      <c r="H473" s="53">
        <f t="shared" si="39"/>
        <v>2</v>
      </c>
      <c r="I473" s="53" t="str">
        <f t="shared" si="40"/>
        <v>ww</v>
      </c>
      <c r="J473" s="53"/>
    </row>
    <row r="474" spans="1:10" x14ac:dyDescent="0.25">
      <c r="A474" s="93">
        <v>45649</v>
      </c>
      <c r="B474" s="35">
        <f t="shared" si="36"/>
        <v>192</v>
      </c>
      <c r="C474" s="76">
        <v>12</v>
      </c>
      <c r="D474" s="53">
        <v>2024</v>
      </c>
      <c r="E474" s="56">
        <v>0</v>
      </c>
      <c r="F474" s="53">
        <f t="shared" si="37"/>
        <v>0</v>
      </c>
      <c r="G474" s="53">
        <f t="shared" si="38"/>
        <v>1</v>
      </c>
      <c r="H474" s="53">
        <f t="shared" si="39"/>
        <v>1</v>
      </c>
      <c r="I474" s="53" t="str">
        <f t="shared" si="40"/>
        <v>wd</v>
      </c>
      <c r="J474" s="53"/>
    </row>
    <row r="475" spans="1:10" x14ac:dyDescent="0.25">
      <c r="A475" s="93">
        <v>45650</v>
      </c>
      <c r="B475" s="35">
        <f t="shared" si="36"/>
        <v>192</v>
      </c>
      <c r="C475" s="76">
        <v>12</v>
      </c>
      <c r="D475" s="53">
        <v>2024</v>
      </c>
      <c r="E475" s="56">
        <v>1.8666666666666665</v>
      </c>
      <c r="F475" s="53">
        <f t="shared" si="37"/>
        <v>1</v>
      </c>
      <c r="G475" s="53">
        <f t="shared" si="38"/>
        <v>1</v>
      </c>
      <c r="H475" s="53">
        <f t="shared" si="39"/>
        <v>-1</v>
      </c>
      <c r="I475" s="53" t="str">
        <f t="shared" si="40"/>
        <v>dw</v>
      </c>
      <c r="J475" s="53"/>
    </row>
    <row r="476" spans="1:10" x14ac:dyDescent="0.25">
      <c r="A476" s="93">
        <v>45651</v>
      </c>
      <c r="B476" s="35">
        <f t="shared" si="36"/>
        <v>192</v>
      </c>
      <c r="C476" s="76">
        <v>12</v>
      </c>
      <c r="D476" s="53">
        <v>2024</v>
      </c>
      <c r="E476" s="56">
        <v>0</v>
      </c>
      <c r="F476" s="53">
        <f t="shared" si="37"/>
        <v>0</v>
      </c>
      <c r="G476" s="53">
        <f t="shared" si="38"/>
        <v>1</v>
      </c>
      <c r="H476" s="53">
        <f t="shared" si="39"/>
        <v>1</v>
      </c>
      <c r="I476" s="53" t="str">
        <f t="shared" si="40"/>
        <v>wd</v>
      </c>
      <c r="J476" s="53"/>
    </row>
    <row r="477" spans="1:10" x14ac:dyDescent="0.25">
      <c r="A477" s="93">
        <v>45652</v>
      </c>
      <c r="B477" s="35">
        <f t="shared" si="36"/>
        <v>192</v>
      </c>
      <c r="C477" s="76">
        <v>12</v>
      </c>
      <c r="D477" s="53">
        <v>2024</v>
      </c>
      <c r="E477" s="56">
        <v>0</v>
      </c>
      <c r="F477" s="53">
        <f t="shared" si="37"/>
        <v>0</v>
      </c>
      <c r="G477" s="53">
        <f t="shared" si="38"/>
        <v>0</v>
      </c>
      <c r="H477" s="53">
        <f t="shared" si="39"/>
        <v>0</v>
      </c>
      <c r="I477" s="53" t="str">
        <f t="shared" si="40"/>
        <v>dd</v>
      </c>
      <c r="J477" s="53"/>
    </row>
    <row r="478" spans="1:10" x14ac:dyDescent="0.25">
      <c r="A478" s="93">
        <v>45653</v>
      </c>
      <c r="B478" s="35">
        <f t="shared" si="36"/>
        <v>192</v>
      </c>
      <c r="C478" s="76">
        <v>12</v>
      </c>
      <c r="D478" s="53">
        <v>2024</v>
      </c>
      <c r="E478" s="56">
        <v>0</v>
      </c>
      <c r="F478" s="53">
        <f t="shared" si="37"/>
        <v>0</v>
      </c>
      <c r="G478" s="53">
        <f t="shared" si="38"/>
        <v>0</v>
      </c>
      <c r="H478" s="53">
        <f t="shared" si="39"/>
        <v>0</v>
      </c>
      <c r="I478" s="53" t="str">
        <f t="shared" si="40"/>
        <v>dd</v>
      </c>
      <c r="J478" s="53"/>
    </row>
    <row r="479" spans="1:10" x14ac:dyDescent="0.25">
      <c r="A479" s="93">
        <v>45654</v>
      </c>
      <c r="B479" s="35">
        <f t="shared" si="36"/>
        <v>192</v>
      </c>
      <c r="C479" s="76">
        <v>12</v>
      </c>
      <c r="D479" s="53">
        <v>2024</v>
      </c>
      <c r="E479" s="56">
        <v>0.13333333333333333</v>
      </c>
      <c r="F479" s="53">
        <f t="shared" si="37"/>
        <v>1</v>
      </c>
      <c r="G479" s="53">
        <f t="shared" si="38"/>
        <v>1</v>
      </c>
      <c r="H479" s="53">
        <f t="shared" si="39"/>
        <v>-1</v>
      </c>
      <c r="I479" s="53" t="str">
        <f t="shared" si="40"/>
        <v>dw</v>
      </c>
      <c r="J479" s="53"/>
    </row>
    <row r="480" spans="1:10" x14ac:dyDescent="0.25">
      <c r="A480" s="93">
        <v>45655</v>
      </c>
      <c r="B480" s="35">
        <f t="shared" si="36"/>
        <v>192</v>
      </c>
      <c r="C480" s="76">
        <v>12</v>
      </c>
      <c r="D480" s="53">
        <v>2024</v>
      </c>
      <c r="E480" s="56">
        <v>0</v>
      </c>
      <c r="F480" s="53">
        <f t="shared" si="37"/>
        <v>0</v>
      </c>
      <c r="G480" s="53">
        <f t="shared" si="38"/>
        <v>1</v>
      </c>
      <c r="H480" s="53">
        <f t="shared" si="39"/>
        <v>1</v>
      </c>
      <c r="I480" s="53" t="str">
        <f t="shared" si="40"/>
        <v>wd</v>
      </c>
      <c r="J480" s="53"/>
    </row>
    <row r="481" spans="1:10" x14ac:dyDescent="0.25">
      <c r="A481" s="93">
        <v>45656</v>
      </c>
      <c r="B481" s="35">
        <f t="shared" si="36"/>
        <v>192</v>
      </c>
      <c r="C481" s="76">
        <v>12</v>
      </c>
      <c r="D481" s="53">
        <v>2024</v>
      </c>
      <c r="E481" s="56">
        <v>0.13333333333333333</v>
      </c>
      <c r="F481" s="53">
        <f t="shared" si="37"/>
        <v>1</v>
      </c>
      <c r="G481" s="53">
        <f t="shared" si="38"/>
        <v>1</v>
      </c>
      <c r="H481" s="53">
        <f t="shared" si="39"/>
        <v>-1</v>
      </c>
      <c r="I481" s="53" t="str">
        <f t="shared" si="40"/>
        <v>dw</v>
      </c>
      <c r="J481" s="53"/>
    </row>
    <row r="482" spans="1:10" x14ac:dyDescent="0.25">
      <c r="A482" s="93">
        <v>45657</v>
      </c>
      <c r="B482" s="35">
        <f t="shared" si="36"/>
        <v>192</v>
      </c>
      <c r="C482" s="76">
        <v>12</v>
      </c>
      <c r="D482" s="53">
        <v>2024</v>
      </c>
      <c r="E482" s="56">
        <v>0</v>
      </c>
      <c r="F482" s="53">
        <f t="shared" si="37"/>
        <v>0</v>
      </c>
      <c r="G482" s="53">
        <f t="shared" si="38"/>
        <v>1</v>
      </c>
      <c r="H482" s="53">
        <f t="shared" si="39"/>
        <v>1</v>
      </c>
      <c r="I482" s="53" t="str">
        <f t="shared" si="40"/>
        <v>wd</v>
      </c>
      <c r="J482" s="53"/>
    </row>
    <row r="483" spans="1:10" x14ac:dyDescent="0.25">
      <c r="A483" s="93">
        <v>40118</v>
      </c>
      <c r="B483" s="35">
        <f t="shared" si="36"/>
        <v>11</v>
      </c>
      <c r="C483" s="76">
        <v>11</v>
      </c>
      <c r="D483" s="76">
        <v>2009</v>
      </c>
      <c r="E483" s="56">
        <v>9.3333333333333339</v>
      </c>
      <c r="F483" s="53">
        <f t="shared" si="37"/>
        <v>1</v>
      </c>
      <c r="G483" s="53">
        <f>SUM(F483:F483)</f>
        <v>1</v>
      </c>
      <c r="H483" s="53" t="e">
        <f>IF(G483=1,IF(#REF!=1,1,-1),G483)</f>
        <v>#REF!</v>
      </c>
      <c r="I483" s="53" t="e">
        <f t="shared" si="40"/>
        <v>#REF!</v>
      </c>
      <c r="J483" s="53"/>
    </row>
    <row r="484" spans="1:10" x14ac:dyDescent="0.25">
      <c r="A484" s="93">
        <v>40119</v>
      </c>
      <c r="B484" s="35">
        <f t="shared" si="36"/>
        <v>11</v>
      </c>
      <c r="C484" s="76">
        <v>11</v>
      </c>
      <c r="D484" s="76">
        <v>2009</v>
      </c>
      <c r="E484" s="56">
        <v>12.766666666666667</v>
      </c>
      <c r="F484" s="53">
        <f t="shared" si="37"/>
        <v>1</v>
      </c>
      <c r="G484" s="53">
        <f t="shared" ref="G484:G547" si="41">SUM(F483:F484)</f>
        <v>2</v>
      </c>
      <c r="H484" s="53">
        <f t="shared" ref="H484:H547" si="42">IF(G484=1,IF(F483=1,1,-1),G484)</f>
        <v>2</v>
      </c>
      <c r="I484" s="53" t="str">
        <f t="shared" si="40"/>
        <v>ww</v>
      </c>
      <c r="J484" s="53"/>
    </row>
    <row r="485" spans="1:10" x14ac:dyDescent="0.25">
      <c r="A485" s="93">
        <v>40120</v>
      </c>
      <c r="B485" s="35">
        <f t="shared" si="36"/>
        <v>11</v>
      </c>
      <c r="C485" s="76">
        <v>11</v>
      </c>
      <c r="D485" s="76">
        <v>2009</v>
      </c>
      <c r="E485" s="56">
        <v>1.1666666666666667</v>
      </c>
      <c r="F485" s="53">
        <f t="shared" si="37"/>
        <v>1</v>
      </c>
      <c r="G485" s="53">
        <f t="shared" si="41"/>
        <v>2</v>
      </c>
      <c r="H485" s="53">
        <f t="shared" si="42"/>
        <v>2</v>
      </c>
      <c r="I485" s="53" t="str">
        <f t="shared" si="40"/>
        <v>ww</v>
      </c>
      <c r="J485" s="53"/>
    </row>
    <row r="486" spans="1:10" x14ac:dyDescent="0.25">
      <c r="A486" s="93">
        <v>40121</v>
      </c>
      <c r="B486" s="35">
        <f t="shared" si="36"/>
        <v>11</v>
      </c>
      <c r="C486" s="76">
        <v>11</v>
      </c>
      <c r="D486" s="76">
        <v>2009</v>
      </c>
      <c r="E486" s="56">
        <v>1.6333333333333335</v>
      </c>
      <c r="F486" s="53">
        <f t="shared" si="37"/>
        <v>1</v>
      </c>
      <c r="G486" s="53">
        <f t="shared" si="41"/>
        <v>2</v>
      </c>
      <c r="H486" s="53">
        <f t="shared" si="42"/>
        <v>2</v>
      </c>
      <c r="I486" s="53" t="str">
        <f t="shared" si="40"/>
        <v>ww</v>
      </c>
      <c r="J486" s="53"/>
    </row>
    <row r="487" spans="1:10" x14ac:dyDescent="0.25">
      <c r="A487" s="93">
        <v>40122</v>
      </c>
      <c r="B487" s="35">
        <f t="shared" si="36"/>
        <v>11</v>
      </c>
      <c r="C487" s="76">
        <v>11</v>
      </c>
      <c r="D487" s="76">
        <v>2009</v>
      </c>
      <c r="E487" s="56">
        <v>0.40000000000000008</v>
      </c>
      <c r="F487" s="53">
        <f t="shared" si="37"/>
        <v>1</v>
      </c>
      <c r="G487" s="53">
        <f t="shared" si="41"/>
        <v>2</v>
      </c>
      <c r="H487" s="53">
        <f t="shared" si="42"/>
        <v>2</v>
      </c>
      <c r="I487" s="53" t="str">
        <f t="shared" si="40"/>
        <v>ww</v>
      </c>
      <c r="J487" s="53"/>
    </row>
    <row r="488" spans="1:10" x14ac:dyDescent="0.25">
      <c r="A488" s="93">
        <v>40123</v>
      </c>
      <c r="B488" s="35">
        <f t="shared" si="36"/>
        <v>11</v>
      </c>
      <c r="C488" s="76">
        <v>11</v>
      </c>
      <c r="D488" s="76">
        <v>2009</v>
      </c>
      <c r="E488" s="56">
        <v>0.46666666666666673</v>
      </c>
      <c r="F488" s="53">
        <f t="shared" si="37"/>
        <v>1</v>
      </c>
      <c r="G488" s="53">
        <f t="shared" si="41"/>
        <v>2</v>
      </c>
      <c r="H488" s="53">
        <f t="shared" si="42"/>
        <v>2</v>
      </c>
      <c r="I488" s="53" t="str">
        <f t="shared" si="40"/>
        <v>ww</v>
      </c>
      <c r="J488" s="53"/>
    </row>
    <row r="489" spans="1:10" x14ac:dyDescent="0.25">
      <c r="A489" s="93">
        <v>40124</v>
      </c>
      <c r="B489" s="35">
        <f t="shared" si="36"/>
        <v>11</v>
      </c>
      <c r="C489" s="76">
        <v>11</v>
      </c>
      <c r="D489" s="76">
        <v>2009</v>
      </c>
      <c r="E489" s="56">
        <v>9.2666666666666675</v>
      </c>
      <c r="F489" s="53">
        <f t="shared" si="37"/>
        <v>1</v>
      </c>
      <c r="G489" s="53">
        <f t="shared" si="41"/>
        <v>2</v>
      </c>
      <c r="H489" s="53">
        <f t="shared" si="42"/>
        <v>2</v>
      </c>
      <c r="I489" s="53" t="str">
        <f t="shared" si="40"/>
        <v>ww</v>
      </c>
      <c r="J489" s="53"/>
    </row>
    <row r="490" spans="1:10" x14ac:dyDescent="0.25">
      <c r="A490" s="93">
        <v>40125</v>
      </c>
      <c r="B490" s="35">
        <f t="shared" si="36"/>
        <v>11</v>
      </c>
      <c r="C490" s="76">
        <v>11</v>
      </c>
      <c r="D490" s="76">
        <v>2009</v>
      </c>
      <c r="E490" s="56">
        <v>21.333333333333332</v>
      </c>
      <c r="F490" s="53">
        <f t="shared" si="37"/>
        <v>1</v>
      </c>
      <c r="G490" s="53">
        <f t="shared" si="41"/>
        <v>2</v>
      </c>
      <c r="H490" s="53">
        <f t="shared" si="42"/>
        <v>2</v>
      </c>
      <c r="I490" s="53" t="str">
        <f t="shared" si="40"/>
        <v>ww</v>
      </c>
      <c r="J490" s="53"/>
    </row>
    <row r="491" spans="1:10" x14ac:dyDescent="0.25">
      <c r="A491" s="93">
        <v>40126</v>
      </c>
      <c r="B491" s="35">
        <f t="shared" si="36"/>
        <v>11</v>
      </c>
      <c r="C491" s="76">
        <v>11</v>
      </c>
      <c r="D491" s="76">
        <v>2009</v>
      </c>
      <c r="E491" s="56">
        <v>0.93333333333333324</v>
      </c>
      <c r="F491" s="53">
        <f t="shared" si="37"/>
        <v>1</v>
      </c>
      <c r="G491" s="53">
        <f t="shared" si="41"/>
        <v>2</v>
      </c>
      <c r="H491" s="53">
        <f t="shared" si="42"/>
        <v>2</v>
      </c>
      <c r="I491" s="53" t="str">
        <f t="shared" si="40"/>
        <v>ww</v>
      </c>
      <c r="J491" s="53"/>
    </row>
    <row r="492" spans="1:10" x14ac:dyDescent="0.25">
      <c r="A492" s="93">
        <v>40127</v>
      </c>
      <c r="B492" s="35">
        <f t="shared" si="36"/>
        <v>11</v>
      </c>
      <c r="C492" s="76">
        <v>11</v>
      </c>
      <c r="D492" s="76">
        <v>2009</v>
      </c>
      <c r="E492" s="56">
        <v>0.39999999999999997</v>
      </c>
      <c r="F492" s="53">
        <f t="shared" si="37"/>
        <v>1</v>
      </c>
      <c r="G492" s="53">
        <f t="shared" si="41"/>
        <v>2</v>
      </c>
      <c r="H492" s="53">
        <f t="shared" si="42"/>
        <v>2</v>
      </c>
      <c r="I492" s="53" t="str">
        <f t="shared" si="40"/>
        <v>ww</v>
      </c>
      <c r="J492" s="53"/>
    </row>
    <row r="493" spans="1:10" x14ac:dyDescent="0.25">
      <c r="A493" s="93">
        <v>40128</v>
      </c>
      <c r="B493" s="35">
        <f t="shared" si="36"/>
        <v>11</v>
      </c>
      <c r="C493" s="76">
        <v>11</v>
      </c>
      <c r="D493" s="76">
        <v>2009</v>
      </c>
      <c r="E493" s="56">
        <v>1.4666666666666668</v>
      </c>
      <c r="F493" s="53">
        <f t="shared" si="37"/>
        <v>1</v>
      </c>
      <c r="G493" s="53">
        <f t="shared" si="41"/>
        <v>2</v>
      </c>
      <c r="H493" s="53">
        <f t="shared" si="42"/>
        <v>2</v>
      </c>
      <c r="I493" s="53" t="str">
        <f t="shared" si="40"/>
        <v>ww</v>
      </c>
      <c r="J493" s="53"/>
    </row>
    <row r="494" spans="1:10" x14ac:dyDescent="0.25">
      <c r="A494" s="93">
        <v>40129</v>
      </c>
      <c r="B494" s="35">
        <f t="shared" si="36"/>
        <v>11</v>
      </c>
      <c r="C494" s="76">
        <v>11</v>
      </c>
      <c r="D494" s="76">
        <v>2009</v>
      </c>
      <c r="E494" s="56">
        <v>1.6000000000000003</v>
      </c>
      <c r="F494" s="53">
        <f t="shared" si="37"/>
        <v>1</v>
      </c>
      <c r="G494" s="53">
        <f t="shared" si="41"/>
        <v>2</v>
      </c>
      <c r="H494" s="53">
        <f t="shared" si="42"/>
        <v>2</v>
      </c>
      <c r="I494" s="53" t="str">
        <f t="shared" si="40"/>
        <v>ww</v>
      </c>
      <c r="J494" s="53"/>
    </row>
    <row r="495" spans="1:10" x14ac:dyDescent="0.25">
      <c r="A495" s="93">
        <v>40130</v>
      </c>
      <c r="B495" s="35">
        <f t="shared" si="36"/>
        <v>11</v>
      </c>
      <c r="C495" s="76">
        <v>11</v>
      </c>
      <c r="D495" s="76">
        <v>2009</v>
      </c>
      <c r="E495" s="56">
        <v>5.3</v>
      </c>
      <c r="F495" s="53">
        <f t="shared" si="37"/>
        <v>1</v>
      </c>
      <c r="G495" s="53">
        <f t="shared" si="41"/>
        <v>2</v>
      </c>
      <c r="H495" s="53">
        <f t="shared" si="42"/>
        <v>2</v>
      </c>
      <c r="I495" s="53" t="str">
        <f t="shared" si="40"/>
        <v>ww</v>
      </c>
      <c r="J495" s="53"/>
    </row>
    <row r="496" spans="1:10" x14ac:dyDescent="0.25">
      <c r="A496" s="93">
        <v>40131</v>
      </c>
      <c r="B496" s="35">
        <f t="shared" si="36"/>
        <v>11</v>
      </c>
      <c r="C496" s="76">
        <v>11</v>
      </c>
      <c r="D496" s="76">
        <v>2009</v>
      </c>
      <c r="E496" s="56">
        <v>9.9</v>
      </c>
      <c r="F496" s="53">
        <f t="shared" si="37"/>
        <v>1</v>
      </c>
      <c r="G496" s="53">
        <f t="shared" si="41"/>
        <v>2</v>
      </c>
      <c r="H496" s="53">
        <f t="shared" si="42"/>
        <v>2</v>
      </c>
      <c r="I496" s="53" t="str">
        <f t="shared" si="40"/>
        <v>ww</v>
      </c>
      <c r="J496" s="53"/>
    </row>
    <row r="497" spans="1:10" x14ac:dyDescent="0.25">
      <c r="A497" s="93">
        <v>40132</v>
      </c>
      <c r="B497" s="35">
        <f t="shared" si="36"/>
        <v>11</v>
      </c>
      <c r="C497" s="76">
        <v>11</v>
      </c>
      <c r="D497" s="76">
        <v>2009</v>
      </c>
      <c r="E497" s="56">
        <v>6.6666666666666666E-2</v>
      </c>
      <c r="F497" s="53">
        <f t="shared" si="37"/>
        <v>1</v>
      </c>
      <c r="G497" s="53">
        <f t="shared" si="41"/>
        <v>2</v>
      </c>
      <c r="H497" s="53">
        <f t="shared" si="42"/>
        <v>2</v>
      </c>
      <c r="I497" s="53" t="str">
        <f t="shared" si="40"/>
        <v>ww</v>
      </c>
      <c r="J497" s="53"/>
    </row>
    <row r="498" spans="1:10" x14ac:dyDescent="0.25">
      <c r="A498" s="93">
        <v>40133</v>
      </c>
      <c r="B498" s="35">
        <f t="shared" si="36"/>
        <v>11</v>
      </c>
      <c r="C498" s="76">
        <v>11</v>
      </c>
      <c r="D498" s="76">
        <v>2009</v>
      </c>
      <c r="E498" s="56">
        <v>4.7</v>
      </c>
      <c r="F498" s="53">
        <f t="shared" si="37"/>
        <v>1</v>
      </c>
      <c r="G498" s="53">
        <f t="shared" si="41"/>
        <v>2</v>
      </c>
      <c r="H498" s="53">
        <f t="shared" si="42"/>
        <v>2</v>
      </c>
      <c r="I498" s="53" t="str">
        <f t="shared" si="40"/>
        <v>ww</v>
      </c>
      <c r="J498" s="53"/>
    </row>
    <row r="499" spans="1:10" x14ac:dyDescent="0.25">
      <c r="A499" s="93">
        <v>40134</v>
      </c>
      <c r="B499" s="35">
        <f t="shared" si="36"/>
        <v>11</v>
      </c>
      <c r="C499" s="76">
        <v>11</v>
      </c>
      <c r="D499" s="76">
        <v>2009</v>
      </c>
      <c r="E499" s="56">
        <v>13.966666666666669</v>
      </c>
      <c r="F499" s="53">
        <f t="shared" si="37"/>
        <v>1</v>
      </c>
      <c r="G499" s="53">
        <f t="shared" si="41"/>
        <v>2</v>
      </c>
      <c r="H499" s="53">
        <f t="shared" si="42"/>
        <v>2</v>
      </c>
      <c r="I499" s="53" t="str">
        <f t="shared" si="40"/>
        <v>ww</v>
      </c>
      <c r="J499" s="53"/>
    </row>
    <row r="500" spans="1:10" x14ac:dyDescent="0.25">
      <c r="A500" s="93">
        <v>40135</v>
      </c>
      <c r="B500" s="35">
        <f t="shared" si="36"/>
        <v>11</v>
      </c>
      <c r="C500" s="76">
        <v>11</v>
      </c>
      <c r="D500" s="76">
        <v>2009</v>
      </c>
      <c r="E500" s="56">
        <v>14.199999999999998</v>
      </c>
      <c r="F500" s="53">
        <f t="shared" si="37"/>
        <v>1</v>
      </c>
      <c r="G500" s="53">
        <f t="shared" si="41"/>
        <v>2</v>
      </c>
      <c r="H500" s="53">
        <f t="shared" si="42"/>
        <v>2</v>
      </c>
      <c r="I500" s="53" t="str">
        <f t="shared" si="40"/>
        <v>ww</v>
      </c>
      <c r="J500" s="53"/>
    </row>
    <row r="501" spans="1:10" x14ac:dyDescent="0.25">
      <c r="A501" s="93">
        <v>40136</v>
      </c>
      <c r="B501" s="35">
        <f t="shared" si="36"/>
        <v>11</v>
      </c>
      <c r="C501" s="76">
        <v>11</v>
      </c>
      <c r="D501" s="76">
        <v>2009</v>
      </c>
      <c r="E501" s="56">
        <v>0</v>
      </c>
      <c r="F501" s="53">
        <f t="shared" si="37"/>
        <v>0</v>
      </c>
      <c r="G501" s="53">
        <f t="shared" si="41"/>
        <v>1</v>
      </c>
      <c r="H501" s="53">
        <f t="shared" si="42"/>
        <v>1</v>
      </c>
      <c r="I501" s="53" t="str">
        <f t="shared" si="40"/>
        <v>wd</v>
      </c>
      <c r="J501" s="53"/>
    </row>
    <row r="502" spans="1:10" x14ac:dyDescent="0.25">
      <c r="A502" s="93">
        <v>40137</v>
      </c>
      <c r="B502" s="35">
        <f t="shared" si="36"/>
        <v>11</v>
      </c>
      <c r="C502" s="76">
        <v>11</v>
      </c>
      <c r="D502" s="76">
        <v>2009</v>
      </c>
      <c r="E502" s="56">
        <v>0.79999999999999993</v>
      </c>
      <c r="F502" s="53">
        <f t="shared" si="37"/>
        <v>1</v>
      </c>
      <c r="G502" s="53">
        <f t="shared" si="41"/>
        <v>1</v>
      </c>
      <c r="H502" s="53">
        <f t="shared" si="42"/>
        <v>-1</v>
      </c>
      <c r="I502" s="53" t="str">
        <f t="shared" si="40"/>
        <v>dw</v>
      </c>
      <c r="J502" s="53"/>
    </row>
    <row r="503" spans="1:10" x14ac:dyDescent="0.25">
      <c r="A503" s="93">
        <v>40138</v>
      </c>
      <c r="B503" s="35">
        <f t="shared" si="36"/>
        <v>11</v>
      </c>
      <c r="C503" s="76">
        <v>11</v>
      </c>
      <c r="D503" s="76">
        <v>2009</v>
      </c>
      <c r="E503" s="56">
        <v>2.1666666666666665</v>
      </c>
      <c r="F503" s="53">
        <f t="shared" si="37"/>
        <v>1</v>
      </c>
      <c r="G503" s="53">
        <f t="shared" si="41"/>
        <v>2</v>
      </c>
      <c r="H503" s="53">
        <f t="shared" si="42"/>
        <v>2</v>
      </c>
      <c r="I503" s="53" t="str">
        <f t="shared" si="40"/>
        <v>ww</v>
      </c>
      <c r="J503" s="53"/>
    </row>
    <row r="504" spans="1:10" x14ac:dyDescent="0.25">
      <c r="A504" s="93">
        <v>40139</v>
      </c>
      <c r="B504" s="35">
        <f t="shared" si="36"/>
        <v>11</v>
      </c>
      <c r="C504" s="76">
        <v>11</v>
      </c>
      <c r="D504" s="76">
        <v>2009</v>
      </c>
      <c r="E504" s="56">
        <v>1.9666666666666668</v>
      </c>
      <c r="F504" s="53">
        <f t="shared" si="37"/>
        <v>1</v>
      </c>
      <c r="G504" s="53">
        <f t="shared" si="41"/>
        <v>2</v>
      </c>
      <c r="H504" s="53">
        <f t="shared" si="42"/>
        <v>2</v>
      </c>
      <c r="I504" s="53" t="str">
        <f t="shared" si="40"/>
        <v>ww</v>
      </c>
      <c r="J504" s="53"/>
    </row>
    <row r="505" spans="1:10" x14ac:dyDescent="0.25">
      <c r="A505" s="93">
        <v>40140</v>
      </c>
      <c r="B505" s="35">
        <f t="shared" si="36"/>
        <v>11</v>
      </c>
      <c r="C505" s="76">
        <v>11</v>
      </c>
      <c r="D505" s="76">
        <v>2009</v>
      </c>
      <c r="E505" s="56">
        <v>2.2666666666666666</v>
      </c>
      <c r="F505" s="53">
        <f t="shared" si="37"/>
        <v>1</v>
      </c>
      <c r="G505" s="53">
        <f t="shared" si="41"/>
        <v>2</v>
      </c>
      <c r="H505" s="53">
        <f t="shared" si="42"/>
        <v>2</v>
      </c>
      <c r="I505" s="53" t="str">
        <f t="shared" si="40"/>
        <v>ww</v>
      </c>
      <c r="J505" s="53"/>
    </row>
    <row r="506" spans="1:10" x14ac:dyDescent="0.25">
      <c r="A506" s="93">
        <v>40141</v>
      </c>
      <c r="B506" s="35">
        <f t="shared" si="36"/>
        <v>11</v>
      </c>
      <c r="C506" s="76">
        <v>11</v>
      </c>
      <c r="D506" s="76">
        <v>2009</v>
      </c>
      <c r="E506" s="56">
        <v>1.9666666666666666</v>
      </c>
      <c r="F506" s="53">
        <f t="shared" si="37"/>
        <v>1</v>
      </c>
      <c r="G506" s="53">
        <f t="shared" si="41"/>
        <v>2</v>
      </c>
      <c r="H506" s="53">
        <f t="shared" si="42"/>
        <v>2</v>
      </c>
      <c r="I506" s="53" t="str">
        <f t="shared" si="40"/>
        <v>ww</v>
      </c>
      <c r="J506" s="53"/>
    </row>
    <row r="507" spans="1:10" x14ac:dyDescent="0.25">
      <c r="A507" s="93">
        <v>40142</v>
      </c>
      <c r="B507" s="35">
        <f t="shared" si="36"/>
        <v>11</v>
      </c>
      <c r="C507" s="76">
        <v>11</v>
      </c>
      <c r="D507" s="76">
        <v>2009</v>
      </c>
      <c r="E507" s="56">
        <v>1.8666666666666665</v>
      </c>
      <c r="F507" s="53">
        <f t="shared" si="37"/>
        <v>1</v>
      </c>
      <c r="G507" s="53">
        <f t="shared" si="41"/>
        <v>2</v>
      </c>
      <c r="H507" s="53">
        <f t="shared" si="42"/>
        <v>2</v>
      </c>
      <c r="I507" s="53" t="str">
        <f t="shared" si="40"/>
        <v>ww</v>
      </c>
      <c r="J507" s="53"/>
    </row>
    <row r="508" spans="1:10" x14ac:dyDescent="0.25">
      <c r="A508" s="93">
        <v>40143</v>
      </c>
      <c r="B508" s="35">
        <f t="shared" si="36"/>
        <v>11</v>
      </c>
      <c r="C508" s="76">
        <v>11</v>
      </c>
      <c r="D508" s="76">
        <v>2009</v>
      </c>
      <c r="E508" s="56">
        <v>0.26666666666666666</v>
      </c>
      <c r="F508" s="53">
        <f t="shared" si="37"/>
        <v>1</v>
      </c>
      <c r="G508" s="53">
        <f t="shared" si="41"/>
        <v>2</v>
      </c>
      <c r="H508" s="53">
        <f t="shared" si="42"/>
        <v>2</v>
      </c>
      <c r="I508" s="53" t="str">
        <f t="shared" si="40"/>
        <v>ww</v>
      </c>
      <c r="J508" s="53"/>
    </row>
    <row r="509" spans="1:10" x14ac:dyDescent="0.25">
      <c r="A509" s="93">
        <v>40144</v>
      </c>
      <c r="B509" s="35">
        <f t="shared" si="36"/>
        <v>11</v>
      </c>
      <c r="C509" s="76">
        <v>11</v>
      </c>
      <c r="D509" s="76">
        <v>2009</v>
      </c>
      <c r="E509" s="56">
        <v>0</v>
      </c>
      <c r="F509" s="53">
        <f t="shared" si="37"/>
        <v>0</v>
      </c>
      <c r="G509" s="53">
        <f t="shared" si="41"/>
        <v>1</v>
      </c>
      <c r="H509" s="53">
        <f t="shared" si="42"/>
        <v>1</v>
      </c>
      <c r="I509" s="53" t="str">
        <f t="shared" si="40"/>
        <v>wd</v>
      </c>
      <c r="J509" s="53"/>
    </row>
    <row r="510" spans="1:10" x14ac:dyDescent="0.25">
      <c r="A510" s="93">
        <v>40145</v>
      </c>
      <c r="B510" s="35">
        <f t="shared" si="36"/>
        <v>11</v>
      </c>
      <c r="C510" s="76">
        <v>11</v>
      </c>
      <c r="D510" s="76">
        <v>2009</v>
      </c>
      <c r="E510" s="56">
        <v>0.8666666666666667</v>
      </c>
      <c r="F510" s="53">
        <f t="shared" si="37"/>
        <v>1</v>
      </c>
      <c r="G510" s="53">
        <f t="shared" si="41"/>
        <v>1</v>
      </c>
      <c r="H510" s="53">
        <f t="shared" si="42"/>
        <v>-1</v>
      </c>
      <c r="I510" s="53" t="str">
        <f t="shared" si="40"/>
        <v>dw</v>
      </c>
      <c r="J510" s="53"/>
    </row>
    <row r="511" spans="1:10" x14ac:dyDescent="0.25">
      <c r="A511" s="93">
        <v>40146</v>
      </c>
      <c r="B511" s="35">
        <f t="shared" si="36"/>
        <v>11</v>
      </c>
      <c r="C511" s="76">
        <v>11</v>
      </c>
      <c r="D511" s="76">
        <v>2009</v>
      </c>
      <c r="E511" s="56">
        <v>8.0666666666666682</v>
      </c>
      <c r="F511" s="53">
        <f t="shared" si="37"/>
        <v>1</v>
      </c>
      <c r="G511" s="53">
        <f t="shared" si="41"/>
        <v>2</v>
      </c>
      <c r="H511" s="53">
        <f t="shared" si="42"/>
        <v>2</v>
      </c>
      <c r="I511" s="53" t="str">
        <f t="shared" si="40"/>
        <v>ww</v>
      </c>
      <c r="J511" s="53"/>
    </row>
    <row r="512" spans="1:10" x14ac:dyDescent="0.25">
      <c r="A512" s="93">
        <v>40147</v>
      </c>
      <c r="B512" s="35">
        <f t="shared" si="36"/>
        <v>11</v>
      </c>
      <c r="C512" s="76">
        <v>11</v>
      </c>
      <c r="D512" s="76">
        <v>2009</v>
      </c>
      <c r="E512" s="56">
        <v>14.5</v>
      </c>
      <c r="F512" s="53">
        <f t="shared" si="37"/>
        <v>1</v>
      </c>
      <c r="G512" s="53">
        <f t="shared" si="41"/>
        <v>2</v>
      </c>
      <c r="H512" s="53">
        <f t="shared" si="42"/>
        <v>2</v>
      </c>
      <c r="I512" s="53" t="str">
        <f t="shared" si="40"/>
        <v>ww</v>
      </c>
      <c r="J512" s="53"/>
    </row>
    <row r="513" spans="1:10" x14ac:dyDescent="0.25">
      <c r="A513" s="93">
        <v>40484</v>
      </c>
      <c r="B513" s="35">
        <f t="shared" si="36"/>
        <v>23</v>
      </c>
      <c r="C513" s="76">
        <v>11</v>
      </c>
      <c r="D513" s="76">
        <v>2010</v>
      </c>
      <c r="E513" s="56">
        <v>1.4000000000000001</v>
      </c>
      <c r="F513" s="53">
        <f t="shared" si="37"/>
        <v>1</v>
      </c>
      <c r="G513" s="53">
        <f t="shared" si="41"/>
        <v>2</v>
      </c>
      <c r="H513" s="53">
        <f t="shared" si="42"/>
        <v>2</v>
      </c>
      <c r="I513" s="53" t="str">
        <f t="shared" si="40"/>
        <v>ww</v>
      </c>
      <c r="J513" s="53"/>
    </row>
    <row r="514" spans="1:10" x14ac:dyDescent="0.25">
      <c r="A514" s="93">
        <v>40485</v>
      </c>
      <c r="B514" s="35">
        <f t="shared" ref="B514:B577" si="43">C514+(D514-2009)*12</f>
        <v>23</v>
      </c>
      <c r="C514" s="76">
        <v>11</v>
      </c>
      <c r="D514" s="76">
        <v>2010</v>
      </c>
      <c r="E514" s="56">
        <v>9.8666666666666671</v>
      </c>
      <c r="F514" s="53">
        <f t="shared" ref="F514:F577" si="44">IF(E514&gt;0,1,0)</f>
        <v>1</v>
      </c>
      <c r="G514" s="53">
        <f t="shared" si="41"/>
        <v>2</v>
      </c>
      <c r="H514" s="53">
        <f t="shared" si="42"/>
        <v>2</v>
      </c>
      <c r="I514" s="53" t="str">
        <f t="shared" ref="I514:I577" si="45">VLOOKUP(H514,codes,2,)</f>
        <v>ww</v>
      </c>
      <c r="J514" s="53"/>
    </row>
    <row r="515" spans="1:10" x14ac:dyDescent="0.25">
      <c r="A515" s="93">
        <v>40486</v>
      </c>
      <c r="B515" s="35">
        <f t="shared" si="43"/>
        <v>23</v>
      </c>
      <c r="C515" s="76">
        <v>11</v>
      </c>
      <c r="D515" s="76">
        <v>2010</v>
      </c>
      <c r="E515" s="56">
        <v>16.466666666666665</v>
      </c>
      <c r="F515" s="53">
        <f t="shared" si="44"/>
        <v>1</v>
      </c>
      <c r="G515" s="53">
        <f t="shared" si="41"/>
        <v>2</v>
      </c>
      <c r="H515" s="53">
        <f t="shared" si="42"/>
        <v>2</v>
      </c>
      <c r="I515" s="53" t="str">
        <f t="shared" si="45"/>
        <v>ww</v>
      </c>
      <c r="J515" s="53"/>
    </row>
    <row r="516" spans="1:10" x14ac:dyDescent="0.25">
      <c r="A516" s="93">
        <v>40487</v>
      </c>
      <c r="B516" s="35">
        <f t="shared" si="43"/>
        <v>23</v>
      </c>
      <c r="C516" s="76">
        <v>11</v>
      </c>
      <c r="D516" s="76">
        <v>2010</v>
      </c>
      <c r="E516" s="56">
        <v>1.6666666666666667</v>
      </c>
      <c r="F516" s="53">
        <f t="shared" si="44"/>
        <v>1</v>
      </c>
      <c r="G516" s="53">
        <f t="shared" si="41"/>
        <v>2</v>
      </c>
      <c r="H516" s="53">
        <f t="shared" si="42"/>
        <v>2</v>
      </c>
      <c r="I516" s="53" t="str">
        <f t="shared" si="45"/>
        <v>ww</v>
      </c>
      <c r="J516" s="53"/>
    </row>
    <row r="517" spans="1:10" x14ac:dyDescent="0.25">
      <c r="A517" s="93">
        <v>40488</v>
      </c>
      <c r="B517" s="35">
        <f t="shared" si="43"/>
        <v>23</v>
      </c>
      <c r="C517" s="76">
        <v>11</v>
      </c>
      <c r="D517" s="76">
        <v>2010</v>
      </c>
      <c r="E517" s="56">
        <v>1.0666666666666667</v>
      </c>
      <c r="F517" s="53">
        <f t="shared" si="44"/>
        <v>1</v>
      </c>
      <c r="G517" s="53">
        <f t="shared" si="41"/>
        <v>2</v>
      </c>
      <c r="H517" s="53">
        <f t="shared" si="42"/>
        <v>2</v>
      </c>
      <c r="I517" s="53" t="str">
        <f t="shared" si="45"/>
        <v>ww</v>
      </c>
      <c r="J517" s="53"/>
    </row>
    <row r="518" spans="1:10" x14ac:dyDescent="0.25">
      <c r="A518" s="93">
        <v>40489</v>
      </c>
      <c r="B518" s="35">
        <f t="shared" si="43"/>
        <v>23</v>
      </c>
      <c r="C518" s="76">
        <v>11</v>
      </c>
      <c r="D518" s="76">
        <v>2010</v>
      </c>
      <c r="E518" s="56">
        <v>3.4666666666666668</v>
      </c>
      <c r="F518" s="53">
        <f t="shared" si="44"/>
        <v>1</v>
      </c>
      <c r="G518" s="53">
        <f t="shared" si="41"/>
        <v>2</v>
      </c>
      <c r="H518" s="53">
        <f t="shared" si="42"/>
        <v>2</v>
      </c>
      <c r="I518" s="53" t="str">
        <f t="shared" si="45"/>
        <v>ww</v>
      </c>
      <c r="J518" s="53"/>
    </row>
    <row r="519" spans="1:10" x14ac:dyDescent="0.25">
      <c r="A519" s="93">
        <v>40490</v>
      </c>
      <c r="B519" s="35">
        <f t="shared" si="43"/>
        <v>23</v>
      </c>
      <c r="C519" s="76">
        <v>11</v>
      </c>
      <c r="D519" s="76">
        <v>2010</v>
      </c>
      <c r="E519" s="56">
        <v>0.20000000000000004</v>
      </c>
      <c r="F519" s="53">
        <f t="shared" si="44"/>
        <v>1</v>
      </c>
      <c r="G519" s="53">
        <f t="shared" si="41"/>
        <v>2</v>
      </c>
      <c r="H519" s="53">
        <f t="shared" si="42"/>
        <v>2</v>
      </c>
      <c r="I519" s="53" t="str">
        <f t="shared" si="45"/>
        <v>ww</v>
      </c>
      <c r="J519" s="53"/>
    </row>
    <row r="520" spans="1:10" x14ac:dyDescent="0.25">
      <c r="A520" s="93">
        <v>40491</v>
      </c>
      <c r="B520" s="35">
        <f t="shared" si="43"/>
        <v>23</v>
      </c>
      <c r="C520" s="76">
        <v>11</v>
      </c>
      <c r="D520" s="76">
        <v>2010</v>
      </c>
      <c r="E520" s="56">
        <v>9.2000000000000011</v>
      </c>
      <c r="F520" s="53">
        <f t="shared" si="44"/>
        <v>1</v>
      </c>
      <c r="G520" s="53">
        <f t="shared" si="41"/>
        <v>2</v>
      </c>
      <c r="H520" s="53">
        <f t="shared" si="42"/>
        <v>2</v>
      </c>
      <c r="I520" s="53" t="str">
        <f t="shared" si="45"/>
        <v>ww</v>
      </c>
      <c r="J520" s="53"/>
    </row>
    <row r="521" spans="1:10" x14ac:dyDescent="0.25">
      <c r="A521" s="93">
        <v>40492</v>
      </c>
      <c r="B521" s="35">
        <f t="shared" si="43"/>
        <v>23</v>
      </c>
      <c r="C521" s="76">
        <v>11</v>
      </c>
      <c r="D521" s="76">
        <v>2010</v>
      </c>
      <c r="E521" s="56">
        <v>1.0666666666666667</v>
      </c>
      <c r="F521" s="53">
        <f t="shared" si="44"/>
        <v>1</v>
      </c>
      <c r="G521" s="53">
        <f t="shared" si="41"/>
        <v>2</v>
      </c>
      <c r="H521" s="53">
        <f t="shared" si="42"/>
        <v>2</v>
      </c>
      <c r="I521" s="53" t="str">
        <f t="shared" si="45"/>
        <v>ww</v>
      </c>
      <c r="J521" s="53"/>
    </row>
    <row r="522" spans="1:10" x14ac:dyDescent="0.25">
      <c r="A522" s="93">
        <v>40493</v>
      </c>
      <c r="B522" s="35">
        <f t="shared" si="43"/>
        <v>23</v>
      </c>
      <c r="C522" s="76">
        <v>11</v>
      </c>
      <c r="D522" s="76">
        <v>2010</v>
      </c>
      <c r="E522" s="56">
        <v>0.79999999999999993</v>
      </c>
      <c r="F522" s="53">
        <f t="shared" si="44"/>
        <v>1</v>
      </c>
      <c r="G522" s="53">
        <f t="shared" si="41"/>
        <v>2</v>
      </c>
      <c r="H522" s="53">
        <f t="shared" si="42"/>
        <v>2</v>
      </c>
      <c r="I522" s="53" t="str">
        <f t="shared" si="45"/>
        <v>ww</v>
      </c>
      <c r="J522" s="53"/>
    </row>
    <row r="523" spans="1:10" x14ac:dyDescent="0.25">
      <c r="A523" s="93">
        <v>40494</v>
      </c>
      <c r="B523" s="35">
        <f t="shared" si="43"/>
        <v>23</v>
      </c>
      <c r="C523" s="76">
        <v>11</v>
      </c>
      <c r="D523" s="76">
        <v>2010</v>
      </c>
      <c r="E523" s="56">
        <v>2.6666666666666665</v>
      </c>
      <c r="F523" s="53">
        <f t="shared" si="44"/>
        <v>1</v>
      </c>
      <c r="G523" s="53">
        <f t="shared" si="41"/>
        <v>2</v>
      </c>
      <c r="H523" s="53">
        <f t="shared" si="42"/>
        <v>2</v>
      </c>
      <c r="I523" s="53" t="str">
        <f t="shared" si="45"/>
        <v>ww</v>
      </c>
      <c r="J523" s="53"/>
    </row>
    <row r="524" spans="1:10" x14ac:dyDescent="0.25">
      <c r="A524" s="93">
        <v>40495</v>
      </c>
      <c r="B524" s="35">
        <f t="shared" si="43"/>
        <v>23</v>
      </c>
      <c r="C524" s="76">
        <v>11</v>
      </c>
      <c r="D524" s="76">
        <v>2010</v>
      </c>
      <c r="E524" s="56">
        <v>0.13333333333333333</v>
      </c>
      <c r="F524" s="53">
        <f t="shared" si="44"/>
        <v>1</v>
      </c>
      <c r="G524" s="53">
        <f t="shared" si="41"/>
        <v>2</v>
      </c>
      <c r="H524" s="53">
        <f t="shared" si="42"/>
        <v>2</v>
      </c>
      <c r="I524" s="53" t="str">
        <f t="shared" si="45"/>
        <v>ww</v>
      </c>
      <c r="J524" s="53"/>
    </row>
    <row r="525" spans="1:10" x14ac:dyDescent="0.25">
      <c r="A525" s="93">
        <v>40496</v>
      </c>
      <c r="B525" s="35">
        <f t="shared" si="43"/>
        <v>23</v>
      </c>
      <c r="C525" s="76">
        <v>11</v>
      </c>
      <c r="D525" s="76">
        <v>2010</v>
      </c>
      <c r="E525" s="56">
        <v>0.6</v>
      </c>
      <c r="F525" s="53">
        <f t="shared" si="44"/>
        <v>1</v>
      </c>
      <c r="G525" s="53">
        <f t="shared" si="41"/>
        <v>2</v>
      </c>
      <c r="H525" s="53">
        <f t="shared" si="42"/>
        <v>2</v>
      </c>
      <c r="I525" s="53" t="str">
        <f t="shared" si="45"/>
        <v>ww</v>
      </c>
      <c r="J525" s="53"/>
    </row>
    <row r="526" spans="1:10" x14ac:dyDescent="0.25">
      <c r="A526" s="93">
        <v>40497</v>
      </c>
      <c r="B526" s="35">
        <f t="shared" si="43"/>
        <v>23</v>
      </c>
      <c r="C526" s="76">
        <v>11</v>
      </c>
      <c r="D526" s="76">
        <v>2010</v>
      </c>
      <c r="E526" s="56">
        <v>2.7333333333333338</v>
      </c>
      <c r="F526" s="53">
        <f t="shared" si="44"/>
        <v>1</v>
      </c>
      <c r="G526" s="53">
        <f t="shared" si="41"/>
        <v>2</v>
      </c>
      <c r="H526" s="53">
        <f t="shared" si="42"/>
        <v>2</v>
      </c>
      <c r="I526" s="53" t="str">
        <f t="shared" si="45"/>
        <v>ww</v>
      </c>
      <c r="J526" s="53"/>
    </row>
    <row r="527" spans="1:10" x14ac:dyDescent="0.25">
      <c r="A527" s="93">
        <v>40498</v>
      </c>
      <c r="B527" s="35">
        <f t="shared" si="43"/>
        <v>23</v>
      </c>
      <c r="C527" s="76">
        <v>11</v>
      </c>
      <c r="D527" s="76">
        <v>2010</v>
      </c>
      <c r="E527" s="56">
        <v>0.73333333333333328</v>
      </c>
      <c r="F527" s="53">
        <f t="shared" si="44"/>
        <v>1</v>
      </c>
      <c r="G527" s="53">
        <f t="shared" si="41"/>
        <v>2</v>
      </c>
      <c r="H527" s="53">
        <f t="shared" si="42"/>
        <v>2</v>
      </c>
      <c r="I527" s="53" t="str">
        <f t="shared" si="45"/>
        <v>ww</v>
      </c>
      <c r="J527" s="53"/>
    </row>
    <row r="528" spans="1:10" x14ac:dyDescent="0.25">
      <c r="A528" s="93">
        <v>40499</v>
      </c>
      <c r="B528" s="35">
        <f t="shared" si="43"/>
        <v>23</v>
      </c>
      <c r="C528" s="76">
        <v>11</v>
      </c>
      <c r="D528" s="76">
        <v>2010</v>
      </c>
      <c r="E528" s="56">
        <v>0.13333333333333333</v>
      </c>
      <c r="F528" s="53">
        <f t="shared" si="44"/>
        <v>1</v>
      </c>
      <c r="G528" s="53">
        <f t="shared" si="41"/>
        <v>2</v>
      </c>
      <c r="H528" s="53">
        <f t="shared" si="42"/>
        <v>2</v>
      </c>
      <c r="I528" s="53" t="str">
        <f t="shared" si="45"/>
        <v>ww</v>
      </c>
      <c r="J528" s="53"/>
    </row>
    <row r="529" spans="1:10" x14ac:dyDescent="0.25">
      <c r="A529" s="93">
        <v>40500</v>
      </c>
      <c r="B529" s="35">
        <f t="shared" si="43"/>
        <v>23</v>
      </c>
      <c r="C529" s="76">
        <v>11</v>
      </c>
      <c r="D529" s="76">
        <v>2010</v>
      </c>
      <c r="E529" s="56">
        <v>1.4000000000000001</v>
      </c>
      <c r="F529" s="53">
        <f t="shared" si="44"/>
        <v>1</v>
      </c>
      <c r="G529" s="53">
        <f t="shared" si="41"/>
        <v>2</v>
      </c>
      <c r="H529" s="53">
        <f t="shared" si="42"/>
        <v>2</v>
      </c>
      <c r="I529" s="53" t="str">
        <f t="shared" si="45"/>
        <v>ww</v>
      </c>
      <c r="J529" s="53"/>
    </row>
    <row r="530" spans="1:10" x14ac:dyDescent="0.25">
      <c r="A530" s="93">
        <v>40501</v>
      </c>
      <c r="B530" s="35">
        <f t="shared" si="43"/>
        <v>23</v>
      </c>
      <c r="C530" s="76">
        <v>11</v>
      </c>
      <c r="D530" s="76">
        <v>2010</v>
      </c>
      <c r="E530" s="56">
        <v>0.46666666666666662</v>
      </c>
      <c r="F530" s="53">
        <f t="shared" si="44"/>
        <v>1</v>
      </c>
      <c r="G530" s="53">
        <f t="shared" si="41"/>
        <v>2</v>
      </c>
      <c r="H530" s="53">
        <f t="shared" si="42"/>
        <v>2</v>
      </c>
      <c r="I530" s="53" t="str">
        <f t="shared" si="45"/>
        <v>ww</v>
      </c>
      <c r="J530" s="53"/>
    </row>
    <row r="531" spans="1:10" x14ac:dyDescent="0.25">
      <c r="A531" s="93">
        <v>40502</v>
      </c>
      <c r="B531" s="35">
        <f t="shared" si="43"/>
        <v>23</v>
      </c>
      <c r="C531" s="76">
        <v>11</v>
      </c>
      <c r="D531" s="76">
        <v>2010</v>
      </c>
      <c r="E531" s="56">
        <v>6.7333333333333334</v>
      </c>
      <c r="F531" s="53">
        <f t="shared" si="44"/>
        <v>1</v>
      </c>
      <c r="G531" s="53">
        <f t="shared" si="41"/>
        <v>2</v>
      </c>
      <c r="H531" s="53">
        <f t="shared" si="42"/>
        <v>2</v>
      </c>
      <c r="I531" s="53" t="str">
        <f t="shared" si="45"/>
        <v>ww</v>
      </c>
      <c r="J531" s="53"/>
    </row>
    <row r="532" spans="1:10" x14ac:dyDescent="0.25">
      <c r="A532" s="93">
        <v>40503</v>
      </c>
      <c r="B532" s="35">
        <f t="shared" si="43"/>
        <v>23</v>
      </c>
      <c r="C532" s="76">
        <v>11</v>
      </c>
      <c r="D532" s="76">
        <v>2010</v>
      </c>
      <c r="E532" s="56">
        <v>8.7333333333333343</v>
      </c>
      <c r="F532" s="53">
        <f t="shared" si="44"/>
        <v>1</v>
      </c>
      <c r="G532" s="53">
        <f t="shared" si="41"/>
        <v>2</v>
      </c>
      <c r="H532" s="53">
        <f t="shared" si="42"/>
        <v>2</v>
      </c>
      <c r="I532" s="53" t="str">
        <f t="shared" si="45"/>
        <v>ww</v>
      </c>
      <c r="J532" s="53"/>
    </row>
    <row r="533" spans="1:10" x14ac:dyDescent="0.25">
      <c r="A533" s="93">
        <v>40504</v>
      </c>
      <c r="B533" s="35">
        <f t="shared" si="43"/>
        <v>23</v>
      </c>
      <c r="C533" s="76">
        <v>11</v>
      </c>
      <c r="D533" s="76">
        <v>2010</v>
      </c>
      <c r="E533" s="56">
        <v>5.6000000000000005</v>
      </c>
      <c r="F533" s="53">
        <f t="shared" si="44"/>
        <v>1</v>
      </c>
      <c r="G533" s="53">
        <f t="shared" si="41"/>
        <v>2</v>
      </c>
      <c r="H533" s="53">
        <f t="shared" si="42"/>
        <v>2</v>
      </c>
      <c r="I533" s="53" t="str">
        <f t="shared" si="45"/>
        <v>ww</v>
      </c>
      <c r="J533" s="53"/>
    </row>
    <row r="534" spans="1:10" x14ac:dyDescent="0.25">
      <c r="A534" s="93">
        <v>40505</v>
      </c>
      <c r="B534" s="35">
        <f t="shared" si="43"/>
        <v>23</v>
      </c>
      <c r="C534" s="76">
        <v>11</v>
      </c>
      <c r="D534" s="76">
        <v>2010</v>
      </c>
      <c r="E534" s="56">
        <v>6</v>
      </c>
      <c r="F534" s="53">
        <f t="shared" si="44"/>
        <v>1</v>
      </c>
      <c r="G534" s="53">
        <f t="shared" si="41"/>
        <v>2</v>
      </c>
      <c r="H534" s="53">
        <f t="shared" si="42"/>
        <v>2</v>
      </c>
      <c r="I534" s="53" t="str">
        <f t="shared" si="45"/>
        <v>ww</v>
      </c>
      <c r="J534" s="53"/>
    </row>
    <row r="535" spans="1:10" x14ac:dyDescent="0.25">
      <c r="A535" s="93">
        <v>40506</v>
      </c>
      <c r="B535" s="35">
        <f t="shared" si="43"/>
        <v>23</v>
      </c>
      <c r="C535" s="76">
        <v>11</v>
      </c>
      <c r="D535" s="76">
        <v>2010</v>
      </c>
      <c r="E535" s="56">
        <v>8.4666666666666668</v>
      </c>
      <c r="F535" s="53">
        <f t="shared" si="44"/>
        <v>1</v>
      </c>
      <c r="G535" s="53">
        <f t="shared" si="41"/>
        <v>2</v>
      </c>
      <c r="H535" s="53">
        <f t="shared" si="42"/>
        <v>2</v>
      </c>
      <c r="I535" s="53" t="str">
        <f t="shared" si="45"/>
        <v>ww</v>
      </c>
      <c r="J535" s="53"/>
    </row>
    <row r="536" spans="1:10" x14ac:dyDescent="0.25">
      <c r="A536" s="93">
        <v>40507</v>
      </c>
      <c r="B536" s="35">
        <f t="shared" si="43"/>
        <v>23</v>
      </c>
      <c r="C536" s="76">
        <v>11</v>
      </c>
      <c r="D536" s="76">
        <v>2010</v>
      </c>
      <c r="E536" s="56">
        <v>8.3333333333333339</v>
      </c>
      <c r="F536" s="53">
        <f t="shared" si="44"/>
        <v>1</v>
      </c>
      <c r="G536" s="53">
        <f t="shared" si="41"/>
        <v>2</v>
      </c>
      <c r="H536" s="53">
        <f t="shared" si="42"/>
        <v>2</v>
      </c>
      <c r="I536" s="53" t="str">
        <f t="shared" si="45"/>
        <v>ww</v>
      </c>
      <c r="J536" s="53"/>
    </row>
    <row r="537" spans="1:10" x14ac:dyDescent="0.25">
      <c r="A537" s="93">
        <v>40508</v>
      </c>
      <c r="B537" s="35">
        <f t="shared" si="43"/>
        <v>23</v>
      </c>
      <c r="C537" s="76">
        <v>11</v>
      </c>
      <c r="D537" s="76">
        <v>2010</v>
      </c>
      <c r="E537" s="56">
        <v>3.1</v>
      </c>
      <c r="F537" s="53">
        <f t="shared" si="44"/>
        <v>1</v>
      </c>
      <c r="G537" s="53">
        <f t="shared" si="41"/>
        <v>2</v>
      </c>
      <c r="H537" s="53">
        <f t="shared" si="42"/>
        <v>2</v>
      </c>
      <c r="I537" s="53" t="str">
        <f t="shared" si="45"/>
        <v>ww</v>
      </c>
      <c r="J537" s="53"/>
    </row>
    <row r="538" spans="1:10" x14ac:dyDescent="0.25">
      <c r="A538" s="93">
        <v>40509</v>
      </c>
      <c r="B538" s="35">
        <f t="shared" si="43"/>
        <v>23</v>
      </c>
      <c r="C538" s="76">
        <v>11</v>
      </c>
      <c r="D538" s="76">
        <v>2010</v>
      </c>
      <c r="E538" s="56">
        <v>8.0333333333333332</v>
      </c>
      <c r="F538" s="53">
        <f t="shared" si="44"/>
        <v>1</v>
      </c>
      <c r="G538" s="53">
        <f t="shared" si="41"/>
        <v>2</v>
      </c>
      <c r="H538" s="53">
        <f t="shared" si="42"/>
        <v>2</v>
      </c>
      <c r="I538" s="53" t="str">
        <f t="shared" si="45"/>
        <v>ww</v>
      </c>
      <c r="J538" s="53"/>
    </row>
    <row r="539" spans="1:10" x14ac:dyDescent="0.25">
      <c r="A539" s="93">
        <v>40510</v>
      </c>
      <c r="B539" s="35">
        <f t="shared" si="43"/>
        <v>23</v>
      </c>
      <c r="C539" s="76">
        <v>11</v>
      </c>
      <c r="D539" s="76">
        <v>2010</v>
      </c>
      <c r="E539" s="56">
        <v>3.5333333333333332</v>
      </c>
      <c r="F539" s="53">
        <f t="shared" si="44"/>
        <v>1</v>
      </c>
      <c r="G539" s="53">
        <f t="shared" si="41"/>
        <v>2</v>
      </c>
      <c r="H539" s="53">
        <f t="shared" si="42"/>
        <v>2</v>
      </c>
      <c r="I539" s="53" t="str">
        <f t="shared" si="45"/>
        <v>ww</v>
      </c>
      <c r="J539" s="53"/>
    </row>
    <row r="540" spans="1:10" x14ac:dyDescent="0.25">
      <c r="A540" s="93">
        <v>40511</v>
      </c>
      <c r="B540" s="35">
        <f t="shared" si="43"/>
        <v>23</v>
      </c>
      <c r="C540" s="76">
        <v>11</v>
      </c>
      <c r="D540" s="76">
        <v>2010</v>
      </c>
      <c r="E540" s="56">
        <v>10.6</v>
      </c>
      <c r="F540" s="53">
        <f t="shared" si="44"/>
        <v>1</v>
      </c>
      <c r="G540" s="53">
        <f t="shared" si="41"/>
        <v>2</v>
      </c>
      <c r="H540" s="53">
        <f t="shared" si="42"/>
        <v>2</v>
      </c>
      <c r="I540" s="53" t="str">
        <f t="shared" si="45"/>
        <v>ww</v>
      </c>
      <c r="J540" s="53"/>
    </row>
    <row r="541" spans="1:10" x14ac:dyDescent="0.25">
      <c r="A541" s="93">
        <v>40512</v>
      </c>
      <c r="B541" s="35">
        <f t="shared" si="43"/>
        <v>23</v>
      </c>
      <c r="C541" s="76">
        <v>11</v>
      </c>
      <c r="D541" s="76">
        <v>2010</v>
      </c>
      <c r="E541" s="56">
        <v>6.8666666666666671</v>
      </c>
      <c r="F541" s="53">
        <f t="shared" si="44"/>
        <v>1</v>
      </c>
      <c r="G541" s="53">
        <f t="shared" si="41"/>
        <v>2</v>
      </c>
      <c r="H541" s="53">
        <f t="shared" si="42"/>
        <v>2</v>
      </c>
      <c r="I541" s="53" t="str">
        <f t="shared" si="45"/>
        <v>ww</v>
      </c>
      <c r="J541" s="53"/>
    </row>
    <row r="542" spans="1:10" x14ac:dyDescent="0.25">
      <c r="A542" s="93">
        <v>40513</v>
      </c>
      <c r="B542" s="35">
        <f t="shared" si="43"/>
        <v>23</v>
      </c>
      <c r="C542" s="76">
        <v>11</v>
      </c>
      <c r="D542" s="76">
        <v>2010</v>
      </c>
      <c r="E542" s="56">
        <v>4.4333333333333336</v>
      </c>
      <c r="F542" s="53">
        <f t="shared" si="44"/>
        <v>1</v>
      </c>
      <c r="G542" s="53">
        <f t="shared" si="41"/>
        <v>2</v>
      </c>
      <c r="H542" s="53">
        <f t="shared" si="42"/>
        <v>2</v>
      </c>
      <c r="I542" s="53" t="str">
        <f t="shared" si="45"/>
        <v>ww</v>
      </c>
      <c r="J542" s="53"/>
    </row>
    <row r="543" spans="1:10" x14ac:dyDescent="0.25">
      <c r="A543" s="93">
        <v>40849</v>
      </c>
      <c r="B543" s="35">
        <f t="shared" si="43"/>
        <v>35</v>
      </c>
      <c r="C543" s="76">
        <v>11</v>
      </c>
      <c r="D543" s="76">
        <v>2011</v>
      </c>
      <c r="E543" s="56">
        <v>0.13333333333333333</v>
      </c>
      <c r="F543" s="53">
        <f t="shared" si="44"/>
        <v>1</v>
      </c>
      <c r="G543" s="53">
        <f t="shared" si="41"/>
        <v>2</v>
      </c>
      <c r="H543" s="53">
        <f t="shared" si="42"/>
        <v>2</v>
      </c>
      <c r="I543" s="53" t="str">
        <f t="shared" si="45"/>
        <v>ww</v>
      </c>
      <c r="J543" s="53"/>
    </row>
    <row r="544" spans="1:10" x14ac:dyDescent="0.25">
      <c r="A544" s="93">
        <v>40850</v>
      </c>
      <c r="B544" s="35">
        <f t="shared" si="43"/>
        <v>35</v>
      </c>
      <c r="C544" s="76">
        <v>11</v>
      </c>
      <c r="D544" s="76">
        <v>2011</v>
      </c>
      <c r="E544" s="56">
        <v>2.8666666666666667</v>
      </c>
      <c r="F544" s="53">
        <f t="shared" si="44"/>
        <v>1</v>
      </c>
      <c r="G544" s="53">
        <f t="shared" si="41"/>
        <v>2</v>
      </c>
      <c r="H544" s="53">
        <f t="shared" si="42"/>
        <v>2</v>
      </c>
      <c r="I544" s="53" t="str">
        <f t="shared" si="45"/>
        <v>ww</v>
      </c>
      <c r="J544" s="53"/>
    </row>
    <row r="545" spans="1:10" x14ac:dyDescent="0.25">
      <c r="A545" s="93">
        <v>40851</v>
      </c>
      <c r="B545" s="35">
        <f t="shared" si="43"/>
        <v>35</v>
      </c>
      <c r="C545" s="76">
        <v>11</v>
      </c>
      <c r="D545" s="76">
        <v>2011</v>
      </c>
      <c r="E545" s="56">
        <v>1.2</v>
      </c>
      <c r="F545" s="53">
        <f t="shared" si="44"/>
        <v>1</v>
      </c>
      <c r="G545" s="53">
        <f t="shared" si="41"/>
        <v>2</v>
      </c>
      <c r="H545" s="53">
        <f t="shared" si="42"/>
        <v>2</v>
      </c>
      <c r="I545" s="53" t="str">
        <f t="shared" si="45"/>
        <v>ww</v>
      </c>
      <c r="J545" s="53"/>
    </row>
    <row r="546" spans="1:10" x14ac:dyDescent="0.25">
      <c r="A546" s="93">
        <v>40852</v>
      </c>
      <c r="B546" s="35">
        <f t="shared" si="43"/>
        <v>35</v>
      </c>
      <c r="C546" s="76">
        <v>11</v>
      </c>
      <c r="D546" s="76">
        <v>2011</v>
      </c>
      <c r="E546" s="56">
        <v>3.1333333333333333</v>
      </c>
      <c r="F546" s="53">
        <f t="shared" si="44"/>
        <v>1</v>
      </c>
      <c r="G546" s="53">
        <f t="shared" si="41"/>
        <v>2</v>
      </c>
      <c r="H546" s="53">
        <f t="shared" si="42"/>
        <v>2</v>
      </c>
      <c r="I546" s="53" t="str">
        <f t="shared" si="45"/>
        <v>ww</v>
      </c>
      <c r="J546" s="53"/>
    </row>
    <row r="547" spans="1:10" x14ac:dyDescent="0.25">
      <c r="A547" s="93">
        <v>40853</v>
      </c>
      <c r="B547" s="35">
        <f t="shared" si="43"/>
        <v>35</v>
      </c>
      <c r="C547" s="76">
        <v>11</v>
      </c>
      <c r="D547" s="76">
        <v>2011</v>
      </c>
      <c r="E547" s="56">
        <v>0.13333333333333333</v>
      </c>
      <c r="F547" s="53">
        <f t="shared" si="44"/>
        <v>1</v>
      </c>
      <c r="G547" s="53">
        <f t="shared" si="41"/>
        <v>2</v>
      </c>
      <c r="H547" s="53">
        <f t="shared" si="42"/>
        <v>2</v>
      </c>
      <c r="I547" s="53" t="str">
        <f t="shared" si="45"/>
        <v>ww</v>
      </c>
      <c r="J547" s="53"/>
    </row>
    <row r="548" spans="1:10" x14ac:dyDescent="0.25">
      <c r="A548" s="93">
        <v>40854</v>
      </c>
      <c r="B548" s="35">
        <f t="shared" si="43"/>
        <v>35</v>
      </c>
      <c r="C548" s="76">
        <v>11</v>
      </c>
      <c r="D548" s="76">
        <v>2011</v>
      </c>
      <c r="E548" s="56">
        <v>6.6666666666666666E-2</v>
      </c>
      <c r="F548" s="53">
        <f t="shared" si="44"/>
        <v>1</v>
      </c>
      <c r="G548" s="53">
        <f t="shared" ref="G548:G611" si="46">SUM(F547:F548)</f>
        <v>2</v>
      </c>
      <c r="H548" s="53">
        <f t="shared" ref="H548:H611" si="47">IF(G548=1,IF(F547=1,1,-1),G548)</f>
        <v>2</v>
      </c>
      <c r="I548" s="53" t="str">
        <f t="shared" si="45"/>
        <v>ww</v>
      </c>
      <c r="J548" s="53"/>
    </row>
    <row r="549" spans="1:10" x14ac:dyDescent="0.25">
      <c r="A549" s="93">
        <v>40855</v>
      </c>
      <c r="B549" s="35">
        <f t="shared" si="43"/>
        <v>35</v>
      </c>
      <c r="C549" s="76">
        <v>11</v>
      </c>
      <c r="D549" s="76">
        <v>2011</v>
      </c>
      <c r="E549" s="56">
        <v>0.46666666666666662</v>
      </c>
      <c r="F549" s="53">
        <f t="shared" si="44"/>
        <v>1</v>
      </c>
      <c r="G549" s="53">
        <f t="shared" si="46"/>
        <v>2</v>
      </c>
      <c r="H549" s="53">
        <f t="shared" si="47"/>
        <v>2</v>
      </c>
      <c r="I549" s="53" t="str">
        <f t="shared" si="45"/>
        <v>ww</v>
      </c>
      <c r="J549" s="53"/>
    </row>
    <row r="550" spans="1:10" x14ac:dyDescent="0.25">
      <c r="A550" s="93">
        <v>40856</v>
      </c>
      <c r="B550" s="35">
        <f t="shared" si="43"/>
        <v>35</v>
      </c>
      <c r="C550" s="76">
        <v>11</v>
      </c>
      <c r="D550" s="76">
        <v>2011</v>
      </c>
      <c r="E550" s="56">
        <v>1.1333333333333335</v>
      </c>
      <c r="F550" s="53">
        <f t="shared" si="44"/>
        <v>1</v>
      </c>
      <c r="G550" s="53">
        <f t="shared" si="46"/>
        <v>2</v>
      </c>
      <c r="H550" s="53">
        <f t="shared" si="47"/>
        <v>2</v>
      </c>
      <c r="I550" s="53" t="str">
        <f t="shared" si="45"/>
        <v>ww</v>
      </c>
      <c r="J550" s="53"/>
    </row>
    <row r="551" spans="1:10" x14ac:dyDescent="0.25">
      <c r="A551" s="93">
        <v>40857</v>
      </c>
      <c r="B551" s="35">
        <f t="shared" si="43"/>
        <v>35</v>
      </c>
      <c r="C551" s="76">
        <v>11</v>
      </c>
      <c r="D551" s="76">
        <v>2011</v>
      </c>
      <c r="E551" s="56">
        <v>6.6666666666666666E-2</v>
      </c>
      <c r="F551" s="53">
        <f t="shared" si="44"/>
        <v>1</v>
      </c>
      <c r="G551" s="53">
        <f t="shared" si="46"/>
        <v>2</v>
      </c>
      <c r="H551" s="53">
        <f t="shared" si="47"/>
        <v>2</v>
      </c>
      <c r="I551" s="53" t="str">
        <f t="shared" si="45"/>
        <v>ww</v>
      </c>
      <c r="J551" s="53"/>
    </row>
    <row r="552" spans="1:10" x14ac:dyDescent="0.25">
      <c r="A552" s="93">
        <v>40858</v>
      </c>
      <c r="B552" s="35">
        <f t="shared" si="43"/>
        <v>35</v>
      </c>
      <c r="C552" s="76">
        <v>11</v>
      </c>
      <c r="D552" s="76">
        <v>2011</v>
      </c>
      <c r="E552" s="56">
        <v>0</v>
      </c>
      <c r="F552" s="53">
        <f t="shared" si="44"/>
        <v>0</v>
      </c>
      <c r="G552" s="53">
        <f t="shared" si="46"/>
        <v>1</v>
      </c>
      <c r="H552" s="53">
        <f t="shared" si="47"/>
        <v>1</v>
      </c>
      <c r="I552" s="53" t="str">
        <f t="shared" si="45"/>
        <v>wd</v>
      </c>
      <c r="J552" s="53"/>
    </row>
    <row r="553" spans="1:10" x14ac:dyDescent="0.25">
      <c r="A553" s="93">
        <v>40859</v>
      </c>
      <c r="B553" s="35">
        <f t="shared" si="43"/>
        <v>35</v>
      </c>
      <c r="C553" s="76">
        <v>11</v>
      </c>
      <c r="D553" s="76">
        <v>2011</v>
      </c>
      <c r="E553" s="56">
        <v>1.9333333333333333</v>
      </c>
      <c r="F553" s="53">
        <f t="shared" si="44"/>
        <v>1</v>
      </c>
      <c r="G553" s="53">
        <f t="shared" si="46"/>
        <v>1</v>
      </c>
      <c r="H553" s="53">
        <f t="shared" si="47"/>
        <v>-1</v>
      </c>
      <c r="I553" s="53" t="str">
        <f t="shared" si="45"/>
        <v>dw</v>
      </c>
      <c r="J553" s="53"/>
    </row>
    <row r="554" spans="1:10" x14ac:dyDescent="0.25">
      <c r="A554" s="93">
        <v>40860</v>
      </c>
      <c r="B554" s="35">
        <f t="shared" si="43"/>
        <v>35</v>
      </c>
      <c r="C554" s="76">
        <v>11</v>
      </c>
      <c r="D554" s="76">
        <v>2011</v>
      </c>
      <c r="E554" s="56">
        <v>0.46666666666666662</v>
      </c>
      <c r="F554" s="53">
        <f t="shared" si="44"/>
        <v>1</v>
      </c>
      <c r="G554" s="53">
        <f t="shared" si="46"/>
        <v>2</v>
      </c>
      <c r="H554" s="53">
        <f t="shared" si="47"/>
        <v>2</v>
      </c>
      <c r="I554" s="53" t="str">
        <f t="shared" si="45"/>
        <v>ww</v>
      </c>
      <c r="J554" s="53"/>
    </row>
    <row r="555" spans="1:10" x14ac:dyDescent="0.25">
      <c r="A555" s="93">
        <v>40861</v>
      </c>
      <c r="B555" s="35">
        <f t="shared" si="43"/>
        <v>35</v>
      </c>
      <c r="C555" s="76">
        <v>11</v>
      </c>
      <c r="D555" s="76">
        <v>2011</v>
      </c>
      <c r="E555" s="56">
        <v>0.20000000000000004</v>
      </c>
      <c r="F555" s="53">
        <f t="shared" si="44"/>
        <v>1</v>
      </c>
      <c r="G555" s="53">
        <f t="shared" si="46"/>
        <v>2</v>
      </c>
      <c r="H555" s="53">
        <f t="shared" si="47"/>
        <v>2</v>
      </c>
      <c r="I555" s="53" t="str">
        <f t="shared" si="45"/>
        <v>ww</v>
      </c>
      <c r="J555" s="53"/>
    </row>
    <row r="556" spans="1:10" x14ac:dyDescent="0.25">
      <c r="A556" s="93">
        <v>40862</v>
      </c>
      <c r="B556" s="35">
        <f t="shared" si="43"/>
        <v>35</v>
      </c>
      <c r="C556" s="76">
        <v>11</v>
      </c>
      <c r="D556" s="76">
        <v>2011</v>
      </c>
      <c r="E556" s="56">
        <v>0</v>
      </c>
      <c r="F556" s="53">
        <f t="shared" si="44"/>
        <v>0</v>
      </c>
      <c r="G556" s="53">
        <f t="shared" si="46"/>
        <v>1</v>
      </c>
      <c r="H556" s="53">
        <f t="shared" si="47"/>
        <v>1</v>
      </c>
      <c r="I556" s="53" t="str">
        <f t="shared" si="45"/>
        <v>wd</v>
      </c>
      <c r="J556" s="53"/>
    </row>
    <row r="557" spans="1:10" x14ac:dyDescent="0.25">
      <c r="A557" s="93">
        <v>40863</v>
      </c>
      <c r="B557" s="35">
        <f t="shared" si="43"/>
        <v>35</v>
      </c>
      <c r="C557" s="76">
        <v>11</v>
      </c>
      <c r="D557" s="76">
        <v>2011</v>
      </c>
      <c r="E557" s="56">
        <v>0</v>
      </c>
      <c r="F557" s="53">
        <f t="shared" si="44"/>
        <v>0</v>
      </c>
      <c r="G557" s="53">
        <f t="shared" si="46"/>
        <v>0</v>
      </c>
      <c r="H557" s="53">
        <f t="shared" si="47"/>
        <v>0</v>
      </c>
      <c r="I557" s="53" t="str">
        <f t="shared" si="45"/>
        <v>dd</v>
      </c>
      <c r="J557" s="53"/>
    </row>
    <row r="558" spans="1:10" x14ac:dyDescent="0.25">
      <c r="A558" s="93">
        <v>40864</v>
      </c>
      <c r="B558" s="35">
        <f t="shared" si="43"/>
        <v>35</v>
      </c>
      <c r="C558" s="76">
        <v>11</v>
      </c>
      <c r="D558" s="76">
        <v>2011</v>
      </c>
      <c r="E558" s="56">
        <v>0</v>
      </c>
      <c r="F558" s="53">
        <f t="shared" si="44"/>
        <v>0</v>
      </c>
      <c r="G558" s="53">
        <f t="shared" si="46"/>
        <v>0</v>
      </c>
      <c r="H558" s="53">
        <f t="shared" si="47"/>
        <v>0</v>
      </c>
      <c r="I558" s="53" t="str">
        <f t="shared" si="45"/>
        <v>dd</v>
      </c>
      <c r="J558" s="53"/>
    </row>
    <row r="559" spans="1:10" x14ac:dyDescent="0.25">
      <c r="A559" s="93">
        <v>40865</v>
      </c>
      <c r="B559" s="35">
        <f t="shared" si="43"/>
        <v>35</v>
      </c>
      <c r="C559" s="76">
        <v>11</v>
      </c>
      <c r="D559" s="76">
        <v>2011</v>
      </c>
      <c r="E559" s="56">
        <v>0.26666666666666666</v>
      </c>
      <c r="F559" s="53">
        <f t="shared" si="44"/>
        <v>1</v>
      </c>
      <c r="G559" s="53">
        <f t="shared" si="46"/>
        <v>1</v>
      </c>
      <c r="H559" s="53">
        <f t="shared" si="47"/>
        <v>-1</v>
      </c>
      <c r="I559" s="53" t="str">
        <f t="shared" si="45"/>
        <v>dw</v>
      </c>
      <c r="J559" s="53"/>
    </row>
    <row r="560" spans="1:10" x14ac:dyDescent="0.25">
      <c r="A560" s="93">
        <v>40866</v>
      </c>
      <c r="B560" s="35">
        <f t="shared" si="43"/>
        <v>35</v>
      </c>
      <c r="C560" s="76">
        <v>11</v>
      </c>
      <c r="D560" s="76">
        <v>2011</v>
      </c>
      <c r="E560" s="56">
        <v>0.33333333333333331</v>
      </c>
      <c r="F560" s="53">
        <f t="shared" si="44"/>
        <v>1</v>
      </c>
      <c r="G560" s="53">
        <f t="shared" si="46"/>
        <v>2</v>
      </c>
      <c r="H560" s="53">
        <f t="shared" si="47"/>
        <v>2</v>
      </c>
      <c r="I560" s="53" t="str">
        <f t="shared" si="45"/>
        <v>ww</v>
      </c>
      <c r="J560" s="53"/>
    </row>
    <row r="561" spans="1:10" x14ac:dyDescent="0.25">
      <c r="A561" s="93">
        <v>40867</v>
      </c>
      <c r="B561" s="35">
        <f t="shared" si="43"/>
        <v>35</v>
      </c>
      <c r="C561" s="76">
        <v>11</v>
      </c>
      <c r="D561" s="76">
        <v>2011</v>
      </c>
      <c r="E561" s="56">
        <v>6.6666666666666666E-2</v>
      </c>
      <c r="F561" s="53">
        <f t="shared" si="44"/>
        <v>1</v>
      </c>
      <c r="G561" s="53">
        <f t="shared" si="46"/>
        <v>2</v>
      </c>
      <c r="H561" s="53">
        <f t="shared" si="47"/>
        <v>2</v>
      </c>
      <c r="I561" s="53" t="str">
        <f t="shared" si="45"/>
        <v>ww</v>
      </c>
      <c r="J561" s="53"/>
    </row>
    <row r="562" spans="1:10" x14ac:dyDescent="0.25">
      <c r="A562" s="93">
        <v>40868</v>
      </c>
      <c r="B562" s="35">
        <f t="shared" si="43"/>
        <v>35</v>
      </c>
      <c r="C562" s="76">
        <v>11</v>
      </c>
      <c r="D562" s="76">
        <v>2011</v>
      </c>
      <c r="E562" s="56">
        <v>0.33333333333333331</v>
      </c>
      <c r="F562" s="53">
        <f t="shared" si="44"/>
        <v>1</v>
      </c>
      <c r="G562" s="53">
        <f t="shared" si="46"/>
        <v>2</v>
      </c>
      <c r="H562" s="53">
        <f t="shared" si="47"/>
        <v>2</v>
      </c>
      <c r="I562" s="53" t="str">
        <f t="shared" si="45"/>
        <v>ww</v>
      </c>
      <c r="J562" s="53"/>
    </row>
    <row r="563" spans="1:10" x14ac:dyDescent="0.25">
      <c r="A563" s="93">
        <v>40869</v>
      </c>
      <c r="B563" s="35">
        <f t="shared" si="43"/>
        <v>35</v>
      </c>
      <c r="C563" s="76">
        <v>11</v>
      </c>
      <c r="D563" s="76">
        <v>2011</v>
      </c>
      <c r="E563" s="56">
        <v>1.0666666666666667</v>
      </c>
      <c r="F563" s="53">
        <f t="shared" si="44"/>
        <v>1</v>
      </c>
      <c r="G563" s="53">
        <f t="shared" si="46"/>
        <v>2</v>
      </c>
      <c r="H563" s="53">
        <f t="shared" si="47"/>
        <v>2</v>
      </c>
      <c r="I563" s="53" t="str">
        <f t="shared" si="45"/>
        <v>ww</v>
      </c>
      <c r="J563" s="53"/>
    </row>
    <row r="564" spans="1:10" x14ac:dyDescent="0.25">
      <c r="A564" s="93">
        <v>40870</v>
      </c>
      <c r="B564" s="35">
        <f t="shared" si="43"/>
        <v>35</v>
      </c>
      <c r="C564" s="76">
        <v>11</v>
      </c>
      <c r="D564" s="76">
        <v>2011</v>
      </c>
      <c r="E564" s="56">
        <v>6.6666666666666666E-2</v>
      </c>
      <c r="F564" s="53">
        <f t="shared" si="44"/>
        <v>1</v>
      </c>
      <c r="G564" s="53">
        <f t="shared" si="46"/>
        <v>2</v>
      </c>
      <c r="H564" s="53">
        <f t="shared" si="47"/>
        <v>2</v>
      </c>
      <c r="I564" s="53" t="str">
        <f t="shared" si="45"/>
        <v>ww</v>
      </c>
      <c r="J564" s="53"/>
    </row>
    <row r="565" spans="1:10" x14ac:dyDescent="0.25">
      <c r="A565" s="93">
        <v>40871</v>
      </c>
      <c r="B565" s="35">
        <f t="shared" si="43"/>
        <v>35</v>
      </c>
      <c r="C565" s="76">
        <v>11</v>
      </c>
      <c r="D565" s="76">
        <v>2011</v>
      </c>
      <c r="E565" s="56">
        <v>0</v>
      </c>
      <c r="F565" s="53">
        <f t="shared" si="44"/>
        <v>0</v>
      </c>
      <c r="G565" s="53">
        <f t="shared" si="46"/>
        <v>1</v>
      </c>
      <c r="H565" s="53">
        <f t="shared" si="47"/>
        <v>1</v>
      </c>
      <c r="I565" s="53" t="str">
        <f t="shared" si="45"/>
        <v>wd</v>
      </c>
      <c r="J565" s="53"/>
    </row>
    <row r="566" spans="1:10" x14ac:dyDescent="0.25">
      <c r="A566" s="93">
        <v>40872</v>
      </c>
      <c r="B566" s="35">
        <f t="shared" si="43"/>
        <v>35</v>
      </c>
      <c r="C566" s="76">
        <v>11</v>
      </c>
      <c r="D566" s="76">
        <v>2011</v>
      </c>
      <c r="E566" s="56">
        <v>1.3999999999999997</v>
      </c>
      <c r="F566" s="53">
        <f t="shared" si="44"/>
        <v>1</v>
      </c>
      <c r="G566" s="53">
        <f t="shared" si="46"/>
        <v>1</v>
      </c>
      <c r="H566" s="53">
        <f t="shared" si="47"/>
        <v>-1</v>
      </c>
      <c r="I566" s="53" t="str">
        <f t="shared" si="45"/>
        <v>dw</v>
      </c>
      <c r="J566" s="53"/>
    </row>
    <row r="567" spans="1:10" x14ac:dyDescent="0.25">
      <c r="A567" s="93">
        <v>40873</v>
      </c>
      <c r="B567" s="35">
        <f t="shared" si="43"/>
        <v>35</v>
      </c>
      <c r="C567" s="76">
        <v>11</v>
      </c>
      <c r="D567" s="76">
        <v>2011</v>
      </c>
      <c r="E567" s="56">
        <v>2</v>
      </c>
      <c r="F567" s="53">
        <f t="shared" si="44"/>
        <v>1</v>
      </c>
      <c r="G567" s="53">
        <f t="shared" si="46"/>
        <v>2</v>
      </c>
      <c r="H567" s="53">
        <f t="shared" si="47"/>
        <v>2</v>
      </c>
      <c r="I567" s="53" t="str">
        <f t="shared" si="45"/>
        <v>ww</v>
      </c>
      <c r="J567" s="53"/>
    </row>
    <row r="568" spans="1:10" x14ac:dyDescent="0.25">
      <c r="A568" s="93">
        <v>40874</v>
      </c>
      <c r="B568" s="35">
        <f t="shared" si="43"/>
        <v>35</v>
      </c>
      <c r="C568" s="76">
        <v>11</v>
      </c>
      <c r="D568" s="76">
        <v>2011</v>
      </c>
      <c r="E568" s="56">
        <v>2.8000000000000003</v>
      </c>
      <c r="F568" s="53">
        <f t="shared" si="44"/>
        <v>1</v>
      </c>
      <c r="G568" s="53">
        <f t="shared" si="46"/>
        <v>2</v>
      </c>
      <c r="H568" s="53">
        <f t="shared" si="47"/>
        <v>2</v>
      </c>
      <c r="I568" s="53" t="str">
        <f t="shared" si="45"/>
        <v>ww</v>
      </c>
      <c r="J568" s="53"/>
    </row>
    <row r="569" spans="1:10" x14ac:dyDescent="0.25">
      <c r="A569" s="93">
        <v>40875</v>
      </c>
      <c r="B569" s="35">
        <f t="shared" si="43"/>
        <v>35</v>
      </c>
      <c r="C569" s="76">
        <v>11</v>
      </c>
      <c r="D569" s="76">
        <v>2011</v>
      </c>
      <c r="E569" s="56">
        <v>0</v>
      </c>
      <c r="F569" s="53">
        <f t="shared" si="44"/>
        <v>0</v>
      </c>
      <c r="G569" s="53">
        <f t="shared" si="46"/>
        <v>1</v>
      </c>
      <c r="H569" s="53">
        <f t="shared" si="47"/>
        <v>1</v>
      </c>
      <c r="I569" s="53" t="str">
        <f t="shared" si="45"/>
        <v>wd</v>
      </c>
      <c r="J569" s="53"/>
    </row>
    <row r="570" spans="1:10" x14ac:dyDescent="0.25">
      <c r="A570" s="93">
        <v>40876</v>
      </c>
      <c r="B570" s="35">
        <f t="shared" si="43"/>
        <v>35</v>
      </c>
      <c r="C570" s="76">
        <v>11</v>
      </c>
      <c r="D570" s="76">
        <v>2011</v>
      </c>
      <c r="E570" s="56">
        <v>6.6666666666666666E-2</v>
      </c>
      <c r="F570" s="53">
        <f t="shared" si="44"/>
        <v>1</v>
      </c>
      <c r="G570" s="53">
        <f t="shared" si="46"/>
        <v>1</v>
      </c>
      <c r="H570" s="53">
        <f t="shared" si="47"/>
        <v>-1</v>
      </c>
      <c r="I570" s="53" t="str">
        <f t="shared" si="45"/>
        <v>dw</v>
      </c>
      <c r="J570" s="53"/>
    </row>
    <row r="571" spans="1:10" x14ac:dyDescent="0.25">
      <c r="A571" s="93">
        <v>40877</v>
      </c>
      <c r="B571" s="35">
        <f t="shared" si="43"/>
        <v>35</v>
      </c>
      <c r="C571" s="76">
        <v>11</v>
      </c>
      <c r="D571" s="76">
        <v>2011</v>
      </c>
      <c r="E571" s="56">
        <v>1.5333333333333332</v>
      </c>
      <c r="F571" s="53">
        <f t="shared" si="44"/>
        <v>1</v>
      </c>
      <c r="G571" s="53">
        <f t="shared" si="46"/>
        <v>2</v>
      </c>
      <c r="H571" s="53">
        <f t="shared" si="47"/>
        <v>2</v>
      </c>
      <c r="I571" s="53" t="str">
        <f t="shared" si="45"/>
        <v>ww</v>
      </c>
      <c r="J571" s="53"/>
    </row>
    <row r="572" spans="1:10" x14ac:dyDescent="0.25">
      <c r="A572" s="93">
        <v>40878</v>
      </c>
      <c r="B572" s="35">
        <f t="shared" si="43"/>
        <v>35</v>
      </c>
      <c r="C572" s="76">
        <v>11</v>
      </c>
      <c r="D572" s="76">
        <v>2011</v>
      </c>
      <c r="E572" s="56">
        <v>0.46666666666666662</v>
      </c>
      <c r="F572" s="53">
        <f t="shared" si="44"/>
        <v>1</v>
      </c>
      <c r="G572" s="53">
        <f t="shared" si="46"/>
        <v>2</v>
      </c>
      <c r="H572" s="53">
        <f t="shared" si="47"/>
        <v>2</v>
      </c>
      <c r="I572" s="53" t="str">
        <f t="shared" si="45"/>
        <v>ww</v>
      </c>
      <c r="J572" s="53"/>
    </row>
    <row r="573" spans="1:10" x14ac:dyDescent="0.25">
      <c r="A573" s="93">
        <v>41215</v>
      </c>
      <c r="B573" s="35">
        <f t="shared" si="43"/>
        <v>47</v>
      </c>
      <c r="C573" s="76">
        <v>11</v>
      </c>
      <c r="D573" s="76">
        <v>2012</v>
      </c>
      <c r="E573" s="56">
        <v>0.46666666666666662</v>
      </c>
      <c r="F573" s="53">
        <f t="shared" si="44"/>
        <v>1</v>
      </c>
      <c r="G573" s="53">
        <f t="shared" si="46"/>
        <v>2</v>
      </c>
      <c r="H573" s="53">
        <f t="shared" si="47"/>
        <v>2</v>
      </c>
      <c r="I573" s="53" t="str">
        <f t="shared" si="45"/>
        <v>ww</v>
      </c>
      <c r="J573" s="53"/>
    </row>
    <row r="574" spans="1:10" x14ac:dyDescent="0.25">
      <c r="A574" s="93">
        <v>41216</v>
      </c>
      <c r="B574" s="35">
        <f t="shared" si="43"/>
        <v>47</v>
      </c>
      <c r="C574" s="76">
        <v>11</v>
      </c>
      <c r="D574" s="76">
        <v>2012</v>
      </c>
      <c r="E574" s="56">
        <v>0.46666666666666662</v>
      </c>
      <c r="F574" s="53">
        <f t="shared" si="44"/>
        <v>1</v>
      </c>
      <c r="G574" s="53">
        <f t="shared" si="46"/>
        <v>2</v>
      </c>
      <c r="H574" s="53">
        <f t="shared" si="47"/>
        <v>2</v>
      </c>
      <c r="I574" s="53" t="str">
        <f t="shared" si="45"/>
        <v>ww</v>
      </c>
      <c r="J574" s="53"/>
    </row>
    <row r="575" spans="1:10" x14ac:dyDescent="0.25">
      <c r="A575" s="93">
        <v>41217</v>
      </c>
      <c r="B575" s="35">
        <f t="shared" si="43"/>
        <v>47</v>
      </c>
      <c r="C575" s="76">
        <v>11</v>
      </c>
      <c r="D575" s="76">
        <v>2012</v>
      </c>
      <c r="E575" s="56">
        <v>0.20000000000000004</v>
      </c>
      <c r="F575" s="53">
        <f t="shared" si="44"/>
        <v>1</v>
      </c>
      <c r="G575" s="53">
        <f t="shared" si="46"/>
        <v>2</v>
      </c>
      <c r="H575" s="53">
        <f t="shared" si="47"/>
        <v>2</v>
      </c>
      <c r="I575" s="53" t="str">
        <f t="shared" si="45"/>
        <v>ww</v>
      </c>
      <c r="J575" s="53"/>
    </row>
    <row r="576" spans="1:10" x14ac:dyDescent="0.25">
      <c r="A576" s="93">
        <v>41218</v>
      </c>
      <c r="B576" s="35">
        <f t="shared" si="43"/>
        <v>47</v>
      </c>
      <c r="C576" s="76">
        <v>11</v>
      </c>
      <c r="D576" s="76">
        <v>2012</v>
      </c>
      <c r="E576" s="56">
        <v>0.46666666666666662</v>
      </c>
      <c r="F576" s="53">
        <f t="shared" si="44"/>
        <v>1</v>
      </c>
      <c r="G576" s="53">
        <f t="shared" si="46"/>
        <v>2</v>
      </c>
      <c r="H576" s="53">
        <f t="shared" si="47"/>
        <v>2</v>
      </c>
      <c r="I576" s="53" t="str">
        <f t="shared" si="45"/>
        <v>ww</v>
      </c>
      <c r="J576" s="53"/>
    </row>
    <row r="577" spans="1:10" x14ac:dyDescent="0.25">
      <c r="A577" s="93">
        <v>41219</v>
      </c>
      <c r="B577" s="35">
        <f t="shared" si="43"/>
        <v>47</v>
      </c>
      <c r="C577" s="76">
        <v>11</v>
      </c>
      <c r="D577" s="76">
        <v>2012</v>
      </c>
      <c r="E577" s="56">
        <v>1</v>
      </c>
      <c r="F577" s="53">
        <f t="shared" si="44"/>
        <v>1</v>
      </c>
      <c r="G577" s="53">
        <f t="shared" si="46"/>
        <v>2</v>
      </c>
      <c r="H577" s="53">
        <f t="shared" si="47"/>
        <v>2</v>
      </c>
      <c r="I577" s="53" t="str">
        <f t="shared" si="45"/>
        <v>ww</v>
      </c>
      <c r="J577" s="53"/>
    </row>
    <row r="578" spans="1:10" x14ac:dyDescent="0.25">
      <c r="A578" s="93">
        <v>41220</v>
      </c>
      <c r="B578" s="35">
        <f t="shared" ref="B578:B641" si="48">C578+(D578-2009)*12</f>
        <v>47</v>
      </c>
      <c r="C578" s="76">
        <v>11</v>
      </c>
      <c r="D578" s="76">
        <v>2012</v>
      </c>
      <c r="E578" s="56">
        <v>2</v>
      </c>
      <c r="F578" s="53">
        <f t="shared" ref="F578:F641" si="49">IF(E578&gt;0,1,0)</f>
        <v>1</v>
      </c>
      <c r="G578" s="53">
        <f t="shared" si="46"/>
        <v>2</v>
      </c>
      <c r="H578" s="53">
        <f t="shared" si="47"/>
        <v>2</v>
      </c>
      <c r="I578" s="53" t="str">
        <f t="shared" ref="I578:I641" si="50">VLOOKUP(H578,codes,2,)</f>
        <v>ww</v>
      </c>
      <c r="J578" s="53"/>
    </row>
    <row r="579" spans="1:10" x14ac:dyDescent="0.25">
      <c r="A579" s="93">
        <v>41221</v>
      </c>
      <c r="B579" s="35">
        <f t="shared" si="48"/>
        <v>47</v>
      </c>
      <c r="C579" s="76">
        <v>11</v>
      </c>
      <c r="D579" s="76">
        <v>2012</v>
      </c>
      <c r="E579" s="56">
        <v>0</v>
      </c>
      <c r="F579" s="53">
        <f t="shared" si="49"/>
        <v>0</v>
      </c>
      <c r="G579" s="53">
        <f t="shared" si="46"/>
        <v>1</v>
      </c>
      <c r="H579" s="53">
        <f t="shared" si="47"/>
        <v>1</v>
      </c>
      <c r="I579" s="53" t="str">
        <f t="shared" si="50"/>
        <v>wd</v>
      </c>
      <c r="J579" s="53"/>
    </row>
    <row r="580" spans="1:10" x14ac:dyDescent="0.25">
      <c r="A580" s="93">
        <v>41222</v>
      </c>
      <c r="B580" s="35">
        <f t="shared" si="48"/>
        <v>47</v>
      </c>
      <c r="C580" s="76">
        <v>11</v>
      </c>
      <c r="D580" s="76">
        <v>2012</v>
      </c>
      <c r="E580" s="56">
        <v>0</v>
      </c>
      <c r="F580" s="53">
        <f t="shared" si="49"/>
        <v>0</v>
      </c>
      <c r="G580" s="53">
        <f t="shared" si="46"/>
        <v>0</v>
      </c>
      <c r="H580" s="53">
        <f t="shared" si="47"/>
        <v>0</v>
      </c>
      <c r="I580" s="53" t="str">
        <f t="shared" si="50"/>
        <v>dd</v>
      </c>
      <c r="J580" s="53"/>
    </row>
    <row r="581" spans="1:10" x14ac:dyDescent="0.25">
      <c r="A581" s="93">
        <v>41223</v>
      </c>
      <c r="B581" s="35">
        <f t="shared" si="48"/>
        <v>47</v>
      </c>
      <c r="C581" s="76">
        <v>11</v>
      </c>
      <c r="D581" s="76">
        <v>2012</v>
      </c>
      <c r="E581" s="56">
        <v>0.46666666666666662</v>
      </c>
      <c r="F581" s="53">
        <f t="shared" si="49"/>
        <v>1</v>
      </c>
      <c r="G581" s="53">
        <f t="shared" si="46"/>
        <v>1</v>
      </c>
      <c r="H581" s="53">
        <f t="shared" si="47"/>
        <v>-1</v>
      </c>
      <c r="I581" s="53" t="str">
        <f t="shared" si="50"/>
        <v>dw</v>
      </c>
      <c r="J581" s="53"/>
    </row>
    <row r="582" spans="1:10" x14ac:dyDescent="0.25">
      <c r="A582" s="93">
        <v>41224</v>
      </c>
      <c r="B582" s="35">
        <f t="shared" si="48"/>
        <v>47</v>
      </c>
      <c r="C582" s="76">
        <v>11</v>
      </c>
      <c r="D582" s="76">
        <v>2012</v>
      </c>
      <c r="E582" s="56">
        <v>0.13333333333333333</v>
      </c>
      <c r="F582" s="53">
        <f t="shared" si="49"/>
        <v>1</v>
      </c>
      <c r="G582" s="53">
        <f t="shared" si="46"/>
        <v>2</v>
      </c>
      <c r="H582" s="53">
        <f t="shared" si="47"/>
        <v>2</v>
      </c>
      <c r="I582" s="53" t="str">
        <f t="shared" si="50"/>
        <v>ww</v>
      </c>
      <c r="J582" s="53"/>
    </row>
    <row r="583" spans="1:10" x14ac:dyDescent="0.25">
      <c r="A583" s="93">
        <v>41225</v>
      </c>
      <c r="B583" s="35">
        <f t="shared" si="48"/>
        <v>47</v>
      </c>
      <c r="C583" s="76">
        <v>11</v>
      </c>
      <c r="D583" s="76">
        <v>2012</v>
      </c>
      <c r="E583" s="56">
        <v>6.6666666666666666E-2</v>
      </c>
      <c r="F583" s="53">
        <f t="shared" si="49"/>
        <v>1</v>
      </c>
      <c r="G583" s="53">
        <f t="shared" si="46"/>
        <v>2</v>
      </c>
      <c r="H583" s="53">
        <f t="shared" si="47"/>
        <v>2</v>
      </c>
      <c r="I583" s="53" t="str">
        <f t="shared" si="50"/>
        <v>ww</v>
      </c>
      <c r="J583" s="53"/>
    </row>
    <row r="584" spans="1:10" x14ac:dyDescent="0.25">
      <c r="A584" s="93">
        <v>41226</v>
      </c>
      <c r="B584" s="35">
        <f t="shared" si="48"/>
        <v>47</v>
      </c>
      <c r="C584" s="76">
        <v>11</v>
      </c>
      <c r="D584" s="76">
        <v>2012</v>
      </c>
      <c r="E584" s="56">
        <v>0.53333333333333333</v>
      </c>
      <c r="F584" s="53">
        <f t="shared" si="49"/>
        <v>1</v>
      </c>
      <c r="G584" s="53">
        <f t="shared" si="46"/>
        <v>2</v>
      </c>
      <c r="H584" s="53">
        <f t="shared" si="47"/>
        <v>2</v>
      </c>
      <c r="I584" s="53" t="str">
        <f t="shared" si="50"/>
        <v>ww</v>
      </c>
      <c r="J584" s="53"/>
    </row>
    <row r="585" spans="1:10" x14ac:dyDescent="0.25">
      <c r="A585" s="93">
        <v>41227</v>
      </c>
      <c r="B585" s="35">
        <f t="shared" si="48"/>
        <v>47</v>
      </c>
      <c r="C585" s="76">
        <v>11</v>
      </c>
      <c r="D585" s="76">
        <v>2012</v>
      </c>
      <c r="E585" s="56">
        <v>0</v>
      </c>
      <c r="F585" s="53">
        <f t="shared" si="49"/>
        <v>0</v>
      </c>
      <c r="G585" s="53">
        <f t="shared" si="46"/>
        <v>1</v>
      </c>
      <c r="H585" s="53">
        <f t="shared" si="47"/>
        <v>1</v>
      </c>
      <c r="I585" s="53" t="str">
        <f t="shared" si="50"/>
        <v>wd</v>
      </c>
      <c r="J585" s="53"/>
    </row>
    <row r="586" spans="1:10" x14ac:dyDescent="0.25">
      <c r="A586" s="93">
        <v>41228</v>
      </c>
      <c r="B586" s="35">
        <f t="shared" si="48"/>
        <v>47</v>
      </c>
      <c r="C586" s="76">
        <v>11</v>
      </c>
      <c r="D586" s="76">
        <v>2012</v>
      </c>
      <c r="E586" s="56">
        <v>0</v>
      </c>
      <c r="F586" s="53">
        <f t="shared" si="49"/>
        <v>0</v>
      </c>
      <c r="G586" s="53">
        <f t="shared" si="46"/>
        <v>0</v>
      </c>
      <c r="H586" s="53">
        <f t="shared" si="47"/>
        <v>0</v>
      </c>
      <c r="I586" s="53" t="str">
        <f t="shared" si="50"/>
        <v>dd</v>
      </c>
      <c r="J586" s="53"/>
    </row>
    <row r="587" spans="1:10" x14ac:dyDescent="0.25">
      <c r="A587" s="93">
        <v>41229</v>
      </c>
      <c r="B587" s="35">
        <f t="shared" si="48"/>
        <v>47</v>
      </c>
      <c r="C587" s="76">
        <v>11</v>
      </c>
      <c r="D587" s="76">
        <v>2012</v>
      </c>
      <c r="E587" s="56">
        <v>0</v>
      </c>
      <c r="F587" s="53">
        <f t="shared" si="49"/>
        <v>0</v>
      </c>
      <c r="G587" s="53">
        <f t="shared" si="46"/>
        <v>0</v>
      </c>
      <c r="H587" s="53">
        <f t="shared" si="47"/>
        <v>0</v>
      </c>
      <c r="I587" s="53" t="str">
        <f t="shared" si="50"/>
        <v>dd</v>
      </c>
      <c r="J587" s="53"/>
    </row>
    <row r="588" spans="1:10" x14ac:dyDescent="0.25">
      <c r="A588" s="93">
        <v>41230</v>
      </c>
      <c r="B588" s="35">
        <f t="shared" si="48"/>
        <v>47</v>
      </c>
      <c r="C588" s="76">
        <v>11</v>
      </c>
      <c r="D588" s="76">
        <v>2012</v>
      </c>
      <c r="E588" s="56">
        <v>5.8666666666666671</v>
      </c>
      <c r="F588" s="53">
        <f t="shared" si="49"/>
        <v>1</v>
      </c>
      <c r="G588" s="53">
        <f t="shared" si="46"/>
        <v>1</v>
      </c>
      <c r="H588" s="53">
        <f t="shared" si="47"/>
        <v>-1</v>
      </c>
      <c r="I588" s="53" t="str">
        <f t="shared" si="50"/>
        <v>dw</v>
      </c>
      <c r="J588" s="53"/>
    </row>
    <row r="589" spans="1:10" x14ac:dyDescent="0.25">
      <c r="A589" s="93">
        <v>41231</v>
      </c>
      <c r="B589" s="35">
        <f t="shared" si="48"/>
        <v>47</v>
      </c>
      <c r="C589" s="76">
        <v>11</v>
      </c>
      <c r="D589" s="76">
        <v>2012</v>
      </c>
      <c r="E589" s="56">
        <v>0.13333333333333333</v>
      </c>
      <c r="F589" s="53">
        <f t="shared" si="49"/>
        <v>1</v>
      </c>
      <c r="G589" s="53">
        <f t="shared" si="46"/>
        <v>2</v>
      </c>
      <c r="H589" s="53">
        <f t="shared" si="47"/>
        <v>2</v>
      </c>
      <c r="I589" s="53" t="str">
        <f t="shared" si="50"/>
        <v>ww</v>
      </c>
      <c r="J589" s="53"/>
    </row>
    <row r="590" spans="1:10" x14ac:dyDescent="0.25">
      <c r="A590" s="93">
        <v>41232</v>
      </c>
      <c r="B590" s="35">
        <f t="shared" si="48"/>
        <v>47</v>
      </c>
      <c r="C590" s="76">
        <v>11</v>
      </c>
      <c r="D590" s="76">
        <v>2012</v>
      </c>
      <c r="E590" s="56">
        <v>4.2</v>
      </c>
      <c r="F590" s="53">
        <f t="shared" si="49"/>
        <v>1</v>
      </c>
      <c r="G590" s="53">
        <f t="shared" si="46"/>
        <v>2</v>
      </c>
      <c r="H590" s="53">
        <f t="shared" si="47"/>
        <v>2</v>
      </c>
      <c r="I590" s="53" t="str">
        <f t="shared" si="50"/>
        <v>ww</v>
      </c>
      <c r="J590" s="53"/>
    </row>
    <row r="591" spans="1:10" x14ac:dyDescent="0.25">
      <c r="A591" s="93">
        <v>41233</v>
      </c>
      <c r="B591" s="35">
        <f t="shared" si="48"/>
        <v>47</v>
      </c>
      <c r="C591" s="76">
        <v>11</v>
      </c>
      <c r="D591" s="76">
        <v>2012</v>
      </c>
      <c r="E591" s="56">
        <v>0</v>
      </c>
      <c r="F591" s="53">
        <f t="shared" si="49"/>
        <v>0</v>
      </c>
      <c r="G591" s="53">
        <f t="shared" si="46"/>
        <v>1</v>
      </c>
      <c r="H591" s="53">
        <f t="shared" si="47"/>
        <v>1</v>
      </c>
      <c r="I591" s="53" t="str">
        <f t="shared" si="50"/>
        <v>wd</v>
      </c>
      <c r="J591" s="53"/>
    </row>
    <row r="592" spans="1:10" x14ac:dyDescent="0.25">
      <c r="A592" s="93">
        <v>41234</v>
      </c>
      <c r="B592" s="35">
        <f t="shared" si="48"/>
        <v>47</v>
      </c>
      <c r="C592" s="76">
        <v>11</v>
      </c>
      <c r="D592" s="76">
        <v>2012</v>
      </c>
      <c r="E592" s="56">
        <v>0.8666666666666667</v>
      </c>
      <c r="F592" s="53">
        <f t="shared" si="49"/>
        <v>1</v>
      </c>
      <c r="G592" s="53">
        <f t="shared" si="46"/>
        <v>1</v>
      </c>
      <c r="H592" s="53">
        <f t="shared" si="47"/>
        <v>-1</v>
      </c>
      <c r="I592" s="53" t="str">
        <f t="shared" si="50"/>
        <v>dw</v>
      </c>
      <c r="J592" s="53"/>
    </row>
    <row r="593" spans="1:10" x14ac:dyDescent="0.25">
      <c r="A593" s="93">
        <v>41235</v>
      </c>
      <c r="B593" s="35">
        <f t="shared" si="48"/>
        <v>47</v>
      </c>
      <c r="C593" s="76">
        <v>11</v>
      </c>
      <c r="D593" s="76">
        <v>2012</v>
      </c>
      <c r="E593" s="56">
        <v>4.4666666666666668</v>
      </c>
      <c r="F593" s="53">
        <f t="shared" si="49"/>
        <v>1</v>
      </c>
      <c r="G593" s="53">
        <f t="shared" si="46"/>
        <v>2</v>
      </c>
      <c r="H593" s="53">
        <f t="shared" si="47"/>
        <v>2</v>
      </c>
      <c r="I593" s="53" t="str">
        <f t="shared" si="50"/>
        <v>ww</v>
      </c>
      <c r="J593" s="53"/>
    </row>
    <row r="594" spans="1:10" x14ac:dyDescent="0.25">
      <c r="A594" s="93">
        <v>41236</v>
      </c>
      <c r="B594" s="35">
        <f t="shared" si="48"/>
        <v>47</v>
      </c>
      <c r="C594" s="76">
        <v>11</v>
      </c>
      <c r="D594" s="76">
        <v>2012</v>
      </c>
      <c r="E594" s="56">
        <v>1.4666666666666668</v>
      </c>
      <c r="F594" s="53">
        <f t="shared" si="49"/>
        <v>1</v>
      </c>
      <c r="G594" s="53">
        <f t="shared" si="46"/>
        <v>2</v>
      </c>
      <c r="H594" s="53">
        <f t="shared" si="47"/>
        <v>2</v>
      </c>
      <c r="I594" s="53" t="str">
        <f t="shared" si="50"/>
        <v>ww</v>
      </c>
      <c r="J594" s="53"/>
    </row>
    <row r="595" spans="1:10" x14ac:dyDescent="0.25">
      <c r="A595" s="93">
        <v>41237</v>
      </c>
      <c r="B595" s="35">
        <f t="shared" si="48"/>
        <v>47</v>
      </c>
      <c r="C595" s="76">
        <v>11</v>
      </c>
      <c r="D595" s="76">
        <v>2012</v>
      </c>
      <c r="E595" s="56">
        <v>0.33333333333333331</v>
      </c>
      <c r="F595" s="53">
        <f t="shared" si="49"/>
        <v>1</v>
      </c>
      <c r="G595" s="53">
        <f t="shared" si="46"/>
        <v>2</v>
      </c>
      <c r="H595" s="53">
        <f t="shared" si="47"/>
        <v>2</v>
      </c>
      <c r="I595" s="53" t="str">
        <f t="shared" si="50"/>
        <v>ww</v>
      </c>
      <c r="J595" s="53"/>
    </row>
    <row r="596" spans="1:10" x14ac:dyDescent="0.25">
      <c r="A596" s="93">
        <v>41238</v>
      </c>
      <c r="B596" s="35">
        <f t="shared" si="48"/>
        <v>47</v>
      </c>
      <c r="C596" s="76">
        <v>11</v>
      </c>
      <c r="D596" s="76">
        <v>2012</v>
      </c>
      <c r="E596" s="56">
        <v>25.466666666666669</v>
      </c>
      <c r="F596" s="53">
        <f t="shared" si="49"/>
        <v>1</v>
      </c>
      <c r="G596" s="53">
        <f t="shared" si="46"/>
        <v>2</v>
      </c>
      <c r="H596" s="53">
        <f t="shared" si="47"/>
        <v>2</v>
      </c>
      <c r="I596" s="53" t="str">
        <f t="shared" si="50"/>
        <v>ww</v>
      </c>
      <c r="J596" s="53"/>
    </row>
    <row r="597" spans="1:10" x14ac:dyDescent="0.25">
      <c r="A597" s="93">
        <v>41239</v>
      </c>
      <c r="B597" s="35">
        <f t="shared" si="48"/>
        <v>47</v>
      </c>
      <c r="C597" s="76">
        <v>11</v>
      </c>
      <c r="D597" s="76">
        <v>2012</v>
      </c>
      <c r="E597" s="56">
        <v>13.733333333333333</v>
      </c>
      <c r="F597" s="53">
        <f t="shared" si="49"/>
        <v>1</v>
      </c>
      <c r="G597" s="53">
        <f t="shared" si="46"/>
        <v>2</v>
      </c>
      <c r="H597" s="53">
        <f t="shared" si="47"/>
        <v>2</v>
      </c>
      <c r="I597" s="53" t="str">
        <f t="shared" si="50"/>
        <v>ww</v>
      </c>
      <c r="J597" s="53"/>
    </row>
    <row r="598" spans="1:10" x14ac:dyDescent="0.25">
      <c r="A598" s="93">
        <v>41240</v>
      </c>
      <c r="B598" s="35">
        <f t="shared" si="48"/>
        <v>47</v>
      </c>
      <c r="C598" s="76">
        <v>11</v>
      </c>
      <c r="D598" s="76">
        <v>2012</v>
      </c>
      <c r="E598" s="56">
        <v>36.266666666666673</v>
      </c>
      <c r="F598" s="53">
        <f t="shared" si="49"/>
        <v>1</v>
      </c>
      <c r="G598" s="53">
        <f t="shared" si="46"/>
        <v>2</v>
      </c>
      <c r="H598" s="53">
        <f t="shared" si="47"/>
        <v>2</v>
      </c>
      <c r="I598" s="53" t="str">
        <f t="shared" si="50"/>
        <v>ww</v>
      </c>
      <c r="J598" s="53"/>
    </row>
    <row r="599" spans="1:10" x14ac:dyDescent="0.25">
      <c r="A599" s="93">
        <v>41241</v>
      </c>
      <c r="B599" s="35">
        <f t="shared" si="48"/>
        <v>47</v>
      </c>
      <c r="C599" s="76">
        <v>11</v>
      </c>
      <c r="D599" s="76">
        <v>2012</v>
      </c>
      <c r="E599" s="56">
        <v>11</v>
      </c>
      <c r="F599" s="53">
        <f t="shared" si="49"/>
        <v>1</v>
      </c>
      <c r="G599" s="53">
        <f t="shared" si="46"/>
        <v>2</v>
      </c>
      <c r="H599" s="53">
        <f t="shared" si="47"/>
        <v>2</v>
      </c>
      <c r="I599" s="53" t="str">
        <f t="shared" si="50"/>
        <v>ww</v>
      </c>
      <c r="J599" s="53"/>
    </row>
    <row r="600" spans="1:10" x14ac:dyDescent="0.25">
      <c r="A600" s="93">
        <v>41242</v>
      </c>
      <c r="B600" s="35">
        <f t="shared" si="48"/>
        <v>47</v>
      </c>
      <c r="C600" s="76">
        <v>11</v>
      </c>
      <c r="D600" s="76">
        <v>2012</v>
      </c>
      <c r="E600" s="56">
        <v>0.6</v>
      </c>
      <c r="F600" s="53">
        <f t="shared" si="49"/>
        <v>1</v>
      </c>
      <c r="G600" s="53">
        <f t="shared" si="46"/>
        <v>2</v>
      </c>
      <c r="H600" s="53">
        <f t="shared" si="47"/>
        <v>2</v>
      </c>
      <c r="I600" s="53" t="str">
        <f t="shared" si="50"/>
        <v>ww</v>
      </c>
      <c r="J600" s="53"/>
    </row>
    <row r="601" spans="1:10" x14ac:dyDescent="0.25">
      <c r="A601" s="93">
        <v>41243</v>
      </c>
      <c r="B601" s="35">
        <f t="shared" si="48"/>
        <v>47</v>
      </c>
      <c r="C601" s="76">
        <v>11</v>
      </c>
      <c r="D601" s="76">
        <v>2012</v>
      </c>
      <c r="E601" s="56">
        <v>0</v>
      </c>
      <c r="F601" s="53">
        <f t="shared" si="49"/>
        <v>0</v>
      </c>
      <c r="G601" s="53">
        <f t="shared" si="46"/>
        <v>1</v>
      </c>
      <c r="H601" s="53">
        <f t="shared" si="47"/>
        <v>1</v>
      </c>
      <c r="I601" s="53" t="str">
        <f t="shared" si="50"/>
        <v>wd</v>
      </c>
      <c r="J601" s="53"/>
    </row>
    <row r="602" spans="1:10" x14ac:dyDescent="0.25">
      <c r="A602" s="93">
        <v>41244</v>
      </c>
      <c r="B602" s="35">
        <f t="shared" si="48"/>
        <v>47</v>
      </c>
      <c r="C602" s="76">
        <v>11</v>
      </c>
      <c r="D602" s="76">
        <v>2012</v>
      </c>
      <c r="E602" s="56">
        <v>2.7333333333333329</v>
      </c>
      <c r="F602" s="53">
        <f t="shared" si="49"/>
        <v>1</v>
      </c>
      <c r="G602" s="53">
        <f t="shared" si="46"/>
        <v>1</v>
      </c>
      <c r="H602" s="53">
        <f t="shared" si="47"/>
        <v>-1</v>
      </c>
      <c r="I602" s="53" t="str">
        <f t="shared" si="50"/>
        <v>dw</v>
      </c>
      <c r="J602" s="53"/>
    </row>
    <row r="603" spans="1:10" x14ac:dyDescent="0.25">
      <c r="A603" s="93">
        <v>41580</v>
      </c>
      <c r="B603" s="35">
        <f t="shared" si="48"/>
        <v>59</v>
      </c>
      <c r="C603" s="76">
        <v>11</v>
      </c>
      <c r="D603" s="76">
        <v>2013</v>
      </c>
      <c r="E603" s="56">
        <v>0</v>
      </c>
      <c r="F603" s="53">
        <f t="shared" si="49"/>
        <v>0</v>
      </c>
      <c r="G603" s="53">
        <f t="shared" si="46"/>
        <v>1</v>
      </c>
      <c r="H603" s="53">
        <f t="shared" si="47"/>
        <v>1</v>
      </c>
      <c r="I603" s="53" t="str">
        <f t="shared" si="50"/>
        <v>wd</v>
      </c>
      <c r="J603" s="53"/>
    </row>
    <row r="604" spans="1:10" x14ac:dyDescent="0.25">
      <c r="A604" s="93">
        <v>41581</v>
      </c>
      <c r="B604" s="35">
        <f t="shared" si="48"/>
        <v>59</v>
      </c>
      <c r="C604" s="76">
        <v>11</v>
      </c>
      <c r="D604" s="76">
        <v>2013</v>
      </c>
      <c r="E604" s="56">
        <v>6.3999999999999995</v>
      </c>
      <c r="F604" s="53">
        <f t="shared" si="49"/>
        <v>1</v>
      </c>
      <c r="G604" s="53">
        <f t="shared" si="46"/>
        <v>1</v>
      </c>
      <c r="H604" s="53">
        <f t="shared" si="47"/>
        <v>-1</v>
      </c>
      <c r="I604" s="53" t="str">
        <f t="shared" si="50"/>
        <v>dw</v>
      </c>
      <c r="J604" s="53"/>
    </row>
    <row r="605" spans="1:10" x14ac:dyDescent="0.25">
      <c r="A605" s="93">
        <v>41582</v>
      </c>
      <c r="B605" s="35">
        <f t="shared" si="48"/>
        <v>59</v>
      </c>
      <c r="C605" s="76">
        <v>11</v>
      </c>
      <c r="D605" s="76">
        <v>2013</v>
      </c>
      <c r="E605" s="56">
        <v>0</v>
      </c>
      <c r="F605" s="53">
        <f t="shared" si="49"/>
        <v>0</v>
      </c>
      <c r="G605" s="53">
        <f t="shared" si="46"/>
        <v>1</v>
      </c>
      <c r="H605" s="53">
        <f t="shared" si="47"/>
        <v>1</v>
      </c>
      <c r="I605" s="53" t="str">
        <f t="shared" si="50"/>
        <v>wd</v>
      </c>
      <c r="J605" s="53"/>
    </row>
    <row r="606" spans="1:10" x14ac:dyDescent="0.25">
      <c r="A606" s="93">
        <v>41583</v>
      </c>
      <c r="B606" s="35">
        <f t="shared" si="48"/>
        <v>59</v>
      </c>
      <c r="C606" s="76">
        <v>11</v>
      </c>
      <c r="D606" s="76">
        <v>2013</v>
      </c>
      <c r="E606" s="56">
        <v>0.93333333333333324</v>
      </c>
      <c r="F606" s="53">
        <f t="shared" si="49"/>
        <v>1</v>
      </c>
      <c r="G606" s="53">
        <f t="shared" si="46"/>
        <v>1</v>
      </c>
      <c r="H606" s="53">
        <f t="shared" si="47"/>
        <v>-1</v>
      </c>
      <c r="I606" s="53" t="str">
        <f t="shared" si="50"/>
        <v>dw</v>
      </c>
      <c r="J606" s="53"/>
    </row>
    <row r="607" spans="1:10" x14ac:dyDescent="0.25">
      <c r="A607" s="93">
        <v>41584</v>
      </c>
      <c r="B607" s="35">
        <f t="shared" si="48"/>
        <v>59</v>
      </c>
      <c r="C607" s="76">
        <v>11</v>
      </c>
      <c r="D607" s="76">
        <v>2013</v>
      </c>
      <c r="E607" s="56">
        <v>6.6666666666666666E-2</v>
      </c>
      <c r="F607" s="53">
        <f t="shared" si="49"/>
        <v>1</v>
      </c>
      <c r="G607" s="53">
        <f t="shared" si="46"/>
        <v>2</v>
      </c>
      <c r="H607" s="53">
        <f t="shared" si="47"/>
        <v>2</v>
      </c>
      <c r="I607" s="53" t="str">
        <f t="shared" si="50"/>
        <v>ww</v>
      </c>
      <c r="J607" s="53"/>
    </row>
    <row r="608" spans="1:10" x14ac:dyDescent="0.25">
      <c r="A608" s="93">
        <v>41585</v>
      </c>
      <c r="B608" s="35">
        <f t="shared" si="48"/>
        <v>59</v>
      </c>
      <c r="C608" s="76">
        <v>11</v>
      </c>
      <c r="D608" s="76">
        <v>2013</v>
      </c>
      <c r="E608" s="56">
        <v>6.6666666666666666E-2</v>
      </c>
      <c r="F608" s="53">
        <f t="shared" si="49"/>
        <v>1</v>
      </c>
      <c r="G608" s="53">
        <f t="shared" si="46"/>
        <v>2</v>
      </c>
      <c r="H608" s="53">
        <f t="shared" si="47"/>
        <v>2</v>
      </c>
      <c r="I608" s="53" t="str">
        <f t="shared" si="50"/>
        <v>ww</v>
      </c>
      <c r="J608" s="53"/>
    </row>
    <row r="609" spans="1:10" x14ac:dyDescent="0.25">
      <c r="A609" s="93">
        <v>41586</v>
      </c>
      <c r="B609" s="35">
        <f t="shared" si="48"/>
        <v>59</v>
      </c>
      <c r="C609" s="76">
        <v>11</v>
      </c>
      <c r="D609" s="76">
        <v>2013</v>
      </c>
      <c r="E609" s="56">
        <v>0</v>
      </c>
      <c r="F609" s="53">
        <f t="shared" si="49"/>
        <v>0</v>
      </c>
      <c r="G609" s="53">
        <f t="shared" si="46"/>
        <v>1</v>
      </c>
      <c r="H609" s="53">
        <f t="shared" si="47"/>
        <v>1</v>
      </c>
      <c r="I609" s="53" t="str">
        <f t="shared" si="50"/>
        <v>wd</v>
      </c>
      <c r="J609" s="53"/>
    </row>
    <row r="610" spans="1:10" x14ac:dyDescent="0.25">
      <c r="A610" s="93">
        <v>41587</v>
      </c>
      <c r="B610" s="35">
        <f t="shared" si="48"/>
        <v>59</v>
      </c>
      <c r="C610" s="76">
        <v>11</v>
      </c>
      <c r="D610" s="76">
        <v>2013</v>
      </c>
      <c r="E610" s="56">
        <v>6.6666666666666666E-2</v>
      </c>
      <c r="F610" s="53">
        <f t="shared" si="49"/>
        <v>1</v>
      </c>
      <c r="G610" s="53">
        <f t="shared" si="46"/>
        <v>1</v>
      </c>
      <c r="H610" s="53">
        <f t="shared" si="47"/>
        <v>-1</v>
      </c>
      <c r="I610" s="53" t="str">
        <f t="shared" si="50"/>
        <v>dw</v>
      </c>
      <c r="J610" s="53"/>
    </row>
    <row r="611" spans="1:10" x14ac:dyDescent="0.25">
      <c r="A611" s="93">
        <v>41588</v>
      </c>
      <c r="B611" s="35">
        <f t="shared" si="48"/>
        <v>59</v>
      </c>
      <c r="C611" s="76">
        <v>11</v>
      </c>
      <c r="D611" s="76">
        <v>2013</v>
      </c>
      <c r="E611" s="56">
        <v>0.20000000000000004</v>
      </c>
      <c r="F611" s="53">
        <f t="shared" si="49"/>
        <v>1</v>
      </c>
      <c r="G611" s="53">
        <f t="shared" si="46"/>
        <v>2</v>
      </c>
      <c r="H611" s="53">
        <f t="shared" si="47"/>
        <v>2</v>
      </c>
      <c r="I611" s="53" t="str">
        <f t="shared" si="50"/>
        <v>ww</v>
      </c>
      <c r="J611" s="53"/>
    </row>
    <row r="612" spans="1:10" x14ac:dyDescent="0.25">
      <c r="A612" s="93">
        <v>41589</v>
      </c>
      <c r="B612" s="35">
        <f t="shared" si="48"/>
        <v>59</v>
      </c>
      <c r="C612" s="76">
        <v>11</v>
      </c>
      <c r="D612" s="76">
        <v>2013</v>
      </c>
      <c r="E612" s="56">
        <v>2.8666666666666667</v>
      </c>
      <c r="F612" s="53">
        <f t="shared" si="49"/>
        <v>1</v>
      </c>
      <c r="G612" s="53">
        <f t="shared" ref="G612:G675" si="51">SUM(F611:F612)</f>
        <v>2</v>
      </c>
      <c r="H612" s="53">
        <f t="shared" ref="H612:H675" si="52">IF(G612=1,IF(F611=1,1,-1),G612)</f>
        <v>2</v>
      </c>
      <c r="I612" s="53" t="str">
        <f t="shared" si="50"/>
        <v>ww</v>
      </c>
      <c r="J612" s="53"/>
    </row>
    <row r="613" spans="1:10" x14ac:dyDescent="0.25">
      <c r="A613" s="93">
        <v>41590</v>
      </c>
      <c r="B613" s="35">
        <f t="shared" si="48"/>
        <v>59</v>
      </c>
      <c r="C613" s="76">
        <v>11</v>
      </c>
      <c r="D613" s="76">
        <v>2013</v>
      </c>
      <c r="E613" s="56">
        <v>0</v>
      </c>
      <c r="F613" s="53">
        <f t="shared" si="49"/>
        <v>0</v>
      </c>
      <c r="G613" s="53">
        <f t="shared" si="51"/>
        <v>1</v>
      </c>
      <c r="H613" s="53">
        <f t="shared" si="52"/>
        <v>1</v>
      </c>
      <c r="I613" s="53" t="str">
        <f t="shared" si="50"/>
        <v>wd</v>
      </c>
      <c r="J613" s="53"/>
    </row>
    <row r="614" spans="1:10" x14ac:dyDescent="0.25">
      <c r="A614" s="93">
        <v>41591</v>
      </c>
      <c r="B614" s="35">
        <f t="shared" si="48"/>
        <v>59</v>
      </c>
      <c r="C614" s="76">
        <v>11</v>
      </c>
      <c r="D614" s="76">
        <v>2013</v>
      </c>
      <c r="E614" s="56">
        <v>0</v>
      </c>
      <c r="F614" s="53">
        <f t="shared" si="49"/>
        <v>0</v>
      </c>
      <c r="G614" s="53">
        <f t="shared" si="51"/>
        <v>0</v>
      </c>
      <c r="H614" s="53">
        <f t="shared" si="52"/>
        <v>0</v>
      </c>
      <c r="I614" s="53" t="str">
        <f t="shared" si="50"/>
        <v>dd</v>
      </c>
      <c r="J614" s="53"/>
    </row>
    <row r="615" spans="1:10" x14ac:dyDescent="0.25">
      <c r="A615" s="93">
        <v>41592</v>
      </c>
      <c r="B615" s="35">
        <f t="shared" si="48"/>
        <v>59</v>
      </c>
      <c r="C615" s="76">
        <v>11</v>
      </c>
      <c r="D615" s="76">
        <v>2013</v>
      </c>
      <c r="E615" s="56">
        <v>0</v>
      </c>
      <c r="F615" s="53">
        <f t="shared" si="49"/>
        <v>0</v>
      </c>
      <c r="G615" s="53">
        <f t="shared" si="51"/>
        <v>0</v>
      </c>
      <c r="H615" s="53">
        <f t="shared" si="52"/>
        <v>0</v>
      </c>
      <c r="I615" s="53" t="str">
        <f t="shared" si="50"/>
        <v>dd</v>
      </c>
      <c r="J615" s="53"/>
    </row>
    <row r="616" spans="1:10" x14ac:dyDescent="0.25">
      <c r="A616" s="93">
        <v>41593</v>
      </c>
      <c r="B616" s="35">
        <f t="shared" si="48"/>
        <v>59</v>
      </c>
      <c r="C616" s="76">
        <v>11</v>
      </c>
      <c r="D616" s="76">
        <v>2013</v>
      </c>
      <c r="E616" s="56">
        <v>0</v>
      </c>
      <c r="F616" s="53">
        <f t="shared" si="49"/>
        <v>0</v>
      </c>
      <c r="G616" s="53">
        <f t="shared" si="51"/>
        <v>0</v>
      </c>
      <c r="H616" s="53">
        <f t="shared" si="52"/>
        <v>0</v>
      </c>
      <c r="I616" s="53" t="str">
        <f t="shared" si="50"/>
        <v>dd</v>
      </c>
      <c r="J616" s="53"/>
    </row>
    <row r="617" spans="1:10" x14ac:dyDescent="0.25">
      <c r="A617" s="93">
        <v>41594</v>
      </c>
      <c r="B617" s="35">
        <f t="shared" si="48"/>
        <v>59</v>
      </c>
      <c r="C617" s="76">
        <v>11</v>
      </c>
      <c r="D617" s="76">
        <v>2013</v>
      </c>
      <c r="E617" s="56">
        <v>0</v>
      </c>
      <c r="F617" s="53">
        <f t="shared" si="49"/>
        <v>0</v>
      </c>
      <c r="G617" s="53">
        <f t="shared" si="51"/>
        <v>0</v>
      </c>
      <c r="H617" s="53">
        <f t="shared" si="52"/>
        <v>0</v>
      </c>
      <c r="I617" s="53" t="str">
        <f t="shared" si="50"/>
        <v>dd</v>
      </c>
      <c r="J617" s="53"/>
    </row>
    <row r="618" spans="1:10" x14ac:dyDescent="0.25">
      <c r="A618" s="93">
        <v>41595</v>
      </c>
      <c r="B618" s="35">
        <f t="shared" si="48"/>
        <v>59</v>
      </c>
      <c r="C618" s="76">
        <v>11</v>
      </c>
      <c r="D618" s="76">
        <v>2013</v>
      </c>
      <c r="E618" s="56">
        <v>0</v>
      </c>
      <c r="F618" s="53">
        <f t="shared" si="49"/>
        <v>0</v>
      </c>
      <c r="G618" s="53">
        <f t="shared" si="51"/>
        <v>0</v>
      </c>
      <c r="H618" s="53">
        <f t="shared" si="52"/>
        <v>0</v>
      </c>
      <c r="I618" s="53" t="str">
        <f t="shared" si="50"/>
        <v>dd</v>
      </c>
      <c r="J618" s="53"/>
    </row>
    <row r="619" spans="1:10" x14ac:dyDescent="0.25">
      <c r="A619" s="93">
        <v>41596</v>
      </c>
      <c r="B619" s="35">
        <f t="shared" si="48"/>
        <v>59</v>
      </c>
      <c r="C619" s="76">
        <v>11</v>
      </c>
      <c r="D619" s="76">
        <v>2013</v>
      </c>
      <c r="E619" s="56">
        <v>7.666666666666667</v>
      </c>
      <c r="F619" s="53">
        <f t="shared" si="49"/>
        <v>1</v>
      </c>
      <c r="G619" s="53">
        <f t="shared" si="51"/>
        <v>1</v>
      </c>
      <c r="H619" s="53">
        <f t="shared" si="52"/>
        <v>-1</v>
      </c>
      <c r="I619" s="53" t="str">
        <f t="shared" si="50"/>
        <v>dw</v>
      </c>
      <c r="J619" s="53"/>
    </row>
    <row r="620" spans="1:10" x14ac:dyDescent="0.25">
      <c r="A620" s="93">
        <v>41597</v>
      </c>
      <c r="B620" s="35">
        <f t="shared" si="48"/>
        <v>59</v>
      </c>
      <c r="C620" s="76">
        <v>11</v>
      </c>
      <c r="D620" s="76">
        <v>2013</v>
      </c>
      <c r="E620" s="56">
        <v>0</v>
      </c>
      <c r="F620" s="53">
        <f t="shared" si="49"/>
        <v>0</v>
      </c>
      <c r="G620" s="53">
        <f t="shared" si="51"/>
        <v>1</v>
      </c>
      <c r="H620" s="53">
        <f t="shared" si="52"/>
        <v>1</v>
      </c>
      <c r="I620" s="53" t="str">
        <f t="shared" si="50"/>
        <v>wd</v>
      </c>
      <c r="J620" s="53"/>
    </row>
    <row r="621" spans="1:10" x14ac:dyDescent="0.25">
      <c r="A621" s="93">
        <v>41598</v>
      </c>
      <c r="B621" s="35">
        <f t="shared" si="48"/>
        <v>59</v>
      </c>
      <c r="C621" s="76">
        <v>11</v>
      </c>
      <c r="D621" s="76">
        <v>2013</v>
      </c>
      <c r="E621" s="56">
        <v>0.66666666666666663</v>
      </c>
      <c r="F621" s="53">
        <f t="shared" si="49"/>
        <v>1</v>
      </c>
      <c r="G621" s="53">
        <f t="shared" si="51"/>
        <v>1</v>
      </c>
      <c r="H621" s="53">
        <f t="shared" si="52"/>
        <v>-1</v>
      </c>
      <c r="I621" s="53" t="str">
        <f t="shared" si="50"/>
        <v>dw</v>
      </c>
      <c r="J621" s="53"/>
    </row>
    <row r="622" spans="1:10" x14ac:dyDescent="0.25">
      <c r="A622" s="93">
        <v>41599</v>
      </c>
      <c r="B622" s="35">
        <f t="shared" si="48"/>
        <v>59</v>
      </c>
      <c r="C622" s="76">
        <v>11</v>
      </c>
      <c r="D622" s="76">
        <v>2013</v>
      </c>
      <c r="E622" s="56">
        <v>13.600000000000001</v>
      </c>
      <c r="F622" s="53">
        <f t="shared" si="49"/>
        <v>1</v>
      </c>
      <c r="G622" s="53">
        <f t="shared" si="51"/>
        <v>2</v>
      </c>
      <c r="H622" s="53">
        <f t="shared" si="52"/>
        <v>2</v>
      </c>
      <c r="I622" s="53" t="str">
        <f t="shared" si="50"/>
        <v>ww</v>
      </c>
      <c r="J622" s="53"/>
    </row>
    <row r="623" spans="1:10" x14ac:dyDescent="0.25">
      <c r="A623" s="93">
        <v>41600</v>
      </c>
      <c r="B623" s="35">
        <f t="shared" si="48"/>
        <v>59</v>
      </c>
      <c r="C623" s="76">
        <v>11</v>
      </c>
      <c r="D623" s="76">
        <v>2013</v>
      </c>
      <c r="E623" s="56">
        <v>3.4</v>
      </c>
      <c r="F623" s="53">
        <f t="shared" si="49"/>
        <v>1</v>
      </c>
      <c r="G623" s="53">
        <f t="shared" si="51"/>
        <v>2</v>
      </c>
      <c r="H623" s="53">
        <f t="shared" si="52"/>
        <v>2</v>
      </c>
      <c r="I623" s="53" t="str">
        <f t="shared" si="50"/>
        <v>ww</v>
      </c>
      <c r="J623" s="53"/>
    </row>
    <row r="624" spans="1:10" x14ac:dyDescent="0.25">
      <c r="A624" s="93">
        <v>41601</v>
      </c>
      <c r="B624" s="35">
        <f t="shared" si="48"/>
        <v>59</v>
      </c>
      <c r="C624" s="76">
        <v>11</v>
      </c>
      <c r="D624" s="76">
        <v>2013</v>
      </c>
      <c r="E624" s="56">
        <v>0</v>
      </c>
      <c r="F624" s="53">
        <f t="shared" si="49"/>
        <v>0</v>
      </c>
      <c r="G624" s="53">
        <f t="shared" si="51"/>
        <v>1</v>
      </c>
      <c r="H624" s="53">
        <f t="shared" si="52"/>
        <v>1</v>
      </c>
      <c r="I624" s="53" t="str">
        <f t="shared" si="50"/>
        <v>wd</v>
      </c>
      <c r="J624" s="53"/>
    </row>
    <row r="625" spans="1:10" x14ac:dyDescent="0.25">
      <c r="A625" s="93">
        <v>41602</v>
      </c>
      <c r="B625" s="35">
        <f t="shared" si="48"/>
        <v>59</v>
      </c>
      <c r="C625" s="76">
        <v>11</v>
      </c>
      <c r="D625" s="76">
        <v>2013</v>
      </c>
      <c r="E625" s="56">
        <v>0.13333333333333333</v>
      </c>
      <c r="F625" s="53">
        <f t="shared" si="49"/>
        <v>1</v>
      </c>
      <c r="G625" s="53">
        <f t="shared" si="51"/>
        <v>1</v>
      </c>
      <c r="H625" s="53">
        <f t="shared" si="52"/>
        <v>-1</v>
      </c>
      <c r="I625" s="53" t="str">
        <f t="shared" si="50"/>
        <v>dw</v>
      </c>
      <c r="J625" s="53"/>
    </row>
    <row r="626" spans="1:10" x14ac:dyDescent="0.25">
      <c r="A626" s="93">
        <v>41603</v>
      </c>
      <c r="B626" s="35">
        <f t="shared" si="48"/>
        <v>59</v>
      </c>
      <c r="C626" s="76">
        <v>11</v>
      </c>
      <c r="D626" s="76">
        <v>2013</v>
      </c>
      <c r="E626" s="56">
        <v>0.39999999999999997</v>
      </c>
      <c r="F626" s="53">
        <f t="shared" si="49"/>
        <v>1</v>
      </c>
      <c r="G626" s="53">
        <f t="shared" si="51"/>
        <v>2</v>
      </c>
      <c r="H626" s="53">
        <f t="shared" si="52"/>
        <v>2</v>
      </c>
      <c r="I626" s="53" t="str">
        <f t="shared" si="50"/>
        <v>ww</v>
      </c>
      <c r="J626" s="53"/>
    </row>
    <row r="627" spans="1:10" x14ac:dyDescent="0.25">
      <c r="A627" s="93">
        <v>41604</v>
      </c>
      <c r="B627" s="35">
        <f t="shared" si="48"/>
        <v>59</v>
      </c>
      <c r="C627" s="76">
        <v>11</v>
      </c>
      <c r="D627" s="76">
        <v>2013</v>
      </c>
      <c r="E627" s="56">
        <v>0</v>
      </c>
      <c r="F627" s="53">
        <f t="shared" si="49"/>
        <v>0</v>
      </c>
      <c r="G627" s="53">
        <f t="shared" si="51"/>
        <v>1</v>
      </c>
      <c r="H627" s="53">
        <f t="shared" si="52"/>
        <v>1</v>
      </c>
      <c r="I627" s="53" t="str">
        <f t="shared" si="50"/>
        <v>wd</v>
      </c>
      <c r="J627" s="53"/>
    </row>
    <row r="628" spans="1:10" x14ac:dyDescent="0.25">
      <c r="A628" s="93">
        <v>41605</v>
      </c>
      <c r="B628" s="35">
        <f t="shared" si="48"/>
        <v>59</v>
      </c>
      <c r="C628" s="76">
        <v>11</v>
      </c>
      <c r="D628" s="76">
        <v>2013</v>
      </c>
      <c r="E628" s="56">
        <v>0.20000000000000004</v>
      </c>
      <c r="F628" s="53">
        <f t="shared" si="49"/>
        <v>1</v>
      </c>
      <c r="G628" s="53">
        <f t="shared" si="51"/>
        <v>1</v>
      </c>
      <c r="H628" s="53">
        <f t="shared" si="52"/>
        <v>-1</v>
      </c>
      <c r="I628" s="53" t="str">
        <f t="shared" si="50"/>
        <v>dw</v>
      </c>
      <c r="J628" s="53"/>
    </row>
    <row r="629" spans="1:10" x14ac:dyDescent="0.25">
      <c r="A629" s="93">
        <v>41606</v>
      </c>
      <c r="B629" s="35">
        <f t="shared" si="48"/>
        <v>59</v>
      </c>
      <c r="C629" s="76">
        <v>11</v>
      </c>
      <c r="D629" s="76">
        <v>2013</v>
      </c>
      <c r="E629" s="56">
        <v>0</v>
      </c>
      <c r="F629" s="53">
        <f t="shared" si="49"/>
        <v>0</v>
      </c>
      <c r="G629" s="53">
        <f t="shared" si="51"/>
        <v>1</v>
      </c>
      <c r="H629" s="53">
        <f t="shared" si="52"/>
        <v>1</v>
      </c>
      <c r="I629" s="53" t="str">
        <f t="shared" si="50"/>
        <v>wd</v>
      </c>
      <c r="J629" s="53"/>
    </row>
    <row r="630" spans="1:10" x14ac:dyDescent="0.25">
      <c r="A630" s="93">
        <v>41607</v>
      </c>
      <c r="B630" s="35">
        <f t="shared" si="48"/>
        <v>59</v>
      </c>
      <c r="C630" s="76">
        <v>11</v>
      </c>
      <c r="D630" s="76">
        <v>2013</v>
      </c>
      <c r="E630" s="56">
        <v>6.6666666666666666E-2</v>
      </c>
      <c r="F630" s="53">
        <f t="shared" si="49"/>
        <v>1</v>
      </c>
      <c r="G630" s="53">
        <f t="shared" si="51"/>
        <v>1</v>
      </c>
      <c r="H630" s="53">
        <f t="shared" si="52"/>
        <v>-1</v>
      </c>
      <c r="I630" s="53" t="str">
        <f t="shared" si="50"/>
        <v>dw</v>
      </c>
      <c r="J630" s="53"/>
    </row>
    <row r="631" spans="1:10" x14ac:dyDescent="0.25">
      <c r="A631" s="93">
        <v>41608</v>
      </c>
      <c r="B631" s="35">
        <f t="shared" si="48"/>
        <v>59</v>
      </c>
      <c r="C631" s="76">
        <v>11</v>
      </c>
      <c r="D631" s="76">
        <v>2013</v>
      </c>
      <c r="E631" s="56">
        <v>0</v>
      </c>
      <c r="F631" s="53">
        <f t="shared" si="49"/>
        <v>0</v>
      </c>
      <c r="G631" s="53">
        <f t="shared" si="51"/>
        <v>1</v>
      </c>
      <c r="H631" s="53">
        <f t="shared" si="52"/>
        <v>1</v>
      </c>
      <c r="I631" s="53" t="str">
        <f t="shared" si="50"/>
        <v>wd</v>
      </c>
      <c r="J631" s="53"/>
    </row>
    <row r="632" spans="1:10" x14ac:dyDescent="0.25">
      <c r="A632" s="93">
        <v>41609</v>
      </c>
      <c r="B632" s="35">
        <f t="shared" si="48"/>
        <v>59</v>
      </c>
      <c r="C632" s="76">
        <v>11</v>
      </c>
      <c r="D632" s="76">
        <v>2013</v>
      </c>
      <c r="E632" s="56">
        <v>6.6666666666666666E-2</v>
      </c>
      <c r="F632" s="53">
        <f t="shared" si="49"/>
        <v>1</v>
      </c>
      <c r="G632" s="53">
        <f t="shared" si="51"/>
        <v>1</v>
      </c>
      <c r="H632" s="53">
        <f t="shared" si="52"/>
        <v>-1</v>
      </c>
      <c r="I632" s="53" t="str">
        <f t="shared" si="50"/>
        <v>dw</v>
      </c>
      <c r="J632" s="53"/>
    </row>
    <row r="633" spans="1:10" x14ac:dyDescent="0.25">
      <c r="A633" s="93">
        <v>41946</v>
      </c>
      <c r="B633" s="35">
        <f t="shared" si="48"/>
        <v>71</v>
      </c>
      <c r="C633" s="76">
        <v>11</v>
      </c>
      <c r="D633" s="76">
        <v>2014</v>
      </c>
      <c r="E633" s="56">
        <v>6.6666666666666666E-2</v>
      </c>
      <c r="F633" s="53">
        <f t="shared" si="49"/>
        <v>1</v>
      </c>
      <c r="G633" s="53">
        <f t="shared" si="51"/>
        <v>2</v>
      </c>
      <c r="H633" s="53">
        <f t="shared" si="52"/>
        <v>2</v>
      </c>
      <c r="I633" s="53" t="str">
        <f t="shared" si="50"/>
        <v>ww</v>
      </c>
      <c r="J633" s="53"/>
    </row>
    <row r="634" spans="1:10" x14ac:dyDescent="0.25">
      <c r="A634" s="93">
        <v>41947</v>
      </c>
      <c r="B634" s="35">
        <f t="shared" si="48"/>
        <v>71</v>
      </c>
      <c r="C634" s="76">
        <v>11</v>
      </c>
      <c r="D634" s="76">
        <v>2014</v>
      </c>
      <c r="E634" s="56">
        <v>0</v>
      </c>
      <c r="F634" s="53">
        <f t="shared" si="49"/>
        <v>0</v>
      </c>
      <c r="G634" s="53">
        <f t="shared" si="51"/>
        <v>1</v>
      </c>
      <c r="H634" s="53">
        <f t="shared" si="52"/>
        <v>1</v>
      </c>
      <c r="I634" s="53" t="str">
        <f t="shared" si="50"/>
        <v>wd</v>
      </c>
      <c r="J634" s="53"/>
    </row>
    <row r="635" spans="1:10" x14ac:dyDescent="0.25">
      <c r="A635" s="93">
        <v>41948</v>
      </c>
      <c r="B635" s="35">
        <f t="shared" si="48"/>
        <v>71</v>
      </c>
      <c r="C635" s="76">
        <v>11</v>
      </c>
      <c r="D635" s="76">
        <v>2014</v>
      </c>
      <c r="E635" s="56">
        <v>8</v>
      </c>
      <c r="F635" s="53">
        <f t="shared" si="49"/>
        <v>1</v>
      </c>
      <c r="G635" s="53">
        <f t="shared" si="51"/>
        <v>1</v>
      </c>
      <c r="H635" s="53">
        <f t="shared" si="52"/>
        <v>-1</v>
      </c>
      <c r="I635" s="53" t="str">
        <f t="shared" si="50"/>
        <v>dw</v>
      </c>
      <c r="J635" s="53"/>
    </row>
    <row r="636" spans="1:10" x14ac:dyDescent="0.25">
      <c r="A636" s="93">
        <v>41949</v>
      </c>
      <c r="B636" s="35">
        <f t="shared" si="48"/>
        <v>71</v>
      </c>
      <c r="C636" s="76">
        <v>11</v>
      </c>
      <c r="D636" s="76">
        <v>2014</v>
      </c>
      <c r="E636" s="56">
        <v>1.3333333333333333</v>
      </c>
      <c r="F636" s="53">
        <f t="shared" si="49"/>
        <v>1</v>
      </c>
      <c r="G636" s="53">
        <f t="shared" si="51"/>
        <v>2</v>
      </c>
      <c r="H636" s="53">
        <f t="shared" si="52"/>
        <v>2</v>
      </c>
      <c r="I636" s="53" t="str">
        <f t="shared" si="50"/>
        <v>ww</v>
      </c>
      <c r="J636" s="53"/>
    </row>
    <row r="637" spans="1:10" x14ac:dyDescent="0.25">
      <c r="A637" s="93">
        <v>41950</v>
      </c>
      <c r="B637" s="35">
        <f t="shared" si="48"/>
        <v>71</v>
      </c>
      <c r="C637" s="76">
        <v>11</v>
      </c>
      <c r="D637" s="76">
        <v>2014</v>
      </c>
      <c r="E637" s="56">
        <v>2.5333333333333337</v>
      </c>
      <c r="F637" s="53">
        <f t="shared" si="49"/>
        <v>1</v>
      </c>
      <c r="G637" s="53">
        <f t="shared" si="51"/>
        <v>2</v>
      </c>
      <c r="H637" s="53">
        <f t="shared" si="52"/>
        <v>2</v>
      </c>
      <c r="I637" s="53" t="str">
        <f t="shared" si="50"/>
        <v>ww</v>
      </c>
      <c r="J637" s="53"/>
    </row>
    <row r="638" spans="1:10" x14ac:dyDescent="0.25">
      <c r="A638" s="93">
        <v>41951</v>
      </c>
      <c r="B638" s="35">
        <f t="shared" si="48"/>
        <v>71</v>
      </c>
      <c r="C638" s="76">
        <v>11</v>
      </c>
      <c r="D638" s="76">
        <v>2014</v>
      </c>
      <c r="E638" s="56">
        <v>5.1333333333333337</v>
      </c>
      <c r="F638" s="53">
        <f t="shared" si="49"/>
        <v>1</v>
      </c>
      <c r="G638" s="53">
        <f t="shared" si="51"/>
        <v>2</v>
      </c>
      <c r="H638" s="53">
        <f t="shared" si="52"/>
        <v>2</v>
      </c>
      <c r="I638" s="53" t="str">
        <f t="shared" si="50"/>
        <v>ww</v>
      </c>
      <c r="J638" s="53"/>
    </row>
    <row r="639" spans="1:10" x14ac:dyDescent="0.25">
      <c r="A639" s="93">
        <v>41952</v>
      </c>
      <c r="B639" s="35">
        <f t="shared" si="48"/>
        <v>71</v>
      </c>
      <c r="C639" s="76">
        <v>11</v>
      </c>
      <c r="D639" s="76">
        <v>2014</v>
      </c>
      <c r="E639" s="56">
        <v>0.40000000000000008</v>
      </c>
      <c r="F639" s="53">
        <f t="shared" si="49"/>
        <v>1</v>
      </c>
      <c r="G639" s="53">
        <f t="shared" si="51"/>
        <v>2</v>
      </c>
      <c r="H639" s="53">
        <f t="shared" si="52"/>
        <v>2</v>
      </c>
      <c r="I639" s="53" t="str">
        <f t="shared" si="50"/>
        <v>ww</v>
      </c>
      <c r="J639" s="53"/>
    </row>
    <row r="640" spans="1:10" x14ac:dyDescent="0.25">
      <c r="A640" s="93">
        <v>41953</v>
      </c>
      <c r="B640" s="35">
        <f t="shared" si="48"/>
        <v>71</v>
      </c>
      <c r="C640" s="76">
        <v>11</v>
      </c>
      <c r="D640" s="76">
        <v>2014</v>
      </c>
      <c r="E640" s="56">
        <v>0</v>
      </c>
      <c r="F640" s="53">
        <f t="shared" si="49"/>
        <v>0</v>
      </c>
      <c r="G640" s="53">
        <f t="shared" si="51"/>
        <v>1</v>
      </c>
      <c r="H640" s="53">
        <f t="shared" si="52"/>
        <v>1</v>
      </c>
      <c r="I640" s="53" t="str">
        <f t="shared" si="50"/>
        <v>wd</v>
      </c>
      <c r="J640" s="53"/>
    </row>
    <row r="641" spans="1:10" x14ac:dyDescent="0.25">
      <c r="A641" s="93">
        <v>41954</v>
      </c>
      <c r="B641" s="35">
        <f t="shared" si="48"/>
        <v>71</v>
      </c>
      <c r="C641" s="76">
        <v>11</v>
      </c>
      <c r="D641" s="76">
        <v>2014</v>
      </c>
      <c r="E641" s="56">
        <v>0.26666666666666666</v>
      </c>
      <c r="F641" s="53">
        <f t="shared" si="49"/>
        <v>1</v>
      </c>
      <c r="G641" s="53">
        <f t="shared" si="51"/>
        <v>1</v>
      </c>
      <c r="H641" s="53">
        <f t="shared" si="52"/>
        <v>-1</v>
      </c>
      <c r="I641" s="53" t="str">
        <f t="shared" si="50"/>
        <v>dw</v>
      </c>
      <c r="J641" s="53"/>
    </row>
    <row r="642" spans="1:10" x14ac:dyDescent="0.25">
      <c r="A642" s="93">
        <v>41955</v>
      </c>
      <c r="B642" s="35">
        <f t="shared" ref="B642:B705" si="53">C642+(D642-2009)*12</f>
        <v>71</v>
      </c>
      <c r="C642" s="76">
        <v>11</v>
      </c>
      <c r="D642" s="76">
        <v>2014</v>
      </c>
      <c r="E642" s="56">
        <v>1.2000000000000002</v>
      </c>
      <c r="F642" s="53">
        <f t="shared" ref="F642:F705" si="54">IF(E642&gt;0,1,0)</f>
        <v>1</v>
      </c>
      <c r="G642" s="53">
        <f t="shared" si="51"/>
        <v>2</v>
      </c>
      <c r="H642" s="53">
        <f t="shared" si="52"/>
        <v>2</v>
      </c>
      <c r="I642" s="53" t="str">
        <f t="shared" ref="I642:I705" si="55">VLOOKUP(H642,codes,2,)</f>
        <v>ww</v>
      </c>
      <c r="J642" s="53"/>
    </row>
    <row r="643" spans="1:10" x14ac:dyDescent="0.25">
      <c r="A643" s="93">
        <v>41956</v>
      </c>
      <c r="B643" s="35">
        <f t="shared" si="53"/>
        <v>71</v>
      </c>
      <c r="C643" s="76">
        <v>11</v>
      </c>
      <c r="D643" s="76">
        <v>2014</v>
      </c>
      <c r="E643" s="56">
        <v>0.40000000000000008</v>
      </c>
      <c r="F643" s="53">
        <f t="shared" si="54"/>
        <v>1</v>
      </c>
      <c r="G643" s="53">
        <f t="shared" si="51"/>
        <v>2</v>
      </c>
      <c r="H643" s="53">
        <f t="shared" si="52"/>
        <v>2</v>
      </c>
      <c r="I643" s="53" t="str">
        <f t="shared" si="55"/>
        <v>ww</v>
      </c>
      <c r="J643" s="53"/>
    </row>
    <row r="644" spans="1:10" x14ac:dyDescent="0.25">
      <c r="A644" s="93">
        <v>41957</v>
      </c>
      <c r="B644" s="35">
        <f t="shared" si="53"/>
        <v>71</v>
      </c>
      <c r="C644" s="76">
        <v>11</v>
      </c>
      <c r="D644" s="76">
        <v>2014</v>
      </c>
      <c r="E644" s="56">
        <v>1</v>
      </c>
      <c r="F644" s="53">
        <f t="shared" si="54"/>
        <v>1</v>
      </c>
      <c r="G644" s="53">
        <f t="shared" si="51"/>
        <v>2</v>
      </c>
      <c r="H644" s="53">
        <f t="shared" si="52"/>
        <v>2</v>
      </c>
      <c r="I644" s="53" t="str">
        <f t="shared" si="55"/>
        <v>ww</v>
      </c>
      <c r="J644" s="53"/>
    </row>
    <row r="645" spans="1:10" x14ac:dyDescent="0.25">
      <c r="A645" s="93">
        <v>41958</v>
      </c>
      <c r="B645" s="35">
        <f t="shared" si="53"/>
        <v>71</v>
      </c>
      <c r="C645" s="76">
        <v>11</v>
      </c>
      <c r="D645" s="76">
        <v>2014</v>
      </c>
      <c r="E645" s="56">
        <v>13.133333333333333</v>
      </c>
      <c r="F645" s="53">
        <f t="shared" si="54"/>
        <v>1</v>
      </c>
      <c r="G645" s="53">
        <f t="shared" si="51"/>
        <v>2</v>
      </c>
      <c r="H645" s="53">
        <f t="shared" si="52"/>
        <v>2</v>
      </c>
      <c r="I645" s="53" t="str">
        <f t="shared" si="55"/>
        <v>ww</v>
      </c>
      <c r="J645" s="53"/>
    </row>
    <row r="646" spans="1:10" x14ac:dyDescent="0.25">
      <c r="A646" s="93">
        <v>41959</v>
      </c>
      <c r="B646" s="35">
        <f t="shared" si="53"/>
        <v>71</v>
      </c>
      <c r="C646" s="76">
        <v>11</v>
      </c>
      <c r="D646" s="76">
        <v>2014</v>
      </c>
      <c r="E646" s="56">
        <v>0.13333333333333333</v>
      </c>
      <c r="F646" s="53">
        <f t="shared" si="54"/>
        <v>1</v>
      </c>
      <c r="G646" s="53">
        <f t="shared" si="51"/>
        <v>2</v>
      </c>
      <c r="H646" s="53">
        <f t="shared" si="52"/>
        <v>2</v>
      </c>
      <c r="I646" s="53" t="str">
        <f t="shared" si="55"/>
        <v>ww</v>
      </c>
      <c r="J646" s="53"/>
    </row>
    <row r="647" spans="1:10" x14ac:dyDescent="0.25">
      <c r="A647" s="93">
        <v>41960</v>
      </c>
      <c r="B647" s="35">
        <f t="shared" si="53"/>
        <v>71</v>
      </c>
      <c r="C647" s="76">
        <v>11</v>
      </c>
      <c r="D647" s="76">
        <v>2014</v>
      </c>
      <c r="E647" s="56">
        <v>9.2666666666666675</v>
      </c>
      <c r="F647" s="53">
        <f t="shared" si="54"/>
        <v>1</v>
      </c>
      <c r="G647" s="53">
        <f t="shared" si="51"/>
        <v>2</v>
      </c>
      <c r="H647" s="53">
        <f t="shared" si="52"/>
        <v>2</v>
      </c>
      <c r="I647" s="53" t="str">
        <f t="shared" si="55"/>
        <v>ww</v>
      </c>
      <c r="J647" s="53"/>
    </row>
    <row r="648" spans="1:10" x14ac:dyDescent="0.25">
      <c r="A648" s="93">
        <v>41961</v>
      </c>
      <c r="B648" s="35">
        <f t="shared" si="53"/>
        <v>71</v>
      </c>
      <c r="C648" s="76">
        <v>11</v>
      </c>
      <c r="D648" s="76">
        <v>2014</v>
      </c>
      <c r="E648" s="56">
        <v>0.66666666666666663</v>
      </c>
      <c r="F648" s="53">
        <f t="shared" si="54"/>
        <v>1</v>
      </c>
      <c r="G648" s="53">
        <f t="shared" si="51"/>
        <v>2</v>
      </c>
      <c r="H648" s="53">
        <f t="shared" si="52"/>
        <v>2</v>
      </c>
      <c r="I648" s="53" t="str">
        <f t="shared" si="55"/>
        <v>ww</v>
      </c>
      <c r="J648" s="53"/>
    </row>
    <row r="649" spans="1:10" x14ac:dyDescent="0.25">
      <c r="A649" s="93">
        <v>41962</v>
      </c>
      <c r="B649" s="35">
        <f t="shared" si="53"/>
        <v>71</v>
      </c>
      <c r="C649" s="76">
        <v>11</v>
      </c>
      <c r="D649" s="76">
        <v>2014</v>
      </c>
      <c r="E649" s="56">
        <v>0.33333333333333331</v>
      </c>
      <c r="F649" s="53">
        <f t="shared" si="54"/>
        <v>1</v>
      </c>
      <c r="G649" s="53">
        <f t="shared" si="51"/>
        <v>2</v>
      </c>
      <c r="H649" s="53">
        <f t="shared" si="52"/>
        <v>2</v>
      </c>
      <c r="I649" s="53" t="str">
        <f t="shared" si="55"/>
        <v>ww</v>
      </c>
      <c r="J649" s="53"/>
    </row>
    <row r="650" spans="1:10" x14ac:dyDescent="0.25">
      <c r="A650" s="93">
        <v>41963</v>
      </c>
      <c r="B650" s="35">
        <f t="shared" si="53"/>
        <v>71</v>
      </c>
      <c r="C650" s="76">
        <v>11</v>
      </c>
      <c r="D650" s="76">
        <v>2014</v>
      </c>
      <c r="E650" s="56">
        <v>3.7333333333333338</v>
      </c>
      <c r="F650" s="53">
        <f t="shared" si="54"/>
        <v>1</v>
      </c>
      <c r="G650" s="53">
        <f t="shared" si="51"/>
        <v>2</v>
      </c>
      <c r="H650" s="53">
        <f t="shared" si="52"/>
        <v>2</v>
      </c>
      <c r="I650" s="53" t="str">
        <f t="shared" si="55"/>
        <v>ww</v>
      </c>
      <c r="J650" s="53"/>
    </row>
    <row r="651" spans="1:10" x14ac:dyDescent="0.25">
      <c r="A651" s="93">
        <v>41964</v>
      </c>
      <c r="B651" s="35">
        <f t="shared" si="53"/>
        <v>71</v>
      </c>
      <c r="C651" s="76">
        <v>11</v>
      </c>
      <c r="D651" s="76">
        <v>2014</v>
      </c>
      <c r="E651" s="56">
        <v>0.13333333333333333</v>
      </c>
      <c r="F651" s="53">
        <f t="shared" si="54"/>
        <v>1</v>
      </c>
      <c r="G651" s="53">
        <f t="shared" si="51"/>
        <v>2</v>
      </c>
      <c r="H651" s="53">
        <f t="shared" si="52"/>
        <v>2</v>
      </c>
      <c r="I651" s="53" t="str">
        <f t="shared" si="55"/>
        <v>ww</v>
      </c>
      <c r="J651" s="53"/>
    </row>
    <row r="652" spans="1:10" x14ac:dyDescent="0.25">
      <c r="A652" s="93">
        <v>41965</v>
      </c>
      <c r="B652" s="35">
        <f t="shared" si="53"/>
        <v>71</v>
      </c>
      <c r="C652" s="76">
        <v>11</v>
      </c>
      <c r="D652" s="76">
        <v>2014</v>
      </c>
      <c r="E652" s="56">
        <v>4</v>
      </c>
      <c r="F652" s="53">
        <f t="shared" si="54"/>
        <v>1</v>
      </c>
      <c r="G652" s="53">
        <f t="shared" si="51"/>
        <v>2</v>
      </c>
      <c r="H652" s="53">
        <f t="shared" si="52"/>
        <v>2</v>
      </c>
      <c r="I652" s="53" t="str">
        <f t="shared" si="55"/>
        <v>ww</v>
      </c>
      <c r="J652" s="53"/>
    </row>
    <row r="653" spans="1:10" x14ac:dyDescent="0.25">
      <c r="A653" s="93">
        <v>41966</v>
      </c>
      <c r="B653" s="35">
        <f t="shared" si="53"/>
        <v>71</v>
      </c>
      <c r="C653" s="76">
        <v>11</v>
      </c>
      <c r="D653" s="76">
        <v>2014</v>
      </c>
      <c r="E653" s="56">
        <v>0</v>
      </c>
      <c r="F653" s="53">
        <f t="shared" si="54"/>
        <v>0</v>
      </c>
      <c r="G653" s="53">
        <f t="shared" si="51"/>
        <v>1</v>
      </c>
      <c r="H653" s="53">
        <f t="shared" si="52"/>
        <v>1</v>
      </c>
      <c r="I653" s="53" t="str">
        <f t="shared" si="55"/>
        <v>wd</v>
      </c>
      <c r="J653" s="53"/>
    </row>
    <row r="654" spans="1:10" x14ac:dyDescent="0.25">
      <c r="A654" s="93">
        <v>41967</v>
      </c>
      <c r="B654" s="35">
        <f t="shared" si="53"/>
        <v>71</v>
      </c>
      <c r="C654" s="76">
        <v>11</v>
      </c>
      <c r="D654" s="76">
        <v>2014</v>
      </c>
      <c r="E654" s="56">
        <v>6.6666666666666666E-2</v>
      </c>
      <c r="F654" s="53">
        <f t="shared" si="54"/>
        <v>1</v>
      </c>
      <c r="G654" s="53">
        <f t="shared" si="51"/>
        <v>1</v>
      </c>
      <c r="H654" s="53">
        <f t="shared" si="52"/>
        <v>-1</v>
      </c>
      <c r="I654" s="53" t="str">
        <f t="shared" si="55"/>
        <v>dw</v>
      </c>
      <c r="J654" s="53"/>
    </row>
    <row r="655" spans="1:10" x14ac:dyDescent="0.25">
      <c r="A655" s="93">
        <v>41968</v>
      </c>
      <c r="B655" s="35">
        <f t="shared" si="53"/>
        <v>71</v>
      </c>
      <c r="C655" s="76">
        <v>11</v>
      </c>
      <c r="D655" s="76">
        <v>2014</v>
      </c>
      <c r="E655" s="56">
        <v>0</v>
      </c>
      <c r="F655" s="53">
        <f t="shared" si="54"/>
        <v>0</v>
      </c>
      <c r="G655" s="53">
        <f t="shared" si="51"/>
        <v>1</v>
      </c>
      <c r="H655" s="53">
        <f t="shared" si="52"/>
        <v>1</v>
      </c>
      <c r="I655" s="53" t="str">
        <f t="shared" si="55"/>
        <v>wd</v>
      </c>
      <c r="J655" s="53"/>
    </row>
    <row r="656" spans="1:10" x14ac:dyDescent="0.25">
      <c r="A656" s="93">
        <v>41969</v>
      </c>
      <c r="B656" s="35">
        <f t="shared" si="53"/>
        <v>71</v>
      </c>
      <c r="C656" s="76">
        <v>11</v>
      </c>
      <c r="D656" s="76">
        <v>2014</v>
      </c>
      <c r="E656" s="56">
        <v>6.0666666666666664</v>
      </c>
      <c r="F656" s="53">
        <f t="shared" si="54"/>
        <v>1</v>
      </c>
      <c r="G656" s="53">
        <f t="shared" si="51"/>
        <v>1</v>
      </c>
      <c r="H656" s="53">
        <f t="shared" si="52"/>
        <v>-1</v>
      </c>
      <c r="I656" s="53" t="str">
        <f t="shared" si="55"/>
        <v>dw</v>
      </c>
      <c r="J656" s="53"/>
    </row>
    <row r="657" spans="1:10" x14ac:dyDescent="0.25">
      <c r="A657" s="93">
        <v>41970</v>
      </c>
      <c r="B657" s="35">
        <f t="shared" si="53"/>
        <v>71</v>
      </c>
      <c r="C657" s="76">
        <v>11</v>
      </c>
      <c r="D657" s="76">
        <v>2014</v>
      </c>
      <c r="E657" s="56">
        <v>4.0666666666666664</v>
      </c>
      <c r="F657" s="53">
        <f t="shared" si="54"/>
        <v>1</v>
      </c>
      <c r="G657" s="53">
        <f t="shared" si="51"/>
        <v>2</v>
      </c>
      <c r="H657" s="53">
        <f t="shared" si="52"/>
        <v>2</v>
      </c>
      <c r="I657" s="53" t="str">
        <f t="shared" si="55"/>
        <v>ww</v>
      </c>
      <c r="J657" s="53"/>
    </row>
    <row r="658" spans="1:10" x14ac:dyDescent="0.25">
      <c r="A658" s="93">
        <v>41971</v>
      </c>
      <c r="B658" s="35">
        <f t="shared" si="53"/>
        <v>71</v>
      </c>
      <c r="C658" s="76">
        <v>11</v>
      </c>
      <c r="D658" s="76">
        <v>2014</v>
      </c>
      <c r="E658" s="56">
        <v>1.9333333333333333</v>
      </c>
      <c r="F658" s="53">
        <f t="shared" si="54"/>
        <v>1</v>
      </c>
      <c r="G658" s="53">
        <f t="shared" si="51"/>
        <v>2</v>
      </c>
      <c r="H658" s="53">
        <f t="shared" si="52"/>
        <v>2</v>
      </c>
      <c r="I658" s="53" t="str">
        <f t="shared" si="55"/>
        <v>ww</v>
      </c>
      <c r="J658" s="53"/>
    </row>
    <row r="659" spans="1:10" x14ac:dyDescent="0.25">
      <c r="A659" s="93">
        <v>41972</v>
      </c>
      <c r="B659" s="35">
        <f t="shared" si="53"/>
        <v>71</v>
      </c>
      <c r="C659" s="76">
        <v>11</v>
      </c>
      <c r="D659" s="76">
        <v>2014</v>
      </c>
      <c r="E659" s="56">
        <v>0.86666666666666659</v>
      </c>
      <c r="F659" s="53">
        <f t="shared" si="54"/>
        <v>1</v>
      </c>
      <c r="G659" s="53">
        <f t="shared" si="51"/>
        <v>2</v>
      </c>
      <c r="H659" s="53">
        <f t="shared" si="52"/>
        <v>2</v>
      </c>
      <c r="I659" s="53" t="str">
        <f t="shared" si="55"/>
        <v>ww</v>
      </c>
      <c r="J659" s="53"/>
    </row>
    <row r="660" spans="1:10" x14ac:dyDescent="0.25">
      <c r="A660" s="93">
        <v>41973</v>
      </c>
      <c r="B660" s="35">
        <f t="shared" si="53"/>
        <v>71</v>
      </c>
      <c r="C660" s="76">
        <v>11</v>
      </c>
      <c r="D660" s="76">
        <v>2014</v>
      </c>
      <c r="E660" s="56">
        <v>0</v>
      </c>
      <c r="F660" s="53">
        <f t="shared" si="54"/>
        <v>0</v>
      </c>
      <c r="G660" s="53">
        <f t="shared" si="51"/>
        <v>1</v>
      </c>
      <c r="H660" s="53">
        <f t="shared" si="52"/>
        <v>1</v>
      </c>
      <c r="I660" s="53" t="str">
        <f t="shared" si="55"/>
        <v>wd</v>
      </c>
      <c r="J660" s="53"/>
    </row>
    <row r="661" spans="1:10" x14ac:dyDescent="0.25">
      <c r="A661" s="93">
        <v>41974</v>
      </c>
      <c r="B661" s="35">
        <f t="shared" si="53"/>
        <v>71</v>
      </c>
      <c r="C661" s="76">
        <v>11</v>
      </c>
      <c r="D661" s="76">
        <v>2014</v>
      </c>
      <c r="E661" s="56">
        <v>0.26666666666666666</v>
      </c>
      <c r="F661" s="53">
        <f t="shared" si="54"/>
        <v>1</v>
      </c>
      <c r="G661" s="53">
        <f t="shared" si="51"/>
        <v>1</v>
      </c>
      <c r="H661" s="53">
        <f t="shared" si="52"/>
        <v>-1</v>
      </c>
      <c r="I661" s="53" t="str">
        <f t="shared" si="55"/>
        <v>dw</v>
      </c>
      <c r="J661" s="53"/>
    </row>
    <row r="662" spans="1:10" x14ac:dyDescent="0.25">
      <c r="A662" s="93">
        <v>41975</v>
      </c>
      <c r="B662" s="35">
        <f t="shared" si="53"/>
        <v>71</v>
      </c>
      <c r="C662" s="76">
        <v>11</v>
      </c>
      <c r="D662" s="76">
        <v>2014</v>
      </c>
      <c r="E662" s="56">
        <v>1.7999999999999998</v>
      </c>
      <c r="F662" s="53">
        <f t="shared" si="54"/>
        <v>1</v>
      </c>
      <c r="G662" s="53">
        <f t="shared" si="51"/>
        <v>2</v>
      </c>
      <c r="H662" s="53">
        <f t="shared" si="52"/>
        <v>2</v>
      </c>
      <c r="I662" s="53" t="str">
        <f t="shared" si="55"/>
        <v>ww</v>
      </c>
      <c r="J662" s="53"/>
    </row>
    <row r="663" spans="1:10" x14ac:dyDescent="0.25">
      <c r="A663" s="93">
        <v>42311</v>
      </c>
      <c r="B663" s="35">
        <f t="shared" si="53"/>
        <v>83</v>
      </c>
      <c r="C663" s="76">
        <v>11</v>
      </c>
      <c r="D663" s="76">
        <v>2015</v>
      </c>
      <c r="E663" s="56">
        <v>0.13333333333333333</v>
      </c>
      <c r="F663" s="53">
        <f t="shared" si="54"/>
        <v>1</v>
      </c>
      <c r="G663" s="53">
        <f t="shared" si="51"/>
        <v>2</v>
      </c>
      <c r="H663" s="53">
        <f t="shared" si="52"/>
        <v>2</v>
      </c>
      <c r="I663" s="53" t="str">
        <f t="shared" si="55"/>
        <v>ww</v>
      </c>
      <c r="J663" s="53"/>
    </row>
    <row r="664" spans="1:10" x14ac:dyDescent="0.25">
      <c r="A664" s="93">
        <v>42312</v>
      </c>
      <c r="B664" s="35">
        <f t="shared" si="53"/>
        <v>83</v>
      </c>
      <c r="C664" s="76">
        <v>11</v>
      </c>
      <c r="D664" s="76">
        <v>2015</v>
      </c>
      <c r="E664" s="56">
        <v>1.0666666666666667</v>
      </c>
      <c r="F664" s="53">
        <f t="shared" si="54"/>
        <v>1</v>
      </c>
      <c r="G664" s="53">
        <f t="shared" si="51"/>
        <v>2</v>
      </c>
      <c r="H664" s="53">
        <f t="shared" si="52"/>
        <v>2</v>
      </c>
      <c r="I664" s="53" t="str">
        <f t="shared" si="55"/>
        <v>ww</v>
      </c>
      <c r="J664" s="53"/>
    </row>
    <row r="665" spans="1:10" x14ac:dyDescent="0.25">
      <c r="A665" s="93">
        <v>42313</v>
      </c>
      <c r="B665" s="35">
        <f t="shared" si="53"/>
        <v>83</v>
      </c>
      <c r="C665" s="76">
        <v>11</v>
      </c>
      <c r="D665" s="76">
        <v>2015</v>
      </c>
      <c r="E665" s="56">
        <v>6.6666666666666666E-2</v>
      </c>
      <c r="F665" s="53">
        <f t="shared" si="54"/>
        <v>1</v>
      </c>
      <c r="G665" s="53">
        <f t="shared" si="51"/>
        <v>2</v>
      </c>
      <c r="H665" s="53">
        <f t="shared" si="52"/>
        <v>2</v>
      </c>
      <c r="I665" s="53" t="str">
        <f t="shared" si="55"/>
        <v>ww</v>
      </c>
      <c r="J665" s="53"/>
    </row>
    <row r="666" spans="1:10" x14ac:dyDescent="0.25">
      <c r="A666" s="93">
        <v>42314</v>
      </c>
      <c r="B666" s="35">
        <f t="shared" si="53"/>
        <v>83</v>
      </c>
      <c r="C666" s="76">
        <v>11</v>
      </c>
      <c r="D666" s="76">
        <v>2015</v>
      </c>
      <c r="E666" s="56">
        <v>1</v>
      </c>
      <c r="F666" s="53">
        <f t="shared" si="54"/>
        <v>1</v>
      </c>
      <c r="G666" s="53">
        <f t="shared" si="51"/>
        <v>2</v>
      </c>
      <c r="H666" s="53">
        <f t="shared" si="52"/>
        <v>2</v>
      </c>
      <c r="I666" s="53" t="str">
        <f t="shared" si="55"/>
        <v>ww</v>
      </c>
      <c r="J666" s="53"/>
    </row>
    <row r="667" spans="1:10" x14ac:dyDescent="0.25">
      <c r="A667" s="93">
        <v>42315</v>
      </c>
      <c r="B667" s="35">
        <f t="shared" si="53"/>
        <v>83</v>
      </c>
      <c r="C667" s="76">
        <v>11</v>
      </c>
      <c r="D667" s="76">
        <v>2015</v>
      </c>
      <c r="E667" s="56">
        <v>3.9333333333333336</v>
      </c>
      <c r="F667" s="53">
        <f t="shared" si="54"/>
        <v>1</v>
      </c>
      <c r="G667" s="53">
        <f t="shared" si="51"/>
        <v>2</v>
      </c>
      <c r="H667" s="53">
        <f t="shared" si="52"/>
        <v>2</v>
      </c>
      <c r="I667" s="53" t="str">
        <f t="shared" si="55"/>
        <v>ww</v>
      </c>
      <c r="J667" s="53"/>
    </row>
    <row r="668" spans="1:10" x14ac:dyDescent="0.25">
      <c r="A668" s="93">
        <v>42316</v>
      </c>
      <c r="B668" s="35">
        <f t="shared" si="53"/>
        <v>83</v>
      </c>
      <c r="C668" s="76">
        <v>11</v>
      </c>
      <c r="D668" s="76">
        <v>2015</v>
      </c>
      <c r="E668" s="56">
        <v>9.9333333333333353</v>
      </c>
      <c r="F668" s="53">
        <f t="shared" si="54"/>
        <v>1</v>
      </c>
      <c r="G668" s="53">
        <f t="shared" si="51"/>
        <v>2</v>
      </c>
      <c r="H668" s="53">
        <f t="shared" si="52"/>
        <v>2</v>
      </c>
      <c r="I668" s="53" t="str">
        <f t="shared" si="55"/>
        <v>ww</v>
      </c>
      <c r="J668" s="53"/>
    </row>
    <row r="669" spans="1:10" x14ac:dyDescent="0.25">
      <c r="A669" s="93">
        <v>42317</v>
      </c>
      <c r="B669" s="35">
        <f t="shared" si="53"/>
        <v>83</v>
      </c>
      <c r="C669" s="76">
        <v>11</v>
      </c>
      <c r="D669" s="76">
        <v>2015</v>
      </c>
      <c r="E669" s="56">
        <v>4.6000000000000005</v>
      </c>
      <c r="F669" s="53">
        <f t="shared" si="54"/>
        <v>1</v>
      </c>
      <c r="G669" s="53">
        <f t="shared" si="51"/>
        <v>2</v>
      </c>
      <c r="H669" s="53">
        <f t="shared" si="52"/>
        <v>2</v>
      </c>
      <c r="I669" s="53" t="str">
        <f t="shared" si="55"/>
        <v>ww</v>
      </c>
      <c r="J669" s="53"/>
    </row>
    <row r="670" spans="1:10" x14ac:dyDescent="0.25">
      <c r="A670" s="93">
        <v>42318</v>
      </c>
      <c r="B670" s="35">
        <f t="shared" si="53"/>
        <v>83</v>
      </c>
      <c r="C670" s="76">
        <v>11</v>
      </c>
      <c r="D670" s="76">
        <v>2015</v>
      </c>
      <c r="E670" s="56">
        <v>0</v>
      </c>
      <c r="F670" s="53">
        <f t="shared" si="54"/>
        <v>0</v>
      </c>
      <c r="G670" s="53">
        <f t="shared" si="51"/>
        <v>1</v>
      </c>
      <c r="H670" s="53">
        <f t="shared" si="52"/>
        <v>1</v>
      </c>
      <c r="I670" s="53" t="str">
        <f t="shared" si="55"/>
        <v>wd</v>
      </c>
      <c r="J670" s="53"/>
    </row>
    <row r="671" spans="1:10" x14ac:dyDescent="0.25">
      <c r="A671" s="93">
        <v>42319</v>
      </c>
      <c r="B671" s="35">
        <f t="shared" si="53"/>
        <v>83</v>
      </c>
      <c r="C671" s="76">
        <v>11</v>
      </c>
      <c r="D671" s="76">
        <v>2015</v>
      </c>
      <c r="E671" s="56">
        <v>4.2</v>
      </c>
      <c r="F671" s="53">
        <f t="shared" si="54"/>
        <v>1</v>
      </c>
      <c r="G671" s="53">
        <f t="shared" si="51"/>
        <v>1</v>
      </c>
      <c r="H671" s="53">
        <f t="shared" si="52"/>
        <v>-1</v>
      </c>
      <c r="I671" s="53" t="str">
        <f t="shared" si="55"/>
        <v>dw</v>
      </c>
      <c r="J671" s="53"/>
    </row>
    <row r="672" spans="1:10" x14ac:dyDescent="0.25">
      <c r="A672" s="93">
        <v>42320</v>
      </c>
      <c r="B672" s="35">
        <f t="shared" si="53"/>
        <v>83</v>
      </c>
      <c r="C672" s="76">
        <v>11</v>
      </c>
      <c r="D672" s="76">
        <v>2015</v>
      </c>
      <c r="E672" s="56">
        <v>3.6666666666666665</v>
      </c>
      <c r="F672" s="53">
        <f t="shared" si="54"/>
        <v>1</v>
      </c>
      <c r="G672" s="53">
        <f t="shared" si="51"/>
        <v>2</v>
      </c>
      <c r="H672" s="53">
        <f t="shared" si="52"/>
        <v>2</v>
      </c>
      <c r="I672" s="53" t="str">
        <f t="shared" si="55"/>
        <v>ww</v>
      </c>
      <c r="J672" s="53"/>
    </row>
    <row r="673" spans="1:10" x14ac:dyDescent="0.25">
      <c r="A673" s="93">
        <v>42321</v>
      </c>
      <c r="B673" s="35">
        <f t="shared" si="53"/>
        <v>83</v>
      </c>
      <c r="C673" s="76">
        <v>11</v>
      </c>
      <c r="D673" s="76">
        <v>2015</v>
      </c>
      <c r="E673" s="56">
        <v>7.2</v>
      </c>
      <c r="F673" s="53">
        <f t="shared" si="54"/>
        <v>1</v>
      </c>
      <c r="G673" s="53">
        <f t="shared" si="51"/>
        <v>2</v>
      </c>
      <c r="H673" s="53">
        <f t="shared" si="52"/>
        <v>2</v>
      </c>
      <c r="I673" s="53" t="str">
        <f t="shared" si="55"/>
        <v>ww</v>
      </c>
      <c r="J673" s="53"/>
    </row>
    <row r="674" spans="1:10" x14ac:dyDescent="0.25">
      <c r="A674" s="93">
        <v>42322</v>
      </c>
      <c r="B674" s="35">
        <f t="shared" si="53"/>
        <v>83</v>
      </c>
      <c r="C674" s="76">
        <v>11</v>
      </c>
      <c r="D674" s="76">
        <v>2015</v>
      </c>
      <c r="E674" s="56">
        <v>1.2666666666666666</v>
      </c>
      <c r="F674" s="53">
        <f t="shared" si="54"/>
        <v>1</v>
      </c>
      <c r="G674" s="53">
        <f t="shared" si="51"/>
        <v>2</v>
      </c>
      <c r="H674" s="53">
        <f t="shared" si="52"/>
        <v>2</v>
      </c>
      <c r="I674" s="53" t="str">
        <f t="shared" si="55"/>
        <v>ww</v>
      </c>
      <c r="J674" s="53"/>
    </row>
    <row r="675" spans="1:10" x14ac:dyDescent="0.25">
      <c r="A675" s="93">
        <v>42323</v>
      </c>
      <c r="B675" s="35">
        <f t="shared" si="53"/>
        <v>83</v>
      </c>
      <c r="C675" s="76">
        <v>11</v>
      </c>
      <c r="D675" s="76">
        <v>2015</v>
      </c>
      <c r="E675" s="56">
        <v>18.600000000000001</v>
      </c>
      <c r="F675" s="53">
        <f t="shared" si="54"/>
        <v>1</v>
      </c>
      <c r="G675" s="53">
        <f t="shared" si="51"/>
        <v>2</v>
      </c>
      <c r="H675" s="53">
        <f t="shared" si="52"/>
        <v>2</v>
      </c>
      <c r="I675" s="53" t="str">
        <f t="shared" si="55"/>
        <v>ww</v>
      </c>
      <c r="J675" s="53"/>
    </row>
    <row r="676" spans="1:10" x14ac:dyDescent="0.25">
      <c r="A676" s="93">
        <v>42324</v>
      </c>
      <c r="B676" s="35">
        <f t="shared" si="53"/>
        <v>83</v>
      </c>
      <c r="C676" s="76">
        <v>11</v>
      </c>
      <c r="D676" s="76">
        <v>2015</v>
      </c>
      <c r="E676" s="56">
        <v>6.6666666666666666E-2</v>
      </c>
      <c r="F676" s="53">
        <f t="shared" si="54"/>
        <v>1</v>
      </c>
      <c r="G676" s="53">
        <f t="shared" ref="G676:G739" si="56">SUM(F675:F676)</f>
        <v>2</v>
      </c>
      <c r="H676" s="53">
        <f t="shared" ref="H676:H739" si="57">IF(G676=1,IF(F675=1,1,-1),G676)</f>
        <v>2</v>
      </c>
      <c r="I676" s="53" t="str">
        <f t="shared" si="55"/>
        <v>ww</v>
      </c>
      <c r="J676" s="53"/>
    </row>
    <row r="677" spans="1:10" x14ac:dyDescent="0.25">
      <c r="A677" s="93">
        <v>42325</v>
      </c>
      <c r="B677" s="35">
        <f t="shared" si="53"/>
        <v>83</v>
      </c>
      <c r="C677" s="76">
        <v>11</v>
      </c>
      <c r="D677" s="76">
        <v>2015</v>
      </c>
      <c r="E677" s="56">
        <v>0</v>
      </c>
      <c r="F677" s="53">
        <f t="shared" si="54"/>
        <v>0</v>
      </c>
      <c r="G677" s="53">
        <f t="shared" si="56"/>
        <v>1</v>
      </c>
      <c r="H677" s="53">
        <f t="shared" si="57"/>
        <v>1</v>
      </c>
      <c r="I677" s="53" t="str">
        <f t="shared" si="55"/>
        <v>wd</v>
      </c>
      <c r="J677" s="53"/>
    </row>
    <row r="678" spans="1:10" x14ac:dyDescent="0.25">
      <c r="A678" s="93">
        <v>42326</v>
      </c>
      <c r="B678" s="35">
        <f t="shared" si="53"/>
        <v>83</v>
      </c>
      <c r="C678" s="76">
        <v>11</v>
      </c>
      <c r="D678" s="76">
        <v>2015</v>
      </c>
      <c r="E678" s="56">
        <v>6.1333333333333329</v>
      </c>
      <c r="F678" s="53">
        <f t="shared" si="54"/>
        <v>1</v>
      </c>
      <c r="G678" s="53">
        <f t="shared" si="56"/>
        <v>1</v>
      </c>
      <c r="H678" s="53">
        <f t="shared" si="57"/>
        <v>-1</v>
      </c>
      <c r="I678" s="53" t="str">
        <f t="shared" si="55"/>
        <v>dw</v>
      </c>
      <c r="J678" s="53"/>
    </row>
    <row r="679" spans="1:10" x14ac:dyDescent="0.25">
      <c r="A679" s="93">
        <v>42327</v>
      </c>
      <c r="B679" s="35">
        <f t="shared" si="53"/>
        <v>83</v>
      </c>
      <c r="C679" s="76">
        <v>11</v>
      </c>
      <c r="D679" s="76">
        <v>2015</v>
      </c>
      <c r="E679" s="56">
        <v>7.4666666666666659</v>
      </c>
      <c r="F679" s="53">
        <f t="shared" si="54"/>
        <v>1</v>
      </c>
      <c r="G679" s="53">
        <f t="shared" si="56"/>
        <v>2</v>
      </c>
      <c r="H679" s="53">
        <f t="shared" si="57"/>
        <v>2</v>
      </c>
      <c r="I679" s="53" t="str">
        <f t="shared" si="55"/>
        <v>ww</v>
      </c>
      <c r="J679" s="53"/>
    </row>
    <row r="680" spans="1:10" x14ac:dyDescent="0.25">
      <c r="A680" s="93">
        <v>42328</v>
      </c>
      <c r="B680" s="35">
        <f t="shared" si="53"/>
        <v>83</v>
      </c>
      <c r="C680" s="76">
        <v>11</v>
      </c>
      <c r="D680" s="76">
        <v>2015</v>
      </c>
      <c r="E680" s="56">
        <v>0.13333333333333333</v>
      </c>
      <c r="F680" s="53">
        <f t="shared" si="54"/>
        <v>1</v>
      </c>
      <c r="G680" s="53">
        <f t="shared" si="56"/>
        <v>2</v>
      </c>
      <c r="H680" s="53">
        <f t="shared" si="57"/>
        <v>2</v>
      </c>
      <c r="I680" s="53" t="str">
        <f t="shared" si="55"/>
        <v>ww</v>
      </c>
      <c r="J680" s="53"/>
    </row>
    <row r="681" spans="1:10" x14ac:dyDescent="0.25">
      <c r="A681" s="93">
        <v>42329</v>
      </c>
      <c r="B681" s="35">
        <f t="shared" si="53"/>
        <v>83</v>
      </c>
      <c r="C681" s="76">
        <v>11</v>
      </c>
      <c r="D681" s="76">
        <v>2015</v>
      </c>
      <c r="E681" s="56">
        <v>7.7333333333333334</v>
      </c>
      <c r="F681" s="53">
        <f t="shared" si="54"/>
        <v>1</v>
      </c>
      <c r="G681" s="53">
        <f t="shared" si="56"/>
        <v>2</v>
      </c>
      <c r="H681" s="53">
        <f t="shared" si="57"/>
        <v>2</v>
      </c>
      <c r="I681" s="53" t="str">
        <f t="shared" si="55"/>
        <v>ww</v>
      </c>
      <c r="J681" s="53"/>
    </row>
    <row r="682" spans="1:10" x14ac:dyDescent="0.25">
      <c r="A682" s="93">
        <v>42330</v>
      </c>
      <c r="B682" s="35">
        <f t="shared" si="53"/>
        <v>83</v>
      </c>
      <c r="C682" s="76">
        <v>11</v>
      </c>
      <c r="D682" s="76">
        <v>2015</v>
      </c>
      <c r="E682" s="56">
        <v>0.93333333333333346</v>
      </c>
      <c r="F682" s="53">
        <f t="shared" si="54"/>
        <v>1</v>
      </c>
      <c r="G682" s="53">
        <f t="shared" si="56"/>
        <v>2</v>
      </c>
      <c r="H682" s="53">
        <f t="shared" si="57"/>
        <v>2</v>
      </c>
      <c r="I682" s="53" t="str">
        <f t="shared" si="55"/>
        <v>ww</v>
      </c>
      <c r="J682" s="53"/>
    </row>
    <row r="683" spans="1:10" x14ac:dyDescent="0.25">
      <c r="A683" s="93">
        <v>42331</v>
      </c>
      <c r="B683" s="35">
        <f t="shared" si="53"/>
        <v>83</v>
      </c>
      <c r="C683" s="76">
        <v>11</v>
      </c>
      <c r="D683" s="76">
        <v>2015</v>
      </c>
      <c r="E683" s="56">
        <v>2.8666666666666671</v>
      </c>
      <c r="F683" s="53">
        <f t="shared" si="54"/>
        <v>1</v>
      </c>
      <c r="G683" s="53">
        <f t="shared" si="56"/>
        <v>2</v>
      </c>
      <c r="H683" s="53">
        <f t="shared" si="57"/>
        <v>2</v>
      </c>
      <c r="I683" s="53" t="str">
        <f t="shared" si="55"/>
        <v>ww</v>
      </c>
      <c r="J683" s="53"/>
    </row>
    <row r="684" spans="1:10" x14ac:dyDescent="0.25">
      <c r="A684" s="93">
        <v>42332</v>
      </c>
      <c r="B684" s="35">
        <f t="shared" si="53"/>
        <v>83</v>
      </c>
      <c r="C684" s="76">
        <v>11</v>
      </c>
      <c r="D684" s="76">
        <v>2015</v>
      </c>
      <c r="E684" s="56">
        <v>5.0666666666666673</v>
      </c>
      <c r="F684" s="53">
        <f t="shared" si="54"/>
        <v>1</v>
      </c>
      <c r="G684" s="53">
        <f t="shared" si="56"/>
        <v>2</v>
      </c>
      <c r="H684" s="53">
        <f t="shared" si="57"/>
        <v>2</v>
      </c>
      <c r="I684" s="53" t="str">
        <f t="shared" si="55"/>
        <v>ww</v>
      </c>
      <c r="J684" s="53"/>
    </row>
    <row r="685" spans="1:10" x14ac:dyDescent="0.25">
      <c r="A685" s="93">
        <v>42333</v>
      </c>
      <c r="B685" s="35">
        <f t="shared" si="53"/>
        <v>83</v>
      </c>
      <c r="C685" s="76">
        <v>11</v>
      </c>
      <c r="D685" s="76">
        <v>2015</v>
      </c>
      <c r="E685" s="56">
        <v>0</v>
      </c>
      <c r="F685" s="53">
        <f t="shared" si="54"/>
        <v>0</v>
      </c>
      <c r="G685" s="53">
        <f t="shared" si="56"/>
        <v>1</v>
      </c>
      <c r="H685" s="53">
        <f t="shared" si="57"/>
        <v>1</v>
      </c>
      <c r="I685" s="53" t="str">
        <f t="shared" si="55"/>
        <v>wd</v>
      </c>
      <c r="J685" s="53"/>
    </row>
    <row r="686" spans="1:10" x14ac:dyDescent="0.25">
      <c r="A686" s="93">
        <v>42334</v>
      </c>
      <c r="B686" s="35">
        <f t="shared" si="53"/>
        <v>83</v>
      </c>
      <c r="C686" s="76">
        <v>11</v>
      </c>
      <c r="D686" s="76">
        <v>2015</v>
      </c>
      <c r="E686" s="56">
        <v>0.13333333333333333</v>
      </c>
      <c r="F686" s="53">
        <f t="shared" si="54"/>
        <v>1</v>
      </c>
      <c r="G686" s="53">
        <f t="shared" si="56"/>
        <v>1</v>
      </c>
      <c r="H686" s="53">
        <f t="shared" si="57"/>
        <v>-1</v>
      </c>
      <c r="I686" s="53" t="str">
        <f t="shared" si="55"/>
        <v>dw</v>
      </c>
      <c r="J686" s="53"/>
    </row>
    <row r="687" spans="1:10" x14ac:dyDescent="0.25">
      <c r="A687" s="93">
        <v>42335</v>
      </c>
      <c r="B687" s="35">
        <f t="shared" si="53"/>
        <v>83</v>
      </c>
      <c r="C687" s="76">
        <v>11</v>
      </c>
      <c r="D687" s="76">
        <v>2015</v>
      </c>
      <c r="E687" s="56">
        <v>0</v>
      </c>
      <c r="F687" s="53">
        <f t="shared" si="54"/>
        <v>0</v>
      </c>
      <c r="G687" s="53">
        <f t="shared" si="56"/>
        <v>1</v>
      </c>
      <c r="H687" s="53">
        <f t="shared" si="57"/>
        <v>1</v>
      </c>
      <c r="I687" s="53" t="str">
        <f t="shared" si="55"/>
        <v>wd</v>
      </c>
      <c r="J687" s="53"/>
    </row>
    <row r="688" spans="1:10" x14ac:dyDescent="0.25">
      <c r="A688" s="93">
        <v>42336</v>
      </c>
      <c r="B688" s="35">
        <f t="shared" si="53"/>
        <v>83</v>
      </c>
      <c r="C688" s="76">
        <v>11</v>
      </c>
      <c r="D688" s="76">
        <v>2015</v>
      </c>
      <c r="E688" s="56">
        <v>3.8666666666666667</v>
      </c>
      <c r="F688" s="53">
        <f t="shared" si="54"/>
        <v>1</v>
      </c>
      <c r="G688" s="53">
        <f t="shared" si="56"/>
        <v>1</v>
      </c>
      <c r="H688" s="53">
        <f t="shared" si="57"/>
        <v>-1</v>
      </c>
      <c r="I688" s="53" t="str">
        <f t="shared" si="55"/>
        <v>dw</v>
      </c>
      <c r="J688" s="53"/>
    </row>
    <row r="689" spans="1:10" x14ac:dyDescent="0.25">
      <c r="A689" s="93">
        <v>42337</v>
      </c>
      <c r="B689" s="35">
        <f t="shared" si="53"/>
        <v>83</v>
      </c>
      <c r="C689" s="76">
        <v>11</v>
      </c>
      <c r="D689" s="76">
        <v>2015</v>
      </c>
      <c r="E689" s="56">
        <v>2.4666666666666668</v>
      </c>
      <c r="F689" s="53">
        <f t="shared" si="54"/>
        <v>1</v>
      </c>
      <c r="G689" s="53">
        <f t="shared" si="56"/>
        <v>2</v>
      </c>
      <c r="H689" s="53">
        <f t="shared" si="57"/>
        <v>2</v>
      </c>
      <c r="I689" s="53" t="str">
        <f t="shared" si="55"/>
        <v>ww</v>
      </c>
      <c r="J689" s="53"/>
    </row>
    <row r="690" spans="1:10" x14ac:dyDescent="0.25">
      <c r="A690" s="93">
        <v>42338</v>
      </c>
      <c r="B690" s="35">
        <f t="shared" si="53"/>
        <v>83</v>
      </c>
      <c r="C690" s="76">
        <v>11</v>
      </c>
      <c r="D690" s="76">
        <v>2015</v>
      </c>
      <c r="E690" s="56">
        <v>3</v>
      </c>
      <c r="F690" s="53">
        <f t="shared" si="54"/>
        <v>1</v>
      </c>
      <c r="G690" s="53">
        <f t="shared" si="56"/>
        <v>2</v>
      </c>
      <c r="H690" s="53">
        <f t="shared" si="57"/>
        <v>2</v>
      </c>
      <c r="I690" s="53" t="str">
        <f t="shared" si="55"/>
        <v>ww</v>
      </c>
      <c r="J690" s="53"/>
    </row>
    <row r="691" spans="1:10" x14ac:dyDescent="0.25">
      <c r="A691" s="93">
        <v>42339</v>
      </c>
      <c r="B691" s="35">
        <f t="shared" si="53"/>
        <v>83</v>
      </c>
      <c r="C691" s="76">
        <v>11</v>
      </c>
      <c r="D691" s="76">
        <v>2015</v>
      </c>
      <c r="E691" s="56">
        <v>9.0666666666666664</v>
      </c>
      <c r="F691" s="53">
        <f t="shared" si="54"/>
        <v>1</v>
      </c>
      <c r="G691" s="53">
        <f t="shared" si="56"/>
        <v>2</v>
      </c>
      <c r="H691" s="53">
        <f t="shared" si="57"/>
        <v>2</v>
      </c>
      <c r="I691" s="53" t="str">
        <f t="shared" si="55"/>
        <v>ww</v>
      </c>
      <c r="J691" s="53"/>
    </row>
    <row r="692" spans="1:10" x14ac:dyDescent="0.25">
      <c r="A692" s="93">
        <v>42340</v>
      </c>
      <c r="B692" s="35">
        <f t="shared" si="53"/>
        <v>83</v>
      </c>
      <c r="C692" s="76">
        <v>11</v>
      </c>
      <c r="D692" s="76">
        <v>2015</v>
      </c>
      <c r="E692" s="56">
        <v>1.9000000000000001</v>
      </c>
      <c r="F692" s="53">
        <f t="shared" si="54"/>
        <v>1</v>
      </c>
      <c r="G692" s="53">
        <f t="shared" si="56"/>
        <v>2</v>
      </c>
      <c r="H692" s="53">
        <f t="shared" si="57"/>
        <v>2</v>
      </c>
      <c r="I692" s="53" t="str">
        <f t="shared" si="55"/>
        <v>ww</v>
      </c>
      <c r="J692" s="53"/>
    </row>
    <row r="693" spans="1:10" x14ac:dyDescent="0.25">
      <c r="A693" s="93">
        <v>42677</v>
      </c>
      <c r="B693" s="35">
        <f t="shared" si="53"/>
        <v>95</v>
      </c>
      <c r="C693" s="76">
        <v>11</v>
      </c>
      <c r="D693" s="76">
        <v>2016</v>
      </c>
      <c r="E693" s="56">
        <v>0</v>
      </c>
      <c r="F693" s="53">
        <f t="shared" si="54"/>
        <v>0</v>
      </c>
      <c r="G693" s="53">
        <f t="shared" si="56"/>
        <v>1</v>
      </c>
      <c r="H693" s="53">
        <f t="shared" si="57"/>
        <v>1</v>
      </c>
      <c r="I693" s="53" t="str">
        <f t="shared" si="55"/>
        <v>wd</v>
      </c>
      <c r="J693" s="53"/>
    </row>
    <row r="694" spans="1:10" x14ac:dyDescent="0.25">
      <c r="A694" s="93">
        <v>42678</v>
      </c>
      <c r="B694" s="35">
        <f t="shared" si="53"/>
        <v>95</v>
      </c>
      <c r="C694" s="76">
        <v>11</v>
      </c>
      <c r="D694" s="76">
        <v>2016</v>
      </c>
      <c r="E694" s="56">
        <v>1.1333333333333335</v>
      </c>
      <c r="F694" s="53">
        <f t="shared" si="54"/>
        <v>1</v>
      </c>
      <c r="G694" s="53">
        <f t="shared" si="56"/>
        <v>1</v>
      </c>
      <c r="H694" s="53">
        <f t="shared" si="57"/>
        <v>-1</v>
      </c>
      <c r="I694" s="53" t="str">
        <f t="shared" si="55"/>
        <v>dw</v>
      </c>
      <c r="J694" s="53"/>
    </row>
    <row r="695" spans="1:10" x14ac:dyDescent="0.25">
      <c r="A695" s="93">
        <v>42679</v>
      </c>
      <c r="B695" s="35">
        <f t="shared" si="53"/>
        <v>95</v>
      </c>
      <c r="C695" s="76">
        <v>11</v>
      </c>
      <c r="D695" s="76">
        <v>2016</v>
      </c>
      <c r="E695" s="56">
        <v>8.1333333333333329</v>
      </c>
      <c r="F695" s="53">
        <f t="shared" si="54"/>
        <v>1</v>
      </c>
      <c r="G695" s="53">
        <f t="shared" si="56"/>
        <v>2</v>
      </c>
      <c r="H695" s="53">
        <f t="shared" si="57"/>
        <v>2</v>
      </c>
      <c r="I695" s="53" t="str">
        <f t="shared" si="55"/>
        <v>ww</v>
      </c>
      <c r="J695" s="53"/>
    </row>
    <row r="696" spans="1:10" x14ac:dyDescent="0.25">
      <c r="A696" s="93">
        <v>42680</v>
      </c>
      <c r="B696" s="35">
        <f t="shared" si="53"/>
        <v>95</v>
      </c>
      <c r="C696" s="76">
        <v>11</v>
      </c>
      <c r="D696" s="76">
        <v>2016</v>
      </c>
      <c r="E696" s="56">
        <v>12.866666666666665</v>
      </c>
      <c r="F696" s="53">
        <f t="shared" si="54"/>
        <v>1</v>
      </c>
      <c r="G696" s="53">
        <f t="shared" si="56"/>
        <v>2</v>
      </c>
      <c r="H696" s="53">
        <f t="shared" si="57"/>
        <v>2</v>
      </c>
      <c r="I696" s="53" t="str">
        <f t="shared" si="55"/>
        <v>ww</v>
      </c>
      <c r="J696" s="53"/>
    </row>
    <row r="697" spans="1:10" x14ac:dyDescent="0.25">
      <c r="A697" s="93">
        <v>42681</v>
      </c>
      <c r="B697" s="35">
        <f t="shared" si="53"/>
        <v>95</v>
      </c>
      <c r="C697" s="76">
        <v>11</v>
      </c>
      <c r="D697" s="76">
        <v>2016</v>
      </c>
      <c r="E697" s="56">
        <v>6.8</v>
      </c>
      <c r="F697" s="53">
        <f t="shared" si="54"/>
        <v>1</v>
      </c>
      <c r="G697" s="53">
        <f t="shared" si="56"/>
        <v>2</v>
      </c>
      <c r="H697" s="53">
        <f t="shared" si="57"/>
        <v>2</v>
      </c>
      <c r="I697" s="53" t="str">
        <f t="shared" si="55"/>
        <v>ww</v>
      </c>
      <c r="J697" s="53"/>
    </row>
    <row r="698" spans="1:10" x14ac:dyDescent="0.25">
      <c r="A698" s="93">
        <v>42682</v>
      </c>
      <c r="B698" s="35">
        <f t="shared" si="53"/>
        <v>95</v>
      </c>
      <c r="C698" s="76">
        <v>11</v>
      </c>
      <c r="D698" s="76">
        <v>2016</v>
      </c>
      <c r="E698" s="56">
        <v>10.533333333333333</v>
      </c>
      <c r="F698" s="53">
        <f t="shared" si="54"/>
        <v>1</v>
      </c>
      <c r="G698" s="53">
        <f t="shared" si="56"/>
        <v>2</v>
      </c>
      <c r="H698" s="53">
        <f t="shared" si="57"/>
        <v>2</v>
      </c>
      <c r="I698" s="53" t="str">
        <f t="shared" si="55"/>
        <v>ww</v>
      </c>
      <c r="J698" s="53"/>
    </row>
    <row r="699" spans="1:10" x14ac:dyDescent="0.25">
      <c r="A699" s="93">
        <v>42683</v>
      </c>
      <c r="B699" s="35">
        <f t="shared" si="53"/>
        <v>95</v>
      </c>
      <c r="C699" s="76">
        <v>11</v>
      </c>
      <c r="D699" s="76">
        <v>2016</v>
      </c>
      <c r="E699" s="56">
        <v>2.1999999999999997</v>
      </c>
      <c r="F699" s="53">
        <f t="shared" si="54"/>
        <v>1</v>
      </c>
      <c r="G699" s="53">
        <f t="shared" si="56"/>
        <v>2</v>
      </c>
      <c r="H699" s="53">
        <f t="shared" si="57"/>
        <v>2</v>
      </c>
      <c r="I699" s="53" t="str">
        <f t="shared" si="55"/>
        <v>ww</v>
      </c>
      <c r="J699" s="53"/>
    </row>
    <row r="700" spans="1:10" x14ac:dyDescent="0.25">
      <c r="A700" s="93">
        <v>42684</v>
      </c>
      <c r="B700" s="35">
        <f t="shared" si="53"/>
        <v>95</v>
      </c>
      <c r="C700" s="76">
        <v>11</v>
      </c>
      <c r="D700" s="76">
        <v>2016</v>
      </c>
      <c r="E700" s="56">
        <v>1.4000000000000001</v>
      </c>
      <c r="F700" s="53">
        <f t="shared" si="54"/>
        <v>1</v>
      </c>
      <c r="G700" s="53">
        <f t="shared" si="56"/>
        <v>2</v>
      </c>
      <c r="H700" s="53">
        <f t="shared" si="57"/>
        <v>2</v>
      </c>
      <c r="I700" s="53" t="str">
        <f t="shared" si="55"/>
        <v>ww</v>
      </c>
      <c r="J700" s="53"/>
    </row>
    <row r="701" spans="1:10" x14ac:dyDescent="0.25">
      <c r="A701" s="93">
        <v>42685</v>
      </c>
      <c r="B701" s="35">
        <f t="shared" si="53"/>
        <v>95</v>
      </c>
      <c r="C701" s="76">
        <v>11</v>
      </c>
      <c r="D701" s="76">
        <v>2016</v>
      </c>
      <c r="E701" s="56">
        <v>1.3333333333333333</v>
      </c>
      <c r="F701" s="53">
        <f t="shared" si="54"/>
        <v>1</v>
      </c>
      <c r="G701" s="53">
        <f t="shared" si="56"/>
        <v>2</v>
      </c>
      <c r="H701" s="53">
        <f t="shared" si="57"/>
        <v>2</v>
      </c>
      <c r="I701" s="53" t="str">
        <f t="shared" si="55"/>
        <v>ww</v>
      </c>
      <c r="J701" s="53"/>
    </row>
    <row r="702" spans="1:10" x14ac:dyDescent="0.25">
      <c r="A702" s="93">
        <v>42686</v>
      </c>
      <c r="B702" s="35">
        <f t="shared" si="53"/>
        <v>95</v>
      </c>
      <c r="C702" s="76">
        <v>11</v>
      </c>
      <c r="D702" s="76">
        <v>2016</v>
      </c>
      <c r="E702" s="56">
        <v>10.866666666666667</v>
      </c>
      <c r="F702" s="53">
        <f t="shared" si="54"/>
        <v>1</v>
      </c>
      <c r="G702" s="53">
        <f t="shared" si="56"/>
        <v>2</v>
      </c>
      <c r="H702" s="53">
        <f t="shared" si="57"/>
        <v>2</v>
      </c>
      <c r="I702" s="53" t="str">
        <f t="shared" si="55"/>
        <v>ww</v>
      </c>
      <c r="J702" s="53"/>
    </row>
    <row r="703" spans="1:10" x14ac:dyDescent="0.25">
      <c r="A703" s="93">
        <v>42687</v>
      </c>
      <c r="B703" s="35">
        <f t="shared" si="53"/>
        <v>95</v>
      </c>
      <c r="C703" s="76">
        <v>11</v>
      </c>
      <c r="D703" s="76">
        <v>2016</v>
      </c>
      <c r="E703" s="56">
        <v>0.13333333333333333</v>
      </c>
      <c r="F703" s="53">
        <f t="shared" si="54"/>
        <v>1</v>
      </c>
      <c r="G703" s="53">
        <f t="shared" si="56"/>
        <v>2</v>
      </c>
      <c r="H703" s="53">
        <f t="shared" si="57"/>
        <v>2</v>
      </c>
      <c r="I703" s="53" t="str">
        <f t="shared" si="55"/>
        <v>ww</v>
      </c>
      <c r="J703" s="53"/>
    </row>
    <row r="704" spans="1:10" x14ac:dyDescent="0.25">
      <c r="A704" s="93">
        <v>42688</v>
      </c>
      <c r="B704" s="35">
        <f t="shared" si="53"/>
        <v>95</v>
      </c>
      <c r="C704" s="76">
        <v>11</v>
      </c>
      <c r="D704" s="76">
        <v>2016</v>
      </c>
      <c r="E704" s="56">
        <v>6.0666666666666664</v>
      </c>
      <c r="F704" s="53">
        <f t="shared" si="54"/>
        <v>1</v>
      </c>
      <c r="G704" s="53">
        <f t="shared" si="56"/>
        <v>2</v>
      </c>
      <c r="H704" s="53">
        <f t="shared" si="57"/>
        <v>2</v>
      </c>
      <c r="I704" s="53" t="str">
        <f t="shared" si="55"/>
        <v>ww</v>
      </c>
      <c r="J704" s="53"/>
    </row>
    <row r="705" spans="1:10" x14ac:dyDescent="0.25">
      <c r="A705" s="93">
        <v>42689</v>
      </c>
      <c r="B705" s="35">
        <f t="shared" si="53"/>
        <v>95</v>
      </c>
      <c r="C705" s="76">
        <v>11</v>
      </c>
      <c r="D705" s="76">
        <v>2016</v>
      </c>
      <c r="E705" s="56">
        <v>0</v>
      </c>
      <c r="F705" s="53">
        <f t="shared" si="54"/>
        <v>0</v>
      </c>
      <c r="G705" s="53">
        <f t="shared" si="56"/>
        <v>1</v>
      </c>
      <c r="H705" s="53">
        <f t="shared" si="57"/>
        <v>1</v>
      </c>
      <c r="I705" s="53" t="str">
        <f t="shared" si="55"/>
        <v>wd</v>
      </c>
      <c r="J705" s="53"/>
    </row>
    <row r="706" spans="1:10" x14ac:dyDescent="0.25">
      <c r="A706" s="93">
        <v>42690</v>
      </c>
      <c r="B706" s="35">
        <f t="shared" ref="B706:B769" si="58">C706+(D706-2009)*12</f>
        <v>95</v>
      </c>
      <c r="C706" s="76">
        <v>11</v>
      </c>
      <c r="D706" s="76">
        <v>2016</v>
      </c>
      <c r="E706" s="56">
        <v>0.20000000000000004</v>
      </c>
      <c r="F706" s="53">
        <f t="shared" ref="F706:F769" si="59">IF(E706&gt;0,1,0)</f>
        <v>1</v>
      </c>
      <c r="G706" s="53">
        <f t="shared" si="56"/>
        <v>1</v>
      </c>
      <c r="H706" s="53">
        <f t="shared" si="57"/>
        <v>-1</v>
      </c>
      <c r="I706" s="53" t="str">
        <f t="shared" ref="I706:I769" si="60">VLOOKUP(H706,codes,2,)</f>
        <v>dw</v>
      </c>
      <c r="J706" s="53"/>
    </row>
    <row r="707" spans="1:10" x14ac:dyDescent="0.25">
      <c r="A707" s="93">
        <v>42691</v>
      </c>
      <c r="B707" s="35">
        <f t="shared" si="58"/>
        <v>95</v>
      </c>
      <c r="C707" s="76">
        <v>11</v>
      </c>
      <c r="D707" s="76">
        <v>2016</v>
      </c>
      <c r="E707" s="56">
        <v>0.46666666666666662</v>
      </c>
      <c r="F707" s="53">
        <f t="shared" si="59"/>
        <v>1</v>
      </c>
      <c r="G707" s="53">
        <f t="shared" si="56"/>
        <v>2</v>
      </c>
      <c r="H707" s="53">
        <f t="shared" si="57"/>
        <v>2</v>
      </c>
      <c r="I707" s="53" t="str">
        <f t="shared" si="60"/>
        <v>ww</v>
      </c>
      <c r="J707" s="53"/>
    </row>
    <row r="708" spans="1:10" x14ac:dyDescent="0.25">
      <c r="A708" s="93">
        <v>42692</v>
      </c>
      <c r="B708" s="35">
        <f t="shared" si="58"/>
        <v>95</v>
      </c>
      <c r="C708" s="76">
        <v>11</v>
      </c>
      <c r="D708" s="76">
        <v>2016</v>
      </c>
      <c r="E708" s="56">
        <v>1.9333333333333336</v>
      </c>
      <c r="F708" s="53">
        <f t="shared" si="59"/>
        <v>1</v>
      </c>
      <c r="G708" s="53">
        <f t="shared" si="56"/>
        <v>2</v>
      </c>
      <c r="H708" s="53">
        <f t="shared" si="57"/>
        <v>2</v>
      </c>
      <c r="I708" s="53" t="str">
        <f t="shared" si="60"/>
        <v>ww</v>
      </c>
      <c r="J708" s="53"/>
    </row>
    <row r="709" spans="1:10" x14ac:dyDescent="0.25">
      <c r="A709" s="93">
        <v>42693</v>
      </c>
      <c r="B709" s="35">
        <f t="shared" si="58"/>
        <v>95</v>
      </c>
      <c r="C709" s="76">
        <v>11</v>
      </c>
      <c r="D709" s="76">
        <v>2016</v>
      </c>
      <c r="E709" s="56">
        <v>0.13333333333333333</v>
      </c>
      <c r="F709" s="53">
        <f t="shared" si="59"/>
        <v>1</v>
      </c>
      <c r="G709" s="53">
        <f t="shared" si="56"/>
        <v>2</v>
      </c>
      <c r="H709" s="53">
        <f t="shared" si="57"/>
        <v>2</v>
      </c>
      <c r="I709" s="53" t="str">
        <f t="shared" si="60"/>
        <v>ww</v>
      </c>
      <c r="J709" s="53"/>
    </row>
    <row r="710" spans="1:10" x14ac:dyDescent="0.25">
      <c r="A710" s="93">
        <v>42694</v>
      </c>
      <c r="B710" s="35">
        <f t="shared" si="58"/>
        <v>95</v>
      </c>
      <c r="C710" s="76">
        <v>11</v>
      </c>
      <c r="D710" s="76">
        <v>2016</v>
      </c>
      <c r="E710" s="56">
        <v>0.20000000000000004</v>
      </c>
      <c r="F710" s="53">
        <f t="shared" si="59"/>
        <v>1</v>
      </c>
      <c r="G710" s="53">
        <f t="shared" si="56"/>
        <v>2</v>
      </c>
      <c r="H710" s="53">
        <f t="shared" si="57"/>
        <v>2</v>
      </c>
      <c r="I710" s="53" t="str">
        <f t="shared" si="60"/>
        <v>ww</v>
      </c>
      <c r="J710" s="53"/>
    </row>
    <row r="711" spans="1:10" x14ac:dyDescent="0.25">
      <c r="A711" s="93">
        <v>42695</v>
      </c>
      <c r="B711" s="35">
        <f t="shared" si="58"/>
        <v>95</v>
      </c>
      <c r="C711" s="76">
        <v>11</v>
      </c>
      <c r="D711" s="76">
        <v>2016</v>
      </c>
      <c r="E711" s="56">
        <v>1.3333333333333333</v>
      </c>
      <c r="F711" s="53">
        <f t="shared" si="59"/>
        <v>1</v>
      </c>
      <c r="G711" s="53">
        <f t="shared" si="56"/>
        <v>2</v>
      </c>
      <c r="H711" s="53">
        <f t="shared" si="57"/>
        <v>2</v>
      </c>
      <c r="I711" s="53" t="str">
        <f t="shared" si="60"/>
        <v>ww</v>
      </c>
      <c r="J711" s="53"/>
    </row>
    <row r="712" spans="1:10" x14ac:dyDescent="0.25">
      <c r="A712" s="93">
        <v>42696</v>
      </c>
      <c r="B712" s="35">
        <f t="shared" si="58"/>
        <v>95</v>
      </c>
      <c r="C712" s="76">
        <v>11</v>
      </c>
      <c r="D712" s="76">
        <v>2016</v>
      </c>
      <c r="E712" s="56">
        <v>44.6</v>
      </c>
      <c r="F712" s="53">
        <f t="shared" si="59"/>
        <v>1</v>
      </c>
      <c r="G712" s="53">
        <f t="shared" si="56"/>
        <v>2</v>
      </c>
      <c r="H712" s="53">
        <f t="shared" si="57"/>
        <v>2</v>
      </c>
      <c r="I712" s="53" t="str">
        <f t="shared" si="60"/>
        <v>ww</v>
      </c>
      <c r="J712" s="53"/>
    </row>
    <row r="713" spans="1:10" x14ac:dyDescent="0.25">
      <c r="A713" s="93">
        <v>42697</v>
      </c>
      <c r="B713" s="35">
        <f t="shared" si="58"/>
        <v>95</v>
      </c>
      <c r="C713" s="76">
        <v>11</v>
      </c>
      <c r="D713" s="76">
        <v>2016</v>
      </c>
      <c r="E713" s="56">
        <v>2.9333333333333336</v>
      </c>
      <c r="F713" s="53">
        <f t="shared" si="59"/>
        <v>1</v>
      </c>
      <c r="G713" s="53">
        <f t="shared" si="56"/>
        <v>2</v>
      </c>
      <c r="H713" s="53">
        <f t="shared" si="57"/>
        <v>2</v>
      </c>
      <c r="I713" s="53" t="str">
        <f t="shared" si="60"/>
        <v>ww</v>
      </c>
      <c r="J713" s="53"/>
    </row>
    <row r="714" spans="1:10" x14ac:dyDescent="0.25">
      <c r="A714" s="93">
        <v>42698</v>
      </c>
      <c r="B714" s="35">
        <f t="shared" si="58"/>
        <v>95</v>
      </c>
      <c r="C714" s="76">
        <v>11</v>
      </c>
      <c r="D714" s="76">
        <v>2016</v>
      </c>
      <c r="E714" s="56">
        <v>0.13333333333333333</v>
      </c>
      <c r="F714" s="53">
        <f t="shared" si="59"/>
        <v>1</v>
      </c>
      <c r="G714" s="53">
        <f t="shared" si="56"/>
        <v>2</v>
      </c>
      <c r="H714" s="53">
        <f t="shared" si="57"/>
        <v>2</v>
      </c>
      <c r="I714" s="53" t="str">
        <f t="shared" si="60"/>
        <v>ww</v>
      </c>
      <c r="J714" s="53"/>
    </row>
    <row r="715" spans="1:10" x14ac:dyDescent="0.25">
      <c r="A715" s="93">
        <v>42699</v>
      </c>
      <c r="B715" s="35">
        <f t="shared" si="58"/>
        <v>95</v>
      </c>
      <c r="C715" s="76">
        <v>11</v>
      </c>
      <c r="D715" s="76">
        <v>2016</v>
      </c>
      <c r="E715" s="56">
        <v>0</v>
      </c>
      <c r="F715" s="53">
        <f t="shared" si="59"/>
        <v>0</v>
      </c>
      <c r="G715" s="53">
        <f t="shared" si="56"/>
        <v>1</v>
      </c>
      <c r="H715" s="53">
        <f t="shared" si="57"/>
        <v>1</v>
      </c>
      <c r="I715" s="53" t="str">
        <f t="shared" si="60"/>
        <v>wd</v>
      </c>
      <c r="J715" s="53"/>
    </row>
    <row r="716" spans="1:10" x14ac:dyDescent="0.25">
      <c r="A716" s="93">
        <v>42700</v>
      </c>
      <c r="B716" s="35">
        <f t="shared" si="58"/>
        <v>95</v>
      </c>
      <c r="C716" s="76">
        <v>11</v>
      </c>
      <c r="D716" s="76">
        <v>2016</v>
      </c>
      <c r="E716" s="56">
        <v>6.6666666666666666E-2</v>
      </c>
      <c r="F716" s="53">
        <f t="shared" si="59"/>
        <v>1</v>
      </c>
      <c r="G716" s="53">
        <f t="shared" si="56"/>
        <v>1</v>
      </c>
      <c r="H716" s="53">
        <f t="shared" si="57"/>
        <v>-1</v>
      </c>
      <c r="I716" s="53" t="str">
        <f t="shared" si="60"/>
        <v>dw</v>
      </c>
      <c r="J716" s="53"/>
    </row>
    <row r="717" spans="1:10" x14ac:dyDescent="0.25">
      <c r="A717" s="93">
        <v>42701</v>
      </c>
      <c r="B717" s="35">
        <f t="shared" si="58"/>
        <v>95</v>
      </c>
      <c r="C717" s="76">
        <v>11</v>
      </c>
      <c r="D717" s="76">
        <v>2016</v>
      </c>
      <c r="E717" s="56">
        <v>0.40000000000000008</v>
      </c>
      <c r="F717" s="53">
        <f t="shared" si="59"/>
        <v>1</v>
      </c>
      <c r="G717" s="53">
        <f t="shared" si="56"/>
        <v>2</v>
      </c>
      <c r="H717" s="53">
        <f t="shared" si="57"/>
        <v>2</v>
      </c>
      <c r="I717" s="53" t="str">
        <f t="shared" si="60"/>
        <v>ww</v>
      </c>
      <c r="J717" s="53"/>
    </row>
    <row r="718" spans="1:10" x14ac:dyDescent="0.25">
      <c r="A718" s="93">
        <v>42702</v>
      </c>
      <c r="B718" s="35">
        <f t="shared" si="58"/>
        <v>95</v>
      </c>
      <c r="C718" s="76">
        <v>11</v>
      </c>
      <c r="D718" s="76">
        <v>2016</v>
      </c>
      <c r="E718" s="56">
        <v>0</v>
      </c>
      <c r="F718" s="53">
        <f t="shared" si="59"/>
        <v>0</v>
      </c>
      <c r="G718" s="53">
        <f t="shared" si="56"/>
        <v>1</v>
      </c>
      <c r="H718" s="53">
        <f t="shared" si="57"/>
        <v>1</v>
      </c>
      <c r="I718" s="53" t="str">
        <f t="shared" si="60"/>
        <v>wd</v>
      </c>
      <c r="J718" s="53"/>
    </row>
    <row r="719" spans="1:10" x14ac:dyDescent="0.25">
      <c r="A719" s="93">
        <v>42703</v>
      </c>
      <c r="B719" s="35">
        <f t="shared" si="58"/>
        <v>95</v>
      </c>
      <c r="C719" s="76">
        <v>11</v>
      </c>
      <c r="D719" s="76">
        <v>2016</v>
      </c>
      <c r="E719" s="56">
        <v>0</v>
      </c>
      <c r="F719" s="53">
        <f t="shared" si="59"/>
        <v>0</v>
      </c>
      <c r="G719" s="53">
        <f t="shared" si="56"/>
        <v>0</v>
      </c>
      <c r="H719" s="53">
        <f t="shared" si="57"/>
        <v>0</v>
      </c>
      <c r="I719" s="53" t="str">
        <f t="shared" si="60"/>
        <v>dd</v>
      </c>
      <c r="J719" s="53"/>
    </row>
    <row r="720" spans="1:10" x14ac:dyDescent="0.25">
      <c r="A720" s="93">
        <v>42704</v>
      </c>
      <c r="B720" s="35">
        <f t="shared" si="58"/>
        <v>95</v>
      </c>
      <c r="C720" s="76">
        <v>11</v>
      </c>
      <c r="D720" s="76">
        <v>2016</v>
      </c>
      <c r="E720" s="56">
        <v>0.13333333333333333</v>
      </c>
      <c r="F720" s="53">
        <f t="shared" si="59"/>
        <v>1</v>
      </c>
      <c r="G720" s="53">
        <f t="shared" si="56"/>
        <v>1</v>
      </c>
      <c r="H720" s="53">
        <f t="shared" si="57"/>
        <v>-1</v>
      </c>
      <c r="I720" s="53" t="str">
        <f t="shared" si="60"/>
        <v>dw</v>
      </c>
      <c r="J720" s="53"/>
    </row>
    <row r="721" spans="1:10" x14ac:dyDescent="0.25">
      <c r="A721" s="93">
        <v>42705</v>
      </c>
      <c r="B721" s="35">
        <f t="shared" si="58"/>
        <v>95</v>
      </c>
      <c r="C721" s="76">
        <v>11</v>
      </c>
      <c r="D721" s="76">
        <v>2016</v>
      </c>
      <c r="E721" s="56">
        <v>0</v>
      </c>
      <c r="F721" s="53">
        <f t="shared" si="59"/>
        <v>0</v>
      </c>
      <c r="G721" s="53">
        <f t="shared" si="56"/>
        <v>1</v>
      </c>
      <c r="H721" s="53">
        <f t="shared" si="57"/>
        <v>1</v>
      </c>
      <c r="I721" s="53" t="str">
        <f t="shared" si="60"/>
        <v>wd</v>
      </c>
      <c r="J721" s="53"/>
    </row>
    <row r="722" spans="1:10" x14ac:dyDescent="0.25">
      <c r="A722" s="93">
        <v>42706</v>
      </c>
      <c r="B722" s="35">
        <f t="shared" si="58"/>
        <v>95</v>
      </c>
      <c r="C722" s="76">
        <v>11</v>
      </c>
      <c r="D722" s="76">
        <v>2016</v>
      </c>
      <c r="E722" s="56">
        <v>0</v>
      </c>
      <c r="F722" s="53">
        <f t="shared" si="59"/>
        <v>0</v>
      </c>
      <c r="G722" s="53">
        <f t="shared" si="56"/>
        <v>0</v>
      </c>
      <c r="H722" s="53">
        <f t="shared" si="57"/>
        <v>0</v>
      </c>
      <c r="I722" s="53" t="str">
        <f t="shared" si="60"/>
        <v>dd</v>
      </c>
      <c r="J722" s="53"/>
    </row>
    <row r="723" spans="1:10" x14ac:dyDescent="0.25">
      <c r="A723" s="93">
        <v>43042</v>
      </c>
      <c r="B723" s="35">
        <f t="shared" si="58"/>
        <v>107</v>
      </c>
      <c r="C723" s="76">
        <v>11</v>
      </c>
      <c r="D723" s="76">
        <v>2017</v>
      </c>
      <c r="E723" s="56">
        <v>6.6666666666666666E-2</v>
      </c>
      <c r="F723" s="53">
        <f t="shared" si="59"/>
        <v>1</v>
      </c>
      <c r="G723" s="53">
        <f t="shared" si="56"/>
        <v>1</v>
      </c>
      <c r="H723" s="53">
        <f t="shared" si="57"/>
        <v>-1</v>
      </c>
      <c r="I723" s="53" t="str">
        <f t="shared" si="60"/>
        <v>dw</v>
      </c>
      <c r="J723" s="53"/>
    </row>
    <row r="724" spans="1:10" x14ac:dyDescent="0.25">
      <c r="A724" s="93">
        <v>43043</v>
      </c>
      <c r="B724" s="35">
        <f t="shared" si="58"/>
        <v>107</v>
      </c>
      <c r="C724" s="76">
        <v>11</v>
      </c>
      <c r="D724" s="76">
        <v>2017</v>
      </c>
      <c r="E724" s="56">
        <v>0.53333333333333333</v>
      </c>
      <c r="F724" s="53">
        <f t="shared" si="59"/>
        <v>1</v>
      </c>
      <c r="G724" s="53">
        <f t="shared" si="56"/>
        <v>2</v>
      </c>
      <c r="H724" s="53">
        <f t="shared" si="57"/>
        <v>2</v>
      </c>
      <c r="I724" s="53" t="str">
        <f t="shared" si="60"/>
        <v>ww</v>
      </c>
      <c r="J724" s="53"/>
    </row>
    <row r="725" spans="1:10" x14ac:dyDescent="0.25">
      <c r="A725" s="93">
        <v>43044</v>
      </c>
      <c r="B725" s="35">
        <f t="shared" si="58"/>
        <v>107</v>
      </c>
      <c r="C725" s="76">
        <v>11</v>
      </c>
      <c r="D725" s="76">
        <v>2017</v>
      </c>
      <c r="E725" s="56">
        <v>6.6666666666666666E-2</v>
      </c>
      <c r="F725" s="53">
        <f t="shared" si="59"/>
        <v>1</v>
      </c>
      <c r="G725" s="53">
        <f t="shared" si="56"/>
        <v>2</v>
      </c>
      <c r="H725" s="53">
        <f t="shared" si="57"/>
        <v>2</v>
      </c>
      <c r="I725" s="53" t="str">
        <f t="shared" si="60"/>
        <v>ww</v>
      </c>
      <c r="J725" s="53"/>
    </row>
    <row r="726" spans="1:10" x14ac:dyDescent="0.25">
      <c r="A726" s="93">
        <v>43045</v>
      </c>
      <c r="B726" s="35">
        <f t="shared" si="58"/>
        <v>107</v>
      </c>
      <c r="C726" s="76">
        <v>11</v>
      </c>
      <c r="D726" s="76">
        <v>2017</v>
      </c>
      <c r="E726" s="56">
        <v>0</v>
      </c>
      <c r="F726" s="53">
        <f t="shared" si="59"/>
        <v>0</v>
      </c>
      <c r="G726" s="53">
        <f t="shared" si="56"/>
        <v>1</v>
      </c>
      <c r="H726" s="53">
        <f t="shared" si="57"/>
        <v>1</v>
      </c>
      <c r="I726" s="53" t="str">
        <f t="shared" si="60"/>
        <v>wd</v>
      </c>
      <c r="J726" s="53"/>
    </row>
    <row r="727" spans="1:10" x14ac:dyDescent="0.25">
      <c r="A727" s="93">
        <v>43046</v>
      </c>
      <c r="B727" s="35">
        <f t="shared" si="58"/>
        <v>107</v>
      </c>
      <c r="C727" s="76">
        <v>11</v>
      </c>
      <c r="D727" s="76">
        <v>2017</v>
      </c>
      <c r="E727" s="56">
        <v>0</v>
      </c>
      <c r="F727" s="53">
        <f t="shared" si="59"/>
        <v>0</v>
      </c>
      <c r="G727" s="53">
        <f t="shared" si="56"/>
        <v>0</v>
      </c>
      <c r="H727" s="53">
        <f t="shared" si="57"/>
        <v>0</v>
      </c>
      <c r="I727" s="53" t="str">
        <f t="shared" si="60"/>
        <v>dd</v>
      </c>
      <c r="J727" s="53"/>
    </row>
    <row r="728" spans="1:10" x14ac:dyDescent="0.25">
      <c r="A728" s="93">
        <v>43047</v>
      </c>
      <c r="B728" s="35">
        <f t="shared" si="58"/>
        <v>107</v>
      </c>
      <c r="C728" s="76">
        <v>11</v>
      </c>
      <c r="D728" s="76">
        <v>2017</v>
      </c>
      <c r="E728" s="56">
        <v>0.13333333333333333</v>
      </c>
      <c r="F728" s="53">
        <f t="shared" si="59"/>
        <v>1</v>
      </c>
      <c r="G728" s="53">
        <f t="shared" si="56"/>
        <v>1</v>
      </c>
      <c r="H728" s="53">
        <f t="shared" si="57"/>
        <v>-1</v>
      </c>
      <c r="I728" s="53" t="str">
        <f t="shared" si="60"/>
        <v>dw</v>
      </c>
      <c r="J728" s="53"/>
    </row>
    <row r="729" spans="1:10" x14ac:dyDescent="0.25">
      <c r="A729" s="93">
        <v>43048</v>
      </c>
      <c r="B729" s="35">
        <f t="shared" si="58"/>
        <v>107</v>
      </c>
      <c r="C729" s="76">
        <v>11</v>
      </c>
      <c r="D729" s="76">
        <v>2017</v>
      </c>
      <c r="E729" s="56">
        <v>0.46666666666666662</v>
      </c>
      <c r="F729" s="53">
        <f t="shared" si="59"/>
        <v>1</v>
      </c>
      <c r="G729" s="53">
        <f t="shared" si="56"/>
        <v>2</v>
      </c>
      <c r="H729" s="53">
        <f t="shared" si="57"/>
        <v>2</v>
      </c>
      <c r="I729" s="53" t="str">
        <f t="shared" si="60"/>
        <v>ww</v>
      </c>
      <c r="J729" s="53"/>
    </row>
    <row r="730" spans="1:10" x14ac:dyDescent="0.25">
      <c r="A730" s="93">
        <v>43049</v>
      </c>
      <c r="B730" s="35">
        <f t="shared" si="58"/>
        <v>107</v>
      </c>
      <c r="C730" s="76">
        <v>11</v>
      </c>
      <c r="D730" s="76">
        <v>2017</v>
      </c>
      <c r="E730" s="56">
        <v>0</v>
      </c>
      <c r="F730" s="53">
        <f t="shared" si="59"/>
        <v>0</v>
      </c>
      <c r="G730" s="53">
        <f t="shared" si="56"/>
        <v>1</v>
      </c>
      <c r="H730" s="53">
        <f t="shared" si="57"/>
        <v>1</v>
      </c>
      <c r="I730" s="53" t="str">
        <f t="shared" si="60"/>
        <v>wd</v>
      </c>
      <c r="J730" s="53"/>
    </row>
    <row r="731" spans="1:10" x14ac:dyDescent="0.25">
      <c r="A731" s="93">
        <v>43050</v>
      </c>
      <c r="B731" s="35">
        <f t="shared" si="58"/>
        <v>107</v>
      </c>
      <c r="C731" s="76">
        <v>11</v>
      </c>
      <c r="D731" s="76">
        <v>2017</v>
      </c>
      <c r="E731" s="56">
        <v>0</v>
      </c>
      <c r="F731" s="53">
        <f t="shared" si="59"/>
        <v>0</v>
      </c>
      <c r="G731" s="53">
        <f t="shared" si="56"/>
        <v>0</v>
      </c>
      <c r="H731" s="53">
        <f t="shared" si="57"/>
        <v>0</v>
      </c>
      <c r="I731" s="53" t="str">
        <f t="shared" si="60"/>
        <v>dd</v>
      </c>
      <c r="J731" s="53"/>
    </row>
    <row r="732" spans="1:10" x14ac:dyDescent="0.25">
      <c r="A732" s="93">
        <v>43051</v>
      </c>
      <c r="B732" s="35">
        <f t="shared" si="58"/>
        <v>107</v>
      </c>
      <c r="C732" s="76">
        <v>11</v>
      </c>
      <c r="D732" s="76">
        <v>2017</v>
      </c>
      <c r="E732" s="56">
        <v>6.6666666666666666E-2</v>
      </c>
      <c r="F732" s="53">
        <f t="shared" si="59"/>
        <v>1</v>
      </c>
      <c r="G732" s="53">
        <f t="shared" si="56"/>
        <v>1</v>
      </c>
      <c r="H732" s="53">
        <f t="shared" si="57"/>
        <v>-1</v>
      </c>
      <c r="I732" s="53" t="str">
        <f t="shared" si="60"/>
        <v>dw</v>
      </c>
      <c r="J732" s="53"/>
    </row>
    <row r="733" spans="1:10" x14ac:dyDescent="0.25">
      <c r="A733" s="93">
        <v>43052</v>
      </c>
      <c r="B733" s="35">
        <f t="shared" si="58"/>
        <v>107</v>
      </c>
      <c r="C733" s="76">
        <v>11</v>
      </c>
      <c r="D733" s="76">
        <v>2017</v>
      </c>
      <c r="E733" s="56">
        <v>0.33333333333333331</v>
      </c>
      <c r="F733" s="53">
        <f t="shared" si="59"/>
        <v>1</v>
      </c>
      <c r="G733" s="53">
        <f t="shared" si="56"/>
        <v>2</v>
      </c>
      <c r="H733" s="53">
        <f t="shared" si="57"/>
        <v>2</v>
      </c>
      <c r="I733" s="53" t="str">
        <f t="shared" si="60"/>
        <v>ww</v>
      </c>
      <c r="J733" s="53"/>
    </row>
    <row r="734" spans="1:10" x14ac:dyDescent="0.25">
      <c r="A734" s="93">
        <v>43053</v>
      </c>
      <c r="B734" s="35">
        <f t="shared" si="58"/>
        <v>107</v>
      </c>
      <c r="C734" s="76">
        <v>11</v>
      </c>
      <c r="D734" s="76">
        <v>2017</v>
      </c>
      <c r="E734" s="56">
        <v>0</v>
      </c>
      <c r="F734" s="53">
        <f t="shared" si="59"/>
        <v>0</v>
      </c>
      <c r="G734" s="53">
        <f t="shared" si="56"/>
        <v>1</v>
      </c>
      <c r="H734" s="53">
        <f t="shared" si="57"/>
        <v>1</v>
      </c>
      <c r="I734" s="53" t="str">
        <f t="shared" si="60"/>
        <v>wd</v>
      </c>
      <c r="J734" s="53"/>
    </row>
    <row r="735" spans="1:10" x14ac:dyDescent="0.25">
      <c r="A735" s="93">
        <v>43054</v>
      </c>
      <c r="B735" s="35">
        <f t="shared" si="58"/>
        <v>107</v>
      </c>
      <c r="C735" s="76">
        <v>11</v>
      </c>
      <c r="D735" s="76">
        <v>2017</v>
      </c>
      <c r="E735" s="56">
        <v>6.6666666666666666E-2</v>
      </c>
      <c r="F735" s="53">
        <f t="shared" si="59"/>
        <v>1</v>
      </c>
      <c r="G735" s="53">
        <f t="shared" si="56"/>
        <v>1</v>
      </c>
      <c r="H735" s="53">
        <f t="shared" si="57"/>
        <v>-1</v>
      </c>
      <c r="I735" s="53" t="str">
        <f t="shared" si="60"/>
        <v>dw</v>
      </c>
      <c r="J735" s="53"/>
    </row>
    <row r="736" spans="1:10" x14ac:dyDescent="0.25">
      <c r="A736" s="93">
        <v>43055</v>
      </c>
      <c r="B736" s="35">
        <f t="shared" si="58"/>
        <v>107</v>
      </c>
      <c r="C736" s="76">
        <v>11</v>
      </c>
      <c r="D736" s="76">
        <v>2017</v>
      </c>
      <c r="E736" s="56">
        <v>0.13333333333333333</v>
      </c>
      <c r="F736" s="53">
        <f t="shared" si="59"/>
        <v>1</v>
      </c>
      <c r="G736" s="53">
        <f t="shared" si="56"/>
        <v>2</v>
      </c>
      <c r="H736" s="53">
        <f t="shared" si="57"/>
        <v>2</v>
      </c>
      <c r="I736" s="53" t="str">
        <f t="shared" si="60"/>
        <v>ww</v>
      </c>
      <c r="J736" s="53"/>
    </row>
    <row r="737" spans="1:10" x14ac:dyDescent="0.25">
      <c r="A737" s="93">
        <v>43056</v>
      </c>
      <c r="B737" s="35">
        <f t="shared" si="58"/>
        <v>107</v>
      </c>
      <c r="C737" s="76">
        <v>11</v>
      </c>
      <c r="D737" s="76">
        <v>2017</v>
      </c>
      <c r="E737" s="56">
        <v>0.13333333333333333</v>
      </c>
      <c r="F737" s="53">
        <f t="shared" si="59"/>
        <v>1</v>
      </c>
      <c r="G737" s="53">
        <f t="shared" si="56"/>
        <v>2</v>
      </c>
      <c r="H737" s="53">
        <f t="shared" si="57"/>
        <v>2</v>
      </c>
      <c r="I737" s="53" t="str">
        <f t="shared" si="60"/>
        <v>ww</v>
      </c>
      <c r="J737" s="53"/>
    </row>
    <row r="738" spans="1:10" x14ac:dyDescent="0.25">
      <c r="A738" s="93">
        <v>43057</v>
      </c>
      <c r="B738" s="35">
        <f t="shared" si="58"/>
        <v>107</v>
      </c>
      <c r="C738" s="76">
        <v>11</v>
      </c>
      <c r="D738" s="76">
        <v>2017</v>
      </c>
      <c r="E738" s="56">
        <v>0.20000000000000004</v>
      </c>
      <c r="F738" s="53">
        <f t="shared" si="59"/>
        <v>1</v>
      </c>
      <c r="G738" s="53">
        <f t="shared" si="56"/>
        <v>2</v>
      </c>
      <c r="H738" s="53">
        <f t="shared" si="57"/>
        <v>2</v>
      </c>
      <c r="I738" s="53" t="str">
        <f t="shared" si="60"/>
        <v>ww</v>
      </c>
      <c r="J738" s="53"/>
    </row>
    <row r="739" spans="1:10" x14ac:dyDescent="0.25">
      <c r="A739" s="93">
        <v>43058</v>
      </c>
      <c r="B739" s="35">
        <f t="shared" si="58"/>
        <v>107</v>
      </c>
      <c r="C739" s="76">
        <v>11</v>
      </c>
      <c r="D739" s="76">
        <v>2017</v>
      </c>
      <c r="E739" s="56">
        <v>0</v>
      </c>
      <c r="F739" s="53">
        <f t="shared" si="59"/>
        <v>0</v>
      </c>
      <c r="G739" s="53">
        <f t="shared" si="56"/>
        <v>1</v>
      </c>
      <c r="H739" s="53">
        <f t="shared" si="57"/>
        <v>1</v>
      </c>
      <c r="I739" s="53" t="str">
        <f t="shared" si="60"/>
        <v>wd</v>
      </c>
      <c r="J739" s="53"/>
    </row>
    <row r="740" spans="1:10" x14ac:dyDescent="0.25">
      <c r="A740" s="93">
        <v>43059</v>
      </c>
      <c r="B740" s="35">
        <f t="shared" si="58"/>
        <v>107</v>
      </c>
      <c r="C740" s="76">
        <v>11</v>
      </c>
      <c r="D740" s="76">
        <v>2017</v>
      </c>
      <c r="E740" s="56">
        <v>7.333333333333333</v>
      </c>
      <c r="F740" s="53">
        <f t="shared" si="59"/>
        <v>1</v>
      </c>
      <c r="G740" s="53">
        <f t="shared" ref="G740:G803" si="61">SUM(F739:F740)</f>
        <v>1</v>
      </c>
      <c r="H740" s="53">
        <f t="shared" ref="H740:H803" si="62">IF(G740=1,IF(F739=1,1,-1),G740)</f>
        <v>-1</v>
      </c>
      <c r="I740" s="53" t="str">
        <f t="shared" si="60"/>
        <v>dw</v>
      </c>
      <c r="J740" s="53"/>
    </row>
    <row r="741" spans="1:10" x14ac:dyDescent="0.25">
      <c r="A741" s="93">
        <v>43060</v>
      </c>
      <c r="B741" s="35">
        <f t="shared" si="58"/>
        <v>107</v>
      </c>
      <c r="C741" s="76">
        <v>11</v>
      </c>
      <c r="D741" s="76">
        <v>2017</v>
      </c>
      <c r="E741" s="56">
        <v>4.9333333333333336</v>
      </c>
      <c r="F741" s="53">
        <f t="shared" si="59"/>
        <v>1</v>
      </c>
      <c r="G741" s="53">
        <f t="shared" si="61"/>
        <v>2</v>
      </c>
      <c r="H741" s="53">
        <f t="shared" si="62"/>
        <v>2</v>
      </c>
      <c r="I741" s="53" t="str">
        <f t="shared" si="60"/>
        <v>ww</v>
      </c>
      <c r="J741" s="53"/>
    </row>
    <row r="742" spans="1:10" x14ac:dyDescent="0.25">
      <c r="A742" s="93">
        <v>43061</v>
      </c>
      <c r="B742" s="35">
        <f t="shared" si="58"/>
        <v>107</v>
      </c>
      <c r="C742" s="76">
        <v>11</v>
      </c>
      <c r="D742" s="76">
        <v>2017</v>
      </c>
      <c r="E742" s="56">
        <v>1.5333333333333332</v>
      </c>
      <c r="F742" s="53">
        <f t="shared" si="59"/>
        <v>1</v>
      </c>
      <c r="G742" s="53">
        <f t="shared" si="61"/>
        <v>2</v>
      </c>
      <c r="H742" s="53">
        <f t="shared" si="62"/>
        <v>2</v>
      </c>
      <c r="I742" s="53" t="str">
        <f t="shared" si="60"/>
        <v>ww</v>
      </c>
      <c r="J742" s="53"/>
    </row>
    <row r="743" spans="1:10" x14ac:dyDescent="0.25">
      <c r="A743" s="93">
        <v>43062</v>
      </c>
      <c r="B743" s="35">
        <f t="shared" si="58"/>
        <v>107</v>
      </c>
      <c r="C743" s="76">
        <v>11</v>
      </c>
      <c r="D743" s="76">
        <v>2017</v>
      </c>
      <c r="E743" s="56">
        <v>18.066666666666666</v>
      </c>
      <c r="F743" s="53">
        <f t="shared" si="59"/>
        <v>1</v>
      </c>
      <c r="G743" s="53">
        <f t="shared" si="61"/>
        <v>2</v>
      </c>
      <c r="H743" s="53">
        <f t="shared" si="62"/>
        <v>2</v>
      </c>
      <c r="I743" s="53" t="str">
        <f t="shared" si="60"/>
        <v>ww</v>
      </c>
      <c r="J743" s="53"/>
    </row>
    <row r="744" spans="1:10" x14ac:dyDescent="0.25">
      <c r="A744" s="93">
        <v>43063</v>
      </c>
      <c r="B744" s="35">
        <f t="shared" si="58"/>
        <v>107</v>
      </c>
      <c r="C744" s="76">
        <v>11</v>
      </c>
      <c r="D744" s="76">
        <v>2017</v>
      </c>
      <c r="E744" s="56">
        <v>2.1333333333333333</v>
      </c>
      <c r="F744" s="53">
        <f t="shared" si="59"/>
        <v>1</v>
      </c>
      <c r="G744" s="53">
        <f t="shared" si="61"/>
        <v>2</v>
      </c>
      <c r="H744" s="53">
        <f t="shared" si="62"/>
        <v>2</v>
      </c>
      <c r="I744" s="53" t="str">
        <f t="shared" si="60"/>
        <v>ww</v>
      </c>
      <c r="J744" s="53"/>
    </row>
    <row r="745" spans="1:10" x14ac:dyDescent="0.25">
      <c r="A745" s="93">
        <v>43064</v>
      </c>
      <c r="B745" s="35">
        <f t="shared" si="58"/>
        <v>107</v>
      </c>
      <c r="C745" s="76">
        <v>11</v>
      </c>
      <c r="D745" s="76">
        <v>2017</v>
      </c>
      <c r="E745" s="56">
        <v>6.6666666666666666E-2</v>
      </c>
      <c r="F745" s="53">
        <f t="shared" si="59"/>
        <v>1</v>
      </c>
      <c r="G745" s="53">
        <f t="shared" si="61"/>
        <v>2</v>
      </c>
      <c r="H745" s="53">
        <f t="shared" si="62"/>
        <v>2</v>
      </c>
      <c r="I745" s="53" t="str">
        <f t="shared" si="60"/>
        <v>ww</v>
      </c>
      <c r="J745" s="53"/>
    </row>
    <row r="746" spans="1:10" x14ac:dyDescent="0.25">
      <c r="A746" s="93">
        <v>43065</v>
      </c>
      <c r="B746" s="35">
        <f t="shared" si="58"/>
        <v>107</v>
      </c>
      <c r="C746" s="76">
        <v>11</v>
      </c>
      <c r="D746" s="76">
        <v>2017</v>
      </c>
      <c r="E746" s="56">
        <v>0.20000000000000004</v>
      </c>
      <c r="F746" s="53">
        <f t="shared" si="59"/>
        <v>1</v>
      </c>
      <c r="G746" s="53">
        <f t="shared" si="61"/>
        <v>2</v>
      </c>
      <c r="H746" s="53">
        <f t="shared" si="62"/>
        <v>2</v>
      </c>
      <c r="I746" s="53" t="str">
        <f t="shared" si="60"/>
        <v>ww</v>
      </c>
      <c r="J746" s="53"/>
    </row>
    <row r="747" spans="1:10" x14ac:dyDescent="0.25">
      <c r="A747" s="93">
        <v>43066</v>
      </c>
      <c r="B747" s="35">
        <f t="shared" si="58"/>
        <v>107</v>
      </c>
      <c r="C747" s="76">
        <v>11</v>
      </c>
      <c r="D747" s="76">
        <v>2017</v>
      </c>
      <c r="E747" s="56">
        <v>0.46666666666666662</v>
      </c>
      <c r="F747" s="53">
        <f t="shared" si="59"/>
        <v>1</v>
      </c>
      <c r="G747" s="53">
        <f t="shared" si="61"/>
        <v>2</v>
      </c>
      <c r="H747" s="53">
        <f t="shared" si="62"/>
        <v>2</v>
      </c>
      <c r="I747" s="53" t="str">
        <f t="shared" si="60"/>
        <v>ww</v>
      </c>
      <c r="J747" s="53"/>
    </row>
    <row r="748" spans="1:10" x14ac:dyDescent="0.25">
      <c r="A748" s="93">
        <v>43067</v>
      </c>
      <c r="B748" s="35">
        <f t="shared" si="58"/>
        <v>107</v>
      </c>
      <c r="C748" s="76">
        <v>11</v>
      </c>
      <c r="D748" s="76">
        <v>2017</v>
      </c>
      <c r="E748" s="56">
        <v>0</v>
      </c>
      <c r="F748" s="53">
        <f t="shared" si="59"/>
        <v>0</v>
      </c>
      <c r="G748" s="53">
        <f t="shared" si="61"/>
        <v>1</v>
      </c>
      <c r="H748" s="53">
        <f t="shared" si="62"/>
        <v>1</v>
      </c>
      <c r="I748" s="53" t="str">
        <f t="shared" si="60"/>
        <v>wd</v>
      </c>
      <c r="J748" s="53"/>
    </row>
    <row r="749" spans="1:10" x14ac:dyDescent="0.25">
      <c r="A749" s="93">
        <v>43068</v>
      </c>
      <c r="B749" s="35">
        <f t="shared" si="58"/>
        <v>107</v>
      </c>
      <c r="C749" s="76">
        <v>11</v>
      </c>
      <c r="D749" s="76">
        <v>2017</v>
      </c>
      <c r="E749" s="56">
        <v>19.666666666666668</v>
      </c>
      <c r="F749" s="53">
        <f t="shared" si="59"/>
        <v>1</v>
      </c>
      <c r="G749" s="53">
        <f t="shared" si="61"/>
        <v>1</v>
      </c>
      <c r="H749" s="53">
        <f t="shared" si="62"/>
        <v>-1</v>
      </c>
      <c r="I749" s="53" t="str">
        <f t="shared" si="60"/>
        <v>dw</v>
      </c>
      <c r="J749" s="53"/>
    </row>
    <row r="750" spans="1:10" x14ac:dyDescent="0.25">
      <c r="A750" s="93">
        <v>43069</v>
      </c>
      <c r="B750" s="35">
        <f t="shared" si="58"/>
        <v>107</v>
      </c>
      <c r="C750" s="76">
        <v>11</v>
      </c>
      <c r="D750" s="76">
        <v>2017</v>
      </c>
      <c r="E750" s="56">
        <v>3.7999999999999994</v>
      </c>
      <c r="F750" s="53">
        <f t="shared" si="59"/>
        <v>1</v>
      </c>
      <c r="G750" s="53">
        <f t="shared" si="61"/>
        <v>2</v>
      </c>
      <c r="H750" s="53">
        <f t="shared" si="62"/>
        <v>2</v>
      </c>
      <c r="I750" s="53" t="str">
        <f t="shared" si="60"/>
        <v>ww</v>
      </c>
      <c r="J750" s="53"/>
    </row>
    <row r="751" spans="1:10" x14ac:dyDescent="0.25">
      <c r="A751" s="93">
        <v>43070</v>
      </c>
      <c r="B751" s="35">
        <f t="shared" si="58"/>
        <v>107</v>
      </c>
      <c r="C751" s="76">
        <v>11</v>
      </c>
      <c r="D751" s="76">
        <v>2017</v>
      </c>
      <c r="E751" s="56">
        <v>12.466666666666667</v>
      </c>
      <c r="F751" s="53">
        <f t="shared" si="59"/>
        <v>1</v>
      </c>
      <c r="G751" s="53">
        <f t="shared" si="61"/>
        <v>2</v>
      </c>
      <c r="H751" s="53">
        <f t="shared" si="62"/>
        <v>2</v>
      </c>
      <c r="I751" s="53" t="str">
        <f t="shared" si="60"/>
        <v>ww</v>
      </c>
      <c r="J751" s="53"/>
    </row>
    <row r="752" spans="1:10" x14ac:dyDescent="0.25">
      <c r="A752" s="93">
        <v>43071</v>
      </c>
      <c r="B752" s="35">
        <f t="shared" si="58"/>
        <v>107</v>
      </c>
      <c r="C752" s="76">
        <v>11</v>
      </c>
      <c r="D752" s="76">
        <v>2017</v>
      </c>
      <c r="E752" s="56">
        <v>0.6</v>
      </c>
      <c r="F752" s="53">
        <f t="shared" si="59"/>
        <v>1</v>
      </c>
      <c r="G752" s="53">
        <f t="shared" si="61"/>
        <v>2</v>
      </c>
      <c r="H752" s="53">
        <f t="shared" si="62"/>
        <v>2</v>
      </c>
      <c r="I752" s="53" t="str">
        <f t="shared" si="60"/>
        <v>ww</v>
      </c>
      <c r="J752" s="53"/>
    </row>
    <row r="753" spans="1:10" x14ac:dyDescent="0.25">
      <c r="A753" s="93">
        <v>43408</v>
      </c>
      <c r="B753" s="35">
        <f t="shared" si="58"/>
        <v>119</v>
      </c>
      <c r="C753" s="76">
        <v>11</v>
      </c>
      <c r="D753" s="76">
        <v>2018</v>
      </c>
      <c r="E753" s="56">
        <v>0.13333333333333333</v>
      </c>
      <c r="F753" s="53">
        <f t="shared" si="59"/>
        <v>1</v>
      </c>
      <c r="G753" s="53">
        <f t="shared" si="61"/>
        <v>2</v>
      </c>
      <c r="H753" s="53">
        <f t="shared" si="62"/>
        <v>2</v>
      </c>
      <c r="I753" s="53" t="str">
        <f t="shared" si="60"/>
        <v>ww</v>
      </c>
      <c r="J753" s="53"/>
    </row>
    <row r="754" spans="1:10" x14ac:dyDescent="0.25">
      <c r="A754" s="93">
        <v>43409</v>
      </c>
      <c r="B754" s="35">
        <f t="shared" si="58"/>
        <v>119</v>
      </c>
      <c r="C754" s="76">
        <v>11</v>
      </c>
      <c r="D754" s="76">
        <v>2018</v>
      </c>
      <c r="E754" s="56">
        <v>0</v>
      </c>
      <c r="F754" s="53">
        <f t="shared" si="59"/>
        <v>0</v>
      </c>
      <c r="G754" s="53">
        <f t="shared" si="61"/>
        <v>1</v>
      </c>
      <c r="H754" s="53">
        <f t="shared" si="62"/>
        <v>1</v>
      </c>
      <c r="I754" s="53" t="str">
        <f t="shared" si="60"/>
        <v>wd</v>
      </c>
      <c r="J754" s="53"/>
    </row>
    <row r="755" spans="1:10" x14ac:dyDescent="0.25">
      <c r="A755" s="93">
        <v>43410</v>
      </c>
      <c r="B755" s="35">
        <f t="shared" si="58"/>
        <v>119</v>
      </c>
      <c r="C755" s="76">
        <v>11</v>
      </c>
      <c r="D755" s="76">
        <v>2018</v>
      </c>
      <c r="E755" s="56">
        <v>0</v>
      </c>
      <c r="F755" s="53">
        <f t="shared" si="59"/>
        <v>0</v>
      </c>
      <c r="G755" s="53">
        <f t="shared" si="61"/>
        <v>0</v>
      </c>
      <c r="H755" s="53">
        <f t="shared" si="62"/>
        <v>0</v>
      </c>
      <c r="I755" s="53" t="str">
        <f t="shared" si="60"/>
        <v>dd</v>
      </c>
      <c r="J755" s="53"/>
    </row>
    <row r="756" spans="1:10" x14ac:dyDescent="0.25">
      <c r="A756" s="93">
        <v>43411</v>
      </c>
      <c r="B756" s="35">
        <f t="shared" si="58"/>
        <v>119</v>
      </c>
      <c r="C756" s="76">
        <v>11</v>
      </c>
      <c r="D756" s="76">
        <v>2018</v>
      </c>
      <c r="E756" s="56">
        <v>0</v>
      </c>
      <c r="F756" s="53">
        <f t="shared" si="59"/>
        <v>0</v>
      </c>
      <c r="G756" s="53">
        <f t="shared" si="61"/>
        <v>0</v>
      </c>
      <c r="H756" s="53">
        <f t="shared" si="62"/>
        <v>0</v>
      </c>
      <c r="I756" s="53" t="str">
        <f t="shared" si="60"/>
        <v>dd</v>
      </c>
      <c r="J756" s="53"/>
    </row>
    <row r="757" spans="1:10" x14ac:dyDescent="0.25">
      <c r="A757" s="93">
        <v>43412</v>
      </c>
      <c r="B757" s="35">
        <f t="shared" si="58"/>
        <v>119</v>
      </c>
      <c r="C757" s="76">
        <v>11</v>
      </c>
      <c r="D757" s="76">
        <v>2018</v>
      </c>
      <c r="E757" s="56">
        <v>4.333333333333333</v>
      </c>
      <c r="F757" s="53">
        <f t="shared" si="59"/>
        <v>1</v>
      </c>
      <c r="G757" s="53">
        <f t="shared" si="61"/>
        <v>1</v>
      </c>
      <c r="H757" s="53">
        <f t="shared" si="62"/>
        <v>-1</v>
      </c>
      <c r="I757" s="53" t="str">
        <f t="shared" si="60"/>
        <v>dw</v>
      </c>
      <c r="J757" s="53"/>
    </row>
    <row r="758" spans="1:10" x14ac:dyDescent="0.25">
      <c r="A758" s="93">
        <v>43413</v>
      </c>
      <c r="B758" s="35">
        <f t="shared" si="58"/>
        <v>119</v>
      </c>
      <c r="C758" s="76">
        <v>11</v>
      </c>
      <c r="D758" s="76">
        <v>2018</v>
      </c>
      <c r="E758" s="56">
        <v>0</v>
      </c>
      <c r="F758" s="53">
        <f t="shared" si="59"/>
        <v>0</v>
      </c>
      <c r="G758" s="53">
        <f t="shared" si="61"/>
        <v>1</v>
      </c>
      <c r="H758" s="53">
        <f t="shared" si="62"/>
        <v>1</v>
      </c>
      <c r="I758" s="53" t="str">
        <f t="shared" si="60"/>
        <v>wd</v>
      </c>
      <c r="J758" s="53"/>
    </row>
    <row r="759" spans="1:10" x14ac:dyDescent="0.25">
      <c r="A759" s="93">
        <v>43414</v>
      </c>
      <c r="B759" s="35">
        <f t="shared" si="58"/>
        <v>119</v>
      </c>
      <c r="C759" s="76">
        <v>11</v>
      </c>
      <c r="D759" s="76">
        <v>2018</v>
      </c>
      <c r="E759" s="56">
        <v>3.8666666666666667</v>
      </c>
      <c r="F759" s="53">
        <f t="shared" si="59"/>
        <v>1</v>
      </c>
      <c r="G759" s="53">
        <f t="shared" si="61"/>
        <v>1</v>
      </c>
      <c r="H759" s="53">
        <f t="shared" si="62"/>
        <v>-1</v>
      </c>
      <c r="I759" s="53" t="str">
        <f t="shared" si="60"/>
        <v>dw</v>
      </c>
      <c r="J759" s="53"/>
    </row>
    <row r="760" spans="1:10" x14ac:dyDescent="0.25">
      <c r="A760" s="93">
        <v>43415</v>
      </c>
      <c r="B760" s="35">
        <f t="shared" si="58"/>
        <v>119</v>
      </c>
      <c r="C760" s="76">
        <v>11</v>
      </c>
      <c r="D760" s="76">
        <v>2018</v>
      </c>
      <c r="E760" s="56">
        <v>0</v>
      </c>
      <c r="F760" s="53">
        <f t="shared" si="59"/>
        <v>0</v>
      </c>
      <c r="G760" s="53">
        <f t="shared" si="61"/>
        <v>1</v>
      </c>
      <c r="H760" s="53">
        <f t="shared" si="62"/>
        <v>1</v>
      </c>
      <c r="I760" s="53" t="str">
        <f t="shared" si="60"/>
        <v>wd</v>
      </c>
      <c r="J760" s="53"/>
    </row>
    <row r="761" spans="1:10" x14ac:dyDescent="0.25">
      <c r="A761" s="93">
        <v>43416</v>
      </c>
      <c r="B761" s="35">
        <f t="shared" si="58"/>
        <v>119</v>
      </c>
      <c r="C761" s="76">
        <v>11</v>
      </c>
      <c r="D761" s="76">
        <v>2018</v>
      </c>
      <c r="E761" s="56">
        <v>0.46666666666666662</v>
      </c>
      <c r="F761" s="53">
        <f t="shared" si="59"/>
        <v>1</v>
      </c>
      <c r="G761" s="53">
        <f t="shared" si="61"/>
        <v>1</v>
      </c>
      <c r="H761" s="53">
        <f t="shared" si="62"/>
        <v>-1</v>
      </c>
      <c r="I761" s="53" t="str">
        <f t="shared" si="60"/>
        <v>dw</v>
      </c>
      <c r="J761" s="53"/>
    </row>
    <row r="762" spans="1:10" x14ac:dyDescent="0.25">
      <c r="A762" s="93">
        <v>43417</v>
      </c>
      <c r="B762" s="35">
        <f t="shared" si="58"/>
        <v>119</v>
      </c>
      <c r="C762" s="76">
        <v>11</v>
      </c>
      <c r="D762" s="76">
        <v>2018</v>
      </c>
      <c r="E762" s="56">
        <v>1.3333333333333333</v>
      </c>
      <c r="F762" s="53">
        <f t="shared" si="59"/>
        <v>1</v>
      </c>
      <c r="G762" s="53">
        <f t="shared" si="61"/>
        <v>2</v>
      </c>
      <c r="H762" s="53">
        <f t="shared" si="62"/>
        <v>2</v>
      </c>
      <c r="I762" s="53" t="str">
        <f t="shared" si="60"/>
        <v>ww</v>
      </c>
      <c r="J762" s="53"/>
    </row>
    <row r="763" spans="1:10" x14ac:dyDescent="0.25">
      <c r="A763" s="93">
        <v>43418</v>
      </c>
      <c r="B763" s="35">
        <f t="shared" si="58"/>
        <v>119</v>
      </c>
      <c r="C763" s="76">
        <v>11</v>
      </c>
      <c r="D763" s="76">
        <v>2018</v>
      </c>
      <c r="E763" s="56">
        <v>1.7333333333333334</v>
      </c>
      <c r="F763" s="53">
        <f t="shared" si="59"/>
        <v>1</v>
      </c>
      <c r="G763" s="53">
        <f t="shared" si="61"/>
        <v>2</v>
      </c>
      <c r="H763" s="53">
        <f t="shared" si="62"/>
        <v>2</v>
      </c>
      <c r="I763" s="53" t="str">
        <f t="shared" si="60"/>
        <v>ww</v>
      </c>
      <c r="J763" s="53"/>
    </row>
    <row r="764" spans="1:10" x14ac:dyDescent="0.25">
      <c r="A764" s="93">
        <v>43419</v>
      </c>
      <c r="B764" s="35">
        <f t="shared" si="58"/>
        <v>119</v>
      </c>
      <c r="C764" s="76">
        <v>11</v>
      </c>
      <c r="D764" s="76">
        <v>2018</v>
      </c>
      <c r="E764" s="56">
        <v>0</v>
      </c>
      <c r="F764" s="53">
        <f t="shared" si="59"/>
        <v>0</v>
      </c>
      <c r="G764" s="53">
        <f t="shared" si="61"/>
        <v>1</v>
      </c>
      <c r="H764" s="53">
        <f t="shared" si="62"/>
        <v>1</v>
      </c>
      <c r="I764" s="53" t="str">
        <f t="shared" si="60"/>
        <v>wd</v>
      </c>
      <c r="J764" s="53"/>
    </row>
    <row r="765" spans="1:10" x14ac:dyDescent="0.25">
      <c r="A765" s="93">
        <v>43420</v>
      </c>
      <c r="B765" s="35">
        <f t="shared" si="58"/>
        <v>119</v>
      </c>
      <c r="C765" s="76">
        <v>11</v>
      </c>
      <c r="D765" s="76">
        <v>2018</v>
      </c>
      <c r="E765" s="56">
        <v>0.13333333333333333</v>
      </c>
      <c r="F765" s="53">
        <f t="shared" si="59"/>
        <v>1</v>
      </c>
      <c r="G765" s="53">
        <f t="shared" si="61"/>
        <v>1</v>
      </c>
      <c r="H765" s="53">
        <f t="shared" si="62"/>
        <v>-1</v>
      </c>
      <c r="I765" s="53" t="str">
        <f t="shared" si="60"/>
        <v>dw</v>
      </c>
      <c r="J765" s="53"/>
    </row>
    <row r="766" spans="1:10" x14ac:dyDescent="0.25">
      <c r="A766" s="93">
        <v>43421</v>
      </c>
      <c r="B766" s="35">
        <f t="shared" si="58"/>
        <v>119</v>
      </c>
      <c r="C766" s="76">
        <v>11</v>
      </c>
      <c r="D766" s="76">
        <v>2018</v>
      </c>
      <c r="E766" s="56">
        <v>0</v>
      </c>
      <c r="F766" s="53">
        <f t="shared" si="59"/>
        <v>0</v>
      </c>
      <c r="G766" s="53">
        <f t="shared" si="61"/>
        <v>1</v>
      </c>
      <c r="H766" s="53">
        <f t="shared" si="62"/>
        <v>1</v>
      </c>
      <c r="I766" s="53" t="str">
        <f t="shared" si="60"/>
        <v>wd</v>
      </c>
      <c r="J766" s="53"/>
    </row>
    <row r="767" spans="1:10" x14ac:dyDescent="0.25">
      <c r="A767" s="93">
        <v>43422</v>
      </c>
      <c r="B767" s="35">
        <f t="shared" si="58"/>
        <v>119</v>
      </c>
      <c r="C767" s="76">
        <v>11</v>
      </c>
      <c r="D767" s="76">
        <v>2018</v>
      </c>
      <c r="E767" s="56">
        <v>0</v>
      </c>
      <c r="F767" s="53">
        <f t="shared" si="59"/>
        <v>0</v>
      </c>
      <c r="G767" s="53">
        <f t="shared" si="61"/>
        <v>0</v>
      </c>
      <c r="H767" s="53">
        <f t="shared" si="62"/>
        <v>0</v>
      </c>
      <c r="I767" s="53" t="str">
        <f t="shared" si="60"/>
        <v>dd</v>
      </c>
      <c r="J767" s="53"/>
    </row>
    <row r="768" spans="1:10" x14ac:dyDescent="0.25">
      <c r="A768" s="93">
        <v>43423</v>
      </c>
      <c r="B768" s="35">
        <f t="shared" si="58"/>
        <v>119</v>
      </c>
      <c r="C768" s="76">
        <v>11</v>
      </c>
      <c r="D768" s="76">
        <v>2018</v>
      </c>
      <c r="E768" s="56">
        <v>0.13333333333333333</v>
      </c>
      <c r="F768" s="53">
        <f t="shared" si="59"/>
        <v>1</v>
      </c>
      <c r="G768" s="53">
        <f t="shared" si="61"/>
        <v>1</v>
      </c>
      <c r="H768" s="53">
        <f t="shared" si="62"/>
        <v>-1</v>
      </c>
      <c r="I768" s="53" t="str">
        <f t="shared" si="60"/>
        <v>dw</v>
      </c>
      <c r="J768" s="53"/>
    </row>
    <row r="769" spans="1:10" x14ac:dyDescent="0.25">
      <c r="A769" s="93">
        <v>43424</v>
      </c>
      <c r="B769" s="35">
        <f t="shared" si="58"/>
        <v>119</v>
      </c>
      <c r="C769" s="76">
        <v>11</v>
      </c>
      <c r="D769" s="76">
        <v>2018</v>
      </c>
      <c r="E769" s="56">
        <v>1.5999999999999999</v>
      </c>
      <c r="F769" s="53">
        <f t="shared" si="59"/>
        <v>1</v>
      </c>
      <c r="G769" s="53">
        <f t="shared" si="61"/>
        <v>2</v>
      </c>
      <c r="H769" s="53">
        <f t="shared" si="62"/>
        <v>2</v>
      </c>
      <c r="I769" s="53" t="str">
        <f t="shared" si="60"/>
        <v>ww</v>
      </c>
      <c r="J769" s="53"/>
    </row>
    <row r="770" spans="1:10" x14ac:dyDescent="0.25">
      <c r="A770" s="93">
        <v>43425</v>
      </c>
      <c r="B770" s="35">
        <f t="shared" ref="B770:B833" si="63">C770+(D770-2009)*12</f>
        <v>119</v>
      </c>
      <c r="C770" s="76">
        <v>11</v>
      </c>
      <c r="D770" s="76">
        <v>2018</v>
      </c>
      <c r="E770" s="56">
        <v>13.799999999999999</v>
      </c>
      <c r="F770" s="53">
        <f t="shared" ref="F770:F833" si="64">IF(E770&gt;0,1,0)</f>
        <v>1</v>
      </c>
      <c r="G770" s="53">
        <f t="shared" si="61"/>
        <v>2</v>
      </c>
      <c r="H770" s="53">
        <f t="shared" si="62"/>
        <v>2</v>
      </c>
      <c r="I770" s="53" t="str">
        <f t="shared" ref="I770:I833" si="65">VLOOKUP(H770,codes,2,)</f>
        <v>ww</v>
      </c>
      <c r="J770" s="53"/>
    </row>
    <row r="771" spans="1:10" x14ac:dyDescent="0.25">
      <c r="A771" s="93">
        <v>43426</v>
      </c>
      <c r="B771" s="35">
        <f t="shared" si="63"/>
        <v>119</v>
      </c>
      <c r="C771" s="76">
        <v>11</v>
      </c>
      <c r="D771" s="76">
        <v>2018</v>
      </c>
      <c r="E771" s="56">
        <v>2.3333333333333335</v>
      </c>
      <c r="F771" s="53">
        <f t="shared" si="64"/>
        <v>1</v>
      </c>
      <c r="G771" s="53">
        <f t="shared" si="61"/>
        <v>2</v>
      </c>
      <c r="H771" s="53">
        <f t="shared" si="62"/>
        <v>2</v>
      </c>
      <c r="I771" s="53" t="str">
        <f t="shared" si="65"/>
        <v>ww</v>
      </c>
      <c r="J771" s="53"/>
    </row>
    <row r="772" spans="1:10" x14ac:dyDescent="0.25">
      <c r="A772" s="93">
        <v>43427</v>
      </c>
      <c r="B772" s="35">
        <f t="shared" si="63"/>
        <v>119</v>
      </c>
      <c r="C772" s="76">
        <v>11</v>
      </c>
      <c r="D772" s="76">
        <v>2018</v>
      </c>
      <c r="E772" s="56">
        <v>7.333333333333333</v>
      </c>
      <c r="F772" s="53">
        <f t="shared" si="64"/>
        <v>1</v>
      </c>
      <c r="G772" s="53">
        <f t="shared" si="61"/>
        <v>2</v>
      </c>
      <c r="H772" s="53">
        <f t="shared" si="62"/>
        <v>2</v>
      </c>
      <c r="I772" s="53" t="str">
        <f t="shared" si="65"/>
        <v>ww</v>
      </c>
      <c r="J772" s="53"/>
    </row>
    <row r="773" spans="1:10" x14ac:dyDescent="0.25">
      <c r="A773" s="93">
        <v>43428</v>
      </c>
      <c r="B773" s="35">
        <f t="shared" si="63"/>
        <v>119</v>
      </c>
      <c r="C773" s="76">
        <v>11</v>
      </c>
      <c r="D773" s="76">
        <v>2018</v>
      </c>
      <c r="E773" s="56">
        <v>0.26666666666666666</v>
      </c>
      <c r="F773" s="53">
        <f t="shared" si="64"/>
        <v>1</v>
      </c>
      <c r="G773" s="53">
        <f t="shared" si="61"/>
        <v>2</v>
      </c>
      <c r="H773" s="53">
        <f t="shared" si="62"/>
        <v>2</v>
      </c>
      <c r="I773" s="53" t="str">
        <f t="shared" si="65"/>
        <v>ww</v>
      </c>
      <c r="J773" s="53"/>
    </row>
    <row r="774" spans="1:10" x14ac:dyDescent="0.25">
      <c r="A774" s="93">
        <v>43429</v>
      </c>
      <c r="B774" s="35">
        <f t="shared" si="63"/>
        <v>119</v>
      </c>
      <c r="C774" s="76">
        <v>11</v>
      </c>
      <c r="D774" s="76">
        <v>2018</v>
      </c>
      <c r="E774" s="56">
        <v>3.8666666666666667</v>
      </c>
      <c r="F774" s="53">
        <f t="shared" si="64"/>
        <v>1</v>
      </c>
      <c r="G774" s="53">
        <f t="shared" si="61"/>
        <v>2</v>
      </c>
      <c r="H774" s="53">
        <f t="shared" si="62"/>
        <v>2</v>
      </c>
      <c r="I774" s="53" t="str">
        <f t="shared" si="65"/>
        <v>ww</v>
      </c>
      <c r="J774" s="53"/>
    </row>
    <row r="775" spans="1:10" x14ac:dyDescent="0.25">
      <c r="A775" s="93">
        <v>43430</v>
      </c>
      <c r="B775" s="35">
        <f t="shared" si="63"/>
        <v>119</v>
      </c>
      <c r="C775" s="76">
        <v>11</v>
      </c>
      <c r="D775" s="76">
        <v>2018</v>
      </c>
      <c r="E775" s="56">
        <v>2.7999999999999994</v>
      </c>
      <c r="F775" s="53">
        <f t="shared" si="64"/>
        <v>1</v>
      </c>
      <c r="G775" s="53">
        <f t="shared" si="61"/>
        <v>2</v>
      </c>
      <c r="H775" s="53">
        <f t="shared" si="62"/>
        <v>2</v>
      </c>
      <c r="I775" s="53" t="str">
        <f t="shared" si="65"/>
        <v>ww</v>
      </c>
      <c r="J775" s="53"/>
    </row>
    <row r="776" spans="1:10" x14ac:dyDescent="0.25">
      <c r="A776" s="93">
        <v>43431</v>
      </c>
      <c r="B776" s="35">
        <f t="shared" si="63"/>
        <v>119</v>
      </c>
      <c r="C776" s="76">
        <v>11</v>
      </c>
      <c r="D776" s="76">
        <v>2018</v>
      </c>
      <c r="E776" s="56">
        <v>3.1333333333333329</v>
      </c>
      <c r="F776" s="53">
        <f t="shared" si="64"/>
        <v>1</v>
      </c>
      <c r="G776" s="53">
        <f t="shared" si="61"/>
        <v>2</v>
      </c>
      <c r="H776" s="53">
        <f t="shared" si="62"/>
        <v>2</v>
      </c>
      <c r="I776" s="53" t="str">
        <f t="shared" si="65"/>
        <v>ww</v>
      </c>
      <c r="J776" s="53"/>
    </row>
    <row r="777" spans="1:10" x14ac:dyDescent="0.25">
      <c r="A777" s="93">
        <v>43432</v>
      </c>
      <c r="B777" s="35">
        <f t="shared" si="63"/>
        <v>119</v>
      </c>
      <c r="C777" s="76">
        <v>11</v>
      </c>
      <c r="D777" s="76">
        <v>2018</v>
      </c>
      <c r="E777" s="56">
        <v>6.333333333333333</v>
      </c>
      <c r="F777" s="53">
        <f t="shared" si="64"/>
        <v>1</v>
      </c>
      <c r="G777" s="53">
        <f t="shared" si="61"/>
        <v>2</v>
      </c>
      <c r="H777" s="53">
        <f t="shared" si="62"/>
        <v>2</v>
      </c>
      <c r="I777" s="53" t="str">
        <f t="shared" si="65"/>
        <v>ww</v>
      </c>
      <c r="J777" s="53"/>
    </row>
    <row r="778" spans="1:10" x14ac:dyDescent="0.25">
      <c r="A778" s="93">
        <v>43433</v>
      </c>
      <c r="B778" s="35">
        <f t="shared" si="63"/>
        <v>119</v>
      </c>
      <c r="C778" s="76">
        <v>11</v>
      </c>
      <c r="D778" s="76">
        <v>2018</v>
      </c>
      <c r="E778" s="56">
        <v>2.8000000000000003</v>
      </c>
      <c r="F778" s="53">
        <f t="shared" si="64"/>
        <v>1</v>
      </c>
      <c r="G778" s="53">
        <f t="shared" si="61"/>
        <v>2</v>
      </c>
      <c r="H778" s="53">
        <f t="shared" si="62"/>
        <v>2</v>
      </c>
      <c r="I778" s="53" t="str">
        <f t="shared" si="65"/>
        <v>ww</v>
      </c>
      <c r="J778" s="53"/>
    </row>
    <row r="779" spans="1:10" x14ac:dyDescent="0.25">
      <c r="A779" s="93">
        <v>43434</v>
      </c>
      <c r="B779" s="35">
        <f t="shared" si="63"/>
        <v>119</v>
      </c>
      <c r="C779" s="76">
        <v>11</v>
      </c>
      <c r="D779" s="76">
        <v>2018</v>
      </c>
      <c r="E779" s="56">
        <v>1.1333333333333333</v>
      </c>
      <c r="F779" s="53">
        <f t="shared" si="64"/>
        <v>1</v>
      </c>
      <c r="G779" s="53">
        <f t="shared" si="61"/>
        <v>2</v>
      </c>
      <c r="H779" s="53">
        <f t="shared" si="62"/>
        <v>2</v>
      </c>
      <c r="I779" s="53" t="str">
        <f t="shared" si="65"/>
        <v>ww</v>
      </c>
      <c r="J779" s="53"/>
    </row>
    <row r="780" spans="1:10" x14ac:dyDescent="0.25">
      <c r="A780" s="93">
        <v>43435</v>
      </c>
      <c r="B780" s="35">
        <f t="shared" si="63"/>
        <v>119</v>
      </c>
      <c r="C780" s="76">
        <v>11</v>
      </c>
      <c r="D780" s="76">
        <v>2018</v>
      </c>
      <c r="E780" s="56">
        <v>0.73333333333333328</v>
      </c>
      <c r="F780" s="53">
        <f t="shared" si="64"/>
        <v>1</v>
      </c>
      <c r="G780" s="53">
        <f t="shared" si="61"/>
        <v>2</v>
      </c>
      <c r="H780" s="53">
        <f t="shared" si="62"/>
        <v>2</v>
      </c>
      <c r="I780" s="53" t="str">
        <f t="shared" si="65"/>
        <v>ww</v>
      </c>
      <c r="J780" s="53"/>
    </row>
    <row r="781" spans="1:10" x14ac:dyDescent="0.25">
      <c r="A781" s="93">
        <v>43436</v>
      </c>
      <c r="B781" s="35">
        <f t="shared" si="63"/>
        <v>119</v>
      </c>
      <c r="C781" s="76">
        <v>11</v>
      </c>
      <c r="D781" s="76">
        <v>2018</v>
      </c>
      <c r="E781" s="56">
        <v>7.2</v>
      </c>
      <c r="F781" s="53">
        <f t="shared" si="64"/>
        <v>1</v>
      </c>
      <c r="G781" s="53">
        <f t="shared" si="61"/>
        <v>2</v>
      </c>
      <c r="H781" s="53">
        <f t="shared" si="62"/>
        <v>2</v>
      </c>
      <c r="I781" s="53" t="str">
        <f t="shared" si="65"/>
        <v>ww</v>
      </c>
      <c r="J781" s="53"/>
    </row>
    <row r="782" spans="1:10" x14ac:dyDescent="0.25">
      <c r="A782" s="93">
        <v>43437</v>
      </c>
      <c r="B782" s="35">
        <f t="shared" si="63"/>
        <v>119</v>
      </c>
      <c r="C782" s="76">
        <v>11</v>
      </c>
      <c r="D782" s="76">
        <v>2018</v>
      </c>
      <c r="E782" s="56">
        <v>1.1333333333333333</v>
      </c>
      <c r="F782" s="53">
        <f t="shared" si="64"/>
        <v>1</v>
      </c>
      <c r="G782" s="53">
        <f t="shared" si="61"/>
        <v>2</v>
      </c>
      <c r="H782" s="53">
        <f t="shared" si="62"/>
        <v>2</v>
      </c>
      <c r="I782" s="53" t="str">
        <f t="shared" si="65"/>
        <v>ww</v>
      </c>
      <c r="J782" s="53"/>
    </row>
    <row r="783" spans="1:10" x14ac:dyDescent="0.25">
      <c r="A783" s="93">
        <v>43770</v>
      </c>
      <c r="B783" s="35">
        <f t="shared" si="63"/>
        <v>131</v>
      </c>
      <c r="C783" s="76">
        <v>11</v>
      </c>
      <c r="D783" s="76">
        <v>2019</v>
      </c>
      <c r="E783" s="56">
        <v>3.2666666666666671</v>
      </c>
      <c r="F783" s="53">
        <f t="shared" si="64"/>
        <v>1</v>
      </c>
      <c r="G783" s="53">
        <f t="shared" si="61"/>
        <v>2</v>
      </c>
      <c r="H783" s="53">
        <f t="shared" si="62"/>
        <v>2</v>
      </c>
      <c r="I783" s="53" t="str">
        <f t="shared" si="65"/>
        <v>ww</v>
      </c>
      <c r="J783" s="53"/>
    </row>
    <row r="784" spans="1:10" x14ac:dyDescent="0.25">
      <c r="A784" s="93">
        <v>43771</v>
      </c>
      <c r="B784" s="35">
        <f t="shared" si="63"/>
        <v>131</v>
      </c>
      <c r="C784" s="76">
        <v>11</v>
      </c>
      <c r="D784" s="76">
        <v>2019</v>
      </c>
      <c r="E784" s="56">
        <v>5.1333333333333337</v>
      </c>
      <c r="F784" s="53">
        <f t="shared" si="64"/>
        <v>1</v>
      </c>
      <c r="G784" s="53">
        <f t="shared" si="61"/>
        <v>2</v>
      </c>
      <c r="H784" s="53">
        <f t="shared" si="62"/>
        <v>2</v>
      </c>
      <c r="I784" s="53" t="str">
        <f t="shared" si="65"/>
        <v>ww</v>
      </c>
      <c r="J784" s="53"/>
    </row>
    <row r="785" spans="1:10" x14ac:dyDescent="0.25">
      <c r="A785" s="93">
        <v>43772</v>
      </c>
      <c r="B785" s="35">
        <f t="shared" si="63"/>
        <v>131</v>
      </c>
      <c r="C785" s="76">
        <v>11</v>
      </c>
      <c r="D785" s="76">
        <v>2019</v>
      </c>
      <c r="E785" s="56">
        <v>7.8000000000000007</v>
      </c>
      <c r="F785" s="53">
        <f t="shared" si="64"/>
        <v>1</v>
      </c>
      <c r="G785" s="53">
        <f t="shared" si="61"/>
        <v>2</v>
      </c>
      <c r="H785" s="53">
        <f t="shared" si="62"/>
        <v>2</v>
      </c>
      <c r="I785" s="53" t="str">
        <f t="shared" si="65"/>
        <v>ww</v>
      </c>
      <c r="J785" s="53"/>
    </row>
    <row r="786" spans="1:10" x14ac:dyDescent="0.25">
      <c r="A786" s="93">
        <v>43773</v>
      </c>
      <c r="B786" s="35">
        <f t="shared" si="63"/>
        <v>131</v>
      </c>
      <c r="C786" s="76">
        <v>11</v>
      </c>
      <c r="D786" s="76">
        <v>2019</v>
      </c>
      <c r="E786" s="56">
        <v>2.8666666666666667</v>
      </c>
      <c r="F786" s="53">
        <f t="shared" si="64"/>
        <v>1</v>
      </c>
      <c r="G786" s="53">
        <f t="shared" si="61"/>
        <v>2</v>
      </c>
      <c r="H786" s="53">
        <f t="shared" si="62"/>
        <v>2</v>
      </c>
      <c r="I786" s="53" t="str">
        <f t="shared" si="65"/>
        <v>ww</v>
      </c>
      <c r="J786" s="53"/>
    </row>
    <row r="787" spans="1:10" x14ac:dyDescent="0.25">
      <c r="A787" s="93">
        <v>43774</v>
      </c>
      <c r="B787" s="35">
        <f t="shared" si="63"/>
        <v>131</v>
      </c>
      <c r="C787" s="76">
        <v>11</v>
      </c>
      <c r="D787" s="76">
        <v>2019</v>
      </c>
      <c r="E787" s="56">
        <v>10.266666666666667</v>
      </c>
      <c r="F787" s="53">
        <f t="shared" si="64"/>
        <v>1</v>
      </c>
      <c r="G787" s="53">
        <f t="shared" si="61"/>
        <v>2</v>
      </c>
      <c r="H787" s="53">
        <f t="shared" si="62"/>
        <v>2</v>
      </c>
      <c r="I787" s="53" t="str">
        <f t="shared" si="65"/>
        <v>ww</v>
      </c>
      <c r="J787" s="53"/>
    </row>
    <row r="788" spans="1:10" x14ac:dyDescent="0.25">
      <c r="A788" s="93">
        <v>43775</v>
      </c>
      <c r="B788" s="35">
        <f t="shared" si="63"/>
        <v>131</v>
      </c>
      <c r="C788" s="76">
        <v>11</v>
      </c>
      <c r="D788" s="76">
        <v>2019</v>
      </c>
      <c r="E788" s="56">
        <v>11.133333333333333</v>
      </c>
      <c r="F788" s="53">
        <f t="shared" si="64"/>
        <v>1</v>
      </c>
      <c r="G788" s="53">
        <f t="shared" si="61"/>
        <v>2</v>
      </c>
      <c r="H788" s="53">
        <f t="shared" si="62"/>
        <v>2</v>
      </c>
      <c r="I788" s="53" t="str">
        <f t="shared" si="65"/>
        <v>ww</v>
      </c>
      <c r="J788" s="53"/>
    </row>
    <row r="789" spans="1:10" x14ac:dyDescent="0.25">
      <c r="A789" s="93">
        <v>43776</v>
      </c>
      <c r="B789" s="35">
        <f t="shared" si="63"/>
        <v>131</v>
      </c>
      <c r="C789" s="76">
        <v>11</v>
      </c>
      <c r="D789" s="76">
        <v>2019</v>
      </c>
      <c r="E789" s="56">
        <v>2.9333333333333336</v>
      </c>
      <c r="F789" s="53">
        <f t="shared" si="64"/>
        <v>1</v>
      </c>
      <c r="G789" s="53">
        <f t="shared" si="61"/>
        <v>2</v>
      </c>
      <c r="H789" s="53">
        <f t="shared" si="62"/>
        <v>2</v>
      </c>
      <c r="I789" s="53" t="str">
        <f t="shared" si="65"/>
        <v>ww</v>
      </c>
      <c r="J789" s="53"/>
    </row>
    <row r="790" spans="1:10" x14ac:dyDescent="0.25">
      <c r="A790" s="93">
        <v>43777</v>
      </c>
      <c r="B790" s="35">
        <f t="shared" si="63"/>
        <v>131</v>
      </c>
      <c r="C790" s="76">
        <v>11</v>
      </c>
      <c r="D790" s="76">
        <v>2019</v>
      </c>
      <c r="E790" s="56">
        <v>2.7333333333333329</v>
      </c>
      <c r="F790" s="53">
        <f t="shared" si="64"/>
        <v>1</v>
      </c>
      <c r="G790" s="53">
        <f t="shared" si="61"/>
        <v>2</v>
      </c>
      <c r="H790" s="53">
        <f t="shared" si="62"/>
        <v>2</v>
      </c>
      <c r="I790" s="53" t="str">
        <f t="shared" si="65"/>
        <v>ww</v>
      </c>
      <c r="J790" s="53"/>
    </row>
    <row r="791" spans="1:10" x14ac:dyDescent="0.25">
      <c r="A791" s="93">
        <v>43778</v>
      </c>
      <c r="B791" s="35">
        <f t="shared" si="63"/>
        <v>131</v>
      </c>
      <c r="C791" s="76">
        <v>11</v>
      </c>
      <c r="D791" s="76">
        <v>2019</v>
      </c>
      <c r="E791" s="56">
        <v>3.4</v>
      </c>
      <c r="F791" s="53">
        <f t="shared" si="64"/>
        <v>1</v>
      </c>
      <c r="G791" s="53">
        <f t="shared" si="61"/>
        <v>2</v>
      </c>
      <c r="H791" s="53">
        <f t="shared" si="62"/>
        <v>2</v>
      </c>
      <c r="I791" s="53" t="str">
        <f t="shared" si="65"/>
        <v>ww</v>
      </c>
      <c r="J791" s="53"/>
    </row>
    <row r="792" spans="1:10" x14ac:dyDescent="0.25">
      <c r="A792" s="93">
        <v>43779</v>
      </c>
      <c r="B792" s="35">
        <f t="shared" si="63"/>
        <v>131</v>
      </c>
      <c r="C792" s="76">
        <v>11</v>
      </c>
      <c r="D792" s="76">
        <v>2019</v>
      </c>
      <c r="E792" s="56">
        <v>2.4</v>
      </c>
      <c r="F792" s="53">
        <f t="shared" si="64"/>
        <v>1</v>
      </c>
      <c r="G792" s="53">
        <f t="shared" si="61"/>
        <v>2</v>
      </c>
      <c r="H792" s="53">
        <f t="shared" si="62"/>
        <v>2</v>
      </c>
      <c r="I792" s="53" t="str">
        <f t="shared" si="65"/>
        <v>ww</v>
      </c>
      <c r="J792" s="53"/>
    </row>
    <row r="793" spans="1:10" x14ac:dyDescent="0.25">
      <c r="A793" s="93">
        <v>43780</v>
      </c>
      <c r="B793" s="35">
        <f t="shared" si="63"/>
        <v>131</v>
      </c>
      <c r="C793" s="76">
        <v>11</v>
      </c>
      <c r="D793" s="76">
        <v>2019</v>
      </c>
      <c r="E793" s="56">
        <v>3.3333333333333335</v>
      </c>
      <c r="F793" s="53">
        <f t="shared" si="64"/>
        <v>1</v>
      </c>
      <c r="G793" s="53">
        <f t="shared" si="61"/>
        <v>2</v>
      </c>
      <c r="H793" s="53">
        <f t="shared" si="62"/>
        <v>2</v>
      </c>
      <c r="I793" s="53" t="str">
        <f t="shared" si="65"/>
        <v>ww</v>
      </c>
      <c r="J793" s="53"/>
    </row>
    <row r="794" spans="1:10" x14ac:dyDescent="0.25">
      <c r="A794" s="93">
        <v>43781</v>
      </c>
      <c r="B794" s="35">
        <f t="shared" si="63"/>
        <v>131</v>
      </c>
      <c r="C794" s="76">
        <v>11</v>
      </c>
      <c r="D794" s="76">
        <v>2019</v>
      </c>
      <c r="E794" s="56">
        <v>1</v>
      </c>
      <c r="F794" s="53">
        <f t="shared" si="64"/>
        <v>1</v>
      </c>
      <c r="G794" s="53">
        <f t="shared" si="61"/>
        <v>2</v>
      </c>
      <c r="H794" s="53">
        <f t="shared" si="62"/>
        <v>2</v>
      </c>
      <c r="I794" s="53" t="str">
        <f t="shared" si="65"/>
        <v>ww</v>
      </c>
      <c r="J794" s="53"/>
    </row>
    <row r="795" spans="1:10" x14ac:dyDescent="0.25">
      <c r="A795" s="93">
        <v>43782</v>
      </c>
      <c r="B795" s="35">
        <f t="shared" si="63"/>
        <v>131</v>
      </c>
      <c r="C795" s="76">
        <v>11</v>
      </c>
      <c r="D795" s="76">
        <v>2019</v>
      </c>
      <c r="E795" s="56">
        <v>4.7333333333333334</v>
      </c>
      <c r="F795" s="53">
        <f t="shared" si="64"/>
        <v>1</v>
      </c>
      <c r="G795" s="53">
        <f t="shared" si="61"/>
        <v>2</v>
      </c>
      <c r="H795" s="53">
        <f t="shared" si="62"/>
        <v>2</v>
      </c>
      <c r="I795" s="53" t="str">
        <f t="shared" si="65"/>
        <v>ww</v>
      </c>
      <c r="J795" s="53"/>
    </row>
    <row r="796" spans="1:10" x14ac:dyDescent="0.25">
      <c r="A796" s="93">
        <v>43783</v>
      </c>
      <c r="B796" s="35">
        <f t="shared" si="63"/>
        <v>131</v>
      </c>
      <c r="C796" s="76">
        <v>11</v>
      </c>
      <c r="D796" s="76">
        <v>2019</v>
      </c>
      <c r="E796" s="56">
        <v>6.5333333333333341</v>
      </c>
      <c r="F796" s="53">
        <f t="shared" si="64"/>
        <v>1</v>
      </c>
      <c r="G796" s="53">
        <f t="shared" si="61"/>
        <v>2</v>
      </c>
      <c r="H796" s="53">
        <f t="shared" si="62"/>
        <v>2</v>
      </c>
      <c r="I796" s="53" t="str">
        <f t="shared" si="65"/>
        <v>ww</v>
      </c>
      <c r="J796" s="53"/>
    </row>
    <row r="797" spans="1:10" x14ac:dyDescent="0.25">
      <c r="A797" s="93">
        <v>43784</v>
      </c>
      <c r="B797" s="35">
        <f t="shared" si="63"/>
        <v>131</v>
      </c>
      <c r="C797" s="76">
        <v>11</v>
      </c>
      <c r="D797" s="76">
        <v>2019</v>
      </c>
      <c r="E797" s="56">
        <v>10.799999999999999</v>
      </c>
      <c r="F797" s="53">
        <f t="shared" si="64"/>
        <v>1</v>
      </c>
      <c r="G797" s="53">
        <f t="shared" si="61"/>
        <v>2</v>
      </c>
      <c r="H797" s="53">
        <f t="shared" si="62"/>
        <v>2</v>
      </c>
      <c r="I797" s="53" t="str">
        <f t="shared" si="65"/>
        <v>ww</v>
      </c>
      <c r="J797" s="53"/>
    </row>
    <row r="798" spans="1:10" x14ac:dyDescent="0.25">
      <c r="A798" s="93">
        <v>43785</v>
      </c>
      <c r="B798" s="35">
        <f t="shared" si="63"/>
        <v>131</v>
      </c>
      <c r="C798" s="76">
        <v>11</v>
      </c>
      <c r="D798" s="76">
        <v>2019</v>
      </c>
      <c r="E798" s="56">
        <v>5.666666666666667</v>
      </c>
      <c r="F798" s="53">
        <f t="shared" si="64"/>
        <v>1</v>
      </c>
      <c r="G798" s="53">
        <f t="shared" si="61"/>
        <v>2</v>
      </c>
      <c r="H798" s="53">
        <f t="shared" si="62"/>
        <v>2</v>
      </c>
      <c r="I798" s="53" t="str">
        <f t="shared" si="65"/>
        <v>ww</v>
      </c>
      <c r="J798" s="53"/>
    </row>
    <row r="799" spans="1:10" x14ac:dyDescent="0.25">
      <c r="A799" s="93">
        <v>43786</v>
      </c>
      <c r="B799" s="35">
        <f t="shared" si="63"/>
        <v>131</v>
      </c>
      <c r="C799" s="76">
        <v>11</v>
      </c>
      <c r="D799" s="76">
        <v>2019</v>
      </c>
      <c r="E799" s="56">
        <v>6</v>
      </c>
      <c r="F799" s="53">
        <f t="shared" si="64"/>
        <v>1</v>
      </c>
      <c r="G799" s="53">
        <f t="shared" si="61"/>
        <v>2</v>
      </c>
      <c r="H799" s="53">
        <f t="shared" si="62"/>
        <v>2</v>
      </c>
      <c r="I799" s="53" t="str">
        <f t="shared" si="65"/>
        <v>ww</v>
      </c>
      <c r="J799" s="53"/>
    </row>
    <row r="800" spans="1:10" x14ac:dyDescent="0.25">
      <c r="A800" s="93">
        <v>43787</v>
      </c>
      <c r="B800" s="35">
        <f t="shared" si="63"/>
        <v>131</v>
      </c>
      <c r="C800" s="76">
        <v>11</v>
      </c>
      <c r="D800" s="76">
        <v>2019</v>
      </c>
      <c r="E800" s="56">
        <v>2.9333333333333336</v>
      </c>
      <c r="F800" s="53">
        <f t="shared" si="64"/>
        <v>1</v>
      </c>
      <c r="G800" s="53">
        <f t="shared" si="61"/>
        <v>2</v>
      </c>
      <c r="H800" s="53">
        <f t="shared" si="62"/>
        <v>2</v>
      </c>
      <c r="I800" s="53" t="str">
        <f t="shared" si="65"/>
        <v>ww</v>
      </c>
      <c r="J800" s="53"/>
    </row>
    <row r="801" spans="1:10" x14ac:dyDescent="0.25">
      <c r="A801" s="93">
        <v>43788</v>
      </c>
      <c r="B801" s="35">
        <f t="shared" si="63"/>
        <v>131</v>
      </c>
      <c r="C801" s="76">
        <v>11</v>
      </c>
      <c r="D801" s="76">
        <v>2019</v>
      </c>
      <c r="E801" s="56">
        <v>0</v>
      </c>
      <c r="F801" s="53">
        <f t="shared" si="64"/>
        <v>0</v>
      </c>
      <c r="G801" s="53">
        <f t="shared" si="61"/>
        <v>1</v>
      </c>
      <c r="H801" s="53">
        <f t="shared" si="62"/>
        <v>1</v>
      </c>
      <c r="I801" s="53" t="str">
        <f t="shared" si="65"/>
        <v>wd</v>
      </c>
      <c r="J801" s="53"/>
    </row>
    <row r="802" spans="1:10" x14ac:dyDescent="0.25">
      <c r="A802" s="93">
        <v>43789</v>
      </c>
      <c r="B802" s="35">
        <f t="shared" si="63"/>
        <v>131</v>
      </c>
      <c r="C802" s="76">
        <v>11</v>
      </c>
      <c r="D802" s="76">
        <v>2019</v>
      </c>
      <c r="E802" s="56">
        <v>0.13333333333333333</v>
      </c>
      <c r="F802" s="53">
        <f t="shared" si="64"/>
        <v>1</v>
      </c>
      <c r="G802" s="53">
        <f t="shared" si="61"/>
        <v>1</v>
      </c>
      <c r="H802" s="53">
        <f t="shared" si="62"/>
        <v>-1</v>
      </c>
      <c r="I802" s="53" t="str">
        <f t="shared" si="65"/>
        <v>dw</v>
      </c>
      <c r="J802" s="53"/>
    </row>
    <row r="803" spans="1:10" x14ac:dyDescent="0.25">
      <c r="A803" s="93">
        <v>43790</v>
      </c>
      <c r="B803" s="35">
        <f t="shared" si="63"/>
        <v>131</v>
      </c>
      <c r="C803" s="76">
        <v>11</v>
      </c>
      <c r="D803" s="76">
        <v>2019</v>
      </c>
      <c r="E803" s="56">
        <v>0</v>
      </c>
      <c r="F803" s="53">
        <f t="shared" si="64"/>
        <v>0</v>
      </c>
      <c r="G803" s="53">
        <f t="shared" si="61"/>
        <v>1</v>
      </c>
      <c r="H803" s="53">
        <f t="shared" si="62"/>
        <v>1</v>
      </c>
      <c r="I803" s="53" t="str">
        <f t="shared" si="65"/>
        <v>wd</v>
      </c>
      <c r="J803" s="53"/>
    </row>
    <row r="804" spans="1:10" x14ac:dyDescent="0.25">
      <c r="A804" s="93">
        <v>43791</v>
      </c>
      <c r="B804" s="35">
        <f t="shared" si="63"/>
        <v>131</v>
      </c>
      <c r="C804" s="76">
        <v>11</v>
      </c>
      <c r="D804" s="76">
        <v>2019</v>
      </c>
      <c r="E804" s="56">
        <v>0.6</v>
      </c>
      <c r="F804" s="53">
        <f t="shared" si="64"/>
        <v>1</v>
      </c>
      <c r="G804" s="53">
        <f t="shared" ref="G804:G867" si="66">SUM(F803:F804)</f>
        <v>1</v>
      </c>
      <c r="H804" s="53">
        <f t="shared" ref="H804:H867" si="67">IF(G804=1,IF(F803=1,1,-1),G804)</f>
        <v>-1</v>
      </c>
      <c r="I804" s="53" t="str">
        <f t="shared" si="65"/>
        <v>dw</v>
      </c>
      <c r="J804" s="53"/>
    </row>
    <row r="805" spans="1:10" x14ac:dyDescent="0.25">
      <c r="A805" s="93">
        <v>43792</v>
      </c>
      <c r="B805" s="35">
        <f t="shared" si="63"/>
        <v>131</v>
      </c>
      <c r="C805" s="76">
        <v>11</v>
      </c>
      <c r="D805" s="76">
        <v>2019</v>
      </c>
      <c r="E805" s="56">
        <v>3.2666666666666671</v>
      </c>
      <c r="F805" s="53">
        <f t="shared" si="64"/>
        <v>1</v>
      </c>
      <c r="G805" s="53">
        <f t="shared" si="66"/>
        <v>2</v>
      </c>
      <c r="H805" s="53">
        <f t="shared" si="67"/>
        <v>2</v>
      </c>
      <c r="I805" s="53" t="str">
        <f t="shared" si="65"/>
        <v>ww</v>
      </c>
      <c r="J805" s="53"/>
    </row>
    <row r="806" spans="1:10" x14ac:dyDescent="0.25">
      <c r="A806" s="93">
        <v>43793</v>
      </c>
      <c r="B806" s="35">
        <f t="shared" si="63"/>
        <v>131</v>
      </c>
      <c r="C806" s="76">
        <v>11</v>
      </c>
      <c r="D806" s="76">
        <v>2019</v>
      </c>
      <c r="E806" s="56">
        <v>11.6</v>
      </c>
      <c r="F806" s="53">
        <f t="shared" si="64"/>
        <v>1</v>
      </c>
      <c r="G806" s="53">
        <f t="shared" si="66"/>
        <v>2</v>
      </c>
      <c r="H806" s="53">
        <f t="shared" si="67"/>
        <v>2</v>
      </c>
      <c r="I806" s="53" t="str">
        <f t="shared" si="65"/>
        <v>ww</v>
      </c>
      <c r="J806" s="53"/>
    </row>
    <row r="807" spans="1:10" x14ac:dyDescent="0.25">
      <c r="A807" s="93">
        <v>43794</v>
      </c>
      <c r="B807" s="35">
        <f t="shared" si="63"/>
        <v>131</v>
      </c>
      <c r="C807" s="76">
        <v>11</v>
      </c>
      <c r="D807" s="76">
        <v>2019</v>
      </c>
      <c r="E807" s="56">
        <v>5.0666666666666673</v>
      </c>
      <c r="F807" s="53">
        <f t="shared" si="64"/>
        <v>1</v>
      </c>
      <c r="G807" s="53">
        <f t="shared" si="66"/>
        <v>2</v>
      </c>
      <c r="H807" s="53">
        <f t="shared" si="67"/>
        <v>2</v>
      </c>
      <c r="I807" s="53" t="str">
        <f t="shared" si="65"/>
        <v>ww</v>
      </c>
      <c r="J807" s="53"/>
    </row>
    <row r="808" spans="1:10" x14ac:dyDescent="0.25">
      <c r="A808" s="93">
        <v>43795</v>
      </c>
      <c r="B808" s="35">
        <f t="shared" si="63"/>
        <v>131</v>
      </c>
      <c r="C808" s="76">
        <v>11</v>
      </c>
      <c r="D808" s="76">
        <v>2019</v>
      </c>
      <c r="E808" s="56">
        <v>2.2666666666666666</v>
      </c>
      <c r="F808" s="53">
        <f t="shared" si="64"/>
        <v>1</v>
      </c>
      <c r="G808" s="53">
        <f t="shared" si="66"/>
        <v>2</v>
      </c>
      <c r="H808" s="53">
        <f t="shared" si="67"/>
        <v>2</v>
      </c>
      <c r="I808" s="53" t="str">
        <f t="shared" si="65"/>
        <v>ww</v>
      </c>
      <c r="J808" s="53"/>
    </row>
    <row r="809" spans="1:10" x14ac:dyDescent="0.25">
      <c r="A809" s="93">
        <v>43796</v>
      </c>
      <c r="B809" s="35">
        <f t="shared" si="63"/>
        <v>131</v>
      </c>
      <c r="C809" s="76">
        <v>11</v>
      </c>
      <c r="D809" s="76">
        <v>2019</v>
      </c>
      <c r="E809" s="56">
        <v>1.9333333333333336</v>
      </c>
      <c r="F809" s="53">
        <f t="shared" si="64"/>
        <v>1</v>
      </c>
      <c r="G809" s="53">
        <f t="shared" si="66"/>
        <v>2</v>
      </c>
      <c r="H809" s="53">
        <f t="shared" si="67"/>
        <v>2</v>
      </c>
      <c r="I809" s="53" t="str">
        <f t="shared" si="65"/>
        <v>ww</v>
      </c>
      <c r="J809" s="53"/>
    </row>
    <row r="810" spans="1:10" x14ac:dyDescent="0.25">
      <c r="A810" s="93">
        <v>43797</v>
      </c>
      <c r="B810" s="35">
        <f t="shared" si="63"/>
        <v>131</v>
      </c>
      <c r="C810" s="76">
        <v>11</v>
      </c>
      <c r="D810" s="76">
        <v>2019</v>
      </c>
      <c r="E810" s="56">
        <v>11.866666666666665</v>
      </c>
      <c r="F810" s="53">
        <f t="shared" si="64"/>
        <v>1</v>
      </c>
      <c r="G810" s="53">
        <f t="shared" si="66"/>
        <v>2</v>
      </c>
      <c r="H810" s="53">
        <f t="shared" si="67"/>
        <v>2</v>
      </c>
      <c r="I810" s="53" t="str">
        <f t="shared" si="65"/>
        <v>ww</v>
      </c>
      <c r="J810" s="53"/>
    </row>
    <row r="811" spans="1:10" x14ac:dyDescent="0.25">
      <c r="A811" s="93">
        <v>43798</v>
      </c>
      <c r="B811" s="35">
        <f t="shared" si="63"/>
        <v>131</v>
      </c>
      <c r="C811" s="76">
        <v>11</v>
      </c>
      <c r="D811" s="76">
        <v>2019</v>
      </c>
      <c r="E811" s="56">
        <v>6.1999999999999993</v>
      </c>
      <c r="F811" s="53">
        <f t="shared" si="64"/>
        <v>1</v>
      </c>
      <c r="G811" s="53">
        <f t="shared" si="66"/>
        <v>2</v>
      </c>
      <c r="H811" s="53">
        <f t="shared" si="67"/>
        <v>2</v>
      </c>
      <c r="I811" s="53" t="str">
        <f t="shared" si="65"/>
        <v>ww</v>
      </c>
      <c r="J811" s="53"/>
    </row>
    <row r="812" spans="1:10" x14ac:dyDescent="0.25">
      <c r="A812" s="93">
        <v>43799</v>
      </c>
      <c r="B812" s="35">
        <f t="shared" si="63"/>
        <v>131</v>
      </c>
      <c r="C812" s="76">
        <v>11</v>
      </c>
      <c r="D812" s="76">
        <v>2019</v>
      </c>
      <c r="E812" s="56">
        <v>0.46666666666666662</v>
      </c>
      <c r="F812" s="53">
        <f t="shared" si="64"/>
        <v>1</v>
      </c>
      <c r="G812" s="53">
        <f t="shared" si="66"/>
        <v>2</v>
      </c>
      <c r="H812" s="53">
        <f t="shared" si="67"/>
        <v>2</v>
      </c>
      <c r="I812" s="53" t="str">
        <f t="shared" si="65"/>
        <v>ww</v>
      </c>
      <c r="J812" s="53"/>
    </row>
    <row r="813" spans="1:10" x14ac:dyDescent="0.25">
      <c r="A813" s="93">
        <v>44136</v>
      </c>
      <c r="B813" s="35">
        <f t="shared" si="63"/>
        <v>143</v>
      </c>
      <c r="C813" s="76">
        <v>11</v>
      </c>
      <c r="D813" s="53">
        <v>2020</v>
      </c>
      <c r="E813" s="56">
        <v>38.233333333333334</v>
      </c>
      <c r="F813" s="53">
        <f t="shared" si="64"/>
        <v>1</v>
      </c>
      <c r="G813" s="53">
        <f t="shared" si="66"/>
        <v>2</v>
      </c>
      <c r="H813" s="53">
        <f t="shared" si="67"/>
        <v>2</v>
      </c>
      <c r="I813" s="53" t="str">
        <f t="shared" si="65"/>
        <v>ww</v>
      </c>
      <c r="J813" s="53"/>
    </row>
    <row r="814" spans="1:10" x14ac:dyDescent="0.25">
      <c r="A814" s="93">
        <v>44137</v>
      </c>
      <c r="B814" s="35">
        <f t="shared" si="63"/>
        <v>143</v>
      </c>
      <c r="C814" s="76">
        <v>11</v>
      </c>
      <c r="D814" s="53">
        <v>2020</v>
      </c>
      <c r="E814" s="56">
        <v>1.5333333333333332</v>
      </c>
      <c r="F814" s="53">
        <f t="shared" si="64"/>
        <v>1</v>
      </c>
      <c r="G814" s="53">
        <f t="shared" si="66"/>
        <v>2</v>
      </c>
      <c r="H814" s="53">
        <f t="shared" si="67"/>
        <v>2</v>
      </c>
      <c r="I814" s="53" t="str">
        <f t="shared" si="65"/>
        <v>ww</v>
      </c>
      <c r="J814" s="53"/>
    </row>
    <row r="815" spans="1:10" x14ac:dyDescent="0.25">
      <c r="A815" s="93">
        <v>44138</v>
      </c>
      <c r="B815" s="35">
        <f t="shared" si="63"/>
        <v>143</v>
      </c>
      <c r="C815" s="76">
        <v>11</v>
      </c>
      <c r="D815" s="53">
        <v>2020</v>
      </c>
      <c r="E815" s="56">
        <v>2.7333333333333338</v>
      </c>
      <c r="F815" s="53">
        <f t="shared" si="64"/>
        <v>1</v>
      </c>
      <c r="G815" s="53">
        <f t="shared" si="66"/>
        <v>2</v>
      </c>
      <c r="H815" s="53">
        <f t="shared" si="67"/>
        <v>2</v>
      </c>
      <c r="I815" s="53" t="str">
        <f t="shared" si="65"/>
        <v>ww</v>
      </c>
      <c r="J815" s="53"/>
    </row>
    <row r="816" spans="1:10" x14ac:dyDescent="0.25">
      <c r="A816" s="93">
        <v>44139</v>
      </c>
      <c r="B816" s="35">
        <f t="shared" si="63"/>
        <v>143</v>
      </c>
      <c r="C816" s="76">
        <v>11</v>
      </c>
      <c r="D816" s="53">
        <v>2020</v>
      </c>
      <c r="E816" s="56">
        <v>0</v>
      </c>
      <c r="F816" s="53">
        <f t="shared" si="64"/>
        <v>0</v>
      </c>
      <c r="G816" s="53">
        <f t="shared" si="66"/>
        <v>1</v>
      </c>
      <c r="H816" s="53">
        <f t="shared" si="67"/>
        <v>1</v>
      </c>
      <c r="I816" s="53" t="str">
        <f t="shared" si="65"/>
        <v>wd</v>
      </c>
      <c r="J816" s="53"/>
    </row>
    <row r="817" spans="1:10" x14ac:dyDescent="0.25">
      <c r="A817" s="93">
        <v>44140</v>
      </c>
      <c r="B817" s="35">
        <f t="shared" si="63"/>
        <v>143</v>
      </c>
      <c r="C817" s="76">
        <v>11</v>
      </c>
      <c r="D817" s="53">
        <v>2020</v>
      </c>
      <c r="E817" s="56">
        <v>0</v>
      </c>
      <c r="F817" s="53">
        <f t="shared" si="64"/>
        <v>0</v>
      </c>
      <c r="G817" s="53">
        <f t="shared" si="66"/>
        <v>0</v>
      </c>
      <c r="H817" s="53">
        <f t="shared" si="67"/>
        <v>0</v>
      </c>
      <c r="I817" s="53" t="str">
        <f t="shared" si="65"/>
        <v>dd</v>
      </c>
      <c r="J817" s="53"/>
    </row>
    <row r="818" spans="1:10" x14ac:dyDescent="0.25">
      <c r="A818" s="93">
        <v>44141</v>
      </c>
      <c r="B818" s="35">
        <f t="shared" si="63"/>
        <v>143</v>
      </c>
      <c r="C818" s="76">
        <v>11</v>
      </c>
      <c r="D818" s="53">
        <v>2020</v>
      </c>
      <c r="E818" s="56">
        <v>6.6666666666666666E-2</v>
      </c>
      <c r="F818" s="53">
        <f t="shared" si="64"/>
        <v>1</v>
      </c>
      <c r="G818" s="53">
        <f t="shared" si="66"/>
        <v>1</v>
      </c>
      <c r="H818" s="53">
        <f t="shared" si="67"/>
        <v>-1</v>
      </c>
      <c r="I818" s="53" t="str">
        <f t="shared" si="65"/>
        <v>dw</v>
      </c>
      <c r="J818" s="53"/>
    </row>
    <row r="819" spans="1:10" x14ac:dyDescent="0.25">
      <c r="A819" s="93">
        <v>44142</v>
      </c>
      <c r="B819" s="35">
        <f t="shared" si="63"/>
        <v>143</v>
      </c>
      <c r="C819" s="76">
        <v>11</v>
      </c>
      <c r="D819" s="53">
        <v>2020</v>
      </c>
      <c r="E819" s="56">
        <v>6.6666666666666666E-2</v>
      </c>
      <c r="F819" s="53">
        <f t="shared" si="64"/>
        <v>1</v>
      </c>
      <c r="G819" s="53">
        <f t="shared" si="66"/>
        <v>2</v>
      </c>
      <c r="H819" s="53">
        <f t="shared" si="67"/>
        <v>2</v>
      </c>
      <c r="I819" s="53" t="str">
        <f t="shared" si="65"/>
        <v>ww</v>
      </c>
      <c r="J819" s="53"/>
    </row>
    <row r="820" spans="1:10" x14ac:dyDescent="0.25">
      <c r="A820" s="93">
        <v>44143</v>
      </c>
      <c r="B820" s="35">
        <f t="shared" si="63"/>
        <v>143</v>
      </c>
      <c r="C820" s="76">
        <v>11</v>
      </c>
      <c r="D820" s="53">
        <v>2020</v>
      </c>
      <c r="E820" s="56">
        <v>0</v>
      </c>
      <c r="F820" s="53">
        <f t="shared" si="64"/>
        <v>0</v>
      </c>
      <c r="G820" s="53">
        <f t="shared" si="66"/>
        <v>1</v>
      </c>
      <c r="H820" s="53">
        <f t="shared" si="67"/>
        <v>1</v>
      </c>
      <c r="I820" s="53" t="str">
        <f t="shared" si="65"/>
        <v>wd</v>
      </c>
      <c r="J820" s="53"/>
    </row>
    <row r="821" spans="1:10" x14ac:dyDescent="0.25">
      <c r="A821" s="93">
        <v>44144</v>
      </c>
      <c r="B821" s="35">
        <f t="shared" si="63"/>
        <v>143</v>
      </c>
      <c r="C821" s="76">
        <v>11</v>
      </c>
      <c r="D821" s="53">
        <v>2020</v>
      </c>
      <c r="E821" s="56">
        <v>1.1333333333333333</v>
      </c>
      <c r="F821" s="53">
        <f t="shared" si="64"/>
        <v>1</v>
      </c>
      <c r="G821" s="53">
        <f t="shared" si="66"/>
        <v>1</v>
      </c>
      <c r="H821" s="53">
        <f t="shared" si="67"/>
        <v>-1</v>
      </c>
      <c r="I821" s="53" t="str">
        <f t="shared" si="65"/>
        <v>dw</v>
      </c>
      <c r="J821" s="53"/>
    </row>
    <row r="822" spans="1:10" x14ac:dyDescent="0.25">
      <c r="A822" s="93">
        <v>44145</v>
      </c>
      <c r="B822" s="35">
        <f t="shared" si="63"/>
        <v>143</v>
      </c>
      <c r="C822" s="76">
        <v>11</v>
      </c>
      <c r="D822" s="53">
        <v>2020</v>
      </c>
      <c r="E822" s="56">
        <v>6.6666666666666666E-2</v>
      </c>
      <c r="F822" s="53">
        <f t="shared" si="64"/>
        <v>1</v>
      </c>
      <c r="G822" s="53">
        <f t="shared" si="66"/>
        <v>2</v>
      </c>
      <c r="H822" s="53">
        <f t="shared" si="67"/>
        <v>2</v>
      </c>
      <c r="I822" s="53" t="str">
        <f t="shared" si="65"/>
        <v>ww</v>
      </c>
      <c r="J822" s="53"/>
    </row>
    <row r="823" spans="1:10" x14ac:dyDescent="0.25">
      <c r="A823" s="93">
        <v>44146</v>
      </c>
      <c r="B823" s="35">
        <f t="shared" si="63"/>
        <v>143</v>
      </c>
      <c r="C823" s="76">
        <v>11</v>
      </c>
      <c r="D823" s="53">
        <v>2020</v>
      </c>
      <c r="E823" s="56">
        <v>0.20000000000000004</v>
      </c>
      <c r="F823" s="53">
        <f t="shared" si="64"/>
        <v>1</v>
      </c>
      <c r="G823" s="53">
        <f t="shared" si="66"/>
        <v>2</v>
      </c>
      <c r="H823" s="53">
        <f t="shared" si="67"/>
        <v>2</v>
      </c>
      <c r="I823" s="53" t="str">
        <f t="shared" si="65"/>
        <v>ww</v>
      </c>
      <c r="J823" s="53"/>
    </row>
    <row r="824" spans="1:10" x14ac:dyDescent="0.25">
      <c r="A824" s="93">
        <v>44147</v>
      </c>
      <c r="B824" s="35">
        <f t="shared" si="63"/>
        <v>143</v>
      </c>
      <c r="C824" s="76">
        <v>11</v>
      </c>
      <c r="D824" s="53">
        <v>2020</v>
      </c>
      <c r="E824" s="56">
        <v>1</v>
      </c>
      <c r="F824" s="53">
        <f t="shared" si="64"/>
        <v>1</v>
      </c>
      <c r="G824" s="53">
        <f t="shared" si="66"/>
        <v>2</v>
      </c>
      <c r="H824" s="53">
        <f t="shared" si="67"/>
        <v>2</v>
      </c>
      <c r="I824" s="53" t="str">
        <f t="shared" si="65"/>
        <v>ww</v>
      </c>
      <c r="J824" s="53"/>
    </row>
    <row r="825" spans="1:10" x14ac:dyDescent="0.25">
      <c r="A825" s="93">
        <v>44148</v>
      </c>
      <c r="B825" s="35">
        <f t="shared" si="63"/>
        <v>143</v>
      </c>
      <c r="C825" s="76">
        <v>11</v>
      </c>
      <c r="D825" s="53">
        <v>2020</v>
      </c>
      <c r="E825" s="56">
        <v>0.53333333333333333</v>
      </c>
      <c r="F825" s="53">
        <f t="shared" si="64"/>
        <v>1</v>
      </c>
      <c r="G825" s="53">
        <f t="shared" si="66"/>
        <v>2</v>
      </c>
      <c r="H825" s="53">
        <f t="shared" si="67"/>
        <v>2</v>
      </c>
      <c r="I825" s="53" t="str">
        <f t="shared" si="65"/>
        <v>ww</v>
      </c>
      <c r="J825" s="53"/>
    </row>
    <row r="826" spans="1:10" x14ac:dyDescent="0.25">
      <c r="A826" s="93">
        <v>44149</v>
      </c>
      <c r="B826" s="35">
        <f t="shared" si="63"/>
        <v>143</v>
      </c>
      <c r="C826" s="76">
        <v>11</v>
      </c>
      <c r="D826" s="53">
        <v>2020</v>
      </c>
      <c r="E826" s="56">
        <v>0.93333333333333324</v>
      </c>
      <c r="F826" s="53">
        <f t="shared" si="64"/>
        <v>1</v>
      </c>
      <c r="G826" s="53">
        <f t="shared" si="66"/>
        <v>2</v>
      </c>
      <c r="H826" s="53">
        <f t="shared" si="67"/>
        <v>2</v>
      </c>
      <c r="I826" s="53" t="str">
        <f t="shared" si="65"/>
        <v>ww</v>
      </c>
      <c r="J826" s="53"/>
    </row>
    <row r="827" spans="1:10" x14ac:dyDescent="0.25">
      <c r="A827" s="93">
        <v>44150</v>
      </c>
      <c r="B827" s="35">
        <f t="shared" si="63"/>
        <v>143</v>
      </c>
      <c r="C827" s="76">
        <v>11</v>
      </c>
      <c r="D827" s="53">
        <v>2020</v>
      </c>
      <c r="E827" s="56">
        <v>0.26666666666666666</v>
      </c>
      <c r="F827" s="53">
        <f t="shared" si="64"/>
        <v>1</v>
      </c>
      <c r="G827" s="53">
        <f t="shared" si="66"/>
        <v>2</v>
      </c>
      <c r="H827" s="53">
        <f t="shared" si="67"/>
        <v>2</v>
      </c>
      <c r="I827" s="53" t="str">
        <f t="shared" si="65"/>
        <v>ww</v>
      </c>
      <c r="J827" s="53"/>
    </row>
    <row r="828" spans="1:10" x14ac:dyDescent="0.25">
      <c r="A828" s="93">
        <v>44151</v>
      </c>
      <c r="B828" s="35">
        <f t="shared" si="63"/>
        <v>143</v>
      </c>
      <c r="C828" s="76">
        <v>11</v>
      </c>
      <c r="D828" s="53">
        <v>2020</v>
      </c>
      <c r="E828" s="56">
        <v>1.2666666666666666</v>
      </c>
      <c r="F828" s="53">
        <f t="shared" si="64"/>
        <v>1</v>
      </c>
      <c r="G828" s="53">
        <f t="shared" si="66"/>
        <v>2</v>
      </c>
      <c r="H828" s="53">
        <f t="shared" si="67"/>
        <v>2</v>
      </c>
      <c r="I828" s="53" t="str">
        <f t="shared" si="65"/>
        <v>ww</v>
      </c>
      <c r="J828" s="53"/>
    </row>
    <row r="829" spans="1:10" x14ac:dyDescent="0.25">
      <c r="A829" s="93">
        <v>44152</v>
      </c>
      <c r="B829" s="35">
        <f t="shared" si="63"/>
        <v>143</v>
      </c>
      <c r="C829" s="76">
        <v>11</v>
      </c>
      <c r="D829" s="53">
        <v>2020</v>
      </c>
      <c r="E829" s="56">
        <v>0.26666666666666666</v>
      </c>
      <c r="F829" s="53">
        <f t="shared" si="64"/>
        <v>1</v>
      </c>
      <c r="G829" s="53">
        <f t="shared" si="66"/>
        <v>2</v>
      </c>
      <c r="H829" s="53">
        <f t="shared" si="67"/>
        <v>2</v>
      </c>
      <c r="I829" s="53" t="str">
        <f t="shared" si="65"/>
        <v>ww</v>
      </c>
      <c r="J829" s="53"/>
    </row>
    <row r="830" spans="1:10" x14ac:dyDescent="0.25">
      <c r="A830" s="93">
        <v>44153</v>
      </c>
      <c r="B830" s="35">
        <f t="shared" si="63"/>
        <v>143</v>
      </c>
      <c r="C830" s="76">
        <v>11</v>
      </c>
      <c r="D830" s="53">
        <v>2020</v>
      </c>
      <c r="E830" s="56">
        <v>0</v>
      </c>
      <c r="F830" s="53">
        <f t="shared" si="64"/>
        <v>0</v>
      </c>
      <c r="G830" s="53">
        <f t="shared" si="66"/>
        <v>1</v>
      </c>
      <c r="H830" s="53">
        <f t="shared" si="67"/>
        <v>1</v>
      </c>
      <c r="I830" s="53" t="str">
        <f t="shared" si="65"/>
        <v>wd</v>
      </c>
      <c r="J830" s="53"/>
    </row>
    <row r="831" spans="1:10" x14ac:dyDescent="0.25">
      <c r="A831" s="93">
        <v>44154</v>
      </c>
      <c r="B831" s="35">
        <f t="shared" si="63"/>
        <v>143</v>
      </c>
      <c r="C831" s="76">
        <v>11</v>
      </c>
      <c r="D831" s="53">
        <v>2020</v>
      </c>
      <c r="E831" s="56">
        <v>6.6666666666666666E-2</v>
      </c>
      <c r="F831" s="53">
        <f t="shared" si="64"/>
        <v>1</v>
      </c>
      <c r="G831" s="53">
        <f t="shared" si="66"/>
        <v>1</v>
      </c>
      <c r="H831" s="53">
        <f t="shared" si="67"/>
        <v>-1</v>
      </c>
      <c r="I831" s="53" t="str">
        <f t="shared" si="65"/>
        <v>dw</v>
      </c>
      <c r="J831" s="53"/>
    </row>
    <row r="832" spans="1:10" x14ac:dyDescent="0.25">
      <c r="A832" s="93">
        <v>44155</v>
      </c>
      <c r="B832" s="35">
        <f t="shared" si="63"/>
        <v>143</v>
      </c>
      <c r="C832" s="76">
        <v>11</v>
      </c>
      <c r="D832" s="53">
        <v>2020</v>
      </c>
      <c r="E832" s="56">
        <v>0</v>
      </c>
      <c r="F832" s="53">
        <f t="shared" si="64"/>
        <v>0</v>
      </c>
      <c r="G832" s="53">
        <f t="shared" si="66"/>
        <v>1</v>
      </c>
      <c r="H832" s="53">
        <f t="shared" si="67"/>
        <v>1</v>
      </c>
      <c r="I832" s="53" t="str">
        <f t="shared" si="65"/>
        <v>wd</v>
      </c>
      <c r="J832" s="53"/>
    </row>
    <row r="833" spans="1:10" x14ac:dyDescent="0.25">
      <c r="A833" s="93">
        <v>44156</v>
      </c>
      <c r="B833" s="35">
        <f t="shared" si="63"/>
        <v>143</v>
      </c>
      <c r="C833" s="76">
        <v>11</v>
      </c>
      <c r="D833" s="53">
        <v>2020</v>
      </c>
      <c r="E833" s="56">
        <v>0</v>
      </c>
      <c r="F833" s="53">
        <f t="shared" si="64"/>
        <v>0</v>
      </c>
      <c r="G833" s="53">
        <f t="shared" si="66"/>
        <v>0</v>
      </c>
      <c r="H833" s="53">
        <f t="shared" si="67"/>
        <v>0</v>
      </c>
      <c r="I833" s="53" t="str">
        <f t="shared" si="65"/>
        <v>dd</v>
      </c>
      <c r="J833" s="53"/>
    </row>
    <row r="834" spans="1:10" x14ac:dyDescent="0.25">
      <c r="A834" s="93">
        <v>44157</v>
      </c>
      <c r="B834" s="35">
        <f t="shared" ref="B834:B897" si="68">C834+(D834-2009)*12</f>
        <v>143</v>
      </c>
      <c r="C834" s="76">
        <v>11</v>
      </c>
      <c r="D834" s="53">
        <v>2020</v>
      </c>
      <c r="E834" s="56">
        <v>0.13333333333333333</v>
      </c>
      <c r="F834" s="53">
        <f t="shared" ref="F834:F897" si="69">IF(E834&gt;0,1,0)</f>
        <v>1</v>
      </c>
      <c r="G834" s="53">
        <f t="shared" si="66"/>
        <v>1</v>
      </c>
      <c r="H834" s="53">
        <f t="shared" si="67"/>
        <v>-1</v>
      </c>
      <c r="I834" s="53" t="str">
        <f t="shared" ref="I834:I897" si="70">VLOOKUP(H834,codes,2,)</f>
        <v>dw</v>
      </c>
      <c r="J834" s="53"/>
    </row>
    <row r="835" spans="1:10" x14ac:dyDescent="0.25">
      <c r="A835" s="93">
        <v>44158</v>
      </c>
      <c r="B835" s="35">
        <f t="shared" si="68"/>
        <v>143</v>
      </c>
      <c r="C835" s="76">
        <v>11</v>
      </c>
      <c r="D835" s="53">
        <v>2020</v>
      </c>
      <c r="E835" s="56">
        <v>0</v>
      </c>
      <c r="F835" s="53">
        <f t="shared" si="69"/>
        <v>0</v>
      </c>
      <c r="G835" s="53">
        <f t="shared" si="66"/>
        <v>1</v>
      </c>
      <c r="H835" s="53">
        <f t="shared" si="67"/>
        <v>1</v>
      </c>
      <c r="I835" s="53" t="str">
        <f t="shared" si="70"/>
        <v>wd</v>
      </c>
      <c r="J835" s="53"/>
    </row>
    <row r="836" spans="1:10" x14ac:dyDescent="0.25">
      <c r="A836" s="93">
        <v>44159</v>
      </c>
      <c r="B836" s="35">
        <f t="shared" si="68"/>
        <v>143</v>
      </c>
      <c r="C836" s="76">
        <v>11</v>
      </c>
      <c r="D836" s="53">
        <v>2020</v>
      </c>
      <c r="E836" s="56">
        <v>0</v>
      </c>
      <c r="F836" s="53">
        <f t="shared" si="69"/>
        <v>0</v>
      </c>
      <c r="G836" s="53">
        <f t="shared" si="66"/>
        <v>0</v>
      </c>
      <c r="H836" s="53">
        <f t="shared" si="67"/>
        <v>0</v>
      </c>
      <c r="I836" s="53" t="str">
        <f t="shared" si="70"/>
        <v>dd</v>
      </c>
      <c r="J836" s="53"/>
    </row>
    <row r="837" spans="1:10" x14ac:dyDescent="0.25">
      <c r="A837" s="93">
        <v>44160</v>
      </c>
      <c r="B837" s="35">
        <f t="shared" si="68"/>
        <v>143</v>
      </c>
      <c r="C837" s="76">
        <v>11</v>
      </c>
      <c r="D837" s="53">
        <v>2020</v>
      </c>
      <c r="E837" s="56">
        <v>0.53333333333333333</v>
      </c>
      <c r="F837" s="53">
        <f t="shared" si="69"/>
        <v>1</v>
      </c>
      <c r="G837" s="53">
        <f t="shared" si="66"/>
        <v>1</v>
      </c>
      <c r="H837" s="53">
        <f t="shared" si="67"/>
        <v>-1</v>
      </c>
      <c r="I837" s="53" t="str">
        <f t="shared" si="70"/>
        <v>dw</v>
      </c>
      <c r="J837" s="53"/>
    </row>
    <row r="838" spans="1:10" x14ac:dyDescent="0.25">
      <c r="A838" s="93">
        <v>44161</v>
      </c>
      <c r="B838" s="35">
        <f t="shared" si="68"/>
        <v>143</v>
      </c>
      <c r="C838" s="76">
        <v>11</v>
      </c>
      <c r="D838" s="53">
        <v>2020</v>
      </c>
      <c r="E838" s="56">
        <v>6.6666666666666666E-2</v>
      </c>
      <c r="F838" s="53">
        <f t="shared" si="69"/>
        <v>1</v>
      </c>
      <c r="G838" s="53">
        <f t="shared" si="66"/>
        <v>2</v>
      </c>
      <c r="H838" s="53">
        <f t="shared" si="67"/>
        <v>2</v>
      </c>
      <c r="I838" s="53" t="str">
        <f t="shared" si="70"/>
        <v>ww</v>
      </c>
      <c r="J838" s="53"/>
    </row>
    <row r="839" spans="1:10" x14ac:dyDescent="0.25">
      <c r="A839" s="93">
        <v>44162</v>
      </c>
      <c r="B839" s="35">
        <f t="shared" si="68"/>
        <v>143</v>
      </c>
      <c r="C839" s="76">
        <v>11</v>
      </c>
      <c r="D839" s="53">
        <v>2020</v>
      </c>
      <c r="E839" s="56">
        <v>0</v>
      </c>
      <c r="F839" s="53">
        <f t="shared" si="69"/>
        <v>0</v>
      </c>
      <c r="G839" s="53">
        <f t="shared" si="66"/>
        <v>1</v>
      </c>
      <c r="H839" s="53">
        <f t="shared" si="67"/>
        <v>1</v>
      </c>
      <c r="I839" s="53" t="str">
        <f t="shared" si="70"/>
        <v>wd</v>
      </c>
      <c r="J839" s="53"/>
    </row>
    <row r="840" spans="1:10" x14ac:dyDescent="0.25">
      <c r="A840" s="93">
        <v>44163</v>
      </c>
      <c r="B840" s="35">
        <f t="shared" si="68"/>
        <v>143</v>
      </c>
      <c r="C840" s="76">
        <v>11</v>
      </c>
      <c r="D840" s="53">
        <v>2020</v>
      </c>
      <c r="E840" s="56">
        <v>0</v>
      </c>
      <c r="F840" s="53">
        <f t="shared" si="69"/>
        <v>0</v>
      </c>
      <c r="G840" s="53">
        <f t="shared" si="66"/>
        <v>0</v>
      </c>
      <c r="H840" s="53">
        <f t="shared" si="67"/>
        <v>0</v>
      </c>
      <c r="I840" s="53" t="str">
        <f t="shared" si="70"/>
        <v>dd</v>
      </c>
      <c r="J840" s="53"/>
    </row>
    <row r="841" spans="1:10" x14ac:dyDescent="0.25">
      <c r="A841" s="93">
        <v>44164</v>
      </c>
      <c r="B841" s="35">
        <f t="shared" si="68"/>
        <v>143</v>
      </c>
      <c r="C841" s="76">
        <v>11</v>
      </c>
      <c r="D841" s="53">
        <v>2020</v>
      </c>
      <c r="E841" s="56">
        <v>0.46666666666666673</v>
      </c>
      <c r="F841" s="53">
        <f t="shared" si="69"/>
        <v>1</v>
      </c>
      <c r="G841" s="53">
        <f t="shared" si="66"/>
        <v>1</v>
      </c>
      <c r="H841" s="53">
        <f t="shared" si="67"/>
        <v>-1</v>
      </c>
      <c r="I841" s="53" t="str">
        <f t="shared" si="70"/>
        <v>dw</v>
      </c>
      <c r="J841" s="53"/>
    </row>
    <row r="842" spans="1:10" x14ac:dyDescent="0.25">
      <c r="A842" s="93">
        <v>44165</v>
      </c>
      <c r="B842" s="35">
        <f t="shared" si="68"/>
        <v>143</v>
      </c>
      <c r="C842" s="76">
        <v>11</v>
      </c>
      <c r="D842" s="53">
        <v>2020</v>
      </c>
      <c r="E842" s="56">
        <v>0.46666666666666662</v>
      </c>
      <c r="F842" s="53">
        <f t="shared" si="69"/>
        <v>1</v>
      </c>
      <c r="G842" s="53">
        <f t="shared" si="66"/>
        <v>2</v>
      </c>
      <c r="H842" s="53">
        <f t="shared" si="67"/>
        <v>2</v>
      </c>
      <c r="I842" s="53" t="str">
        <f t="shared" si="70"/>
        <v>ww</v>
      </c>
      <c r="J842" s="53"/>
    </row>
    <row r="843" spans="1:10" x14ac:dyDescent="0.25">
      <c r="A843" s="93">
        <v>44501</v>
      </c>
      <c r="B843" s="35">
        <f t="shared" si="68"/>
        <v>155</v>
      </c>
      <c r="C843" s="76">
        <v>11</v>
      </c>
      <c r="D843" s="53">
        <v>2021</v>
      </c>
      <c r="E843" s="56">
        <v>10.6</v>
      </c>
      <c r="F843" s="53">
        <f t="shared" si="69"/>
        <v>1</v>
      </c>
      <c r="G843" s="53">
        <f t="shared" si="66"/>
        <v>2</v>
      </c>
      <c r="H843" s="53">
        <f t="shared" si="67"/>
        <v>2</v>
      </c>
      <c r="I843" s="53" t="str">
        <f t="shared" si="70"/>
        <v>ww</v>
      </c>
      <c r="J843" s="53"/>
    </row>
    <row r="844" spans="1:10" x14ac:dyDescent="0.25">
      <c r="A844" s="93">
        <v>44502</v>
      </c>
      <c r="B844" s="35">
        <f t="shared" si="68"/>
        <v>155</v>
      </c>
      <c r="C844" s="76">
        <v>11</v>
      </c>
      <c r="D844" s="53">
        <v>2021</v>
      </c>
      <c r="E844" s="56">
        <v>0</v>
      </c>
      <c r="F844" s="53">
        <f t="shared" si="69"/>
        <v>0</v>
      </c>
      <c r="G844" s="53">
        <f t="shared" si="66"/>
        <v>1</v>
      </c>
      <c r="H844" s="53">
        <f t="shared" si="67"/>
        <v>1</v>
      </c>
      <c r="I844" s="53" t="str">
        <f t="shared" si="70"/>
        <v>wd</v>
      </c>
      <c r="J844" s="53"/>
    </row>
    <row r="845" spans="1:10" x14ac:dyDescent="0.25">
      <c r="A845" s="93">
        <v>44503</v>
      </c>
      <c r="B845" s="35">
        <f t="shared" si="68"/>
        <v>155</v>
      </c>
      <c r="C845" s="76">
        <v>11</v>
      </c>
      <c r="D845" s="53">
        <v>2021</v>
      </c>
      <c r="E845" s="56">
        <v>1.4000000000000001</v>
      </c>
      <c r="F845" s="53">
        <f t="shared" si="69"/>
        <v>1</v>
      </c>
      <c r="G845" s="53">
        <f t="shared" si="66"/>
        <v>1</v>
      </c>
      <c r="H845" s="53">
        <f t="shared" si="67"/>
        <v>-1</v>
      </c>
      <c r="I845" s="53" t="str">
        <f t="shared" si="70"/>
        <v>dw</v>
      </c>
      <c r="J845" s="53"/>
    </row>
    <row r="846" spans="1:10" x14ac:dyDescent="0.25">
      <c r="A846" s="93">
        <v>44504</v>
      </c>
      <c r="B846" s="35">
        <f t="shared" si="68"/>
        <v>155</v>
      </c>
      <c r="C846" s="76">
        <v>11</v>
      </c>
      <c r="D846" s="53">
        <v>2021</v>
      </c>
      <c r="E846" s="56">
        <v>5.2666666666666666</v>
      </c>
      <c r="F846" s="53">
        <f t="shared" si="69"/>
        <v>1</v>
      </c>
      <c r="G846" s="53">
        <f t="shared" si="66"/>
        <v>2</v>
      </c>
      <c r="H846" s="53">
        <f t="shared" si="67"/>
        <v>2</v>
      </c>
      <c r="I846" s="53" t="str">
        <f t="shared" si="70"/>
        <v>ww</v>
      </c>
      <c r="J846" s="53"/>
    </row>
    <row r="847" spans="1:10" x14ac:dyDescent="0.25">
      <c r="A847" s="93">
        <v>44505</v>
      </c>
      <c r="B847" s="35">
        <f t="shared" si="68"/>
        <v>155</v>
      </c>
      <c r="C847" s="76">
        <v>11</v>
      </c>
      <c r="D847" s="53">
        <v>2021</v>
      </c>
      <c r="E847" s="56">
        <v>0</v>
      </c>
      <c r="F847" s="53">
        <f t="shared" si="69"/>
        <v>0</v>
      </c>
      <c r="G847" s="53">
        <f t="shared" si="66"/>
        <v>1</v>
      </c>
      <c r="H847" s="53">
        <f t="shared" si="67"/>
        <v>1</v>
      </c>
      <c r="I847" s="53" t="str">
        <f t="shared" si="70"/>
        <v>wd</v>
      </c>
      <c r="J847" s="53"/>
    </row>
    <row r="848" spans="1:10" x14ac:dyDescent="0.25">
      <c r="A848" s="93">
        <v>44506</v>
      </c>
      <c r="B848" s="35">
        <f t="shared" si="68"/>
        <v>155</v>
      </c>
      <c r="C848" s="76">
        <v>11</v>
      </c>
      <c r="D848" s="53">
        <v>2021</v>
      </c>
      <c r="E848" s="56">
        <v>0</v>
      </c>
      <c r="F848" s="53">
        <f t="shared" si="69"/>
        <v>0</v>
      </c>
      <c r="G848" s="53">
        <f t="shared" si="66"/>
        <v>0</v>
      </c>
      <c r="H848" s="53">
        <f t="shared" si="67"/>
        <v>0</v>
      </c>
      <c r="I848" s="53" t="str">
        <f t="shared" si="70"/>
        <v>dd</v>
      </c>
      <c r="J848" s="53"/>
    </row>
    <row r="849" spans="1:10" x14ac:dyDescent="0.25">
      <c r="A849" s="93">
        <v>44507</v>
      </c>
      <c r="B849" s="35">
        <f t="shared" si="68"/>
        <v>155</v>
      </c>
      <c r="C849" s="76">
        <v>11</v>
      </c>
      <c r="D849" s="53">
        <v>2021</v>
      </c>
      <c r="E849" s="56">
        <v>1</v>
      </c>
      <c r="F849" s="53">
        <f t="shared" si="69"/>
        <v>1</v>
      </c>
      <c r="G849" s="53">
        <f t="shared" si="66"/>
        <v>1</v>
      </c>
      <c r="H849" s="53">
        <f t="shared" si="67"/>
        <v>-1</v>
      </c>
      <c r="I849" s="53" t="str">
        <f t="shared" si="70"/>
        <v>dw</v>
      </c>
      <c r="J849" s="53"/>
    </row>
    <row r="850" spans="1:10" x14ac:dyDescent="0.25">
      <c r="A850" s="93">
        <v>44508</v>
      </c>
      <c r="B850" s="35">
        <f t="shared" si="68"/>
        <v>155</v>
      </c>
      <c r="C850" s="76">
        <v>11</v>
      </c>
      <c r="D850" s="53">
        <v>2021</v>
      </c>
      <c r="E850" s="56">
        <v>0.13333333333333333</v>
      </c>
      <c r="F850" s="53">
        <f t="shared" si="69"/>
        <v>1</v>
      </c>
      <c r="G850" s="53">
        <f t="shared" si="66"/>
        <v>2</v>
      </c>
      <c r="H850" s="53">
        <f t="shared" si="67"/>
        <v>2</v>
      </c>
      <c r="I850" s="53" t="str">
        <f t="shared" si="70"/>
        <v>ww</v>
      </c>
      <c r="J850" s="53"/>
    </row>
    <row r="851" spans="1:10" x14ac:dyDescent="0.25">
      <c r="A851" s="93">
        <v>44509</v>
      </c>
      <c r="B851" s="35">
        <f t="shared" si="68"/>
        <v>155</v>
      </c>
      <c r="C851" s="76">
        <v>11</v>
      </c>
      <c r="D851" s="53">
        <v>2021</v>
      </c>
      <c r="E851" s="56">
        <v>6.6666666666666666E-2</v>
      </c>
      <c r="F851" s="53">
        <f t="shared" si="69"/>
        <v>1</v>
      </c>
      <c r="G851" s="53">
        <f t="shared" si="66"/>
        <v>2</v>
      </c>
      <c r="H851" s="53">
        <f t="shared" si="67"/>
        <v>2</v>
      </c>
      <c r="I851" s="53" t="str">
        <f t="shared" si="70"/>
        <v>ww</v>
      </c>
      <c r="J851" s="53"/>
    </row>
    <row r="852" spans="1:10" x14ac:dyDescent="0.25">
      <c r="A852" s="93">
        <v>44510</v>
      </c>
      <c r="B852" s="35">
        <f t="shared" si="68"/>
        <v>155</v>
      </c>
      <c r="C852" s="76">
        <v>11</v>
      </c>
      <c r="D852" s="53">
        <v>2021</v>
      </c>
      <c r="E852" s="56">
        <v>0</v>
      </c>
      <c r="F852" s="53">
        <f t="shared" si="69"/>
        <v>0</v>
      </c>
      <c r="G852" s="53">
        <f t="shared" si="66"/>
        <v>1</v>
      </c>
      <c r="H852" s="53">
        <f t="shared" si="67"/>
        <v>1</v>
      </c>
      <c r="I852" s="53" t="str">
        <f t="shared" si="70"/>
        <v>wd</v>
      </c>
      <c r="J852" s="53"/>
    </row>
    <row r="853" spans="1:10" x14ac:dyDescent="0.25">
      <c r="A853" s="93">
        <v>44511</v>
      </c>
      <c r="B853" s="35">
        <f t="shared" si="68"/>
        <v>155</v>
      </c>
      <c r="C853" s="76">
        <v>11</v>
      </c>
      <c r="D853" s="53">
        <v>2021</v>
      </c>
      <c r="E853" s="56">
        <v>0</v>
      </c>
      <c r="F853" s="53">
        <f t="shared" si="69"/>
        <v>0</v>
      </c>
      <c r="G853" s="53">
        <f t="shared" si="66"/>
        <v>0</v>
      </c>
      <c r="H853" s="53">
        <f t="shared" si="67"/>
        <v>0</v>
      </c>
      <c r="I853" s="53" t="str">
        <f t="shared" si="70"/>
        <v>dd</v>
      </c>
      <c r="J853" s="53"/>
    </row>
    <row r="854" spans="1:10" x14ac:dyDescent="0.25">
      <c r="A854" s="93">
        <v>44512</v>
      </c>
      <c r="B854" s="35">
        <f t="shared" si="68"/>
        <v>155</v>
      </c>
      <c r="C854" s="76">
        <v>11</v>
      </c>
      <c r="D854" s="53">
        <v>2021</v>
      </c>
      <c r="E854" s="56">
        <v>0.13333333333333333</v>
      </c>
      <c r="F854" s="53">
        <f t="shared" si="69"/>
        <v>1</v>
      </c>
      <c r="G854" s="53">
        <f t="shared" si="66"/>
        <v>1</v>
      </c>
      <c r="H854" s="53">
        <f t="shared" si="67"/>
        <v>-1</v>
      </c>
      <c r="I854" s="53" t="str">
        <f t="shared" si="70"/>
        <v>dw</v>
      </c>
      <c r="J854" s="53"/>
    </row>
    <row r="855" spans="1:10" x14ac:dyDescent="0.25">
      <c r="A855" s="93">
        <v>44513</v>
      </c>
      <c r="B855" s="35">
        <f t="shared" si="68"/>
        <v>155</v>
      </c>
      <c r="C855" s="76">
        <v>11</v>
      </c>
      <c r="D855" s="53">
        <v>2021</v>
      </c>
      <c r="E855" s="56">
        <v>0.40000000000000008</v>
      </c>
      <c r="F855" s="53">
        <f t="shared" si="69"/>
        <v>1</v>
      </c>
      <c r="G855" s="53">
        <f t="shared" si="66"/>
        <v>2</v>
      </c>
      <c r="H855" s="53">
        <f t="shared" si="67"/>
        <v>2</v>
      </c>
      <c r="I855" s="53" t="str">
        <f t="shared" si="70"/>
        <v>ww</v>
      </c>
      <c r="J855" s="53"/>
    </row>
    <row r="856" spans="1:10" x14ac:dyDescent="0.25">
      <c r="A856" s="93">
        <v>44514</v>
      </c>
      <c r="B856" s="35">
        <f t="shared" si="68"/>
        <v>155</v>
      </c>
      <c r="C856" s="76">
        <v>11</v>
      </c>
      <c r="D856" s="53">
        <v>2021</v>
      </c>
      <c r="E856" s="56">
        <v>0.19999999999999998</v>
      </c>
      <c r="F856" s="53">
        <f t="shared" si="69"/>
        <v>1</v>
      </c>
      <c r="G856" s="53">
        <f t="shared" si="66"/>
        <v>2</v>
      </c>
      <c r="H856" s="53">
        <f t="shared" si="67"/>
        <v>2</v>
      </c>
      <c r="I856" s="53" t="str">
        <f t="shared" si="70"/>
        <v>ww</v>
      </c>
      <c r="J856" s="53"/>
    </row>
    <row r="857" spans="1:10" x14ac:dyDescent="0.25">
      <c r="A857" s="93">
        <v>44515</v>
      </c>
      <c r="B857" s="35">
        <f t="shared" si="68"/>
        <v>155</v>
      </c>
      <c r="C857" s="76">
        <v>11</v>
      </c>
      <c r="D857" s="53">
        <v>2021</v>
      </c>
      <c r="E857" s="56">
        <v>6.6666666666666666E-2</v>
      </c>
      <c r="F857" s="53">
        <f t="shared" si="69"/>
        <v>1</v>
      </c>
      <c r="G857" s="53">
        <f t="shared" si="66"/>
        <v>2</v>
      </c>
      <c r="H857" s="53">
        <f t="shared" si="67"/>
        <v>2</v>
      </c>
      <c r="I857" s="53" t="str">
        <f t="shared" si="70"/>
        <v>ww</v>
      </c>
      <c r="J857" s="53"/>
    </row>
    <row r="858" spans="1:10" x14ac:dyDescent="0.25">
      <c r="A858" s="93">
        <v>44516</v>
      </c>
      <c r="B858" s="35">
        <f t="shared" si="68"/>
        <v>155</v>
      </c>
      <c r="C858" s="76">
        <v>11</v>
      </c>
      <c r="D858" s="53">
        <v>2021</v>
      </c>
      <c r="E858" s="56">
        <v>1.2</v>
      </c>
      <c r="F858" s="53">
        <f t="shared" si="69"/>
        <v>1</v>
      </c>
      <c r="G858" s="53">
        <f t="shared" si="66"/>
        <v>2</v>
      </c>
      <c r="H858" s="53">
        <f t="shared" si="67"/>
        <v>2</v>
      </c>
      <c r="I858" s="53" t="str">
        <f t="shared" si="70"/>
        <v>ww</v>
      </c>
      <c r="J858" s="53"/>
    </row>
    <row r="859" spans="1:10" x14ac:dyDescent="0.25">
      <c r="A859" s="93">
        <v>44517</v>
      </c>
      <c r="B859" s="35">
        <f t="shared" si="68"/>
        <v>155</v>
      </c>
      <c r="C859" s="76">
        <v>11</v>
      </c>
      <c r="D859" s="53">
        <v>2021</v>
      </c>
      <c r="E859" s="56">
        <v>0.39999999999999997</v>
      </c>
      <c r="F859" s="53">
        <f t="shared" si="69"/>
        <v>1</v>
      </c>
      <c r="G859" s="53">
        <f t="shared" si="66"/>
        <v>2</v>
      </c>
      <c r="H859" s="53">
        <f t="shared" si="67"/>
        <v>2</v>
      </c>
      <c r="I859" s="53" t="str">
        <f t="shared" si="70"/>
        <v>ww</v>
      </c>
      <c r="J859" s="53"/>
    </row>
    <row r="860" spans="1:10" x14ac:dyDescent="0.25">
      <c r="A860" s="93">
        <v>44518</v>
      </c>
      <c r="B860" s="35">
        <f t="shared" si="68"/>
        <v>155</v>
      </c>
      <c r="C860" s="76">
        <v>11</v>
      </c>
      <c r="D860" s="53">
        <v>2021</v>
      </c>
      <c r="E860" s="56">
        <v>0</v>
      </c>
      <c r="F860" s="53">
        <f t="shared" si="69"/>
        <v>0</v>
      </c>
      <c r="G860" s="53">
        <f t="shared" si="66"/>
        <v>1</v>
      </c>
      <c r="H860" s="53">
        <f t="shared" si="67"/>
        <v>1</v>
      </c>
      <c r="I860" s="53" t="str">
        <f t="shared" si="70"/>
        <v>wd</v>
      </c>
      <c r="J860" s="53"/>
    </row>
    <row r="861" spans="1:10" x14ac:dyDescent="0.25">
      <c r="A861" s="93">
        <v>44519</v>
      </c>
      <c r="B861" s="35">
        <f t="shared" si="68"/>
        <v>155</v>
      </c>
      <c r="C861" s="76">
        <v>11</v>
      </c>
      <c r="D861" s="53">
        <v>2021</v>
      </c>
      <c r="E861" s="56">
        <v>6.6666666666666666E-2</v>
      </c>
      <c r="F861" s="53">
        <f t="shared" si="69"/>
        <v>1</v>
      </c>
      <c r="G861" s="53">
        <f t="shared" si="66"/>
        <v>1</v>
      </c>
      <c r="H861" s="53">
        <f t="shared" si="67"/>
        <v>-1</v>
      </c>
      <c r="I861" s="53" t="str">
        <f t="shared" si="70"/>
        <v>dw</v>
      </c>
      <c r="J861" s="53"/>
    </row>
    <row r="862" spans="1:10" x14ac:dyDescent="0.25">
      <c r="A862" s="93">
        <v>44520</v>
      </c>
      <c r="B862" s="35">
        <f t="shared" si="68"/>
        <v>155</v>
      </c>
      <c r="C862" s="76">
        <v>11</v>
      </c>
      <c r="D862" s="53">
        <v>2021</v>
      </c>
      <c r="E862" s="56">
        <v>0</v>
      </c>
      <c r="F862" s="53">
        <f t="shared" si="69"/>
        <v>0</v>
      </c>
      <c r="G862" s="53">
        <f t="shared" si="66"/>
        <v>1</v>
      </c>
      <c r="H862" s="53">
        <f t="shared" si="67"/>
        <v>1</v>
      </c>
      <c r="I862" s="53" t="str">
        <f t="shared" si="70"/>
        <v>wd</v>
      </c>
      <c r="J862" s="53"/>
    </row>
    <row r="863" spans="1:10" x14ac:dyDescent="0.25">
      <c r="A863" s="93">
        <v>44521</v>
      </c>
      <c r="B863" s="35">
        <f t="shared" si="68"/>
        <v>155</v>
      </c>
      <c r="C863" s="76">
        <v>11</v>
      </c>
      <c r="D863" s="53">
        <v>2021</v>
      </c>
      <c r="E863" s="56">
        <v>0</v>
      </c>
      <c r="F863" s="53">
        <f t="shared" si="69"/>
        <v>0</v>
      </c>
      <c r="G863" s="53">
        <f t="shared" si="66"/>
        <v>0</v>
      </c>
      <c r="H863" s="53">
        <f t="shared" si="67"/>
        <v>0</v>
      </c>
      <c r="I863" s="53" t="str">
        <f t="shared" si="70"/>
        <v>dd</v>
      </c>
      <c r="J863" s="53"/>
    </row>
    <row r="864" spans="1:10" x14ac:dyDescent="0.25">
      <c r="A864" s="93">
        <v>44522</v>
      </c>
      <c r="B864" s="35">
        <f t="shared" si="68"/>
        <v>155</v>
      </c>
      <c r="C864" s="76">
        <v>11</v>
      </c>
      <c r="D864" s="53">
        <v>2021</v>
      </c>
      <c r="E864" s="56">
        <v>3.4</v>
      </c>
      <c r="F864" s="53">
        <f t="shared" si="69"/>
        <v>1</v>
      </c>
      <c r="G864" s="53">
        <f t="shared" si="66"/>
        <v>1</v>
      </c>
      <c r="H864" s="53">
        <f t="shared" si="67"/>
        <v>-1</v>
      </c>
      <c r="I864" s="53" t="str">
        <f t="shared" si="70"/>
        <v>dw</v>
      </c>
      <c r="J864" s="53"/>
    </row>
    <row r="865" spans="1:10" x14ac:dyDescent="0.25">
      <c r="A865" s="93">
        <v>44523</v>
      </c>
      <c r="B865" s="35">
        <f t="shared" si="68"/>
        <v>155</v>
      </c>
      <c r="C865" s="76">
        <v>11</v>
      </c>
      <c r="D865" s="53">
        <v>2021</v>
      </c>
      <c r="E865" s="56">
        <v>0</v>
      </c>
      <c r="F865" s="53">
        <f t="shared" si="69"/>
        <v>0</v>
      </c>
      <c r="G865" s="53">
        <f t="shared" si="66"/>
        <v>1</v>
      </c>
      <c r="H865" s="53">
        <f t="shared" si="67"/>
        <v>1</v>
      </c>
      <c r="I865" s="53" t="str">
        <f t="shared" si="70"/>
        <v>wd</v>
      </c>
      <c r="J865" s="53"/>
    </row>
    <row r="866" spans="1:10" x14ac:dyDescent="0.25">
      <c r="A866" s="93">
        <v>44524</v>
      </c>
      <c r="B866" s="35">
        <f t="shared" si="68"/>
        <v>155</v>
      </c>
      <c r="C866" s="76">
        <v>11</v>
      </c>
      <c r="D866" s="53">
        <v>2021</v>
      </c>
      <c r="E866" s="56">
        <v>0</v>
      </c>
      <c r="F866" s="53">
        <f t="shared" si="69"/>
        <v>0</v>
      </c>
      <c r="G866" s="53">
        <f t="shared" si="66"/>
        <v>0</v>
      </c>
      <c r="H866" s="53">
        <f t="shared" si="67"/>
        <v>0</v>
      </c>
      <c r="I866" s="53" t="str">
        <f t="shared" si="70"/>
        <v>dd</v>
      </c>
      <c r="J866" s="53"/>
    </row>
    <row r="867" spans="1:10" x14ac:dyDescent="0.25">
      <c r="A867" s="93">
        <v>44525</v>
      </c>
      <c r="B867" s="35">
        <f t="shared" si="68"/>
        <v>155</v>
      </c>
      <c r="C867" s="76">
        <v>11</v>
      </c>
      <c r="D867" s="53">
        <v>2021</v>
      </c>
      <c r="E867" s="56">
        <v>0</v>
      </c>
      <c r="F867" s="53">
        <f t="shared" si="69"/>
        <v>0</v>
      </c>
      <c r="G867" s="53">
        <f t="shared" si="66"/>
        <v>0</v>
      </c>
      <c r="H867" s="53">
        <f t="shared" si="67"/>
        <v>0</v>
      </c>
      <c r="I867" s="53" t="str">
        <f t="shared" si="70"/>
        <v>dd</v>
      </c>
      <c r="J867" s="53"/>
    </row>
    <row r="868" spans="1:10" x14ac:dyDescent="0.25">
      <c r="A868" s="93">
        <v>44526</v>
      </c>
      <c r="B868" s="35">
        <f t="shared" si="68"/>
        <v>155</v>
      </c>
      <c r="C868" s="76">
        <v>11</v>
      </c>
      <c r="D868" s="53">
        <v>2021</v>
      </c>
      <c r="E868" s="56">
        <v>0.6</v>
      </c>
      <c r="F868" s="53">
        <f t="shared" si="69"/>
        <v>1</v>
      </c>
      <c r="G868" s="53">
        <f t="shared" ref="G868:G931" si="71">SUM(F867:F868)</f>
        <v>1</v>
      </c>
      <c r="H868" s="53">
        <f t="shared" ref="H868:H931" si="72">IF(G868=1,IF(F867=1,1,-1),G868)</f>
        <v>-1</v>
      </c>
      <c r="I868" s="53" t="str">
        <f t="shared" si="70"/>
        <v>dw</v>
      </c>
      <c r="J868" s="53"/>
    </row>
    <row r="869" spans="1:10" x14ac:dyDescent="0.25">
      <c r="A869" s="93">
        <v>44527</v>
      </c>
      <c r="B869" s="35">
        <f t="shared" si="68"/>
        <v>155</v>
      </c>
      <c r="C869" s="76">
        <v>11</v>
      </c>
      <c r="D869" s="53">
        <v>2021</v>
      </c>
      <c r="E869" s="56">
        <v>25.066666666666666</v>
      </c>
      <c r="F869" s="53">
        <f t="shared" si="69"/>
        <v>1</v>
      </c>
      <c r="G869" s="53">
        <f t="shared" si="71"/>
        <v>2</v>
      </c>
      <c r="H869" s="53">
        <f t="shared" si="72"/>
        <v>2</v>
      </c>
      <c r="I869" s="53" t="str">
        <f t="shared" si="70"/>
        <v>ww</v>
      </c>
      <c r="J869" s="53"/>
    </row>
    <row r="870" spans="1:10" x14ac:dyDescent="0.25">
      <c r="A870" s="93">
        <v>44528</v>
      </c>
      <c r="B870" s="35">
        <f t="shared" si="68"/>
        <v>155</v>
      </c>
      <c r="C870" s="76">
        <v>11</v>
      </c>
      <c r="D870" s="53">
        <v>2021</v>
      </c>
      <c r="E870" s="56">
        <v>1.7333333333333334</v>
      </c>
      <c r="F870" s="53">
        <f t="shared" si="69"/>
        <v>1</v>
      </c>
      <c r="G870" s="53">
        <f t="shared" si="71"/>
        <v>2</v>
      </c>
      <c r="H870" s="53">
        <f t="shared" si="72"/>
        <v>2</v>
      </c>
      <c r="I870" s="53" t="str">
        <f t="shared" si="70"/>
        <v>ww</v>
      </c>
      <c r="J870" s="53"/>
    </row>
    <row r="871" spans="1:10" x14ac:dyDescent="0.25">
      <c r="A871" s="93">
        <v>44529</v>
      </c>
      <c r="B871" s="35">
        <f t="shared" si="68"/>
        <v>155</v>
      </c>
      <c r="C871" s="76">
        <v>11</v>
      </c>
      <c r="D871" s="53">
        <v>2021</v>
      </c>
      <c r="E871" s="56">
        <v>3.3333333333333335</v>
      </c>
      <c r="F871" s="53">
        <f t="shared" si="69"/>
        <v>1</v>
      </c>
      <c r="G871" s="53">
        <f t="shared" si="71"/>
        <v>2</v>
      </c>
      <c r="H871" s="53">
        <f t="shared" si="72"/>
        <v>2</v>
      </c>
      <c r="I871" s="53" t="str">
        <f t="shared" si="70"/>
        <v>ww</v>
      </c>
      <c r="J871" s="53"/>
    </row>
    <row r="872" spans="1:10" x14ac:dyDescent="0.25">
      <c r="A872" s="93">
        <v>44530</v>
      </c>
      <c r="B872" s="35">
        <f t="shared" si="68"/>
        <v>155</v>
      </c>
      <c r="C872" s="76">
        <v>11</v>
      </c>
      <c r="D872" s="53">
        <v>2021</v>
      </c>
      <c r="E872" s="56">
        <v>0.86666666666666659</v>
      </c>
      <c r="F872" s="53">
        <f t="shared" si="69"/>
        <v>1</v>
      </c>
      <c r="G872" s="53">
        <f t="shared" si="71"/>
        <v>2</v>
      </c>
      <c r="H872" s="53">
        <f t="shared" si="72"/>
        <v>2</v>
      </c>
      <c r="I872" s="53" t="str">
        <f t="shared" si="70"/>
        <v>ww</v>
      </c>
      <c r="J872" s="53"/>
    </row>
    <row r="873" spans="1:10" x14ac:dyDescent="0.25">
      <c r="A873" s="93">
        <v>44866</v>
      </c>
      <c r="B873" s="35">
        <f t="shared" si="68"/>
        <v>167</v>
      </c>
      <c r="C873" s="76">
        <v>11</v>
      </c>
      <c r="D873" s="53">
        <v>2022</v>
      </c>
      <c r="E873" s="56">
        <v>12.4</v>
      </c>
      <c r="F873" s="53">
        <f t="shared" si="69"/>
        <v>1</v>
      </c>
      <c r="G873" s="53">
        <f t="shared" si="71"/>
        <v>2</v>
      </c>
      <c r="H873" s="53">
        <f t="shared" si="72"/>
        <v>2</v>
      </c>
      <c r="I873" s="53" t="str">
        <f t="shared" si="70"/>
        <v>ww</v>
      </c>
      <c r="J873" s="53"/>
    </row>
    <row r="874" spans="1:10" x14ac:dyDescent="0.25">
      <c r="A874" s="93">
        <v>44867</v>
      </c>
      <c r="B874" s="35">
        <f t="shared" si="68"/>
        <v>167</v>
      </c>
      <c r="C874" s="76">
        <v>11</v>
      </c>
      <c r="D874" s="53">
        <v>2022</v>
      </c>
      <c r="E874" s="56">
        <v>6.6666666666666666E-2</v>
      </c>
      <c r="F874" s="53">
        <f t="shared" si="69"/>
        <v>1</v>
      </c>
      <c r="G874" s="53">
        <f t="shared" si="71"/>
        <v>2</v>
      </c>
      <c r="H874" s="53">
        <f t="shared" si="72"/>
        <v>2</v>
      </c>
      <c r="I874" s="53" t="str">
        <f t="shared" si="70"/>
        <v>ww</v>
      </c>
      <c r="J874" s="53"/>
    </row>
    <row r="875" spans="1:10" x14ac:dyDescent="0.25">
      <c r="A875" s="93">
        <v>44868</v>
      </c>
      <c r="B875" s="35">
        <f t="shared" si="68"/>
        <v>167</v>
      </c>
      <c r="C875" s="76">
        <v>11</v>
      </c>
      <c r="D875" s="53">
        <v>2022</v>
      </c>
      <c r="E875" s="56">
        <v>3.2666666666666671</v>
      </c>
      <c r="F875" s="53">
        <f t="shared" si="69"/>
        <v>1</v>
      </c>
      <c r="G875" s="53">
        <f t="shared" si="71"/>
        <v>2</v>
      </c>
      <c r="H875" s="53">
        <f t="shared" si="72"/>
        <v>2</v>
      </c>
      <c r="I875" s="53" t="str">
        <f t="shared" si="70"/>
        <v>ww</v>
      </c>
      <c r="J875" s="53"/>
    </row>
    <row r="876" spans="1:10" x14ac:dyDescent="0.25">
      <c r="A876" s="93">
        <v>44869</v>
      </c>
      <c r="B876" s="35">
        <f t="shared" si="68"/>
        <v>167</v>
      </c>
      <c r="C876" s="76">
        <v>11</v>
      </c>
      <c r="D876" s="53">
        <v>2022</v>
      </c>
      <c r="E876" s="56">
        <v>0</v>
      </c>
      <c r="F876" s="53">
        <f t="shared" si="69"/>
        <v>0</v>
      </c>
      <c r="G876" s="53">
        <f t="shared" si="71"/>
        <v>1</v>
      </c>
      <c r="H876" s="53">
        <f t="shared" si="72"/>
        <v>1</v>
      </c>
      <c r="I876" s="53" t="str">
        <f t="shared" si="70"/>
        <v>wd</v>
      </c>
      <c r="J876" s="53"/>
    </row>
    <row r="877" spans="1:10" x14ac:dyDescent="0.25">
      <c r="A877" s="93">
        <v>44870</v>
      </c>
      <c r="B877" s="35">
        <f t="shared" si="68"/>
        <v>167</v>
      </c>
      <c r="C877" s="76">
        <v>11</v>
      </c>
      <c r="D877" s="53">
        <v>2022</v>
      </c>
      <c r="E877" s="56">
        <v>0.40000000000000008</v>
      </c>
      <c r="F877" s="53">
        <f t="shared" si="69"/>
        <v>1</v>
      </c>
      <c r="G877" s="53">
        <f t="shared" si="71"/>
        <v>1</v>
      </c>
      <c r="H877" s="53">
        <f t="shared" si="72"/>
        <v>-1</v>
      </c>
      <c r="I877" s="53" t="str">
        <f t="shared" si="70"/>
        <v>dw</v>
      </c>
      <c r="J877" s="53"/>
    </row>
    <row r="878" spans="1:10" x14ac:dyDescent="0.25">
      <c r="A878" s="93">
        <v>44871</v>
      </c>
      <c r="B878" s="35">
        <f t="shared" si="68"/>
        <v>167</v>
      </c>
      <c r="C878" s="76">
        <v>11</v>
      </c>
      <c r="D878" s="53">
        <v>2022</v>
      </c>
      <c r="E878" s="56">
        <v>1.4666666666666668</v>
      </c>
      <c r="F878" s="53">
        <f t="shared" si="69"/>
        <v>1</v>
      </c>
      <c r="G878" s="53">
        <f t="shared" si="71"/>
        <v>2</v>
      </c>
      <c r="H878" s="53">
        <f t="shared" si="72"/>
        <v>2</v>
      </c>
      <c r="I878" s="53" t="str">
        <f t="shared" si="70"/>
        <v>ww</v>
      </c>
      <c r="J878" s="53"/>
    </row>
    <row r="879" spans="1:10" x14ac:dyDescent="0.25">
      <c r="A879" s="93">
        <v>44872</v>
      </c>
      <c r="B879" s="35">
        <f t="shared" si="68"/>
        <v>167</v>
      </c>
      <c r="C879" s="76">
        <v>11</v>
      </c>
      <c r="D879" s="53">
        <v>2022</v>
      </c>
      <c r="E879" s="56">
        <v>0.20000000000000004</v>
      </c>
      <c r="F879" s="53">
        <f t="shared" si="69"/>
        <v>1</v>
      </c>
      <c r="G879" s="53">
        <f t="shared" si="71"/>
        <v>2</v>
      </c>
      <c r="H879" s="53">
        <f t="shared" si="72"/>
        <v>2</v>
      </c>
      <c r="I879" s="53" t="str">
        <f t="shared" si="70"/>
        <v>ww</v>
      </c>
      <c r="J879" s="53"/>
    </row>
    <row r="880" spans="1:10" x14ac:dyDescent="0.25">
      <c r="A880" s="93">
        <v>44873</v>
      </c>
      <c r="B880" s="35">
        <f t="shared" si="68"/>
        <v>167</v>
      </c>
      <c r="C880" s="76">
        <v>11</v>
      </c>
      <c r="D880" s="53">
        <v>2022</v>
      </c>
      <c r="E880" s="56">
        <v>1.8666666666666665</v>
      </c>
      <c r="F880" s="53">
        <f t="shared" si="69"/>
        <v>1</v>
      </c>
      <c r="G880" s="53">
        <f t="shared" si="71"/>
        <v>2</v>
      </c>
      <c r="H880" s="53">
        <f t="shared" si="72"/>
        <v>2</v>
      </c>
      <c r="I880" s="53" t="str">
        <f t="shared" si="70"/>
        <v>ww</v>
      </c>
      <c r="J880" s="53"/>
    </row>
    <row r="881" spans="1:10" x14ac:dyDescent="0.25">
      <c r="A881" s="93">
        <v>44874</v>
      </c>
      <c r="B881" s="35">
        <f t="shared" si="68"/>
        <v>167</v>
      </c>
      <c r="C881" s="76">
        <v>11</v>
      </c>
      <c r="D881" s="53">
        <v>2022</v>
      </c>
      <c r="E881" s="56">
        <v>1.0666666666666667</v>
      </c>
      <c r="F881" s="53">
        <f t="shared" si="69"/>
        <v>1</v>
      </c>
      <c r="G881" s="53">
        <f t="shared" si="71"/>
        <v>2</v>
      </c>
      <c r="H881" s="53">
        <f t="shared" si="72"/>
        <v>2</v>
      </c>
      <c r="I881" s="53" t="str">
        <f t="shared" si="70"/>
        <v>ww</v>
      </c>
      <c r="J881" s="53"/>
    </row>
    <row r="882" spans="1:10" x14ac:dyDescent="0.25">
      <c r="A882" s="93">
        <v>44875</v>
      </c>
      <c r="B882" s="35">
        <f t="shared" si="68"/>
        <v>167</v>
      </c>
      <c r="C882" s="76">
        <v>11</v>
      </c>
      <c r="D882" s="53">
        <v>2022</v>
      </c>
      <c r="E882" s="56">
        <v>6.6666666666666666E-2</v>
      </c>
      <c r="F882" s="53">
        <f t="shared" si="69"/>
        <v>1</v>
      </c>
      <c r="G882" s="53">
        <f t="shared" si="71"/>
        <v>2</v>
      </c>
      <c r="H882" s="53">
        <f t="shared" si="72"/>
        <v>2</v>
      </c>
      <c r="I882" s="53" t="str">
        <f t="shared" si="70"/>
        <v>ww</v>
      </c>
      <c r="J882" s="53"/>
    </row>
    <row r="883" spans="1:10" x14ac:dyDescent="0.25">
      <c r="A883" s="93">
        <v>44876</v>
      </c>
      <c r="B883" s="35">
        <f t="shared" si="68"/>
        <v>167</v>
      </c>
      <c r="C883" s="76">
        <v>11</v>
      </c>
      <c r="D883" s="53">
        <v>2022</v>
      </c>
      <c r="E883" s="56">
        <v>0</v>
      </c>
      <c r="F883" s="53">
        <f t="shared" si="69"/>
        <v>0</v>
      </c>
      <c r="G883" s="53">
        <f t="shared" si="71"/>
        <v>1</v>
      </c>
      <c r="H883" s="53">
        <f t="shared" si="72"/>
        <v>1</v>
      </c>
      <c r="I883" s="53" t="str">
        <f t="shared" si="70"/>
        <v>wd</v>
      </c>
      <c r="J883" s="53"/>
    </row>
    <row r="884" spans="1:10" x14ac:dyDescent="0.25">
      <c r="A884" s="93">
        <v>44877</v>
      </c>
      <c r="B884" s="35">
        <f t="shared" si="68"/>
        <v>167</v>
      </c>
      <c r="C884" s="76">
        <v>11</v>
      </c>
      <c r="D884" s="53">
        <v>2022</v>
      </c>
      <c r="E884" s="56">
        <v>0</v>
      </c>
      <c r="F884" s="53">
        <f t="shared" si="69"/>
        <v>0</v>
      </c>
      <c r="G884" s="53">
        <f t="shared" si="71"/>
        <v>0</v>
      </c>
      <c r="H884" s="53">
        <f t="shared" si="72"/>
        <v>0</v>
      </c>
      <c r="I884" s="53" t="str">
        <f t="shared" si="70"/>
        <v>dd</v>
      </c>
      <c r="J884" s="53"/>
    </row>
    <row r="885" spans="1:10" x14ac:dyDescent="0.25">
      <c r="A885" s="93">
        <v>44878</v>
      </c>
      <c r="B885" s="35">
        <f t="shared" si="68"/>
        <v>167</v>
      </c>
      <c r="C885" s="76">
        <v>11</v>
      </c>
      <c r="D885" s="53">
        <v>2022</v>
      </c>
      <c r="E885" s="56">
        <v>0</v>
      </c>
      <c r="F885" s="53">
        <f t="shared" si="69"/>
        <v>0</v>
      </c>
      <c r="G885" s="53">
        <f t="shared" si="71"/>
        <v>0</v>
      </c>
      <c r="H885" s="53">
        <f t="shared" si="72"/>
        <v>0</v>
      </c>
      <c r="I885" s="53" t="str">
        <f t="shared" si="70"/>
        <v>dd</v>
      </c>
      <c r="J885" s="53"/>
    </row>
    <row r="886" spans="1:10" x14ac:dyDescent="0.25">
      <c r="A886" s="93">
        <v>44879</v>
      </c>
      <c r="B886" s="35">
        <f t="shared" si="68"/>
        <v>167</v>
      </c>
      <c r="C886" s="76">
        <v>11</v>
      </c>
      <c r="D886" s="53">
        <v>2022</v>
      </c>
      <c r="E886" s="56">
        <v>0</v>
      </c>
      <c r="F886" s="53">
        <f t="shared" si="69"/>
        <v>0</v>
      </c>
      <c r="G886" s="53">
        <f t="shared" si="71"/>
        <v>0</v>
      </c>
      <c r="H886" s="53">
        <f t="shared" si="72"/>
        <v>0</v>
      </c>
      <c r="I886" s="53" t="str">
        <f t="shared" si="70"/>
        <v>dd</v>
      </c>
      <c r="J886" s="53"/>
    </row>
    <row r="887" spans="1:10" x14ac:dyDescent="0.25">
      <c r="A887" s="93">
        <v>44880</v>
      </c>
      <c r="B887" s="35">
        <f t="shared" si="68"/>
        <v>167</v>
      </c>
      <c r="C887" s="76">
        <v>11</v>
      </c>
      <c r="D887" s="53">
        <v>2022</v>
      </c>
      <c r="E887" s="56">
        <v>0</v>
      </c>
      <c r="F887" s="53">
        <f t="shared" si="69"/>
        <v>0</v>
      </c>
      <c r="G887" s="53">
        <f t="shared" si="71"/>
        <v>0</v>
      </c>
      <c r="H887" s="53">
        <f t="shared" si="72"/>
        <v>0</v>
      </c>
      <c r="I887" s="53" t="str">
        <f t="shared" si="70"/>
        <v>dd</v>
      </c>
      <c r="J887" s="53"/>
    </row>
    <row r="888" spans="1:10" x14ac:dyDescent="0.25">
      <c r="A888" s="93">
        <v>44881</v>
      </c>
      <c r="B888" s="35">
        <f t="shared" si="68"/>
        <v>167</v>
      </c>
      <c r="C888" s="76">
        <v>11</v>
      </c>
      <c r="D888" s="53">
        <v>2022</v>
      </c>
      <c r="E888" s="56">
        <v>13.933333333333332</v>
      </c>
      <c r="F888" s="53">
        <f t="shared" si="69"/>
        <v>1</v>
      </c>
      <c r="G888" s="53">
        <f t="shared" si="71"/>
        <v>1</v>
      </c>
      <c r="H888" s="53">
        <f t="shared" si="72"/>
        <v>-1</v>
      </c>
      <c r="I888" s="53" t="str">
        <f t="shared" si="70"/>
        <v>dw</v>
      </c>
      <c r="J888" s="53"/>
    </row>
    <row r="889" spans="1:10" x14ac:dyDescent="0.25">
      <c r="A889" s="93">
        <v>44882</v>
      </c>
      <c r="B889" s="35">
        <f t="shared" si="68"/>
        <v>167</v>
      </c>
      <c r="C889" s="76">
        <v>11</v>
      </c>
      <c r="D889" s="53">
        <v>2022</v>
      </c>
      <c r="E889" s="56">
        <v>16.533333333333335</v>
      </c>
      <c r="F889" s="53">
        <f t="shared" si="69"/>
        <v>1</v>
      </c>
      <c r="G889" s="53">
        <f t="shared" si="71"/>
        <v>2</v>
      </c>
      <c r="H889" s="53">
        <f t="shared" si="72"/>
        <v>2</v>
      </c>
      <c r="I889" s="53" t="str">
        <f t="shared" si="70"/>
        <v>ww</v>
      </c>
      <c r="J889" s="53"/>
    </row>
    <row r="890" spans="1:10" x14ac:dyDescent="0.25">
      <c r="A890" s="93">
        <v>44883</v>
      </c>
      <c r="B890" s="35">
        <f t="shared" si="68"/>
        <v>167</v>
      </c>
      <c r="C890" s="76">
        <v>11</v>
      </c>
      <c r="D890" s="53">
        <v>2022</v>
      </c>
      <c r="E890" s="56">
        <v>26.066666666666663</v>
      </c>
      <c r="F890" s="53">
        <f t="shared" si="69"/>
        <v>1</v>
      </c>
      <c r="G890" s="53">
        <f t="shared" si="71"/>
        <v>2</v>
      </c>
      <c r="H890" s="53">
        <f t="shared" si="72"/>
        <v>2</v>
      </c>
      <c r="I890" s="53" t="str">
        <f t="shared" si="70"/>
        <v>ww</v>
      </c>
      <c r="J890" s="53"/>
    </row>
    <row r="891" spans="1:10" x14ac:dyDescent="0.25">
      <c r="A891" s="93">
        <v>44884</v>
      </c>
      <c r="B891" s="35">
        <f t="shared" si="68"/>
        <v>167</v>
      </c>
      <c r="C891" s="76">
        <v>11</v>
      </c>
      <c r="D891" s="53">
        <v>2022</v>
      </c>
      <c r="E891" s="56">
        <v>2.4666666666666663</v>
      </c>
      <c r="F891" s="53">
        <f t="shared" si="69"/>
        <v>1</v>
      </c>
      <c r="G891" s="53">
        <f t="shared" si="71"/>
        <v>2</v>
      </c>
      <c r="H891" s="53">
        <f t="shared" si="72"/>
        <v>2</v>
      </c>
      <c r="I891" s="53" t="str">
        <f t="shared" si="70"/>
        <v>ww</v>
      </c>
      <c r="J891" s="53"/>
    </row>
    <row r="892" spans="1:10" x14ac:dyDescent="0.25">
      <c r="A892" s="93">
        <v>44885</v>
      </c>
      <c r="B892" s="35">
        <f t="shared" si="68"/>
        <v>167</v>
      </c>
      <c r="C892" s="76">
        <v>11</v>
      </c>
      <c r="D892" s="53">
        <v>2022</v>
      </c>
      <c r="E892" s="56">
        <v>7.5333333333333341</v>
      </c>
      <c r="F892" s="53">
        <f t="shared" si="69"/>
        <v>1</v>
      </c>
      <c r="G892" s="53">
        <f t="shared" si="71"/>
        <v>2</v>
      </c>
      <c r="H892" s="53">
        <f t="shared" si="72"/>
        <v>2</v>
      </c>
      <c r="I892" s="53" t="str">
        <f t="shared" si="70"/>
        <v>ww</v>
      </c>
      <c r="J892" s="53"/>
    </row>
    <row r="893" spans="1:10" x14ac:dyDescent="0.25">
      <c r="A893" s="93">
        <v>44886</v>
      </c>
      <c r="B893" s="35">
        <f t="shared" si="68"/>
        <v>167</v>
      </c>
      <c r="C893" s="76">
        <v>11</v>
      </c>
      <c r="D893" s="53">
        <v>2022</v>
      </c>
      <c r="E893" s="56">
        <v>0</v>
      </c>
      <c r="F893" s="53">
        <f t="shared" si="69"/>
        <v>0</v>
      </c>
      <c r="G893" s="53">
        <f t="shared" si="71"/>
        <v>1</v>
      </c>
      <c r="H893" s="53">
        <f t="shared" si="72"/>
        <v>1</v>
      </c>
      <c r="I893" s="53" t="str">
        <f t="shared" si="70"/>
        <v>wd</v>
      </c>
      <c r="J893" s="53"/>
    </row>
    <row r="894" spans="1:10" x14ac:dyDescent="0.25">
      <c r="A894" s="93">
        <v>44887</v>
      </c>
      <c r="B894" s="35">
        <f t="shared" si="68"/>
        <v>167</v>
      </c>
      <c r="C894" s="76">
        <v>11</v>
      </c>
      <c r="D894" s="53">
        <v>2022</v>
      </c>
      <c r="E894" s="56">
        <v>0.66666666666666663</v>
      </c>
      <c r="F894" s="53">
        <f t="shared" si="69"/>
        <v>1</v>
      </c>
      <c r="G894" s="53">
        <f t="shared" si="71"/>
        <v>1</v>
      </c>
      <c r="H894" s="53">
        <f t="shared" si="72"/>
        <v>-1</v>
      </c>
      <c r="I894" s="53" t="str">
        <f t="shared" si="70"/>
        <v>dw</v>
      </c>
      <c r="J894" s="53"/>
    </row>
    <row r="895" spans="1:10" x14ac:dyDescent="0.25">
      <c r="A895" s="93">
        <v>44888</v>
      </c>
      <c r="B895" s="35">
        <f t="shared" si="68"/>
        <v>167</v>
      </c>
      <c r="C895" s="76">
        <v>11</v>
      </c>
      <c r="D895" s="53">
        <v>2022</v>
      </c>
      <c r="E895" s="56">
        <v>0.20000000000000004</v>
      </c>
      <c r="F895" s="53">
        <f t="shared" si="69"/>
        <v>1</v>
      </c>
      <c r="G895" s="53">
        <f t="shared" si="71"/>
        <v>2</v>
      </c>
      <c r="H895" s="53">
        <f t="shared" si="72"/>
        <v>2</v>
      </c>
      <c r="I895" s="53" t="str">
        <f t="shared" si="70"/>
        <v>ww</v>
      </c>
      <c r="J895" s="53"/>
    </row>
    <row r="896" spans="1:10" x14ac:dyDescent="0.25">
      <c r="A896" s="93">
        <v>44889</v>
      </c>
      <c r="B896" s="35">
        <f t="shared" si="68"/>
        <v>167</v>
      </c>
      <c r="C896" s="76">
        <v>11</v>
      </c>
      <c r="D896" s="53">
        <v>2022</v>
      </c>
      <c r="E896" s="56">
        <v>1.1333333333333333</v>
      </c>
      <c r="F896" s="53">
        <f t="shared" si="69"/>
        <v>1</v>
      </c>
      <c r="G896" s="53">
        <f t="shared" si="71"/>
        <v>2</v>
      </c>
      <c r="H896" s="53">
        <f t="shared" si="72"/>
        <v>2</v>
      </c>
      <c r="I896" s="53" t="str">
        <f t="shared" si="70"/>
        <v>ww</v>
      </c>
      <c r="J896" s="53"/>
    </row>
    <row r="897" spans="1:10" x14ac:dyDescent="0.25">
      <c r="A897" s="93">
        <v>44890</v>
      </c>
      <c r="B897" s="35">
        <f t="shared" si="68"/>
        <v>167</v>
      </c>
      <c r="C897" s="76">
        <v>11</v>
      </c>
      <c r="D897" s="53">
        <v>2022</v>
      </c>
      <c r="E897" s="56">
        <v>2.6666666666666665</v>
      </c>
      <c r="F897" s="53">
        <f t="shared" si="69"/>
        <v>1</v>
      </c>
      <c r="G897" s="53">
        <f t="shared" si="71"/>
        <v>2</v>
      </c>
      <c r="H897" s="53">
        <f t="shared" si="72"/>
        <v>2</v>
      </c>
      <c r="I897" s="53" t="str">
        <f t="shared" si="70"/>
        <v>ww</v>
      </c>
      <c r="J897" s="53"/>
    </row>
    <row r="898" spans="1:10" x14ac:dyDescent="0.25">
      <c r="A898" s="93">
        <v>44891</v>
      </c>
      <c r="B898" s="35">
        <f t="shared" ref="B898:B961" si="73">C898+(D898-2009)*12</f>
        <v>167</v>
      </c>
      <c r="C898" s="76">
        <v>11</v>
      </c>
      <c r="D898" s="53">
        <v>2022</v>
      </c>
      <c r="E898" s="56">
        <v>0</v>
      </c>
      <c r="F898" s="53">
        <f t="shared" ref="F898:F961" si="74">IF(E898&gt;0,1,0)</f>
        <v>0</v>
      </c>
      <c r="G898" s="53">
        <f t="shared" si="71"/>
        <v>1</v>
      </c>
      <c r="H898" s="53">
        <f t="shared" si="72"/>
        <v>1</v>
      </c>
      <c r="I898" s="53" t="str">
        <f t="shared" ref="I898:I961" si="75">VLOOKUP(H898,codes,2,)</f>
        <v>wd</v>
      </c>
      <c r="J898" s="53"/>
    </row>
    <row r="899" spans="1:10" x14ac:dyDescent="0.25">
      <c r="A899" s="93">
        <v>44892</v>
      </c>
      <c r="B899" s="35">
        <f t="shared" si="73"/>
        <v>167</v>
      </c>
      <c r="C899" s="76">
        <v>11</v>
      </c>
      <c r="D899" s="53">
        <v>2022</v>
      </c>
      <c r="E899" s="56">
        <v>0.33333333333333331</v>
      </c>
      <c r="F899" s="53">
        <f t="shared" si="74"/>
        <v>1</v>
      </c>
      <c r="G899" s="53">
        <f t="shared" si="71"/>
        <v>1</v>
      </c>
      <c r="H899" s="53">
        <f t="shared" si="72"/>
        <v>-1</v>
      </c>
      <c r="I899" s="53" t="str">
        <f t="shared" si="75"/>
        <v>dw</v>
      </c>
      <c r="J899" s="53"/>
    </row>
    <row r="900" spans="1:10" x14ac:dyDescent="0.25">
      <c r="A900" s="93">
        <v>44893</v>
      </c>
      <c r="B900" s="35">
        <f t="shared" si="73"/>
        <v>167</v>
      </c>
      <c r="C900" s="76">
        <v>11</v>
      </c>
      <c r="D900" s="53">
        <v>2022</v>
      </c>
      <c r="E900" s="56">
        <v>6.6666666666666666E-2</v>
      </c>
      <c r="F900" s="53">
        <f t="shared" si="74"/>
        <v>1</v>
      </c>
      <c r="G900" s="53">
        <f t="shared" si="71"/>
        <v>2</v>
      </c>
      <c r="H900" s="53">
        <f t="shared" si="72"/>
        <v>2</v>
      </c>
      <c r="I900" s="53" t="str">
        <f t="shared" si="75"/>
        <v>ww</v>
      </c>
      <c r="J900" s="53"/>
    </row>
    <row r="901" spans="1:10" x14ac:dyDescent="0.25">
      <c r="A901" s="93">
        <v>44894</v>
      </c>
      <c r="B901" s="35">
        <f t="shared" si="73"/>
        <v>167</v>
      </c>
      <c r="C901" s="76">
        <v>11</v>
      </c>
      <c r="D901" s="53">
        <v>2022</v>
      </c>
      <c r="E901" s="56">
        <v>0.39999999999999997</v>
      </c>
      <c r="F901" s="53">
        <f t="shared" si="74"/>
        <v>1</v>
      </c>
      <c r="G901" s="53">
        <f t="shared" si="71"/>
        <v>2</v>
      </c>
      <c r="H901" s="53">
        <f t="shared" si="72"/>
        <v>2</v>
      </c>
      <c r="I901" s="53" t="str">
        <f t="shared" si="75"/>
        <v>ww</v>
      </c>
      <c r="J901" s="53"/>
    </row>
    <row r="902" spans="1:10" x14ac:dyDescent="0.25">
      <c r="A902" s="93">
        <v>44895</v>
      </c>
      <c r="B902" s="35">
        <f t="shared" si="73"/>
        <v>167</v>
      </c>
      <c r="C902" s="76">
        <v>11</v>
      </c>
      <c r="D902" s="53">
        <v>2022</v>
      </c>
      <c r="E902" s="56">
        <v>0.13333333333333333</v>
      </c>
      <c r="F902" s="53">
        <f t="shared" si="74"/>
        <v>1</v>
      </c>
      <c r="G902" s="53">
        <f t="shared" si="71"/>
        <v>2</v>
      </c>
      <c r="H902" s="53">
        <f t="shared" si="72"/>
        <v>2</v>
      </c>
      <c r="I902" s="53" t="str">
        <f t="shared" si="75"/>
        <v>ww</v>
      </c>
      <c r="J902" s="53"/>
    </row>
    <row r="903" spans="1:10" x14ac:dyDescent="0.25">
      <c r="A903" s="93">
        <v>45231</v>
      </c>
      <c r="B903" s="35">
        <f t="shared" si="73"/>
        <v>179</v>
      </c>
      <c r="C903" s="76">
        <v>11</v>
      </c>
      <c r="D903" s="53">
        <v>2023</v>
      </c>
      <c r="E903" s="56">
        <v>8.3333333333333339</v>
      </c>
      <c r="F903" s="53">
        <f t="shared" si="74"/>
        <v>1</v>
      </c>
      <c r="G903" s="53">
        <f t="shared" si="71"/>
        <v>2</v>
      </c>
      <c r="H903" s="53">
        <f t="shared" si="72"/>
        <v>2</v>
      </c>
      <c r="I903" s="53" t="str">
        <f t="shared" si="75"/>
        <v>ww</v>
      </c>
      <c r="J903" s="53"/>
    </row>
    <row r="904" spans="1:10" x14ac:dyDescent="0.25">
      <c r="A904" s="93">
        <v>45232</v>
      </c>
      <c r="B904" s="35">
        <f t="shared" si="73"/>
        <v>179</v>
      </c>
      <c r="C904" s="76">
        <v>11</v>
      </c>
      <c r="D904" s="53">
        <v>2023</v>
      </c>
      <c r="E904" s="56">
        <v>10.133333333333335</v>
      </c>
      <c r="F904" s="53">
        <f t="shared" si="74"/>
        <v>1</v>
      </c>
      <c r="G904" s="53">
        <f t="shared" si="71"/>
        <v>2</v>
      </c>
      <c r="H904" s="53">
        <f t="shared" si="72"/>
        <v>2</v>
      </c>
      <c r="I904" s="53" t="str">
        <f t="shared" si="75"/>
        <v>ww</v>
      </c>
      <c r="J904" s="53"/>
    </row>
    <row r="905" spans="1:10" x14ac:dyDescent="0.25">
      <c r="A905" s="93">
        <v>45233</v>
      </c>
      <c r="B905" s="35">
        <f t="shared" si="73"/>
        <v>179</v>
      </c>
      <c r="C905" s="76">
        <v>11</v>
      </c>
      <c r="D905" s="53">
        <v>2023</v>
      </c>
      <c r="E905" s="56">
        <v>10</v>
      </c>
      <c r="F905" s="53">
        <f t="shared" si="74"/>
        <v>1</v>
      </c>
      <c r="G905" s="53">
        <f t="shared" si="71"/>
        <v>2</v>
      </c>
      <c r="H905" s="53">
        <f t="shared" si="72"/>
        <v>2</v>
      </c>
      <c r="I905" s="53" t="str">
        <f t="shared" si="75"/>
        <v>ww</v>
      </c>
      <c r="J905" s="53"/>
    </row>
    <row r="906" spans="1:10" x14ac:dyDescent="0.25">
      <c r="A906" s="93">
        <v>45234</v>
      </c>
      <c r="B906" s="35">
        <f t="shared" si="73"/>
        <v>179</v>
      </c>
      <c r="C906" s="76">
        <v>11</v>
      </c>
      <c r="D906" s="53">
        <v>2023</v>
      </c>
      <c r="E906" s="56">
        <v>0</v>
      </c>
      <c r="F906" s="53">
        <f t="shared" si="74"/>
        <v>0</v>
      </c>
      <c r="G906" s="53">
        <f t="shared" si="71"/>
        <v>1</v>
      </c>
      <c r="H906" s="53">
        <f t="shared" si="72"/>
        <v>1</v>
      </c>
      <c r="I906" s="53" t="str">
        <f t="shared" si="75"/>
        <v>wd</v>
      </c>
      <c r="J906" s="53"/>
    </row>
    <row r="907" spans="1:10" x14ac:dyDescent="0.25">
      <c r="A907" s="93">
        <v>45235</v>
      </c>
      <c r="B907" s="35">
        <f t="shared" si="73"/>
        <v>179</v>
      </c>
      <c r="C907" s="76">
        <v>11</v>
      </c>
      <c r="D907" s="53">
        <v>2023</v>
      </c>
      <c r="E907" s="56">
        <v>2.4</v>
      </c>
      <c r="F907" s="53">
        <f t="shared" si="74"/>
        <v>1</v>
      </c>
      <c r="G907" s="53">
        <f t="shared" si="71"/>
        <v>1</v>
      </c>
      <c r="H907" s="53">
        <f t="shared" si="72"/>
        <v>-1</v>
      </c>
      <c r="I907" s="53" t="str">
        <f t="shared" si="75"/>
        <v>dw</v>
      </c>
      <c r="J907" s="53"/>
    </row>
    <row r="908" spans="1:10" x14ac:dyDescent="0.25">
      <c r="A908" s="93">
        <v>45236</v>
      </c>
      <c r="B908" s="35">
        <f t="shared" si="73"/>
        <v>179</v>
      </c>
      <c r="C908" s="76">
        <v>11</v>
      </c>
      <c r="D908" s="53">
        <v>2023</v>
      </c>
      <c r="E908" s="56">
        <v>0.13333333333333333</v>
      </c>
      <c r="F908" s="53">
        <f t="shared" si="74"/>
        <v>1</v>
      </c>
      <c r="G908" s="53">
        <f t="shared" si="71"/>
        <v>2</v>
      </c>
      <c r="H908" s="53">
        <f t="shared" si="72"/>
        <v>2</v>
      </c>
      <c r="I908" s="53" t="str">
        <f t="shared" si="75"/>
        <v>ww</v>
      </c>
      <c r="J908" s="53"/>
    </row>
    <row r="909" spans="1:10" x14ac:dyDescent="0.25">
      <c r="A909" s="93">
        <v>45237</v>
      </c>
      <c r="B909" s="35">
        <f t="shared" si="73"/>
        <v>179</v>
      </c>
      <c r="C909" s="76">
        <v>11</v>
      </c>
      <c r="D909" s="53">
        <v>2023</v>
      </c>
      <c r="E909" s="56">
        <v>1</v>
      </c>
      <c r="F909" s="53">
        <f t="shared" si="74"/>
        <v>1</v>
      </c>
      <c r="G909" s="53">
        <f t="shared" si="71"/>
        <v>2</v>
      </c>
      <c r="H909" s="53">
        <f t="shared" si="72"/>
        <v>2</v>
      </c>
      <c r="I909" s="53" t="str">
        <f t="shared" si="75"/>
        <v>ww</v>
      </c>
      <c r="J909" s="53"/>
    </row>
    <row r="910" spans="1:10" x14ac:dyDescent="0.25">
      <c r="A910" s="93">
        <v>45238</v>
      </c>
      <c r="B910" s="35">
        <f t="shared" si="73"/>
        <v>179</v>
      </c>
      <c r="C910" s="76">
        <v>11</v>
      </c>
      <c r="D910" s="53">
        <v>2023</v>
      </c>
      <c r="E910" s="56">
        <v>0.66666666666666663</v>
      </c>
      <c r="F910" s="53">
        <f t="shared" si="74"/>
        <v>1</v>
      </c>
      <c r="G910" s="53">
        <f t="shared" si="71"/>
        <v>2</v>
      </c>
      <c r="H910" s="53">
        <f t="shared" si="72"/>
        <v>2</v>
      </c>
      <c r="I910" s="53" t="str">
        <f t="shared" si="75"/>
        <v>ww</v>
      </c>
      <c r="J910" s="53"/>
    </row>
    <row r="911" spans="1:10" x14ac:dyDescent="0.25">
      <c r="A911" s="93">
        <v>45239</v>
      </c>
      <c r="B911" s="35">
        <f t="shared" si="73"/>
        <v>179</v>
      </c>
      <c r="C911" s="76">
        <v>11</v>
      </c>
      <c r="D911" s="53">
        <v>2023</v>
      </c>
      <c r="E911" s="56">
        <v>2</v>
      </c>
      <c r="F911" s="53">
        <f t="shared" si="74"/>
        <v>1</v>
      </c>
      <c r="G911" s="53">
        <f t="shared" si="71"/>
        <v>2</v>
      </c>
      <c r="H911" s="53">
        <f t="shared" si="72"/>
        <v>2</v>
      </c>
      <c r="I911" s="53" t="str">
        <f t="shared" si="75"/>
        <v>ww</v>
      </c>
      <c r="J911" s="53"/>
    </row>
    <row r="912" spans="1:10" x14ac:dyDescent="0.25">
      <c r="A912" s="93">
        <v>45240</v>
      </c>
      <c r="B912" s="35">
        <f t="shared" si="73"/>
        <v>179</v>
      </c>
      <c r="C912" s="76">
        <v>11</v>
      </c>
      <c r="D912" s="53">
        <v>2023</v>
      </c>
      <c r="E912" s="56">
        <v>0.53333333333333333</v>
      </c>
      <c r="F912" s="53">
        <f t="shared" si="74"/>
        <v>1</v>
      </c>
      <c r="G912" s="53">
        <f t="shared" si="71"/>
        <v>2</v>
      </c>
      <c r="H912" s="53">
        <f t="shared" si="72"/>
        <v>2</v>
      </c>
      <c r="I912" s="53" t="str">
        <f t="shared" si="75"/>
        <v>ww</v>
      </c>
      <c r="J912" s="53"/>
    </row>
    <row r="913" spans="1:10" x14ac:dyDescent="0.25">
      <c r="A913" s="93">
        <v>45241</v>
      </c>
      <c r="B913" s="35">
        <f t="shared" si="73"/>
        <v>179</v>
      </c>
      <c r="C913" s="76">
        <v>11</v>
      </c>
      <c r="D913" s="53">
        <v>2023</v>
      </c>
      <c r="E913" s="56">
        <v>0.20000000000000004</v>
      </c>
      <c r="F913" s="53">
        <f t="shared" si="74"/>
        <v>1</v>
      </c>
      <c r="G913" s="53">
        <f t="shared" si="71"/>
        <v>2</v>
      </c>
      <c r="H913" s="53">
        <f t="shared" si="72"/>
        <v>2</v>
      </c>
      <c r="I913" s="53" t="str">
        <f t="shared" si="75"/>
        <v>ww</v>
      </c>
      <c r="J913" s="53"/>
    </row>
    <row r="914" spans="1:10" x14ac:dyDescent="0.25">
      <c r="A914" s="93">
        <v>45242</v>
      </c>
      <c r="B914" s="35">
        <f t="shared" si="73"/>
        <v>179</v>
      </c>
      <c r="C914" s="76">
        <v>11</v>
      </c>
      <c r="D914" s="53">
        <v>2023</v>
      </c>
      <c r="E914" s="56">
        <v>0</v>
      </c>
      <c r="F914" s="53">
        <f t="shared" si="74"/>
        <v>0</v>
      </c>
      <c r="G914" s="53">
        <f t="shared" si="71"/>
        <v>1</v>
      </c>
      <c r="H914" s="53">
        <f t="shared" si="72"/>
        <v>1</v>
      </c>
      <c r="I914" s="53" t="str">
        <f t="shared" si="75"/>
        <v>wd</v>
      </c>
      <c r="J914" s="53"/>
    </row>
    <row r="915" spans="1:10" x14ac:dyDescent="0.25">
      <c r="A915" s="93">
        <v>45243</v>
      </c>
      <c r="B915" s="35">
        <f t="shared" si="73"/>
        <v>179</v>
      </c>
      <c r="C915" s="76">
        <v>11</v>
      </c>
      <c r="D915" s="53">
        <v>2023</v>
      </c>
      <c r="E915" s="56">
        <v>9.5333333333333332</v>
      </c>
      <c r="F915" s="53">
        <f t="shared" si="74"/>
        <v>1</v>
      </c>
      <c r="G915" s="53">
        <f t="shared" si="71"/>
        <v>1</v>
      </c>
      <c r="H915" s="53">
        <f t="shared" si="72"/>
        <v>-1</v>
      </c>
      <c r="I915" s="53" t="str">
        <f t="shared" si="75"/>
        <v>dw</v>
      </c>
      <c r="J915" s="53"/>
    </row>
    <row r="916" spans="1:10" x14ac:dyDescent="0.25">
      <c r="A916" s="93">
        <v>45244</v>
      </c>
      <c r="B916" s="35">
        <f t="shared" si="73"/>
        <v>179</v>
      </c>
      <c r="C916" s="76">
        <v>11</v>
      </c>
      <c r="D916" s="53">
        <v>2023</v>
      </c>
      <c r="E916" s="56">
        <v>2.6666666666666665</v>
      </c>
      <c r="F916" s="53">
        <f t="shared" si="74"/>
        <v>1</v>
      </c>
      <c r="G916" s="53">
        <f t="shared" si="71"/>
        <v>2</v>
      </c>
      <c r="H916" s="53">
        <f t="shared" si="72"/>
        <v>2</v>
      </c>
      <c r="I916" s="53" t="str">
        <f t="shared" si="75"/>
        <v>ww</v>
      </c>
      <c r="J916" s="53"/>
    </row>
    <row r="917" spans="1:10" x14ac:dyDescent="0.25">
      <c r="A917" s="93">
        <v>45245</v>
      </c>
      <c r="B917" s="35">
        <f t="shared" si="73"/>
        <v>179</v>
      </c>
      <c r="C917" s="76">
        <v>11</v>
      </c>
      <c r="D917" s="53">
        <v>2023</v>
      </c>
      <c r="E917" s="56">
        <v>8</v>
      </c>
      <c r="F917" s="53">
        <f t="shared" si="74"/>
        <v>1</v>
      </c>
      <c r="G917" s="53">
        <f t="shared" si="71"/>
        <v>2</v>
      </c>
      <c r="H917" s="53">
        <f t="shared" si="72"/>
        <v>2</v>
      </c>
      <c r="I917" s="53" t="str">
        <f t="shared" si="75"/>
        <v>ww</v>
      </c>
      <c r="J917" s="53"/>
    </row>
    <row r="918" spans="1:10" x14ac:dyDescent="0.25">
      <c r="A918" s="93">
        <v>45246</v>
      </c>
      <c r="B918" s="35">
        <f t="shared" si="73"/>
        <v>179</v>
      </c>
      <c r="C918" s="76">
        <v>11</v>
      </c>
      <c r="D918" s="53">
        <v>2023</v>
      </c>
      <c r="E918" s="56">
        <v>0.73333333333333339</v>
      </c>
      <c r="F918" s="53">
        <f t="shared" si="74"/>
        <v>1</v>
      </c>
      <c r="G918" s="53">
        <f t="shared" si="71"/>
        <v>2</v>
      </c>
      <c r="H918" s="53">
        <f t="shared" si="72"/>
        <v>2</v>
      </c>
      <c r="I918" s="53" t="str">
        <f t="shared" si="75"/>
        <v>ww</v>
      </c>
      <c r="J918" s="53"/>
    </row>
    <row r="919" spans="1:10" x14ac:dyDescent="0.25">
      <c r="A919" s="93">
        <v>45247</v>
      </c>
      <c r="B919" s="35">
        <f t="shared" si="73"/>
        <v>179</v>
      </c>
      <c r="C919" s="76">
        <v>11</v>
      </c>
      <c r="D919" s="53">
        <v>2023</v>
      </c>
      <c r="E919" s="56">
        <v>6.6666666666666666E-2</v>
      </c>
      <c r="F919" s="53">
        <f t="shared" si="74"/>
        <v>1</v>
      </c>
      <c r="G919" s="53">
        <f t="shared" si="71"/>
        <v>2</v>
      </c>
      <c r="H919" s="53">
        <f t="shared" si="72"/>
        <v>2</v>
      </c>
      <c r="I919" s="53" t="str">
        <f t="shared" si="75"/>
        <v>ww</v>
      </c>
      <c r="J919" s="53"/>
    </row>
    <row r="920" spans="1:10" x14ac:dyDescent="0.25">
      <c r="A920" s="93">
        <v>45248</v>
      </c>
      <c r="B920" s="35">
        <f t="shared" si="73"/>
        <v>179</v>
      </c>
      <c r="C920" s="76">
        <v>11</v>
      </c>
      <c r="D920" s="53">
        <v>2023</v>
      </c>
      <c r="E920" s="56">
        <v>9.7333333333333325</v>
      </c>
      <c r="F920" s="53">
        <f t="shared" si="74"/>
        <v>1</v>
      </c>
      <c r="G920" s="53">
        <f t="shared" si="71"/>
        <v>2</v>
      </c>
      <c r="H920" s="53">
        <f t="shared" si="72"/>
        <v>2</v>
      </c>
      <c r="I920" s="53" t="str">
        <f t="shared" si="75"/>
        <v>ww</v>
      </c>
      <c r="J920" s="53"/>
    </row>
    <row r="921" spans="1:10" x14ac:dyDescent="0.25">
      <c r="A921" s="93">
        <v>45249</v>
      </c>
      <c r="B921" s="35">
        <f t="shared" si="73"/>
        <v>179</v>
      </c>
      <c r="C921" s="76">
        <v>11</v>
      </c>
      <c r="D921" s="53">
        <v>2023</v>
      </c>
      <c r="E921" s="56">
        <v>3.0666666666666669</v>
      </c>
      <c r="F921" s="53">
        <f t="shared" si="74"/>
        <v>1</v>
      </c>
      <c r="G921" s="53">
        <f t="shared" si="71"/>
        <v>2</v>
      </c>
      <c r="H921" s="53">
        <f t="shared" si="72"/>
        <v>2</v>
      </c>
      <c r="I921" s="53" t="str">
        <f t="shared" si="75"/>
        <v>ww</v>
      </c>
      <c r="J921" s="53"/>
    </row>
    <row r="922" spans="1:10" x14ac:dyDescent="0.25">
      <c r="A922" s="93">
        <v>45250</v>
      </c>
      <c r="B922" s="35">
        <f t="shared" si="73"/>
        <v>179</v>
      </c>
      <c r="C922" s="76">
        <v>11</v>
      </c>
      <c r="D922" s="53">
        <v>2023</v>
      </c>
      <c r="E922" s="56">
        <v>2.6</v>
      </c>
      <c r="F922" s="53">
        <f t="shared" si="74"/>
        <v>1</v>
      </c>
      <c r="G922" s="53">
        <f t="shared" si="71"/>
        <v>2</v>
      </c>
      <c r="H922" s="53">
        <f t="shared" si="72"/>
        <v>2</v>
      </c>
      <c r="I922" s="53" t="str">
        <f t="shared" si="75"/>
        <v>ww</v>
      </c>
      <c r="J922" s="53"/>
    </row>
    <row r="923" spans="1:10" x14ac:dyDescent="0.25">
      <c r="A923" s="93">
        <v>45251</v>
      </c>
      <c r="B923" s="35">
        <f t="shared" si="73"/>
        <v>179</v>
      </c>
      <c r="C923" s="76">
        <v>11</v>
      </c>
      <c r="D923" s="53">
        <v>2023</v>
      </c>
      <c r="E923" s="56">
        <v>2.5333333333333332</v>
      </c>
      <c r="F923" s="53">
        <f t="shared" si="74"/>
        <v>1</v>
      </c>
      <c r="G923" s="53">
        <f t="shared" si="71"/>
        <v>2</v>
      </c>
      <c r="H923" s="53">
        <f t="shared" si="72"/>
        <v>2</v>
      </c>
      <c r="I923" s="53" t="str">
        <f t="shared" si="75"/>
        <v>ww</v>
      </c>
      <c r="J923" s="53"/>
    </row>
    <row r="924" spans="1:10" x14ac:dyDescent="0.25">
      <c r="A924" s="93">
        <v>45252</v>
      </c>
      <c r="B924" s="35">
        <f t="shared" si="73"/>
        <v>179</v>
      </c>
      <c r="C924" s="76">
        <v>11</v>
      </c>
      <c r="D924" s="53">
        <v>2023</v>
      </c>
      <c r="E924" s="56">
        <v>1.6000000000000003</v>
      </c>
      <c r="F924" s="53">
        <f t="shared" si="74"/>
        <v>1</v>
      </c>
      <c r="G924" s="53">
        <f t="shared" si="71"/>
        <v>2</v>
      </c>
      <c r="H924" s="53">
        <f t="shared" si="72"/>
        <v>2</v>
      </c>
      <c r="I924" s="53" t="str">
        <f t="shared" si="75"/>
        <v>ww</v>
      </c>
      <c r="J924" s="53"/>
    </row>
    <row r="925" spans="1:10" x14ac:dyDescent="0.25">
      <c r="A925" s="93">
        <v>45253</v>
      </c>
      <c r="B925" s="35">
        <f t="shared" si="73"/>
        <v>179</v>
      </c>
      <c r="C925" s="76">
        <v>11</v>
      </c>
      <c r="D925" s="53">
        <v>2023</v>
      </c>
      <c r="E925" s="56">
        <v>0</v>
      </c>
      <c r="F925" s="53">
        <f t="shared" si="74"/>
        <v>0</v>
      </c>
      <c r="G925" s="53">
        <f t="shared" si="71"/>
        <v>1</v>
      </c>
      <c r="H925" s="53">
        <f t="shared" si="72"/>
        <v>1</v>
      </c>
      <c r="I925" s="53" t="str">
        <f t="shared" si="75"/>
        <v>wd</v>
      </c>
      <c r="J925" s="53"/>
    </row>
    <row r="926" spans="1:10" x14ac:dyDescent="0.25">
      <c r="A926" s="93">
        <v>45254</v>
      </c>
      <c r="B926" s="35">
        <f t="shared" si="73"/>
        <v>179</v>
      </c>
      <c r="C926" s="76">
        <v>11</v>
      </c>
      <c r="D926" s="53">
        <v>2023</v>
      </c>
      <c r="E926" s="56">
        <v>0.13333333333333333</v>
      </c>
      <c r="F926" s="53">
        <f t="shared" si="74"/>
        <v>1</v>
      </c>
      <c r="G926" s="53">
        <f t="shared" si="71"/>
        <v>1</v>
      </c>
      <c r="H926" s="53">
        <f t="shared" si="72"/>
        <v>-1</v>
      </c>
      <c r="I926" s="53" t="str">
        <f t="shared" si="75"/>
        <v>dw</v>
      </c>
      <c r="J926" s="53"/>
    </row>
    <row r="927" spans="1:10" x14ac:dyDescent="0.25">
      <c r="A927" s="93">
        <v>45255</v>
      </c>
      <c r="B927" s="35">
        <f t="shared" si="73"/>
        <v>179</v>
      </c>
      <c r="C927" s="76">
        <v>11</v>
      </c>
      <c r="D927" s="53">
        <v>2023</v>
      </c>
      <c r="E927" s="56">
        <v>0</v>
      </c>
      <c r="F927" s="53">
        <f t="shared" si="74"/>
        <v>0</v>
      </c>
      <c r="G927" s="53">
        <f t="shared" si="71"/>
        <v>1</v>
      </c>
      <c r="H927" s="53">
        <f t="shared" si="72"/>
        <v>1</v>
      </c>
      <c r="I927" s="53" t="str">
        <f t="shared" si="75"/>
        <v>wd</v>
      </c>
      <c r="J927" s="53"/>
    </row>
    <row r="928" spans="1:10" x14ac:dyDescent="0.25">
      <c r="A928" s="93">
        <v>45256</v>
      </c>
      <c r="B928" s="35">
        <f t="shared" si="73"/>
        <v>179</v>
      </c>
      <c r="C928" s="76">
        <v>11</v>
      </c>
      <c r="D928" s="53">
        <v>2023</v>
      </c>
      <c r="E928" s="56">
        <v>0</v>
      </c>
      <c r="F928" s="53">
        <f t="shared" si="74"/>
        <v>0</v>
      </c>
      <c r="G928" s="53">
        <f t="shared" si="71"/>
        <v>0</v>
      </c>
      <c r="H928" s="53">
        <f t="shared" si="72"/>
        <v>0</v>
      </c>
      <c r="I928" s="53" t="str">
        <f t="shared" si="75"/>
        <v>dd</v>
      </c>
      <c r="J928" s="53"/>
    </row>
    <row r="929" spans="1:10" x14ac:dyDescent="0.25">
      <c r="A929" s="93">
        <v>45257</v>
      </c>
      <c r="B929" s="35">
        <f t="shared" si="73"/>
        <v>179</v>
      </c>
      <c r="C929" s="76">
        <v>11</v>
      </c>
      <c r="D929" s="53">
        <v>2023</v>
      </c>
      <c r="E929" s="56">
        <v>2.8000000000000003</v>
      </c>
      <c r="F929" s="53">
        <f t="shared" si="74"/>
        <v>1</v>
      </c>
      <c r="G929" s="53">
        <f t="shared" si="71"/>
        <v>1</v>
      </c>
      <c r="H929" s="53">
        <f t="shared" si="72"/>
        <v>-1</v>
      </c>
      <c r="I929" s="53" t="str">
        <f t="shared" si="75"/>
        <v>dw</v>
      </c>
      <c r="J929" s="53"/>
    </row>
    <row r="930" spans="1:10" x14ac:dyDescent="0.25">
      <c r="A930" s="93">
        <v>45258</v>
      </c>
      <c r="B930" s="35">
        <f t="shared" si="73"/>
        <v>179</v>
      </c>
      <c r="C930" s="76">
        <v>11</v>
      </c>
      <c r="D930" s="53">
        <v>2023</v>
      </c>
      <c r="E930" s="56">
        <v>4.5333333333333332</v>
      </c>
      <c r="F930" s="53">
        <f t="shared" si="74"/>
        <v>1</v>
      </c>
      <c r="G930" s="53">
        <f t="shared" si="71"/>
        <v>2</v>
      </c>
      <c r="H930" s="53">
        <f t="shared" si="72"/>
        <v>2</v>
      </c>
      <c r="I930" s="53" t="str">
        <f t="shared" si="75"/>
        <v>ww</v>
      </c>
      <c r="J930" s="53"/>
    </row>
    <row r="931" spans="1:10" x14ac:dyDescent="0.25">
      <c r="A931" s="93">
        <v>45259</v>
      </c>
      <c r="B931" s="35">
        <f t="shared" si="73"/>
        <v>179</v>
      </c>
      <c r="C931" s="76">
        <v>11</v>
      </c>
      <c r="D931" s="53">
        <v>2023</v>
      </c>
      <c r="E931" s="56">
        <v>0.53333333333333333</v>
      </c>
      <c r="F931" s="53">
        <f t="shared" si="74"/>
        <v>1</v>
      </c>
      <c r="G931" s="53">
        <f t="shared" si="71"/>
        <v>2</v>
      </c>
      <c r="H931" s="53">
        <f t="shared" si="72"/>
        <v>2</v>
      </c>
      <c r="I931" s="53" t="str">
        <f t="shared" si="75"/>
        <v>ww</v>
      </c>
      <c r="J931" s="53"/>
    </row>
    <row r="932" spans="1:10" x14ac:dyDescent="0.25">
      <c r="A932" s="93">
        <v>45260</v>
      </c>
      <c r="B932" s="35">
        <f t="shared" si="73"/>
        <v>179</v>
      </c>
      <c r="C932" s="76">
        <v>11</v>
      </c>
      <c r="D932" s="53">
        <v>2023</v>
      </c>
      <c r="E932" s="56">
        <v>2.7333333333333329</v>
      </c>
      <c r="F932" s="53">
        <f t="shared" si="74"/>
        <v>1</v>
      </c>
      <c r="G932" s="53">
        <f t="shared" ref="G932:G995" si="76">SUM(F931:F932)</f>
        <v>2</v>
      </c>
      <c r="H932" s="53">
        <f t="shared" ref="H932:H995" si="77">IF(G932=1,IF(F931=1,1,-1),G932)</f>
        <v>2</v>
      </c>
      <c r="I932" s="53" t="str">
        <f t="shared" si="75"/>
        <v>ww</v>
      </c>
      <c r="J932" s="53"/>
    </row>
    <row r="933" spans="1:10" x14ac:dyDescent="0.25">
      <c r="A933" s="93">
        <v>45597</v>
      </c>
      <c r="B933" s="35">
        <f t="shared" si="73"/>
        <v>191</v>
      </c>
      <c r="C933" s="76">
        <v>11</v>
      </c>
      <c r="D933" s="53">
        <v>2024</v>
      </c>
      <c r="E933" s="56">
        <v>0</v>
      </c>
      <c r="F933" s="53">
        <f t="shared" si="74"/>
        <v>0</v>
      </c>
      <c r="G933" s="53">
        <f t="shared" si="76"/>
        <v>1</v>
      </c>
      <c r="H933" s="53">
        <f t="shared" si="77"/>
        <v>1</v>
      </c>
      <c r="I933" s="53" t="str">
        <f t="shared" si="75"/>
        <v>wd</v>
      </c>
      <c r="J933" s="53"/>
    </row>
    <row r="934" spans="1:10" x14ac:dyDescent="0.25">
      <c r="A934" s="93">
        <v>45598</v>
      </c>
      <c r="B934" s="35">
        <f t="shared" si="73"/>
        <v>191</v>
      </c>
      <c r="C934" s="76">
        <v>11</v>
      </c>
      <c r="D934" s="53">
        <v>2024</v>
      </c>
      <c r="E934" s="56">
        <v>2.0666666666666669</v>
      </c>
      <c r="F934" s="53">
        <f t="shared" si="74"/>
        <v>1</v>
      </c>
      <c r="G934" s="53">
        <f t="shared" si="76"/>
        <v>1</v>
      </c>
      <c r="H934" s="53">
        <f t="shared" si="77"/>
        <v>-1</v>
      </c>
      <c r="I934" s="53" t="str">
        <f t="shared" si="75"/>
        <v>dw</v>
      </c>
      <c r="J934" s="53"/>
    </row>
    <row r="935" spans="1:10" x14ac:dyDescent="0.25">
      <c r="A935" s="93">
        <v>45599</v>
      </c>
      <c r="B935" s="35">
        <f t="shared" si="73"/>
        <v>191</v>
      </c>
      <c r="C935" s="76">
        <v>11</v>
      </c>
      <c r="D935" s="53">
        <v>2024</v>
      </c>
      <c r="E935" s="56">
        <v>0</v>
      </c>
      <c r="F935" s="53">
        <f t="shared" si="74"/>
        <v>0</v>
      </c>
      <c r="G935" s="53">
        <f t="shared" si="76"/>
        <v>1</v>
      </c>
      <c r="H935" s="53">
        <f t="shared" si="77"/>
        <v>1</v>
      </c>
      <c r="I935" s="53" t="str">
        <f t="shared" si="75"/>
        <v>wd</v>
      </c>
      <c r="J935" s="53"/>
    </row>
    <row r="936" spans="1:10" x14ac:dyDescent="0.25">
      <c r="A936" s="93">
        <v>45600</v>
      </c>
      <c r="B936" s="35">
        <f t="shared" si="73"/>
        <v>191</v>
      </c>
      <c r="C936" s="76">
        <v>11</v>
      </c>
      <c r="D936" s="53">
        <v>2024</v>
      </c>
      <c r="E936" s="56">
        <v>0</v>
      </c>
      <c r="F936" s="53">
        <f t="shared" si="74"/>
        <v>0</v>
      </c>
      <c r="G936" s="53">
        <f t="shared" si="76"/>
        <v>0</v>
      </c>
      <c r="H936" s="53">
        <f t="shared" si="77"/>
        <v>0</v>
      </c>
      <c r="I936" s="53" t="str">
        <f t="shared" si="75"/>
        <v>dd</v>
      </c>
      <c r="J936" s="53"/>
    </row>
    <row r="937" spans="1:10" x14ac:dyDescent="0.25">
      <c r="A937" s="93">
        <v>45601</v>
      </c>
      <c r="B937" s="35">
        <f t="shared" si="73"/>
        <v>191</v>
      </c>
      <c r="C937" s="76">
        <v>11</v>
      </c>
      <c r="D937" s="53">
        <v>2024</v>
      </c>
      <c r="E937" s="56">
        <v>0</v>
      </c>
      <c r="F937" s="53">
        <f t="shared" si="74"/>
        <v>0</v>
      </c>
      <c r="G937" s="53">
        <f t="shared" si="76"/>
        <v>0</v>
      </c>
      <c r="H937" s="53">
        <f t="shared" si="77"/>
        <v>0</v>
      </c>
      <c r="I937" s="53" t="str">
        <f t="shared" si="75"/>
        <v>dd</v>
      </c>
      <c r="J937" s="53"/>
    </row>
    <row r="938" spans="1:10" x14ac:dyDescent="0.25">
      <c r="A938" s="93">
        <v>45602</v>
      </c>
      <c r="B938" s="35">
        <f t="shared" si="73"/>
        <v>191</v>
      </c>
      <c r="C938" s="76">
        <v>11</v>
      </c>
      <c r="D938" s="53">
        <v>2024</v>
      </c>
      <c r="E938" s="56">
        <v>0</v>
      </c>
      <c r="F938" s="53">
        <f t="shared" si="74"/>
        <v>0</v>
      </c>
      <c r="G938" s="53">
        <f t="shared" si="76"/>
        <v>0</v>
      </c>
      <c r="H938" s="53">
        <f t="shared" si="77"/>
        <v>0</v>
      </c>
      <c r="I938" s="53" t="str">
        <f t="shared" si="75"/>
        <v>dd</v>
      </c>
      <c r="J938" s="53"/>
    </row>
    <row r="939" spans="1:10" x14ac:dyDescent="0.25">
      <c r="A939" s="93">
        <v>45603</v>
      </c>
      <c r="B939" s="35">
        <f t="shared" si="73"/>
        <v>191</v>
      </c>
      <c r="C939" s="76">
        <v>11</v>
      </c>
      <c r="D939" s="53">
        <v>2024</v>
      </c>
      <c r="E939" s="56">
        <v>0</v>
      </c>
      <c r="F939" s="53">
        <f t="shared" si="74"/>
        <v>0</v>
      </c>
      <c r="G939" s="53">
        <f t="shared" si="76"/>
        <v>0</v>
      </c>
      <c r="H939" s="53">
        <f t="shared" si="77"/>
        <v>0</v>
      </c>
      <c r="I939" s="53" t="str">
        <f t="shared" si="75"/>
        <v>dd</v>
      </c>
      <c r="J939" s="53"/>
    </row>
    <row r="940" spans="1:10" x14ac:dyDescent="0.25">
      <c r="A940" s="93">
        <v>45604</v>
      </c>
      <c r="B940" s="35">
        <f t="shared" si="73"/>
        <v>191</v>
      </c>
      <c r="C940" s="76">
        <v>11</v>
      </c>
      <c r="D940" s="53">
        <v>2024</v>
      </c>
      <c r="E940" s="56">
        <v>0</v>
      </c>
      <c r="F940" s="53">
        <f t="shared" si="74"/>
        <v>0</v>
      </c>
      <c r="G940" s="53">
        <f t="shared" si="76"/>
        <v>0</v>
      </c>
      <c r="H940" s="53">
        <f t="shared" si="77"/>
        <v>0</v>
      </c>
      <c r="I940" s="53" t="str">
        <f t="shared" si="75"/>
        <v>dd</v>
      </c>
      <c r="J940" s="53"/>
    </row>
    <row r="941" spans="1:10" x14ac:dyDescent="0.25">
      <c r="A941" s="93">
        <v>45605</v>
      </c>
      <c r="B941" s="35">
        <f t="shared" si="73"/>
        <v>191</v>
      </c>
      <c r="C941" s="76">
        <v>11</v>
      </c>
      <c r="D941" s="53">
        <v>2024</v>
      </c>
      <c r="E941" s="56">
        <v>0.20000000000000004</v>
      </c>
      <c r="F941" s="53">
        <f t="shared" si="74"/>
        <v>1</v>
      </c>
      <c r="G941" s="53">
        <f t="shared" si="76"/>
        <v>1</v>
      </c>
      <c r="H941" s="53">
        <f t="shared" si="77"/>
        <v>-1</v>
      </c>
      <c r="I941" s="53" t="str">
        <f t="shared" si="75"/>
        <v>dw</v>
      </c>
      <c r="J941" s="53"/>
    </row>
    <row r="942" spans="1:10" x14ac:dyDescent="0.25">
      <c r="A942" s="93">
        <v>45606</v>
      </c>
      <c r="B942" s="35">
        <f t="shared" si="73"/>
        <v>191</v>
      </c>
      <c r="C942" s="76">
        <v>11</v>
      </c>
      <c r="D942" s="53">
        <v>2024</v>
      </c>
      <c r="E942" s="56">
        <v>0.46666666666666662</v>
      </c>
      <c r="F942" s="53">
        <f t="shared" si="74"/>
        <v>1</v>
      </c>
      <c r="G942" s="53">
        <f t="shared" si="76"/>
        <v>2</v>
      </c>
      <c r="H942" s="53">
        <f t="shared" si="77"/>
        <v>2</v>
      </c>
      <c r="I942" s="53" t="str">
        <f t="shared" si="75"/>
        <v>ww</v>
      </c>
      <c r="J942" s="53"/>
    </row>
    <row r="943" spans="1:10" x14ac:dyDescent="0.25">
      <c r="A943" s="93">
        <v>45607</v>
      </c>
      <c r="B943" s="35">
        <f t="shared" si="73"/>
        <v>191</v>
      </c>
      <c r="C943" s="76">
        <v>11</v>
      </c>
      <c r="D943" s="53">
        <v>2024</v>
      </c>
      <c r="E943" s="56">
        <v>0</v>
      </c>
      <c r="F943" s="53">
        <f t="shared" si="74"/>
        <v>0</v>
      </c>
      <c r="G943" s="53">
        <f t="shared" si="76"/>
        <v>1</v>
      </c>
      <c r="H943" s="53">
        <f t="shared" si="77"/>
        <v>1</v>
      </c>
      <c r="I943" s="53" t="str">
        <f t="shared" si="75"/>
        <v>wd</v>
      </c>
      <c r="J943" s="53"/>
    </row>
    <row r="944" spans="1:10" x14ac:dyDescent="0.25">
      <c r="A944" s="93">
        <v>45608</v>
      </c>
      <c r="B944" s="35">
        <f t="shared" si="73"/>
        <v>191</v>
      </c>
      <c r="C944" s="76">
        <v>11</v>
      </c>
      <c r="D944" s="53">
        <v>2024</v>
      </c>
      <c r="E944" s="56">
        <v>0</v>
      </c>
      <c r="F944" s="53">
        <f t="shared" si="74"/>
        <v>0</v>
      </c>
      <c r="G944" s="53">
        <f t="shared" si="76"/>
        <v>0</v>
      </c>
      <c r="H944" s="53">
        <f t="shared" si="77"/>
        <v>0</v>
      </c>
      <c r="I944" s="53" t="str">
        <f t="shared" si="75"/>
        <v>dd</v>
      </c>
      <c r="J944" s="53"/>
    </row>
    <row r="945" spans="1:10" x14ac:dyDescent="0.25">
      <c r="A945" s="93">
        <v>45609</v>
      </c>
      <c r="B945" s="35">
        <f t="shared" si="73"/>
        <v>191</v>
      </c>
      <c r="C945" s="76">
        <v>11</v>
      </c>
      <c r="D945" s="53">
        <v>2024</v>
      </c>
      <c r="E945" s="56">
        <v>0</v>
      </c>
      <c r="F945" s="53">
        <f t="shared" si="74"/>
        <v>0</v>
      </c>
      <c r="G945" s="53">
        <f t="shared" si="76"/>
        <v>0</v>
      </c>
      <c r="H945" s="53">
        <f t="shared" si="77"/>
        <v>0</v>
      </c>
      <c r="I945" s="53" t="str">
        <f t="shared" si="75"/>
        <v>dd</v>
      </c>
      <c r="J945" s="53"/>
    </row>
    <row r="946" spans="1:10" x14ac:dyDescent="0.25">
      <c r="A946" s="93">
        <v>45610</v>
      </c>
      <c r="B946" s="35">
        <f t="shared" si="73"/>
        <v>191</v>
      </c>
      <c r="C946" s="76">
        <v>11</v>
      </c>
      <c r="D946" s="53">
        <v>2024</v>
      </c>
      <c r="E946" s="56">
        <v>0</v>
      </c>
      <c r="F946" s="53">
        <f t="shared" si="74"/>
        <v>0</v>
      </c>
      <c r="G946" s="53">
        <f t="shared" si="76"/>
        <v>0</v>
      </c>
      <c r="H946" s="53">
        <f t="shared" si="77"/>
        <v>0</v>
      </c>
      <c r="I946" s="53" t="str">
        <f t="shared" si="75"/>
        <v>dd</v>
      </c>
      <c r="J946" s="53"/>
    </row>
    <row r="947" spans="1:10" x14ac:dyDescent="0.25">
      <c r="A947" s="93">
        <v>45611</v>
      </c>
      <c r="B947" s="35">
        <f t="shared" si="73"/>
        <v>191</v>
      </c>
      <c r="C947" s="76">
        <v>11</v>
      </c>
      <c r="D947" s="53">
        <v>2024</v>
      </c>
      <c r="E947" s="56">
        <v>6.6666666666666666E-2</v>
      </c>
      <c r="F947" s="53">
        <f t="shared" si="74"/>
        <v>1</v>
      </c>
      <c r="G947" s="53">
        <f t="shared" si="76"/>
        <v>1</v>
      </c>
      <c r="H947" s="53">
        <f t="shared" si="77"/>
        <v>-1</v>
      </c>
      <c r="I947" s="53" t="str">
        <f t="shared" si="75"/>
        <v>dw</v>
      </c>
      <c r="J947" s="53"/>
    </row>
    <row r="948" spans="1:10" x14ac:dyDescent="0.25">
      <c r="A948" s="93">
        <v>45612</v>
      </c>
      <c r="B948" s="35">
        <f t="shared" si="73"/>
        <v>191</v>
      </c>
      <c r="C948" s="76">
        <v>11</v>
      </c>
      <c r="D948" s="53">
        <v>2024</v>
      </c>
      <c r="E948" s="56">
        <v>0.20000000000000004</v>
      </c>
      <c r="F948" s="53">
        <f t="shared" si="74"/>
        <v>1</v>
      </c>
      <c r="G948" s="53">
        <f t="shared" si="76"/>
        <v>2</v>
      </c>
      <c r="H948" s="53">
        <f t="shared" si="77"/>
        <v>2</v>
      </c>
      <c r="I948" s="53" t="str">
        <f t="shared" si="75"/>
        <v>ww</v>
      </c>
      <c r="J948" s="53"/>
    </row>
    <row r="949" spans="1:10" x14ac:dyDescent="0.25">
      <c r="A949" s="93">
        <v>45613</v>
      </c>
      <c r="B949" s="35">
        <f t="shared" si="73"/>
        <v>191</v>
      </c>
      <c r="C949" s="76">
        <v>11</v>
      </c>
      <c r="D949" s="53">
        <v>2024</v>
      </c>
      <c r="E949" s="56">
        <v>0</v>
      </c>
      <c r="F949" s="53">
        <f t="shared" si="74"/>
        <v>0</v>
      </c>
      <c r="G949" s="53">
        <f t="shared" si="76"/>
        <v>1</v>
      </c>
      <c r="H949" s="53">
        <f t="shared" si="77"/>
        <v>1</v>
      </c>
      <c r="I949" s="53" t="str">
        <f t="shared" si="75"/>
        <v>wd</v>
      </c>
      <c r="J949" s="53"/>
    </row>
    <row r="950" spans="1:10" x14ac:dyDescent="0.25">
      <c r="A950" s="93">
        <v>45614</v>
      </c>
      <c r="B950" s="35">
        <f t="shared" si="73"/>
        <v>191</v>
      </c>
      <c r="C950" s="76">
        <v>11</v>
      </c>
      <c r="D950" s="53">
        <v>2024</v>
      </c>
      <c r="E950" s="56">
        <v>0</v>
      </c>
      <c r="F950" s="53">
        <f t="shared" si="74"/>
        <v>0</v>
      </c>
      <c r="G950" s="53">
        <f t="shared" si="76"/>
        <v>0</v>
      </c>
      <c r="H950" s="53">
        <f t="shared" si="77"/>
        <v>0</v>
      </c>
      <c r="I950" s="53" t="str">
        <f t="shared" si="75"/>
        <v>dd</v>
      </c>
      <c r="J950" s="53"/>
    </row>
    <row r="951" spans="1:10" x14ac:dyDescent="0.25">
      <c r="A951" s="93">
        <v>45615</v>
      </c>
      <c r="B951" s="35">
        <f t="shared" si="73"/>
        <v>191</v>
      </c>
      <c r="C951" s="76">
        <v>11</v>
      </c>
      <c r="D951" s="53">
        <v>2024</v>
      </c>
      <c r="E951" s="56">
        <v>0.20000000000000004</v>
      </c>
      <c r="F951" s="53">
        <f t="shared" si="74"/>
        <v>1</v>
      </c>
      <c r="G951" s="53">
        <f t="shared" si="76"/>
        <v>1</v>
      </c>
      <c r="H951" s="53">
        <f t="shared" si="77"/>
        <v>-1</v>
      </c>
      <c r="I951" s="53" t="str">
        <f t="shared" si="75"/>
        <v>dw</v>
      </c>
      <c r="J951" s="53"/>
    </row>
    <row r="952" spans="1:10" x14ac:dyDescent="0.25">
      <c r="A952" s="93">
        <v>45616</v>
      </c>
      <c r="B952" s="35">
        <f t="shared" si="73"/>
        <v>191</v>
      </c>
      <c r="C952" s="76">
        <v>11</v>
      </c>
      <c r="D952" s="53">
        <v>2024</v>
      </c>
      <c r="E952" s="56">
        <v>0.70000000000000007</v>
      </c>
      <c r="F952" s="53">
        <f t="shared" si="74"/>
        <v>1</v>
      </c>
      <c r="G952" s="53">
        <f t="shared" si="76"/>
        <v>2</v>
      </c>
      <c r="H952" s="53">
        <f t="shared" si="77"/>
        <v>2</v>
      </c>
      <c r="I952" s="53" t="str">
        <f t="shared" si="75"/>
        <v>ww</v>
      </c>
      <c r="J952" s="53"/>
    </row>
    <row r="953" spans="1:10" x14ac:dyDescent="0.25">
      <c r="A953" s="93">
        <v>45617</v>
      </c>
      <c r="B953" s="35">
        <f t="shared" si="73"/>
        <v>191</v>
      </c>
      <c r="C953" s="76">
        <v>11</v>
      </c>
      <c r="D953" s="53">
        <v>2024</v>
      </c>
      <c r="E953" s="56">
        <v>0.10000000000000002</v>
      </c>
      <c r="F953" s="53">
        <f t="shared" si="74"/>
        <v>1</v>
      </c>
      <c r="G953" s="53">
        <f t="shared" si="76"/>
        <v>2</v>
      </c>
      <c r="H953" s="53">
        <f t="shared" si="77"/>
        <v>2</v>
      </c>
      <c r="I953" s="53" t="str">
        <f t="shared" si="75"/>
        <v>ww</v>
      </c>
      <c r="J953" s="53"/>
    </row>
    <row r="954" spans="1:10" x14ac:dyDescent="0.25">
      <c r="A954" s="93">
        <v>45618</v>
      </c>
      <c r="B954" s="35">
        <f t="shared" si="73"/>
        <v>191</v>
      </c>
      <c r="C954" s="76">
        <v>11</v>
      </c>
      <c r="D954" s="53">
        <v>2024</v>
      </c>
      <c r="E954" s="56">
        <v>0</v>
      </c>
      <c r="F954" s="53">
        <f t="shared" si="74"/>
        <v>0</v>
      </c>
      <c r="G954" s="53">
        <f t="shared" si="76"/>
        <v>1</v>
      </c>
      <c r="H954" s="53">
        <f t="shared" si="77"/>
        <v>1</v>
      </c>
      <c r="I954" s="53" t="str">
        <f t="shared" si="75"/>
        <v>wd</v>
      </c>
      <c r="J954" s="53"/>
    </row>
    <row r="955" spans="1:10" x14ac:dyDescent="0.25">
      <c r="A955" s="93">
        <v>45619</v>
      </c>
      <c r="B955" s="35">
        <f t="shared" si="73"/>
        <v>191</v>
      </c>
      <c r="C955" s="76">
        <v>11</v>
      </c>
      <c r="D955" s="53">
        <v>2024</v>
      </c>
      <c r="E955" s="56">
        <v>4.333333333333333</v>
      </c>
      <c r="F955" s="53">
        <f t="shared" si="74"/>
        <v>1</v>
      </c>
      <c r="G955" s="53">
        <f t="shared" si="76"/>
        <v>1</v>
      </c>
      <c r="H955" s="53">
        <f t="shared" si="77"/>
        <v>-1</v>
      </c>
      <c r="I955" s="53" t="str">
        <f t="shared" si="75"/>
        <v>dw</v>
      </c>
      <c r="J955" s="53"/>
    </row>
    <row r="956" spans="1:10" x14ac:dyDescent="0.25">
      <c r="A956" s="93">
        <v>45620</v>
      </c>
      <c r="B956" s="35">
        <f t="shared" si="73"/>
        <v>191</v>
      </c>
      <c r="C956" s="76">
        <v>11</v>
      </c>
      <c r="D956" s="53">
        <v>2024</v>
      </c>
      <c r="E956" s="56">
        <v>9.0000000000000018</v>
      </c>
      <c r="F956" s="53">
        <f t="shared" si="74"/>
        <v>1</v>
      </c>
      <c r="G956" s="53">
        <f t="shared" si="76"/>
        <v>2</v>
      </c>
      <c r="H956" s="53">
        <f t="shared" si="77"/>
        <v>2</v>
      </c>
      <c r="I956" s="53" t="str">
        <f t="shared" si="75"/>
        <v>ww</v>
      </c>
      <c r="J956" s="53"/>
    </row>
    <row r="957" spans="1:10" x14ac:dyDescent="0.25">
      <c r="A957" s="93">
        <v>45621</v>
      </c>
      <c r="B957" s="35">
        <f t="shared" si="73"/>
        <v>191</v>
      </c>
      <c r="C957" s="76">
        <v>11</v>
      </c>
      <c r="D957" s="53">
        <v>2024</v>
      </c>
      <c r="E957" s="56">
        <v>0.39999999999999997</v>
      </c>
      <c r="F957" s="53">
        <f t="shared" si="74"/>
        <v>1</v>
      </c>
      <c r="G957" s="53">
        <f t="shared" si="76"/>
        <v>2</v>
      </c>
      <c r="H957" s="53">
        <f t="shared" si="77"/>
        <v>2</v>
      </c>
      <c r="I957" s="53" t="str">
        <f t="shared" si="75"/>
        <v>ww</v>
      </c>
      <c r="J957" s="53"/>
    </row>
    <row r="958" spans="1:10" x14ac:dyDescent="0.25">
      <c r="A958" s="93">
        <v>45622</v>
      </c>
      <c r="B958" s="35">
        <f t="shared" si="73"/>
        <v>191</v>
      </c>
      <c r="C958" s="76">
        <v>11</v>
      </c>
      <c r="D958" s="53">
        <v>2024</v>
      </c>
      <c r="E958" s="56">
        <v>0</v>
      </c>
      <c r="F958" s="53">
        <f t="shared" si="74"/>
        <v>0</v>
      </c>
      <c r="G958" s="53">
        <f t="shared" si="76"/>
        <v>1</v>
      </c>
      <c r="H958" s="53">
        <f t="shared" si="77"/>
        <v>1</v>
      </c>
      <c r="I958" s="53" t="str">
        <f t="shared" si="75"/>
        <v>wd</v>
      </c>
      <c r="J958" s="53"/>
    </row>
    <row r="959" spans="1:10" x14ac:dyDescent="0.25">
      <c r="A959" s="93">
        <v>45623</v>
      </c>
      <c r="B959" s="35">
        <f t="shared" si="73"/>
        <v>191</v>
      </c>
      <c r="C959" s="76">
        <v>11</v>
      </c>
      <c r="D959" s="53">
        <v>2024</v>
      </c>
      <c r="E959" s="56">
        <v>0.46666666666666662</v>
      </c>
      <c r="F959" s="53">
        <f t="shared" si="74"/>
        <v>1</v>
      </c>
      <c r="G959" s="53">
        <f t="shared" si="76"/>
        <v>1</v>
      </c>
      <c r="H959" s="53">
        <f t="shared" si="77"/>
        <v>-1</v>
      </c>
      <c r="I959" s="53" t="str">
        <f t="shared" si="75"/>
        <v>dw</v>
      </c>
      <c r="J959" s="53"/>
    </row>
    <row r="960" spans="1:10" x14ac:dyDescent="0.25">
      <c r="A960" s="93">
        <v>45624</v>
      </c>
      <c r="B960" s="35">
        <f t="shared" si="73"/>
        <v>191</v>
      </c>
      <c r="C960" s="76">
        <v>11</v>
      </c>
      <c r="D960" s="53">
        <v>2024</v>
      </c>
      <c r="E960" s="56">
        <v>4.666666666666667</v>
      </c>
      <c r="F960" s="53">
        <f t="shared" si="74"/>
        <v>1</v>
      </c>
      <c r="G960" s="53">
        <f t="shared" si="76"/>
        <v>2</v>
      </c>
      <c r="H960" s="53">
        <f t="shared" si="77"/>
        <v>2</v>
      </c>
      <c r="I960" s="53" t="str">
        <f t="shared" si="75"/>
        <v>ww</v>
      </c>
      <c r="J960" s="53"/>
    </row>
    <row r="961" spans="1:10" x14ac:dyDescent="0.25">
      <c r="A961" s="93">
        <v>45625</v>
      </c>
      <c r="B961" s="35">
        <f t="shared" si="73"/>
        <v>191</v>
      </c>
      <c r="C961" s="76">
        <v>11</v>
      </c>
      <c r="D961" s="53">
        <v>2024</v>
      </c>
      <c r="E961" s="56">
        <v>0.13333333333333333</v>
      </c>
      <c r="F961" s="53">
        <f t="shared" si="74"/>
        <v>1</v>
      </c>
      <c r="G961" s="53">
        <f t="shared" si="76"/>
        <v>2</v>
      </c>
      <c r="H961" s="53">
        <f t="shared" si="77"/>
        <v>2</v>
      </c>
      <c r="I961" s="53" t="str">
        <f t="shared" si="75"/>
        <v>ww</v>
      </c>
      <c r="J961" s="53"/>
    </row>
    <row r="962" spans="1:10" x14ac:dyDescent="0.25">
      <c r="A962" s="93">
        <v>45626</v>
      </c>
      <c r="B962" s="35">
        <f t="shared" ref="B962:B1025" si="78">C962+(D962-2009)*12</f>
        <v>191</v>
      </c>
      <c r="C962" s="76">
        <v>11</v>
      </c>
      <c r="D962" s="53">
        <v>2024</v>
      </c>
      <c r="E962" s="56">
        <v>0.20000000000000004</v>
      </c>
      <c r="F962" s="53">
        <f t="shared" ref="F962:F1025" si="79">IF(E962&gt;0,1,0)</f>
        <v>1</v>
      </c>
      <c r="G962" s="53">
        <f t="shared" si="76"/>
        <v>2</v>
      </c>
      <c r="H962" s="53">
        <f t="shared" si="77"/>
        <v>2</v>
      </c>
      <c r="I962" s="53" t="str">
        <f t="shared" ref="I962:I1025" si="80">VLOOKUP(H962,codes,2,)</f>
        <v>ww</v>
      </c>
      <c r="J962" s="53"/>
    </row>
    <row r="963" spans="1:10" x14ac:dyDescent="0.25">
      <c r="A963" s="93">
        <v>40087</v>
      </c>
      <c r="B963" s="35">
        <f t="shared" si="78"/>
        <v>10</v>
      </c>
      <c r="C963" s="76">
        <v>10</v>
      </c>
      <c r="D963" s="76">
        <v>2009</v>
      </c>
      <c r="E963" s="56">
        <v>0.53333333333333333</v>
      </c>
      <c r="F963" s="53">
        <f t="shared" si="79"/>
        <v>1</v>
      </c>
      <c r="G963" s="53">
        <f>SUM(F963:F963)</f>
        <v>1</v>
      </c>
      <c r="H963" s="53" t="e">
        <f>IF(G963=1,IF(#REF!=1,1,-1),G963)</f>
        <v>#REF!</v>
      </c>
      <c r="I963" s="53" t="e">
        <f t="shared" si="80"/>
        <v>#REF!</v>
      </c>
      <c r="J963" s="53"/>
    </row>
    <row r="964" spans="1:10" x14ac:dyDescent="0.25">
      <c r="A964" s="93">
        <v>40088</v>
      </c>
      <c r="B964" s="35">
        <f t="shared" si="78"/>
        <v>10</v>
      </c>
      <c r="C964" s="76">
        <v>10</v>
      </c>
      <c r="D964" s="76">
        <v>2009</v>
      </c>
      <c r="E964" s="56">
        <v>1.0666666666666667</v>
      </c>
      <c r="F964" s="53">
        <f t="shared" si="79"/>
        <v>1</v>
      </c>
      <c r="G964" s="53">
        <f t="shared" ref="G964:G1027" si="81">SUM(F963:F964)</f>
        <v>2</v>
      </c>
      <c r="H964" s="53">
        <f t="shared" ref="H964:H1027" si="82">IF(G964=1,IF(F963=1,1,-1),G964)</f>
        <v>2</v>
      </c>
      <c r="I964" s="53" t="str">
        <f t="shared" si="80"/>
        <v>ww</v>
      </c>
      <c r="J964" s="53"/>
    </row>
    <row r="965" spans="1:10" x14ac:dyDescent="0.25">
      <c r="A965" s="93">
        <v>40089</v>
      </c>
      <c r="B965" s="35">
        <f t="shared" si="78"/>
        <v>10</v>
      </c>
      <c r="C965" s="76">
        <v>10</v>
      </c>
      <c r="D965" s="76">
        <v>2009</v>
      </c>
      <c r="E965" s="56">
        <v>1.0666666666666667</v>
      </c>
      <c r="F965" s="53">
        <f t="shared" si="79"/>
        <v>1</v>
      </c>
      <c r="G965" s="53">
        <f t="shared" si="81"/>
        <v>2</v>
      </c>
      <c r="H965" s="53">
        <f t="shared" si="82"/>
        <v>2</v>
      </c>
      <c r="I965" s="53" t="str">
        <f t="shared" si="80"/>
        <v>ww</v>
      </c>
      <c r="J965" s="53"/>
    </row>
    <row r="966" spans="1:10" x14ac:dyDescent="0.25">
      <c r="A966" s="93">
        <v>40090</v>
      </c>
      <c r="B966" s="35">
        <f t="shared" si="78"/>
        <v>10</v>
      </c>
      <c r="C966" s="76">
        <v>10</v>
      </c>
      <c r="D966" s="76">
        <v>2009</v>
      </c>
      <c r="E966" s="56">
        <v>0.73333333333333339</v>
      </c>
      <c r="F966" s="53">
        <f t="shared" si="79"/>
        <v>1</v>
      </c>
      <c r="G966" s="53">
        <f t="shared" si="81"/>
        <v>2</v>
      </c>
      <c r="H966" s="53">
        <f t="shared" si="82"/>
        <v>2</v>
      </c>
      <c r="I966" s="53" t="str">
        <f t="shared" si="80"/>
        <v>ww</v>
      </c>
      <c r="J966" s="53"/>
    </row>
    <row r="967" spans="1:10" x14ac:dyDescent="0.25">
      <c r="A967" s="93">
        <v>40091</v>
      </c>
      <c r="B967" s="35">
        <f t="shared" si="78"/>
        <v>10</v>
      </c>
      <c r="C967" s="76">
        <v>10</v>
      </c>
      <c r="D967" s="76">
        <v>2009</v>
      </c>
      <c r="E967" s="56">
        <v>1.8</v>
      </c>
      <c r="F967" s="53">
        <f t="shared" si="79"/>
        <v>1</v>
      </c>
      <c r="G967" s="53">
        <f t="shared" si="81"/>
        <v>2</v>
      </c>
      <c r="H967" s="53">
        <f t="shared" si="82"/>
        <v>2</v>
      </c>
      <c r="I967" s="53" t="str">
        <f t="shared" si="80"/>
        <v>ww</v>
      </c>
      <c r="J967" s="53"/>
    </row>
    <row r="968" spans="1:10" x14ac:dyDescent="0.25">
      <c r="A968" s="93">
        <v>40092</v>
      </c>
      <c r="B968" s="35">
        <f t="shared" si="78"/>
        <v>10</v>
      </c>
      <c r="C968" s="76">
        <v>10</v>
      </c>
      <c r="D968" s="76">
        <v>2009</v>
      </c>
      <c r="E968" s="56">
        <v>3</v>
      </c>
      <c r="F968" s="53">
        <f t="shared" si="79"/>
        <v>1</v>
      </c>
      <c r="G968" s="53">
        <f t="shared" si="81"/>
        <v>2</v>
      </c>
      <c r="H968" s="53">
        <f t="shared" si="82"/>
        <v>2</v>
      </c>
      <c r="I968" s="53" t="str">
        <f t="shared" si="80"/>
        <v>ww</v>
      </c>
      <c r="J968" s="53"/>
    </row>
    <row r="969" spans="1:10" x14ac:dyDescent="0.25">
      <c r="A969" s="93">
        <v>40093</v>
      </c>
      <c r="B969" s="35">
        <f t="shared" si="78"/>
        <v>10</v>
      </c>
      <c r="C969" s="76">
        <v>10</v>
      </c>
      <c r="D969" s="76">
        <v>2009</v>
      </c>
      <c r="E969" s="56">
        <v>2.1</v>
      </c>
      <c r="F969" s="53">
        <f t="shared" si="79"/>
        <v>1</v>
      </c>
      <c r="G969" s="53">
        <f t="shared" si="81"/>
        <v>2</v>
      </c>
      <c r="H969" s="53">
        <f t="shared" si="82"/>
        <v>2</v>
      </c>
      <c r="I969" s="53" t="str">
        <f t="shared" si="80"/>
        <v>ww</v>
      </c>
      <c r="J969" s="53"/>
    </row>
    <row r="970" spans="1:10" x14ac:dyDescent="0.25">
      <c r="A970" s="93">
        <v>40094</v>
      </c>
      <c r="B970" s="35">
        <f t="shared" si="78"/>
        <v>10</v>
      </c>
      <c r="C970" s="76">
        <v>10</v>
      </c>
      <c r="D970" s="76">
        <v>2009</v>
      </c>
      <c r="E970" s="56">
        <v>0</v>
      </c>
      <c r="F970" s="53">
        <f t="shared" si="79"/>
        <v>0</v>
      </c>
      <c r="G970" s="53">
        <f t="shared" si="81"/>
        <v>1</v>
      </c>
      <c r="H970" s="53">
        <f t="shared" si="82"/>
        <v>1</v>
      </c>
      <c r="I970" s="53" t="str">
        <f t="shared" si="80"/>
        <v>wd</v>
      </c>
      <c r="J970" s="53"/>
    </row>
    <row r="971" spans="1:10" x14ac:dyDescent="0.25">
      <c r="A971" s="93">
        <v>40095</v>
      </c>
      <c r="B971" s="35">
        <f t="shared" si="78"/>
        <v>10</v>
      </c>
      <c r="C971" s="76">
        <v>10</v>
      </c>
      <c r="D971" s="76">
        <v>2009</v>
      </c>
      <c r="E971" s="56">
        <v>1</v>
      </c>
      <c r="F971" s="53">
        <f t="shared" si="79"/>
        <v>1</v>
      </c>
      <c r="G971" s="53">
        <f t="shared" si="81"/>
        <v>1</v>
      </c>
      <c r="H971" s="53">
        <f t="shared" si="82"/>
        <v>-1</v>
      </c>
      <c r="I971" s="53" t="str">
        <f t="shared" si="80"/>
        <v>dw</v>
      </c>
      <c r="J971" s="53"/>
    </row>
    <row r="972" spans="1:10" x14ac:dyDescent="0.25">
      <c r="A972" s="93">
        <v>40096</v>
      </c>
      <c r="B972" s="35">
        <f t="shared" si="78"/>
        <v>10</v>
      </c>
      <c r="C972" s="76">
        <v>10</v>
      </c>
      <c r="D972" s="76">
        <v>2009</v>
      </c>
      <c r="E972" s="56">
        <v>1.8666666666666665</v>
      </c>
      <c r="F972" s="53">
        <f t="shared" si="79"/>
        <v>1</v>
      </c>
      <c r="G972" s="53">
        <f t="shared" si="81"/>
        <v>2</v>
      </c>
      <c r="H972" s="53">
        <f t="shared" si="82"/>
        <v>2</v>
      </c>
      <c r="I972" s="53" t="str">
        <f t="shared" si="80"/>
        <v>ww</v>
      </c>
      <c r="J972" s="53"/>
    </row>
    <row r="973" spans="1:10" x14ac:dyDescent="0.25">
      <c r="A973" s="93">
        <v>40097</v>
      </c>
      <c r="B973" s="35">
        <f t="shared" si="78"/>
        <v>10</v>
      </c>
      <c r="C973" s="76">
        <v>10</v>
      </c>
      <c r="D973" s="76">
        <v>2009</v>
      </c>
      <c r="E973" s="56">
        <v>0.13333333333333333</v>
      </c>
      <c r="F973" s="53">
        <f t="shared" si="79"/>
        <v>1</v>
      </c>
      <c r="G973" s="53">
        <f t="shared" si="81"/>
        <v>2</v>
      </c>
      <c r="H973" s="53">
        <f t="shared" si="82"/>
        <v>2</v>
      </c>
      <c r="I973" s="53" t="str">
        <f t="shared" si="80"/>
        <v>ww</v>
      </c>
      <c r="J973" s="53"/>
    </row>
    <row r="974" spans="1:10" x14ac:dyDescent="0.25">
      <c r="A974" s="93">
        <v>40098</v>
      </c>
      <c r="B974" s="35">
        <f t="shared" si="78"/>
        <v>10</v>
      </c>
      <c r="C974" s="76">
        <v>10</v>
      </c>
      <c r="D974" s="76">
        <v>2009</v>
      </c>
      <c r="E974" s="56">
        <v>0.39999999999999997</v>
      </c>
      <c r="F974" s="53">
        <f t="shared" si="79"/>
        <v>1</v>
      </c>
      <c r="G974" s="53">
        <f t="shared" si="81"/>
        <v>2</v>
      </c>
      <c r="H974" s="53">
        <f t="shared" si="82"/>
        <v>2</v>
      </c>
      <c r="I974" s="53" t="str">
        <f t="shared" si="80"/>
        <v>ww</v>
      </c>
      <c r="J974" s="53"/>
    </row>
    <row r="975" spans="1:10" x14ac:dyDescent="0.25">
      <c r="A975" s="93">
        <v>40099</v>
      </c>
      <c r="B975" s="35">
        <f t="shared" si="78"/>
        <v>10</v>
      </c>
      <c r="C975" s="76">
        <v>10</v>
      </c>
      <c r="D975" s="76">
        <v>2009</v>
      </c>
      <c r="E975" s="56">
        <v>0.33333333333333331</v>
      </c>
      <c r="F975" s="53">
        <f t="shared" si="79"/>
        <v>1</v>
      </c>
      <c r="G975" s="53">
        <f t="shared" si="81"/>
        <v>2</v>
      </c>
      <c r="H975" s="53">
        <f t="shared" si="82"/>
        <v>2</v>
      </c>
      <c r="I975" s="53" t="str">
        <f t="shared" si="80"/>
        <v>ww</v>
      </c>
      <c r="J975" s="53"/>
    </row>
    <row r="976" spans="1:10" x14ac:dyDescent="0.25">
      <c r="A976" s="93">
        <v>40100</v>
      </c>
      <c r="B976" s="35">
        <f t="shared" si="78"/>
        <v>10</v>
      </c>
      <c r="C976" s="76">
        <v>10</v>
      </c>
      <c r="D976" s="76">
        <v>2009</v>
      </c>
      <c r="E976" s="56">
        <v>1.4000000000000001</v>
      </c>
      <c r="F976" s="53">
        <f t="shared" si="79"/>
        <v>1</v>
      </c>
      <c r="G976" s="53">
        <f t="shared" si="81"/>
        <v>2</v>
      </c>
      <c r="H976" s="53">
        <f t="shared" si="82"/>
        <v>2</v>
      </c>
      <c r="I976" s="53" t="str">
        <f t="shared" si="80"/>
        <v>ww</v>
      </c>
      <c r="J976" s="53"/>
    </row>
    <row r="977" spans="1:10" x14ac:dyDescent="0.25">
      <c r="A977" s="93">
        <v>40101</v>
      </c>
      <c r="B977" s="35">
        <f t="shared" si="78"/>
        <v>10</v>
      </c>
      <c r="C977" s="76">
        <v>10</v>
      </c>
      <c r="D977" s="76">
        <v>2009</v>
      </c>
      <c r="E977" s="56">
        <v>2.3333333333333335</v>
      </c>
      <c r="F977" s="53">
        <f t="shared" si="79"/>
        <v>1</v>
      </c>
      <c r="G977" s="53">
        <f t="shared" si="81"/>
        <v>2</v>
      </c>
      <c r="H977" s="53">
        <f t="shared" si="82"/>
        <v>2</v>
      </c>
      <c r="I977" s="53" t="str">
        <f t="shared" si="80"/>
        <v>ww</v>
      </c>
      <c r="J977" s="53"/>
    </row>
    <row r="978" spans="1:10" x14ac:dyDescent="0.25">
      <c r="A978" s="93">
        <v>40102</v>
      </c>
      <c r="B978" s="35">
        <f t="shared" si="78"/>
        <v>10</v>
      </c>
      <c r="C978" s="76">
        <v>10</v>
      </c>
      <c r="D978" s="76">
        <v>2009</v>
      </c>
      <c r="E978" s="56">
        <v>1.2666666666666668</v>
      </c>
      <c r="F978" s="53">
        <f t="shared" si="79"/>
        <v>1</v>
      </c>
      <c r="G978" s="53">
        <f t="shared" si="81"/>
        <v>2</v>
      </c>
      <c r="H978" s="53">
        <f t="shared" si="82"/>
        <v>2</v>
      </c>
      <c r="I978" s="53" t="str">
        <f t="shared" si="80"/>
        <v>ww</v>
      </c>
      <c r="J978" s="53"/>
    </row>
    <row r="979" spans="1:10" x14ac:dyDescent="0.25">
      <c r="A979" s="93">
        <v>40103</v>
      </c>
      <c r="B979" s="35">
        <f t="shared" si="78"/>
        <v>10</v>
      </c>
      <c r="C979" s="76">
        <v>10</v>
      </c>
      <c r="D979" s="76">
        <v>2009</v>
      </c>
      <c r="E979" s="56">
        <v>0.13333333333333333</v>
      </c>
      <c r="F979" s="53">
        <f t="shared" si="79"/>
        <v>1</v>
      </c>
      <c r="G979" s="53">
        <f t="shared" si="81"/>
        <v>2</v>
      </c>
      <c r="H979" s="53">
        <f t="shared" si="82"/>
        <v>2</v>
      </c>
      <c r="I979" s="53" t="str">
        <f t="shared" si="80"/>
        <v>ww</v>
      </c>
      <c r="J979" s="53"/>
    </row>
    <row r="980" spans="1:10" x14ac:dyDescent="0.25">
      <c r="A980" s="93">
        <v>40104</v>
      </c>
      <c r="B980" s="35">
        <f t="shared" si="78"/>
        <v>10</v>
      </c>
      <c r="C980" s="76">
        <v>10</v>
      </c>
      <c r="D980" s="76">
        <v>2009</v>
      </c>
      <c r="E980" s="56">
        <v>0.46666666666666662</v>
      </c>
      <c r="F980" s="53">
        <f t="shared" si="79"/>
        <v>1</v>
      </c>
      <c r="G980" s="53">
        <f t="shared" si="81"/>
        <v>2</v>
      </c>
      <c r="H980" s="53">
        <f t="shared" si="82"/>
        <v>2</v>
      </c>
      <c r="I980" s="53" t="str">
        <f t="shared" si="80"/>
        <v>ww</v>
      </c>
      <c r="J980" s="53"/>
    </row>
    <row r="981" spans="1:10" x14ac:dyDescent="0.25">
      <c r="A981" s="93">
        <v>40105</v>
      </c>
      <c r="B981" s="35">
        <f t="shared" si="78"/>
        <v>10</v>
      </c>
      <c r="C981" s="76">
        <v>10</v>
      </c>
      <c r="D981" s="76">
        <v>2009</v>
      </c>
      <c r="E981" s="56">
        <v>1.6333333333333335</v>
      </c>
      <c r="F981" s="53">
        <f t="shared" si="79"/>
        <v>1</v>
      </c>
      <c r="G981" s="53">
        <f t="shared" si="81"/>
        <v>2</v>
      </c>
      <c r="H981" s="53">
        <f t="shared" si="82"/>
        <v>2</v>
      </c>
      <c r="I981" s="53" t="str">
        <f t="shared" si="80"/>
        <v>ww</v>
      </c>
      <c r="J981" s="53"/>
    </row>
    <row r="982" spans="1:10" x14ac:dyDescent="0.25">
      <c r="A982" s="93">
        <v>40106</v>
      </c>
      <c r="B982" s="35">
        <f t="shared" si="78"/>
        <v>10</v>
      </c>
      <c r="C982" s="76">
        <v>10</v>
      </c>
      <c r="D982" s="76">
        <v>2009</v>
      </c>
      <c r="E982" s="56">
        <v>2.1</v>
      </c>
      <c r="F982" s="53">
        <f t="shared" si="79"/>
        <v>1</v>
      </c>
      <c r="G982" s="53">
        <f t="shared" si="81"/>
        <v>2</v>
      </c>
      <c r="H982" s="53">
        <f t="shared" si="82"/>
        <v>2</v>
      </c>
      <c r="I982" s="53" t="str">
        <f t="shared" si="80"/>
        <v>ww</v>
      </c>
      <c r="J982" s="53"/>
    </row>
    <row r="983" spans="1:10" x14ac:dyDescent="0.25">
      <c r="A983" s="93">
        <v>40107</v>
      </c>
      <c r="B983" s="35">
        <f t="shared" si="78"/>
        <v>10</v>
      </c>
      <c r="C983" s="76">
        <v>10</v>
      </c>
      <c r="D983" s="76">
        <v>2009</v>
      </c>
      <c r="E983" s="56">
        <v>8.3333333333333339</v>
      </c>
      <c r="F983" s="53">
        <f t="shared" si="79"/>
        <v>1</v>
      </c>
      <c r="G983" s="53">
        <f t="shared" si="81"/>
        <v>2</v>
      </c>
      <c r="H983" s="53">
        <f t="shared" si="82"/>
        <v>2</v>
      </c>
      <c r="I983" s="53" t="str">
        <f t="shared" si="80"/>
        <v>ww</v>
      </c>
      <c r="J983" s="53"/>
    </row>
    <row r="984" spans="1:10" x14ac:dyDescent="0.25">
      <c r="A984" s="93">
        <v>40108</v>
      </c>
      <c r="B984" s="35">
        <f t="shared" si="78"/>
        <v>10</v>
      </c>
      <c r="C984" s="76">
        <v>10</v>
      </c>
      <c r="D984" s="76">
        <v>2009</v>
      </c>
      <c r="E984" s="56">
        <v>9.2666666666666675</v>
      </c>
      <c r="F984" s="53">
        <f t="shared" si="79"/>
        <v>1</v>
      </c>
      <c r="G984" s="53">
        <f t="shared" si="81"/>
        <v>2</v>
      </c>
      <c r="H984" s="53">
        <f t="shared" si="82"/>
        <v>2</v>
      </c>
      <c r="I984" s="53" t="str">
        <f t="shared" si="80"/>
        <v>ww</v>
      </c>
      <c r="J984" s="53"/>
    </row>
    <row r="985" spans="1:10" x14ac:dyDescent="0.25">
      <c r="A985" s="93">
        <v>40109</v>
      </c>
      <c r="B985" s="35">
        <f t="shared" si="78"/>
        <v>10</v>
      </c>
      <c r="C985" s="76">
        <v>10</v>
      </c>
      <c r="D985" s="76">
        <v>2009</v>
      </c>
      <c r="E985" s="56">
        <v>0.13333333333333333</v>
      </c>
      <c r="F985" s="53">
        <f t="shared" si="79"/>
        <v>1</v>
      </c>
      <c r="G985" s="53">
        <f t="shared" si="81"/>
        <v>2</v>
      </c>
      <c r="H985" s="53">
        <f t="shared" si="82"/>
        <v>2</v>
      </c>
      <c r="I985" s="53" t="str">
        <f t="shared" si="80"/>
        <v>ww</v>
      </c>
      <c r="J985" s="53"/>
    </row>
    <row r="986" spans="1:10" x14ac:dyDescent="0.25">
      <c r="A986" s="93">
        <v>40110</v>
      </c>
      <c r="B986" s="35">
        <f t="shared" si="78"/>
        <v>10</v>
      </c>
      <c r="C986" s="76">
        <v>10</v>
      </c>
      <c r="D986" s="76">
        <v>2009</v>
      </c>
      <c r="E986" s="56">
        <v>1.6333333333333335</v>
      </c>
      <c r="F986" s="53">
        <f t="shared" si="79"/>
        <v>1</v>
      </c>
      <c r="G986" s="53">
        <f t="shared" si="81"/>
        <v>2</v>
      </c>
      <c r="H986" s="53">
        <f t="shared" si="82"/>
        <v>2</v>
      </c>
      <c r="I986" s="53" t="str">
        <f t="shared" si="80"/>
        <v>ww</v>
      </c>
      <c r="J986" s="53"/>
    </row>
    <row r="987" spans="1:10" x14ac:dyDescent="0.25">
      <c r="A987" s="93">
        <v>40111</v>
      </c>
      <c r="B987" s="35">
        <f t="shared" si="78"/>
        <v>10</v>
      </c>
      <c r="C987" s="76">
        <v>10</v>
      </c>
      <c r="D987" s="76">
        <v>2009</v>
      </c>
      <c r="E987" s="56">
        <v>2.6999999999999997</v>
      </c>
      <c r="F987" s="53">
        <f t="shared" si="79"/>
        <v>1</v>
      </c>
      <c r="G987" s="53">
        <f t="shared" si="81"/>
        <v>2</v>
      </c>
      <c r="H987" s="53">
        <f t="shared" si="82"/>
        <v>2</v>
      </c>
      <c r="I987" s="53" t="str">
        <f t="shared" si="80"/>
        <v>ww</v>
      </c>
      <c r="J987" s="53"/>
    </row>
    <row r="988" spans="1:10" x14ac:dyDescent="0.25">
      <c r="A988" s="93">
        <v>40112</v>
      </c>
      <c r="B988" s="35">
        <f t="shared" si="78"/>
        <v>10</v>
      </c>
      <c r="C988" s="76">
        <v>10</v>
      </c>
      <c r="D988" s="76">
        <v>2009</v>
      </c>
      <c r="E988" s="56">
        <v>0.73333333333333339</v>
      </c>
      <c r="F988" s="53">
        <f t="shared" si="79"/>
        <v>1</v>
      </c>
      <c r="G988" s="53">
        <f t="shared" si="81"/>
        <v>2</v>
      </c>
      <c r="H988" s="53">
        <f t="shared" si="82"/>
        <v>2</v>
      </c>
      <c r="I988" s="53" t="str">
        <f t="shared" si="80"/>
        <v>ww</v>
      </c>
      <c r="J988" s="53"/>
    </row>
    <row r="989" spans="1:10" x14ac:dyDescent="0.25">
      <c r="A989" s="93">
        <v>40113</v>
      </c>
      <c r="B989" s="35">
        <f t="shared" si="78"/>
        <v>10</v>
      </c>
      <c r="C989" s="76">
        <v>10</v>
      </c>
      <c r="D989" s="76">
        <v>2009</v>
      </c>
      <c r="E989" s="56">
        <v>0.73333333333333339</v>
      </c>
      <c r="F989" s="53">
        <f t="shared" si="79"/>
        <v>1</v>
      </c>
      <c r="G989" s="53">
        <f t="shared" si="81"/>
        <v>2</v>
      </c>
      <c r="H989" s="53">
        <f t="shared" si="82"/>
        <v>2</v>
      </c>
      <c r="I989" s="53" t="str">
        <f t="shared" si="80"/>
        <v>ww</v>
      </c>
      <c r="J989" s="53"/>
    </row>
    <row r="990" spans="1:10" x14ac:dyDescent="0.25">
      <c r="A990" s="93">
        <v>40114</v>
      </c>
      <c r="B990" s="35">
        <f t="shared" si="78"/>
        <v>10</v>
      </c>
      <c r="C990" s="76">
        <v>10</v>
      </c>
      <c r="D990" s="76">
        <v>2009</v>
      </c>
      <c r="E990" s="56">
        <v>1.9333333333333333</v>
      </c>
      <c r="F990" s="53">
        <f t="shared" si="79"/>
        <v>1</v>
      </c>
      <c r="G990" s="53">
        <f t="shared" si="81"/>
        <v>2</v>
      </c>
      <c r="H990" s="53">
        <f t="shared" si="82"/>
        <v>2</v>
      </c>
      <c r="I990" s="53" t="str">
        <f t="shared" si="80"/>
        <v>ww</v>
      </c>
      <c r="J990" s="53"/>
    </row>
    <row r="991" spans="1:10" x14ac:dyDescent="0.25">
      <c r="A991" s="93">
        <v>40115</v>
      </c>
      <c r="B991" s="35">
        <f t="shared" si="78"/>
        <v>10</v>
      </c>
      <c r="C991" s="76">
        <v>10</v>
      </c>
      <c r="D991" s="76">
        <v>2009</v>
      </c>
      <c r="E991" s="56">
        <v>6.6666666666666666E-2</v>
      </c>
      <c r="F991" s="53">
        <f t="shared" si="79"/>
        <v>1</v>
      </c>
      <c r="G991" s="53">
        <f t="shared" si="81"/>
        <v>2</v>
      </c>
      <c r="H991" s="53">
        <f t="shared" si="82"/>
        <v>2</v>
      </c>
      <c r="I991" s="53" t="str">
        <f t="shared" si="80"/>
        <v>ww</v>
      </c>
      <c r="J991" s="53"/>
    </row>
    <row r="992" spans="1:10" x14ac:dyDescent="0.25">
      <c r="A992" s="93">
        <v>40116</v>
      </c>
      <c r="B992" s="35">
        <f t="shared" si="78"/>
        <v>10</v>
      </c>
      <c r="C992" s="76">
        <v>10</v>
      </c>
      <c r="D992" s="76">
        <v>2009</v>
      </c>
      <c r="E992" s="56">
        <v>6.6666666666666666E-2</v>
      </c>
      <c r="F992" s="53">
        <f t="shared" si="79"/>
        <v>1</v>
      </c>
      <c r="G992" s="53">
        <f t="shared" si="81"/>
        <v>2</v>
      </c>
      <c r="H992" s="53">
        <f t="shared" si="82"/>
        <v>2</v>
      </c>
      <c r="I992" s="53" t="str">
        <f t="shared" si="80"/>
        <v>ww</v>
      </c>
      <c r="J992" s="53"/>
    </row>
    <row r="993" spans="1:10" x14ac:dyDescent="0.25">
      <c r="A993" s="93">
        <v>40117</v>
      </c>
      <c r="B993" s="35">
        <f t="shared" si="78"/>
        <v>10</v>
      </c>
      <c r="C993" s="76">
        <v>10</v>
      </c>
      <c r="D993" s="76">
        <v>2009</v>
      </c>
      <c r="E993" s="56">
        <v>2</v>
      </c>
      <c r="F993" s="53">
        <f t="shared" si="79"/>
        <v>1</v>
      </c>
      <c r="G993" s="53">
        <f t="shared" si="81"/>
        <v>2</v>
      </c>
      <c r="H993" s="53">
        <f t="shared" si="82"/>
        <v>2</v>
      </c>
      <c r="I993" s="53" t="str">
        <f t="shared" si="80"/>
        <v>ww</v>
      </c>
      <c r="J993" s="53"/>
    </row>
    <row r="994" spans="1:10" x14ac:dyDescent="0.25">
      <c r="A994" s="93">
        <v>40453</v>
      </c>
      <c r="B994" s="35">
        <f t="shared" si="78"/>
        <v>22</v>
      </c>
      <c r="C994" s="76">
        <v>10</v>
      </c>
      <c r="D994" s="76">
        <v>2010</v>
      </c>
      <c r="E994" s="56">
        <v>7.2666666666666657</v>
      </c>
      <c r="F994" s="53">
        <f t="shared" si="79"/>
        <v>1</v>
      </c>
      <c r="G994" s="53">
        <f t="shared" si="81"/>
        <v>2</v>
      </c>
      <c r="H994" s="53">
        <f t="shared" si="82"/>
        <v>2</v>
      </c>
      <c r="I994" s="53" t="str">
        <f t="shared" si="80"/>
        <v>ww</v>
      </c>
      <c r="J994" s="53"/>
    </row>
    <row r="995" spans="1:10" x14ac:dyDescent="0.25">
      <c r="A995" s="93">
        <v>40454</v>
      </c>
      <c r="B995" s="35">
        <f t="shared" si="78"/>
        <v>22</v>
      </c>
      <c r="C995" s="76">
        <v>10</v>
      </c>
      <c r="D995" s="76">
        <v>2010</v>
      </c>
      <c r="E995" s="56">
        <v>2.5333333333333332</v>
      </c>
      <c r="F995" s="53">
        <f t="shared" si="79"/>
        <v>1</v>
      </c>
      <c r="G995" s="53">
        <f t="shared" si="81"/>
        <v>2</v>
      </c>
      <c r="H995" s="53">
        <f t="shared" si="82"/>
        <v>2</v>
      </c>
      <c r="I995" s="53" t="str">
        <f t="shared" si="80"/>
        <v>ww</v>
      </c>
      <c r="J995" s="53"/>
    </row>
    <row r="996" spans="1:10" x14ac:dyDescent="0.25">
      <c r="A996" s="93">
        <v>40455</v>
      </c>
      <c r="B996" s="35">
        <f t="shared" si="78"/>
        <v>22</v>
      </c>
      <c r="C996" s="76">
        <v>10</v>
      </c>
      <c r="D996" s="76">
        <v>2010</v>
      </c>
      <c r="E996" s="56">
        <v>11.866666666666665</v>
      </c>
      <c r="F996" s="53">
        <f t="shared" si="79"/>
        <v>1</v>
      </c>
      <c r="G996" s="53">
        <f t="shared" si="81"/>
        <v>2</v>
      </c>
      <c r="H996" s="53">
        <f t="shared" si="82"/>
        <v>2</v>
      </c>
      <c r="I996" s="53" t="str">
        <f t="shared" si="80"/>
        <v>ww</v>
      </c>
      <c r="J996" s="53"/>
    </row>
    <row r="997" spans="1:10" x14ac:dyDescent="0.25">
      <c r="A997" s="93">
        <v>40456</v>
      </c>
      <c r="B997" s="35">
        <f t="shared" si="78"/>
        <v>22</v>
      </c>
      <c r="C997" s="76">
        <v>10</v>
      </c>
      <c r="D997" s="76">
        <v>2010</v>
      </c>
      <c r="E997" s="56">
        <v>6.6666666666666666E-2</v>
      </c>
      <c r="F997" s="53">
        <f t="shared" si="79"/>
        <v>1</v>
      </c>
      <c r="G997" s="53">
        <f t="shared" si="81"/>
        <v>2</v>
      </c>
      <c r="H997" s="53">
        <f t="shared" si="82"/>
        <v>2</v>
      </c>
      <c r="I997" s="53" t="str">
        <f t="shared" si="80"/>
        <v>ww</v>
      </c>
      <c r="J997" s="53"/>
    </row>
    <row r="998" spans="1:10" x14ac:dyDescent="0.25">
      <c r="A998" s="93">
        <v>40457</v>
      </c>
      <c r="B998" s="35">
        <f t="shared" si="78"/>
        <v>22</v>
      </c>
      <c r="C998" s="76">
        <v>10</v>
      </c>
      <c r="D998" s="76">
        <v>2010</v>
      </c>
      <c r="E998" s="56">
        <v>4.0666666666666664</v>
      </c>
      <c r="F998" s="53">
        <f t="shared" si="79"/>
        <v>1</v>
      </c>
      <c r="G998" s="53">
        <f t="shared" si="81"/>
        <v>2</v>
      </c>
      <c r="H998" s="53">
        <f t="shared" si="82"/>
        <v>2</v>
      </c>
      <c r="I998" s="53" t="str">
        <f t="shared" si="80"/>
        <v>ww</v>
      </c>
      <c r="J998" s="53"/>
    </row>
    <row r="999" spans="1:10" x14ac:dyDescent="0.25">
      <c r="A999" s="93">
        <v>40458</v>
      </c>
      <c r="B999" s="35">
        <f t="shared" si="78"/>
        <v>22</v>
      </c>
      <c r="C999" s="76">
        <v>10</v>
      </c>
      <c r="D999" s="76">
        <v>2010</v>
      </c>
      <c r="E999" s="56">
        <v>0</v>
      </c>
      <c r="F999" s="53">
        <f t="shared" si="79"/>
        <v>0</v>
      </c>
      <c r="G999" s="53">
        <f t="shared" si="81"/>
        <v>1</v>
      </c>
      <c r="H999" s="53">
        <f t="shared" si="82"/>
        <v>1</v>
      </c>
      <c r="I999" s="53" t="str">
        <f t="shared" si="80"/>
        <v>wd</v>
      </c>
      <c r="J999" s="53"/>
    </row>
    <row r="1000" spans="1:10" x14ac:dyDescent="0.25">
      <c r="A1000" s="93">
        <v>40459</v>
      </c>
      <c r="B1000" s="35">
        <f t="shared" si="78"/>
        <v>22</v>
      </c>
      <c r="C1000" s="76">
        <v>10</v>
      </c>
      <c r="D1000" s="76">
        <v>2010</v>
      </c>
      <c r="E1000" s="56">
        <v>0.39999999999999997</v>
      </c>
      <c r="F1000" s="53">
        <f t="shared" si="79"/>
        <v>1</v>
      </c>
      <c r="G1000" s="53">
        <f t="shared" si="81"/>
        <v>1</v>
      </c>
      <c r="H1000" s="53">
        <f t="shared" si="82"/>
        <v>-1</v>
      </c>
      <c r="I1000" s="53" t="str">
        <f t="shared" si="80"/>
        <v>dw</v>
      </c>
      <c r="J1000" s="53"/>
    </row>
    <row r="1001" spans="1:10" x14ac:dyDescent="0.25">
      <c r="A1001" s="93">
        <v>40460</v>
      </c>
      <c r="B1001" s="35">
        <f t="shared" si="78"/>
        <v>22</v>
      </c>
      <c r="C1001" s="76">
        <v>10</v>
      </c>
      <c r="D1001" s="76">
        <v>2010</v>
      </c>
      <c r="E1001" s="56">
        <v>0.53333333333333333</v>
      </c>
      <c r="F1001" s="53">
        <f t="shared" si="79"/>
        <v>1</v>
      </c>
      <c r="G1001" s="53">
        <f t="shared" si="81"/>
        <v>2</v>
      </c>
      <c r="H1001" s="53">
        <f t="shared" si="82"/>
        <v>2</v>
      </c>
      <c r="I1001" s="53" t="str">
        <f t="shared" si="80"/>
        <v>ww</v>
      </c>
      <c r="J1001" s="53"/>
    </row>
    <row r="1002" spans="1:10" x14ac:dyDescent="0.25">
      <c r="A1002" s="93">
        <v>40461</v>
      </c>
      <c r="B1002" s="35">
        <f t="shared" si="78"/>
        <v>22</v>
      </c>
      <c r="C1002" s="76">
        <v>10</v>
      </c>
      <c r="D1002" s="76">
        <v>2010</v>
      </c>
      <c r="E1002" s="56">
        <v>0.13333333333333333</v>
      </c>
      <c r="F1002" s="53">
        <f t="shared" si="79"/>
        <v>1</v>
      </c>
      <c r="G1002" s="53">
        <f t="shared" si="81"/>
        <v>2</v>
      </c>
      <c r="H1002" s="53">
        <f t="shared" si="82"/>
        <v>2</v>
      </c>
      <c r="I1002" s="53" t="str">
        <f t="shared" si="80"/>
        <v>ww</v>
      </c>
      <c r="J1002" s="53"/>
    </row>
    <row r="1003" spans="1:10" x14ac:dyDescent="0.25">
      <c r="A1003" s="93">
        <v>40462</v>
      </c>
      <c r="B1003" s="35">
        <f t="shared" si="78"/>
        <v>22</v>
      </c>
      <c r="C1003" s="76">
        <v>10</v>
      </c>
      <c r="D1003" s="76">
        <v>2010</v>
      </c>
      <c r="E1003" s="56">
        <v>0</v>
      </c>
      <c r="F1003" s="53">
        <f t="shared" si="79"/>
        <v>0</v>
      </c>
      <c r="G1003" s="53">
        <f t="shared" si="81"/>
        <v>1</v>
      </c>
      <c r="H1003" s="53">
        <f t="shared" si="82"/>
        <v>1</v>
      </c>
      <c r="I1003" s="53" t="str">
        <f t="shared" si="80"/>
        <v>wd</v>
      </c>
      <c r="J1003" s="53"/>
    </row>
    <row r="1004" spans="1:10" x14ac:dyDescent="0.25">
      <c r="A1004" s="93">
        <v>40463</v>
      </c>
      <c r="B1004" s="35">
        <f t="shared" si="78"/>
        <v>22</v>
      </c>
      <c r="C1004" s="76">
        <v>10</v>
      </c>
      <c r="D1004" s="76">
        <v>2010</v>
      </c>
      <c r="E1004" s="56">
        <v>0</v>
      </c>
      <c r="F1004" s="53">
        <f t="shared" si="79"/>
        <v>0</v>
      </c>
      <c r="G1004" s="53">
        <f t="shared" si="81"/>
        <v>0</v>
      </c>
      <c r="H1004" s="53">
        <f t="shared" si="82"/>
        <v>0</v>
      </c>
      <c r="I1004" s="53" t="str">
        <f t="shared" si="80"/>
        <v>dd</v>
      </c>
      <c r="J1004" s="53"/>
    </row>
    <row r="1005" spans="1:10" x14ac:dyDescent="0.25">
      <c r="A1005" s="93">
        <v>40464</v>
      </c>
      <c r="B1005" s="35">
        <f t="shared" si="78"/>
        <v>22</v>
      </c>
      <c r="C1005" s="76">
        <v>10</v>
      </c>
      <c r="D1005" s="76">
        <v>2010</v>
      </c>
      <c r="E1005" s="56">
        <v>0</v>
      </c>
      <c r="F1005" s="53">
        <f t="shared" si="79"/>
        <v>0</v>
      </c>
      <c r="G1005" s="53">
        <f t="shared" si="81"/>
        <v>0</v>
      </c>
      <c r="H1005" s="53">
        <f t="shared" si="82"/>
        <v>0</v>
      </c>
      <c r="I1005" s="53" t="str">
        <f t="shared" si="80"/>
        <v>dd</v>
      </c>
      <c r="J1005" s="53"/>
    </row>
    <row r="1006" spans="1:10" x14ac:dyDescent="0.25">
      <c r="A1006" s="93">
        <v>40465</v>
      </c>
      <c r="B1006" s="35">
        <f t="shared" si="78"/>
        <v>22</v>
      </c>
      <c r="C1006" s="76">
        <v>10</v>
      </c>
      <c r="D1006" s="76">
        <v>2010</v>
      </c>
      <c r="E1006" s="56">
        <v>0.46666666666666662</v>
      </c>
      <c r="F1006" s="53">
        <f t="shared" si="79"/>
        <v>1</v>
      </c>
      <c r="G1006" s="53">
        <f t="shared" si="81"/>
        <v>1</v>
      </c>
      <c r="H1006" s="53">
        <f t="shared" si="82"/>
        <v>-1</v>
      </c>
      <c r="I1006" s="53" t="str">
        <f t="shared" si="80"/>
        <v>dw</v>
      </c>
      <c r="J1006" s="53"/>
    </row>
    <row r="1007" spans="1:10" x14ac:dyDescent="0.25">
      <c r="A1007" s="93">
        <v>40466</v>
      </c>
      <c r="B1007" s="35">
        <f t="shared" si="78"/>
        <v>22</v>
      </c>
      <c r="C1007" s="76">
        <v>10</v>
      </c>
      <c r="D1007" s="76">
        <v>2010</v>
      </c>
      <c r="E1007" s="56">
        <v>0.13333333333333333</v>
      </c>
      <c r="F1007" s="53">
        <f t="shared" si="79"/>
        <v>1</v>
      </c>
      <c r="G1007" s="53">
        <f t="shared" si="81"/>
        <v>2</v>
      </c>
      <c r="H1007" s="53">
        <f t="shared" si="82"/>
        <v>2</v>
      </c>
      <c r="I1007" s="53" t="str">
        <f t="shared" si="80"/>
        <v>ww</v>
      </c>
      <c r="J1007" s="53"/>
    </row>
    <row r="1008" spans="1:10" x14ac:dyDescent="0.25">
      <c r="A1008" s="93">
        <v>40467</v>
      </c>
      <c r="B1008" s="35">
        <f t="shared" si="78"/>
        <v>22</v>
      </c>
      <c r="C1008" s="76">
        <v>10</v>
      </c>
      <c r="D1008" s="76">
        <v>2010</v>
      </c>
      <c r="E1008" s="56">
        <v>2.5333333333333332</v>
      </c>
      <c r="F1008" s="53">
        <f t="shared" si="79"/>
        <v>1</v>
      </c>
      <c r="G1008" s="53">
        <f t="shared" si="81"/>
        <v>2</v>
      </c>
      <c r="H1008" s="53">
        <f t="shared" si="82"/>
        <v>2</v>
      </c>
      <c r="I1008" s="53" t="str">
        <f t="shared" si="80"/>
        <v>ww</v>
      </c>
      <c r="J1008" s="53"/>
    </row>
    <row r="1009" spans="1:10" x14ac:dyDescent="0.25">
      <c r="A1009" s="93">
        <v>40468</v>
      </c>
      <c r="B1009" s="35">
        <f t="shared" si="78"/>
        <v>22</v>
      </c>
      <c r="C1009" s="76">
        <v>10</v>
      </c>
      <c r="D1009" s="76">
        <v>2010</v>
      </c>
      <c r="E1009" s="56">
        <v>6.6666666666666666E-2</v>
      </c>
      <c r="F1009" s="53">
        <f t="shared" si="79"/>
        <v>1</v>
      </c>
      <c r="G1009" s="53">
        <f t="shared" si="81"/>
        <v>2</v>
      </c>
      <c r="H1009" s="53">
        <f t="shared" si="82"/>
        <v>2</v>
      </c>
      <c r="I1009" s="53" t="str">
        <f t="shared" si="80"/>
        <v>ww</v>
      </c>
      <c r="J1009" s="53"/>
    </row>
    <row r="1010" spans="1:10" x14ac:dyDescent="0.25">
      <c r="A1010" s="93">
        <v>40469</v>
      </c>
      <c r="B1010" s="35">
        <f t="shared" si="78"/>
        <v>22</v>
      </c>
      <c r="C1010" s="76">
        <v>10</v>
      </c>
      <c r="D1010" s="76">
        <v>2010</v>
      </c>
      <c r="E1010" s="56">
        <v>0.46666666666666662</v>
      </c>
      <c r="F1010" s="53">
        <f t="shared" si="79"/>
        <v>1</v>
      </c>
      <c r="G1010" s="53">
        <f t="shared" si="81"/>
        <v>2</v>
      </c>
      <c r="H1010" s="53">
        <f t="shared" si="82"/>
        <v>2</v>
      </c>
      <c r="I1010" s="53" t="str">
        <f t="shared" si="80"/>
        <v>ww</v>
      </c>
      <c r="J1010" s="53"/>
    </row>
    <row r="1011" spans="1:10" x14ac:dyDescent="0.25">
      <c r="A1011" s="93">
        <v>40470</v>
      </c>
      <c r="B1011" s="35">
        <f t="shared" si="78"/>
        <v>22</v>
      </c>
      <c r="C1011" s="76">
        <v>10</v>
      </c>
      <c r="D1011" s="76">
        <v>2010</v>
      </c>
      <c r="E1011" s="56">
        <v>6.6666666666666666E-2</v>
      </c>
      <c r="F1011" s="53">
        <f t="shared" si="79"/>
        <v>1</v>
      </c>
      <c r="G1011" s="53">
        <f t="shared" si="81"/>
        <v>2</v>
      </c>
      <c r="H1011" s="53">
        <f t="shared" si="82"/>
        <v>2</v>
      </c>
      <c r="I1011" s="53" t="str">
        <f t="shared" si="80"/>
        <v>ww</v>
      </c>
      <c r="J1011" s="53"/>
    </row>
    <row r="1012" spans="1:10" x14ac:dyDescent="0.25">
      <c r="A1012" s="93">
        <v>40471</v>
      </c>
      <c r="B1012" s="35">
        <f t="shared" si="78"/>
        <v>22</v>
      </c>
      <c r="C1012" s="76">
        <v>10</v>
      </c>
      <c r="D1012" s="76">
        <v>2010</v>
      </c>
      <c r="E1012" s="56">
        <v>0.26666666666666666</v>
      </c>
      <c r="F1012" s="53">
        <f t="shared" si="79"/>
        <v>1</v>
      </c>
      <c r="G1012" s="53">
        <f t="shared" si="81"/>
        <v>2</v>
      </c>
      <c r="H1012" s="53">
        <f t="shared" si="82"/>
        <v>2</v>
      </c>
      <c r="I1012" s="53" t="str">
        <f t="shared" si="80"/>
        <v>ww</v>
      </c>
      <c r="J1012" s="53"/>
    </row>
    <row r="1013" spans="1:10" x14ac:dyDescent="0.25">
      <c r="A1013" s="93">
        <v>40472</v>
      </c>
      <c r="B1013" s="35">
        <f t="shared" si="78"/>
        <v>22</v>
      </c>
      <c r="C1013" s="76">
        <v>10</v>
      </c>
      <c r="D1013" s="76">
        <v>2010</v>
      </c>
      <c r="E1013" s="56">
        <v>2.2666666666666666</v>
      </c>
      <c r="F1013" s="53">
        <f t="shared" si="79"/>
        <v>1</v>
      </c>
      <c r="G1013" s="53">
        <f t="shared" si="81"/>
        <v>2</v>
      </c>
      <c r="H1013" s="53">
        <f t="shared" si="82"/>
        <v>2</v>
      </c>
      <c r="I1013" s="53" t="str">
        <f t="shared" si="80"/>
        <v>ww</v>
      </c>
      <c r="J1013" s="53"/>
    </row>
    <row r="1014" spans="1:10" x14ac:dyDescent="0.25">
      <c r="A1014" s="93">
        <v>40473</v>
      </c>
      <c r="B1014" s="35">
        <f t="shared" si="78"/>
        <v>22</v>
      </c>
      <c r="C1014" s="76">
        <v>10</v>
      </c>
      <c r="D1014" s="76">
        <v>2010</v>
      </c>
      <c r="E1014" s="56">
        <v>1.1333333333333335</v>
      </c>
      <c r="F1014" s="53">
        <f t="shared" si="79"/>
        <v>1</v>
      </c>
      <c r="G1014" s="53">
        <f t="shared" si="81"/>
        <v>2</v>
      </c>
      <c r="H1014" s="53">
        <f t="shared" si="82"/>
        <v>2</v>
      </c>
      <c r="I1014" s="53" t="str">
        <f t="shared" si="80"/>
        <v>ww</v>
      </c>
      <c r="J1014" s="53"/>
    </row>
    <row r="1015" spans="1:10" x14ac:dyDescent="0.25">
      <c r="A1015" s="93">
        <v>40474</v>
      </c>
      <c r="B1015" s="35">
        <f t="shared" si="78"/>
        <v>22</v>
      </c>
      <c r="C1015" s="76">
        <v>10</v>
      </c>
      <c r="D1015" s="76">
        <v>2010</v>
      </c>
      <c r="E1015" s="56">
        <v>4.5333333333333323</v>
      </c>
      <c r="F1015" s="53">
        <f t="shared" si="79"/>
        <v>1</v>
      </c>
      <c r="G1015" s="53">
        <f t="shared" si="81"/>
        <v>2</v>
      </c>
      <c r="H1015" s="53">
        <f t="shared" si="82"/>
        <v>2</v>
      </c>
      <c r="I1015" s="53" t="str">
        <f t="shared" si="80"/>
        <v>ww</v>
      </c>
      <c r="J1015" s="53"/>
    </row>
    <row r="1016" spans="1:10" x14ac:dyDescent="0.25">
      <c r="A1016" s="93">
        <v>40475</v>
      </c>
      <c r="B1016" s="35">
        <f t="shared" si="78"/>
        <v>22</v>
      </c>
      <c r="C1016" s="76">
        <v>10</v>
      </c>
      <c r="D1016" s="76">
        <v>2010</v>
      </c>
      <c r="E1016" s="56">
        <v>7.666666666666667</v>
      </c>
      <c r="F1016" s="53">
        <f t="shared" si="79"/>
        <v>1</v>
      </c>
      <c r="G1016" s="53">
        <f t="shared" si="81"/>
        <v>2</v>
      </c>
      <c r="H1016" s="53">
        <f t="shared" si="82"/>
        <v>2</v>
      </c>
      <c r="I1016" s="53" t="str">
        <f t="shared" si="80"/>
        <v>ww</v>
      </c>
      <c r="J1016" s="53"/>
    </row>
    <row r="1017" spans="1:10" x14ac:dyDescent="0.25">
      <c r="A1017" s="93">
        <v>40476</v>
      </c>
      <c r="B1017" s="35">
        <f t="shared" si="78"/>
        <v>22</v>
      </c>
      <c r="C1017" s="76">
        <v>10</v>
      </c>
      <c r="D1017" s="76">
        <v>2010</v>
      </c>
      <c r="E1017" s="56">
        <v>0.26666666666666666</v>
      </c>
      <c r="F1017" s="53">
        <f t="shared" si="79"/>
        <v>1</v>
      </c>
      <c r="G1017" s="53">
        <f t="shared" si="81"/>
        <v>2</v>
      </c>
      <c r="H1017" s="53">
        <f t="shared" si="82"/>
        <v>2</v>
      </c>
      <c r="I1017" s="53" t="str">
        <f t="shared" si="80"/>
        <v>ww</v>
      </c>
      <c r="J1017" s="53"/>
    </row>
    <row r="1018" spans="1:10" x14ac:dyDescent="0.25">
      <c r="A1018" s="93">
        <v>40477</v>
      </c>
      <c r="B1018" s="35">
        <f t="shared" si="78"/>
        <v>22</v>
      </c>
      <c r="C1018" s="76">
        <v>10</v>
      </c>
      <c r="D1018" s="76">
        <v>2010</v>
      </c>
      <c r="E1018" s="56">
        <v>4.9333333333333336</v>
      </c>
      <c r="F1018" s="53">
        <f t="shared" si="79"/>
        <v>1</v>
      </c>
      <c r="G1018" s="53">
        <f t="shared" si="81"/>
        <v>2</v>
      </c>
      <c r="H1018" s="53">
        <f t="shared" si="82"/>
        <v>2</v>
      </c>
      <c r="I1018" s="53" t="str">
        <f t="shared" si="80"/>
        <v>ww</v>
      </c>
      <c r="J1018" s="53"/>
    </row>
    <row r="1019" spans="1:10" x14ac:dyDescent="0.25">
      <c r="A1019" s="93">
        <v>40478</v>
      </c>
      <c r="B1019" s="35">
        <f t="shared" si="78"/>
        <v>22</v>
      </c>
      <c r="C1019" s="76">
        <v>10</v>
      </c>
      <c r="D1019" s="76">
        <v>2010</v>
      </c>
      <c r="E1019" s="56">
        <v>0.33333333333333331</v>
      </c>
      <c r="F1019" s="53">
        <f t="shared" si="79"/>
        <v>1</v>
      </c>
      <c r="G1019" s="53">
        <f t="shared" si="81"/>
        <v>2</v>
      </c>
      <c r="H1019" s="53">
        <f t="shared" si="82"/>
        <v>2</v>
      </c>
      <c r="I1019" s="53" t="str">
        <f t="shared" si="80"/>
        <v>ww</v>
      </c>
      <c r="J1019" s="53"/>
    </row>
    <row r="1020" spans="1:10" x14ac:dyDescent="0.25">
      <c r="A1020" s="93">
        <v>40479</v>
      </c>
      <c r="B1020" s="35">
        <f t="shared" si="78"/>
        <v>22</v>
      </c>
      <c r="C1020" s="76">
        <v>10</v>
      </c>
      <c r="D1020" s="76">
        <v>2010</v>
      </c>
      <c r="E1020" s="56">
        <v>3.4666666666666668</v>
      </c>
      <c r="F1020" s="53">
        <f t="shared" si="79"/>
        <v>1</v>
      </c>
      <c r="G1020" s="53">
        <f t="shared" si="81"/>
        <v>2</v>
      </c>
      <c r="H1020" s="53">
        <f t="shared" si="82"/>
        <v>2</v>
      </c>
      <c r="I1020" s="53" t="str">
        <f t="shared" si="80"/>
        <v>ww</v>
      </c>
      <c r="J1020" s="53"/>
    </row>
    <row r="1021" spans="1:10" x14ac:dyDescent="0.25">
      <c r="A1021" s="93">
        <v>40480</v>
      </c>
      <c r="B1021" s="35">
        <f t="shared" si="78"/>
        <v>22</v>
      </c>
      <c r="C1021" s="76">
        <v>10</v>
      </c>
      <c r="D1021" s="76">
        <v>2010</v>
      </c>
      <c r="E1021" s="56">
        <v>0</v>
      </c>
      <c r="F1021" s="53">
        <f t="shared" si="79"/>
        <v>0</v>
      </c>
      <c r="G1021" s="53">
        <f t="shared" si="81"/>
        <v>1</v>
      </c>
      <c r="H1021" s="53">
        <f t="shared" si="82"/>
        <v>1</v>
      </c>
      <c r="I1021" s="53" t="str">
        <f t="shared" si="80"/>
        <v>wd</v>
      </c>
      <c r="J1021" s="53"/>
    </row>
    <row r="1022" spans="1:10" x14ac:dyDescent="0.25">
      <c r="A1022" s="93">
        <v>40481</v>
      </c>
      <c r="B1022" s="35">
        <f t="shared" si="78"/>
        <v>22</v>
      </c>
      <c r="C1022" s="76">
        <v>10</v>
      </c>
      <c r="D1022" s="76">
        <v>2010</v>
      </c>
      <c r="E1022" s="56">
        <v>0</v>
      </c>
      <c r="F1022" s="53">
        <f t="shared" si="79"/>
        <v>0</v>
      </c>
      <c r="G1022" s="53">
        <f t="shared" si="81"/>
        <v>0</v>
      </c>
      <c r="H1022" s="53">
        <f t="shared" si="82"/>
        <v>0</v>
      </c>
      <c r="I1022" s="53" t="str">
        <f t="shared" si="80"/>
        <v>dd</v>
      </c>
      <c r="J1022" s="53"/>
    </row>
    <row r="1023" spans="1:10" x14ac:dyDescent="0.25">
      <c r="A1023" s="93">
        <v>40482</v>
      </c>
      <c r="B1023" s="35">
        <f t="shared" si="78"/>
        <v>22</v>
      </c>
      <c r="C1023" s="76">
        <v>10</v>
      </c>
      <c r="D1023" s="76">
        <v>2010</v>
      </c>
      <c r="E1023" s="56">
        <v>0</v>
      </c>
      <c r="F1023" s="53">
        <f t="shared" si="79"/>
        <v>0</v>
      </c>
      <c r="G1023" s="53">
        <f t="shared" si="81"/>
        <v>0</v>
      </c>
      <c r="H1023" s="53">
        <f t="shared" si="82"/>
        <v>0</v>
      </c>
      <c r="I1023" s="53" t="str">
        <f t="shared" si="80"/>
        <v>dd</v>
      </c>
      <c r="J1023" s="53"/>
    </row>
    <row r="1024" spans="1:10" x14ac:dyDescent="0.25">
      <c r="A1024" s="93">
        <v>40483</v>
      </c>
      <c r="B1024" s="35">
        <f t="shared" si="78"/>
        <v>22</v>
      </c>
      <c r="C1024" s="76">
        <v>10</v>
      </c>
      <c r="D1024" s="76">
        <v>2010</v>
      </c>
      <c r="E1024" s="56">
        <v>6.6666666666666666E-2</v>
      </c>
      <c r="F1024" s="53">
        <f t="shared" si="79"/>
        <v>1</v>
      </c>
      <c r="G1024" s="53">
        <f t="shared" si="81"/>
        <v>1</v>
      </c>
      <c r="H1024" s="53">
        <f t="shared" si="82"/>
        <v>-1</v>
      </c>
      <c r="I1024" s="53" t="str">
        <f t="shared" si="80"/>
        <v>dw</v>
      </c>
      <c r="J1024" s="53"/>
    </row>
    <row r="1025" spans="1:10" x14ac:dyDescent="0.25">
      <c r="A1025" s="93">
        <v>40818</v>
      </c>
      <c r="B1025" s="35">
        <f t="shared" si="78"/>
        <v>34</v>
      </c>
      <c r="C1025" s="76">
        <v>10</v>
      </c>
      <c r="D1025" s="76">
        <v>2011</v>
      </c>
      <c r="E1025" s="56">
        <v>3.1333333333333329</v>
      </c>
      <c r="F1025" s="53">
        <f t="shared" si="79"/>
        <v>1</v>
      </c>
      <c r="G1025" s="53">
        <f t="shared" si="81"/>
        <v>2</v>
      </c>
      <c r="H1025" s="53">
        <f t="shared" si="82"/>
        <v>2</v>
      </c>
      <c r="I1025" s="53" t="str">
        <f t="shared" si="80"/>
        <v>ww</v>
      </c>
      <c r="J1025" s="53"/>
    </row>
    <row r="1026" spans="1:10" x14ac:dyDescent="0.25">
      <c r="A1026" s="93">
        <v>40819</v>
      </c>
      <c r="B1026" s="35">
        <f t="shared" ref="B1026:B1089" si="83">C1026+(D1026-2009)*12</f>
        <v>34</v>
      </c>
      <c r="C1026" s="76">
        <v>10</v>
      </c>
      <c r="D1026" s="76">
        <v>2011</v>
      </c>
      <c r="E1026" s="56">
        <v>3.9333333333333336</v>
      </c>
      <c r="F1026" s="53">
        <f t="shared" ref="F1026:F1089" si="84">IF(E1026&gt;0,1,0)</f>
        <v>1</v>
      </c>
      <c r="G1026" s="53">
        <f t="shared" si="81"/>
        <v>2</v>
      </c>
      <c r="H1026" s="53">
        <f t="shared" si="82"/>
        <v>2</v>
      </c>
      <c r="I1026" s="53" t="str">
        <f t="shared" ref="I1026:I1089" si="85">VLOOKUP(H1026,codes,2,)</f>
        <v>ww</v>
      </c>
      <c r="J1026" s="53"/>
    </row>
    <row r="1027" spans="1:10" x14ac:dyDescent="0.25">
      <c r="A1027" s="93">
        <v>40820</v>
      </c>
      <c r="B1027" s="35">
        <f t="shared" si="83"/>
        <v>34</v>
      </c>
      <c r="C1027" s="76">
        <v>10</v>
      </c>
      <c r="D1027" s="76">
        <v>2011</v>
      </c>
      <c r="E1027" s="56">
        <v>0</v>
      </c>
      <c r="F1027" s="53">
        <f t="shared" si="84"/>
        <v>0</v>
      </c>
      <c r="G1027" s="53">
        <f t="shared" si="81"/>
        <v>1</v>
      </c>
      <c r="H1027" s="53">
        <f t="shared" si="82"/>
        <v>1</v>
      </c>
      <c r="I1027" s="53" t="str">
        <f t="shared" si="85"/>
        <v>wd</v>
      </c>
      <c r="J1027" s="53"/>
    </row>
    <row r="1028" spans="1:10" x14ac:dyDescent="0.25">
      <c r="A1028" s="93">
        <v>40821</v>
      </c>
      <c r="B1028" s="35">
        <f t="shared" si="83"/>
        <v>34</v>
      </c>
      <c r="C1028" s="76">
        <v>10</v>
      </c>
      <c r="D1028" s="76">
        <v>2011</v>
      </c>
      <c r="E1028" s="56">
        <v>0</v>
      </c>
      <c r="F1028" s="53">
        <f t="shared" si="84"/>
        <v>0</v>
      </c>
      <c r="G1028" s="53">
        <f t="shared" ref="G1028:G1091" si="86">SUM(F1027:F1028)</f>
        <v>0</v>
      </c>
      <c r="H1028" s="53">
        <f t="shared" ref="H1028:H1091" si="87">IF(G1028=1,IF(F1027=1,1,-1),G1028)</f>
        <v>0</v>
      </c>
      <c r="I1028" s="53" t="str">
        <f t="shared" si="85"/>
        <v>dd</v>
      </c>
      <c r="J1028" s="53"/>
    </row>
    <row r="1029" spans="1:10" x14ac:dyDescent="0.25">
      <c r="A1029" s="93">
        <v>40822</v>
      </c>
      <c r="B1029" s="35">
        <f t="shared" si="83"/>
        <v>34</v>
      </c>
      <c r="C1029" s="76">
        <v>10</v>
      </c>
      <c r="D1029" s="76">
        <v>2011</v>
      </c>
      <c r="E1029" s="56">
        <v>0.19999999999999998</v>
      </c>
      <c r="F1029" s="53">
        <f t="shared" si="84"/>
        <v>1</v>
      </c>
      <c r="G1029" s="53">
        <f t="shared" si="86"/>
        <v>1</v>
      </c>
      <c r="H1029" s="53">
        <f t="shared" si="87"/>
        <v>-1</v>
      </c>
      <c r="I1029" s="53" t="str">
        <f t="shared" si="85"/>
        <v>dw</v>
      </c>
      <c r="J1029" s="53"/>
    </row>
    <row r="1030" spans="1:10" x14ac:dyDescent="0.25">
      <c r="A1030" s="93">
        <v>40823</v>
      </c>
      <c r="B1030" s="35">
        <f t="shared" si="83"/>
        <v>34</v>
      </c>
      <c r="C1030" s="76">
        <v>10</v>
      </c>
      <c r="D1030" s="76">
        <v>2011</v>
      </c>
      <c r="E1030" s="56">
        <v>0.33333333333333331</v>
      </c>
      <c r="F1030" s="53">
        <f t="shared" si="84"/>
        <v>1</v>
      </c>
      <c r="G1030" s="53">
        <f t="shared" si="86"/>
        <v>2</v>
      </c>
      <c r="H1030" s="53">
        <f t="shared" si="87"/>
        <v>2</v>
      </c>
      <c r="I1030" s="53" t="str">
        <f t="shared" si="85"/>
        <v>ww</v>
      </c>
      <c r="J1030" s="53"/>
    </row>
    <row r="1031" spans="1:10" x14ac:dyDescent="0.25">
      <c r="A1031" s="93">
        <v>40824</v>
      </c>
      <c r="B1031" s="35">
        <f t="shared" si="83"/>
        <v>34</v>
      </c>
      <c r="C1031" s="76">
        <v>10</v>
      </c>
      <c r="D1031" s="76">
        <v>2011</v>
      </c>
      <c r="E1031" s="56">
        <v>6.6666666666666666E-2</v>
      </c>
      <c r="F1031" s="53">
        <f t="shared" si="84"/>
        <v>1</v>
      </c>
      <c r="G1031" s="53">
        <f t="shared" si="86"/>
        <v>2</v>
      </c>
      <c r="H1031" s="53">
        <f t="shared" si="87"/>
        <v>2</v>
      </c>
      <c r="I1031" s="53" t="str">
        <f t="shared" si="85"/>
        <v>ww</v>
      </c>
      <c r="J1031" s="53"/>
    </row>
    <row r="1032" spans="1:10" x14ac:dyDescent="0.25">
      <c r="A1032" s="93">
        <v>40825</v>
      </c>
      <c r="B1032" s="35">
        <f t="shared" si="83"/>
        <v>34</v>
      </c>
      <c r="C1032" s="76">
        <v>10</v>
      </c>
      <c r="D1032" s="76">
        <v>2011</v>
      </c>
      <c r="E1032" s="56">
        <v>7.8</v>
      </c>
      <c r="F1032" s="53">
        <f t="shared" si="84"/>
        <v>1</v>
      </c>
      <c r="G1032" s="53">
        <f t="shared" si="86"/>
        <v>2</v>
      </c>
      <c r="H1032" s="53">
        <f t="shared" si="87"/>
        <v>2</v>
      </c>
      <c r="I1032" s="53" t="str">
        <f t="shared" si="85"/>
        <v>ww</v>
      </c>
      <c r="J1032" s="53"/>
    </row>
    <row r="1033" spans="1:10" x14ac:dyDescent="0.25">
      <c r="A1033" s="93">
        <v>40826</v>
      </c>
      <c r="B1033" s="35">
        <f t="shared" si="83"/>
        <v>34</v>
      </c>
      <c r="C1033" s="76">
        <v>10</v>
      </c>
      <c r="D1033" s="76">
        <v>2011</v>
      </c>
      <c r="E1033" s="56">
        <v>3.2666666666666671</v>
      </c>
      <c r="F1033" s="53">
        <f t="shared" si="84"/>
        <v>1</v>
      </c>
      <c r="G1033" s="53">
        <f t="shared" si="86"/>
        <v>2</v>
      </c>
      <c r="H1033" s="53">
        <f t="shared" si="87"/>
        <v>2</v>
      </c>
      <c r="I1033" s="53" t="str">
        <f t="shared" si="85"/>
        <v>ww</v>
      </c>
      <c r="J1033" s="53"/>
    </row>
    <row r="1034" spans="1:10" x14ac:dyDescent="0.25">
      <c r="A1034" s="93">
        <v>40827</v>
      </c>
      <c r="B1034" s="35">
        <f t="shared" si="83"/>
        <v>34</v>
      </c>
      <c r="C1034" s="76">
        <v>10</v>
      </c>
      <c r="D1034" s="76">
        <v>2011</v>
      </c>
      <c r="E1034" s="56">
        <v>2.3333333333333335</v>
      </c>
      <c r="F1034" s="53">
        <f t="shared" si="84"/>
        <v>1</v>
      </c>
      <c r="G1034" s="53">
        <f t="shared" si="86"/>
        <v>2</v>
      </c>
      <c r="H1034" s="53">
        <f t="shared" si="87"/>
        <v>2</v>
      </c>
      <c r="I1034" s="53" t="str">
        <f t="shared" si="85"/>
        <v>ww</v>
      </c>
      <c r="J1034" s="53"/>
    </row>
    <row r="1035" spans="1:10" x14ac:dyDescent="0.25">
      <c r="A1035" s="93">
        <v>40828</v>
      </c>
      <c r="B1035" s="35">
        <f t="shared" si="83"/>
        <v>34</v>
      </c>
      <c r="C1035" s="76">
        <v>10</v>
      </c>
      <c r="D1035" s="76">
        <v>2011</v>
      </c>
      <c r="E1035" s="56">
        <v>9.6666666666666661</v>
      </c>
      <c r="F1035" s="53">
        <f t="shared" si="84"/>
        <v>1</v>
      </c>
      <c r="G1035" s="53">
        <f t="shared" si="86"/>
        <v>2</v>
      </c>
      <c r="H1035" s="53">
        <f t="shared" si="87"/>
        <v>2</v>
      </c>
      <c r="I1035" s="53" t="str">
        <f t="shared" si="85"/>
        <v>ww</v>
      </c>
      <c r="J1035" s="53"/>
    </row>
    <row r="1036" spans="1:10" x14ac:dyDescent="0.25">
      <c r="A1036" s="93">
        <v>40829</v>
      </c>
      <c r="B1036" s="35">
        <f t="shared" si="83"/>
        <v>34</v>
      </c>
      <c r="C1036" s="76">
        <v>10</v>
      </c>
      <c r="D1036" s="76">
        <v>2011</v>
      </c>
      <c r="E1036" s="56">
        <v>1.5333333333333332</v>
      </c>
      <c r="F1036" s="53">
        <f t="shared" si="84"/>
        <v>1</v>
      </c>
      <c r="G1036" s="53">
        <f t="shared" si="86"/>
        <v>2</v>
      </c>
      <c r="H1036" s="53">
        <f t="shared" si="87"/>
        <v>2</v>
      </c>
      <c r="I1036" s="53" t="str">
        <f t="shared" si="85"/>
        <v>ww</v>
      </c>
      <c r="J1036" s="53"/>
    </row>
    <row r="1037" spans="1:10" x14ac:dyDescent="0.25">
      <c r="A1037" s="93">
        <v>40830</v>
      </c>
      <c r="B1037" s="35">
        <f t="shared" si="83"/>
        <v>34</v>
      </c>
      <c r="C1037" s="76">
        <v>10</v>
      </c>
      <c r="D1037" s="76">
        <v>2011</v>
      </c>
      <c r="E1037" s="56">
        <v>0</v>
      </c>
      <c r="F1037" s="53">
        <f t="shared" si="84"/>
        <v>0</v>
      </c>
      <c r="G1037" s="53">
        <f t="shared" si="86"/>
        <v>1</v>
      </c>
      <c r="H1037" s="53">
        <f t="shared" si="87"/>
        <v>1</v>
      </c>
      <c r="I1037" s="53" t="str">
        <f t="shared" si="85"/>
        <v>wd</v>
      </c>
      <c r="J1037" s="53"/>
    </row>
    <row r="1038" spans="1:10" x14ac:dyDescent="0.25">
      <c r="A1038" s="93">
        <v>40831</v>
      </c>
      <c r="B1038" s="35">
        <f t="shared" si="83"/>
        <v>34</v>
      </c>
      <c r="C1038" s="76">
        <v>10</v>
      </c>
      <c r="D1038" s="76">
        <v>2011</v>
      </c>
      <c r="E1038" s="56">
        <v>0</v>
      </c>
      <c r="F1038" s="53">
        <f t="shared" si="84"/>
        <v>0</v>
      </c>
      <c r="G1038" s="53">
        <f t="shared" si="86"/>
        <v>0</v>
      </c>
      <c r="H1038" s="53">
        <f t="shared" si="87"/>
        <v>0</v>
      </c>
      <c r="I1038" s="53" t="str">
        <f t="shared" si="85"/>
        <v>dd</v>
      </c>
      <c r="J1038" s="53"/>
    </row>
    <row r="1039" spans="1:10" x14ac:dyDescent="0.25">
      <c r="A1039" s="93">
        <v>40832</v>
      </c>
      <c r="B1039" s="35">
        <f t="shared" si="83"/>
        <v>34</v>
      </c>
      <c r="C1039" s="76">
        <v>10</v>
      </c>
      <c r="D1039" s="76">
        <v>2011</v>
      </c>
      <c r="E1039" s="56">
        <v>0.26666666666666666</v>
      </c>
      <c r="F1039" s="53">
        <f t="shared" si="84"/>
        <v>1</v>
      </c>
      <c r="G1039" s="53">
        <f t="shared" si="86"/>
        <v>1</v>
      </c>
      <c r="H1039" s="53">
        <f t="shared" si="87"/>
        <v>-1</v>
      </c>
      <c r="I1039" s="53" t="str">
        <f t="shared" si="85"/>
        <v>dw</v>
      </c>
      <c r="J1039" s="53"/>
    </row>
    <row r="1040" spans="1:10" x14ac:dyDescent="0.25">
      <c r="A1040" s="93">
        <v>40833</v>
      </c>
      <c r="B1040" s="35">
        <f t="shared" si="83"/>
        <v>34</v>
      </c>
      <c r="C1040" s="76">
        <v>10</v>
      </c>
      <c r="D1040" s="76">
        <v>2011</v>
      </c>
      <c r="E1040" s="56">
        <v>6.6666666666666666E-2</v>
      </c>
      <c r="F1040" s="53">
        <f t="shared" si="84"/>
        <v>1</v>
      </c>
      <c r="G1040" s="53">
        <f t="shared" si="86"/>
        <v>2</v>
      </c>
      <c r="H1040" s="53">
        <f t="shared" si="87"/>
        <v>2</v>
      </c>
      <c r="I1040" s="53" t="str">
        <f t="shared" si="85"/>
        <v>ww</v>
      </c>
      <c r="J1040" s="53"/>
    </row>
    <row r="1041" spans="1:10" x14ac:dyDescent="0.25">
      <c r="A1041" s="93">
        <v>40834</v>
      </c>
      <c r="B1041" s="35">
        <f t="shared" si="83"/>
        <v>34</v>
      </c>
      <c r="C1041" s="76">
        <v>10</v>
      </c>
      <c r="D1041" s="76">
        <v>2011</v>
      </c>
      <c r="E1041" s="56">
        <v>4.3999999999999995</v>
      </c>
      <c r="F1041" s="53">
        <f t="shared" si="84"/>
        <v>1</v>
      </c>
      <c r="G1041" s="53">
        <f t="shared" si="86"/>
        <v>2</v>
      </c>
      <c r="H1041" s="53">
        <f t="shared" si="87"/>
        <v>2</v>
      </c>
      <c r="I1041" s="53" t="str">
        <f t="shared" si="85"/>
        <v>ww</v>
      </c>
      <c r="J1041" s="53"/>
    </row>
    <row r="1042" spans="1:10" x14ac:dyDescent="0.25">
      <c r="A1042" s="93">
        <v>40835</v>
      </c>
      <c r="B1042" s="35">
        <f t="shared" si="83"/>
        <v>34</v>
      </c>
      <c r="C1042" s="76">
        <v>10</v>
      </c>
      <c r="D1042" s="76">
        <v>2011</v>
      </c>
      <c r="E1042" s="56">
        <v>0</v>
      </c>
      <c r="F1042" s="53">
        <f t="shared" si="84"/>
        <v>0</v>
      </c>
      <c r="G1042" s="53">
        <f t="shared" si="86"/>
        <v>1</v>
      </c>
      <c r="H1042" s="53">
        <f t="shared" si="87"/>
        <v>1</v>
      </c>
      <c r="I1042" s="53" t="str">
        <f t="shared" si="85"/>
        <v>wd</v>
      </c>
      <c r="J1042" s="53"/>
    </row>
    <row r="1043" spans="1:10" x14ac:dyDescent="0.25">
      <c r="A1043" s="93">
        <v>40836</v>
      </c>
      <c r="B1043" s="35">
        <f t="shared" si="83"/>
        <v>34</v>
      </c>
      <c r="C1043" s="76">
        <v>10</v>
      </c>
      <c r="D1043" s="76">
        <v>2011</v>
      </c>
      <c r="E1043" s="56">
        <v>0</v>
      </c>
      <c r="F1043" s="53">
        <f t="shared" si="84"/>
        <v>0</v>
      </c>
      <c r="G1043" s="53">
        <f t="shared" si="86"/>
        <v>0</v>
      </c>
      <c r="H1043" s="53">
        <f t="shared" si="87"/>
        <v>0</v>
      </c>
      <c r="I1043" s="53" t="str">
        <f t="shared" si="85"/>
        <v>dd</v>
      </c>
      <c r="J1043" s="53"/>
    </row>
    <row r="1044" spans="1:10" x14ac:dyDescent="0.25">
      <c r="A1044" s="93">
        <v>40837</v>
      </c>
      <c r="B1044" s="35">
        <f t="shared" si="83"/>
        <v>34</v>
      </c>
      <c r="C1044" s="76">
        <v>10</v>
      </c>
      <c r="D1044" s="76">
        <v>2011</v>
      </c>
      <c r="E1044" s="56">
        <v>4.1333333333333337</v>
      </c>
      <c r="F1044" s="53">
        <f t="shared" si="84"/>
        <v>1</v>
      </c>
      <c r="G1044" s="53">
        <f t="shared" si="86"/>
        <v>1</v>
      </c>
      <c r="H1044" s="53">
        <f t="shared" si="87"/>
        <v>-1</v>
      </c>
      <c r="I1044" s="53" t="str">
        <f t="shared" si="85"/>
        <v>dw</v>
      </c>
      <c r="J1044" s="53"/>
    </row>
    <row r="1045" spans="1:10" x14ac:dyDescent="0.25">
      <c r="A1045" s="93">
        <v>40838</v>
      </c>
      <c r="B1045" s="35">
        <f t="shared" si="83"/>
        <v>34</v>
      </c>
      <c r="C1045" s="76">
        <v>10</v>
      </c>
      <c r="D1045" s="76">
        <v>2011</v>
      </c>
      <c r="E1045" s="56">
        <v>0</v>
      </c>
      <c r="F1045" s="53">
        <f t="shared" si="84"/>
        <v>0</v>
      </c>
      <c r="G1045" s="53">
        <f t="shared" si="86"/>
        <v>1</v>
      </c>
      <c r="H1045" s="53">
        <f t="shared" si="87"/>
        <v>1</v>
      </c>
      <c r="I1045" s="53" t="str">
        <f t="shared" si="85"/>
        <v>wd</v>
      </c>
      <c r="J1045" s="53"/>
    </row>
    <row r="1046" spans="1:10" x14ac:dyDescent="0.25">
      <c r="A1046" s="93">
        <v>40839</v>
      </c>
      <c r="B1046" s="35">
        <f t="shared" si="83"/>
        <v>34</v>
      </c>
      <c r="C1046" s="76">
        <v>10</v>
      </c>
      <c r="D1046" s="76">
        <v>2011</v>
      </c>
      <c r="E1046" s="56">
        <v>0</v>
      </c>
      <c r="F1046" s="53">
        <f t="shared" si="84"/>
        <v>0</v>
      </c>
      <c r="G1046" s="53">
        <f t="shared" si="86"/>
        <v>0</v>
      </c>
      <c r="H1046" s="53">
        <f t="shared" si="87"/>
        <v>0</v>
      </c>
      <c r="I1046" s="53" t="str">
        <f t="shared" si="85"/>
        <v>dd</v>
      </c>
      <c r="J1046" s="53"/>
    </row>
    <row r="1047" spans="1:10" x14ac:dyDescent="0.25">
      <c r="A1047" s="93">
        <v>40840</v>
      </c>
      <c r="B1047" s="35">
        <f t="shared" si="83"/>
        <v>34</v>
      </c>
      <c r="C1047" s="76">
        <v>10</v>
      </c>
      <c r="D1047" s="76">
        <v>2011</v>
      </c>
      <c r="E1047" s="56">
        <v>0.33333333333333331</v>
      </c>
      <c r="F1047" s="53">
        <f t="shared" si="84"/>
        <v>1</v>
      </c>
      <c r="G1047" s="53">
        <f t="shared" si="86"/>
        <v>1</v>
      </c>
      <c r="H1047" s="53">
        <f t="shared" si="87"/>
        <v>-1</v>
      </c>
      <c r="I1047" s="53" t="str">
        <f t="shared" si="85"/>
        <v>dw</v>
      </c>
      <c r="J1047" s="53"/>
    </row>
    <row r="1048" spans="1:10" x14ac:dyDescent="0.25">
      <c r="A1048" s="93">
        <v>40841</v>
      </c>
      <c r="B1048" s="35">
        <f t="shared" si="83"/>
        <v>34</v>
      </c>
      <c r="C1048" s="76">
        <v>10</v>
      </c>
      <c r="D1048" s="76">
        <v>2011</v>
      </c>
      <c r="E1048" s="56">
        <v>4.9333333333333336</v>
      </c>
      <c r="F1048" s="53">
        <f t="shared" si="84"/>
        <v>1</v>
      </c>
      <c r="G1048" s="53">
        <f t="shared" si="86"/>
        <v>2</v>
      </c>
      <c r="H1048" s="53">
        <f t="shared" si="87"/>
        <v>2</v>
      </c>
      <c r="I1048" s="53" t="str">
        <f t="shared" si="85"/>
        <v>ww</v>
      </c>
      <c r="J1048" s="53"/>
    </row>
    <row r="1049" spans="1:10" x14ac:dyDescent="0.25">
      <c r="A1049" s="93">
        <v>40842</v>
      </c>
      <c r="B1049" s="35">
        <f t="shared" si="83"/>
        <v>34</v>
      </c>
      <c r="C1049" s="76">
        <v>10</v>
      </c>
      <c r="D1049" s="76">
        <v>2011</v>
      </c>
      <c r="E1049" s="56">
        <v>2.1333333333333333</v>
      </c>
      <c r="F1049" s="53">
        <f t="shared" si="84"/>
        <v>1</v>
      </c>
      <c r="G1049" s="53">
        <f t="shared" si="86"/>
        <v>2</v>
      </c>
      <c r="H1049" s="53">
        <f t="shared" si="87"/>
        <v>2</v>
      </c>
      <c r="I1049" s="53" t="str">
        <f t="shared" si="85"/>
        <v>ww</v>
      </c>
      <c r="J1049" s="53"/>
    </row>
    <row r="1050" spans="1:10" x14ac:dyDescent="0.25">
      <c r="A1050" s="93">
        <v>40843</v>
      </c>
      <c r="B1050" s="35">
        <f t="shared" si="83"/>
        <v>34</v>
      </c>
      <c r="C1050" s="76">
        <v>10</v>
      </c>
      <c r="D1050" s="76">
        <v>2011</v>
      </c>
      <c r="E1050" s="56">
        <v>0</v>
      </c>
      <c r="F1050" s="53">
        <f t="shared" si="84"/>
        <v>0</v>
      </c>
      <c r="G1050" s="53">
        <f t="shared" si="86"/>
        <v>1</v>
      </c>
      <c r="H1050" s="53">
        <f t="shared" si="87"/>
        <v>1</v>
      </c>
      <c r="I1050" s="53" t="str">
        <f t="shared" si="85"/>
        <v>wd</v>
      </c>
      <c r="J1050" s="53"/>
    </row>
    <row r="1051" spans="1:10" x14ac:dyDescent="0.25">
      <c r="A1051" s="93">
        <v>40844</v>
      </c>
      <c r="B1051" s="35">
        <f t="shared" si="83"/>
        <v>34</v>
      </c>
      <c r="C1051" s="76">
        <v>10</v>
      </c>
      <c r="D1051" s="76">
        <v>2011</v>
      </c>
      <c r="E1051" s="56">
        <v>2.5333333333333332</v>
      </c>
      <c r="F1051" s="53">
        <f t="shared" si="84"/>
        <v>1</v>
      </c>
      <c r="G1051" s="53">
        <f t="shared" si="86"/>
        <v>1</v>
      </c>
      <c r="H1051" s="53">
        <f t="shared" si="87"/>
        <v>-1</v>
      </c>
      <c r="I1051" s="53" t="str">
        <f t="shared" si="85"/>
        <v>dw</v>
      </c>
      <c r="J1051" s="53"/>
    </row>
    <row r="1052" spans="1:10" x14ac:dyDescent="0.25">
      <c r="A1052" s="93">
        <v>40845</v>
      </c>
      <c r="B1052" s="35">
        <f t="shared" si="83"/>
        <v>34</v>
      </c>
      <c r="C1052" s="76">
        <v>10</v>
      </c>
      <c r="D1052" s="76">
        <v>2011</v>
      </c>
      <c r="E1052" s="56">
        <v>0</v>
      </c>
      <c r="F1052" s="53">
        <f t="shared" si="84"/>
        <v>0</v>
      </c>
      <c r="G1052" s="53">
        <f t="shared" si="86"/>
        <v>1</v>
      </c>
      <c r="H1052" s="53">
        <f t="shared" si="87"/>
        <v>1</v>
      </c>
      <c r="I1052" s="53" t="str">
        <f t="shared" si="85"/>
        <v>wd</v>
      </c>
      <c r="J1052" s="53"/>
    </row>
    <row r="1053" spans="1:10" x14ac:dyDescent="0.25">
      <c r="A1053" s="93">
        <v>40846</v>
      </c>
      <c r="B1053" s="35">
        <f t="shared" si="83"/>
        <v>34</v>
      </c>
      <c r="C1053" s="76">
        <v>10</v>
      </c>
      <c r="D1053" s="76">
        <v>2011</v>
      </c>
      <c r="E1053" s="56">
        <v>1.8666666666666665</v>
      </c>
      <c r="F1053" s="53">
        <f t="shared" si="84"/>
        <v>1</v>
      </c>
      <c r="G1053" s="53">
        <f t="shared" si="86"/>
        <v>1</v>
      </c>
      <c r="H1053" s="53">
        <f t="shared" si="87"/>
        <v>-1</v>
      </c>
      <c r="I1053" s="53" t="str">
        <f t="shared" si="85"/>
        <v>dw</v>
      </c>
      <c r="J1053" s="53"/>
    </row>
    <row r="1054" spans="1:10" x14ac:dyDescent="0.25">
      <c r="A1054" s="93">
        <v>40847</v>
      </c>
      <c r="B1054" s="35">
        <f t="shared" si="83"/>
        <v>34</v>
      </c>
      <c r="C1054" s="76">
        <v>10</v>
      </c>
      <c r="D1054" s="76">
        <v>2011</v>
      </c>
      <c r="E1054" s="56">
        <v>0</v>
      </c>
      <c r="F1054" s="53">
        <f t="shared" si="84"/>
        <v>0</v>
      </c>
      <c r="G1054" s="53">
        <f t="shared" si="86"/>
        <v>1</v>
      </c>
      <c r="H1054" s="53">
        <f t="shared" si="87"/>
        <v>1</v>
      </c>
      <c r="I1054" s="53" t="str">
        <f t="shared" si="85"/>
        <v>wd</v>
      </c>
      <c r="J1054" s="53"/>
    </row>
    <row r="1055" spans="1:10" x14ac:dyDescent="0.25">
      <c r="A1055" s="93">
        <v>40848</v>
      </c>
      <c r="B1055" s="35">
        <f t="shared" si="83"/>
        <v>34</v>
      </c>
      <c r="C1055" s="76">
        <v>10</v>
      </c>
      <c r="D1055" s="76">
        <v>2011</v>
      </c>
      <c r="E1055" s="56">
        <v>2.6666666666666665</v>
      </c>
      <c r="F1055" s="53">
        <f t="shared" si="84"/>
        <v>1</v>
      </c>
      <c r="G1055" s="53">
        <f t="shared" si="86"/>
        <v>1</v>
      </c>
      <c r="H1055" s="53">
        <f t="shared" si="87"/>
        <v>-1</v>
      </c>
      <c r="I1055" s="53" t="str">
        <f t="shared" si="85"/>
        <v>dw</v>
      </c>
      <c r="J1055" s="53"/>
    </row>
    <row r="1056" spans="1:10" x14ac:dyDescent="0.25">
      <c r="A1056" s="93">
        <v>41184</v>
      </c>
      <c r="B1056" s="35">
        <f t="shared" si="83"/>
        <v>46</v>
      </c>
      <c r="C1056" s="76">
        <v>10</v>
      </c>
      <c r="D1056" s="76">
        <v>2012</v>
      </c>
      <c r="E1056" s="56">
        <v>2.3333333333333335</v>
      </c>
      <c r="F1056" s="53">
        <f t="shared" si="84"/>
        <v>1</v>
      </c>
      <c r="G1056" s="53">
        <f t="shared" si="86"/>
        <v>2</v>
      </c>
      <c r="H1056" s="53">
        <f t="shared" si="87"/>
        <v>2</v>
      </c>
      <c r="I1056" s="53" t="str">
        <f t="shared" si="85"/>
        <v>ww</v>
      </c>
      <c r="J1056" s="53"/>
    </row>
    <row r="1057" spans="1:10" x14ac:dyDescent="0.25">
      <c r="A1057" s="93">
        <v>41185</v>
      </c>
      <c r="B1057" s="35">
        <f t="shared" si="83"/>
        <v>46</v>
      </c>
      <c r="C1057" s="76">
        <v>10</v>
      </c>
      <c r="D1057" s="76">
        <v>2012</v>
      </c>
      <c r="E1057" s="56">
        <v>5.2</v>
      </c>
      <c r="F1057" s="53">
        <f t="shared" si="84"/>
        <v>1</v>
      </c>
      <c r="G1057" s="53">
        <f t="shared" si="86"/>
        <v>2</v>
      </c>
      <c r="H1057" s="53">
        <f t="shared" si="87"/>
        <v>2</v>
      </c>
      <c r="I1057" s="53" t="str">
        <f t="shared" si="85"/>
        <v>ww</v>
      </c>
      <c r="J1057" s="53"/>
    </row>
    <row r="1058" spans="1:10" x14ac:dyDescent="0.25">
      <c r="A1058" s="93">
        <v>41186</v>
      </c>
      <c r="B1058" s="35">
        <f t="shared" si="83"/>
        <v>46</v>
      </c>
      <c r="C1058" s="76">
        <v>10</v>
      </c>
      <c r="D1058" s="76">
        <v>2012</v>
      </c>
      <c r="E1058" s="56">
        <v>1.0666666666666667</v>
      </c>
      <c r="F1058" s="53">
        <f t="shared" si="84"/>
        <v>1</v>
      </c>
      <c r="G1058" s="53">
        <f t="shared" si="86"/>
        <v>2</v>
      </c>
      <c r="H1058" s="53">
        <f t="shared" si="87"/>
        <v>2</v>
      </c>
      <c r="I1058" s="53" t="str">
        <f t="shared" si="85"/>
        <v>ww</v>
      </c>
      <c r="J1058" s="53"/>
    </row>
    <row r="1059" spans="1:10" x14ac:dyDescent="0.25">
      <c r="A1059" s="93">
        <v>41187</v>
      </c>
      <c r="B1059" s="35">
        <f t="shared" si="83"/>
        <v>46</v>
      </c>
      <c r="C1059" s="76">
        <v>10</v>
      </c>
      <c r="D1059" s="76">
        <v>2012</v>
      </c>
      <c r="E1059" s="56">
        <v>2.1999999999999997</v>
      </c>
      <c r="F1059" s="53">
        <f t="shared" si="84"/>
        <v>1</v>
      </c>
      <c r="G1059" s="53">
        <f t="shared" si="86"/>
        <v>2</v>
      </c>
      <c r="H1059" s="53">
        <f t="shared" si="87"/>
        <v>2</v>
      </c>
      <c r="I1059" s="53" t="str">
        <f t="shared" si="85"/>
        <v>ww</v>
      </c>
      <c r="J1059" s="53"/>
    </row>
    <row r="1060" spans="1:10" x14ac:dyDescent="0.25">
      <c r="A1060" s="93">
        <v>41188</v>
      </c>
      <c r="B1060" s="35">
        <f t="shared" si="83"/>
        <v>46</v>
      </c>
      <c r="C1060" s="76">
        <v>10</v>
      </c>
      <c r="D1060" s="76">
        <v>2012</v>
      </c>
      <c r="E1060" s="56">
        <v>0</v>
      </c>
      <c r="F1060" s="53">
        <f t="shared" si="84"/>
        <v>0</v>
      </c>
      <c r="G1060" s="53">
        <f t="shared" si="86"/>
        <v>1</v>
      </c>
      <c r="H1060" s="53">
        <f t="shared" si="87"/>
        <v>1</v>
      </c>
      <c r="I1060" s="53" t="str">
        <f t="shared" si="85"/>
        <v>wd</v>
      </c>
      <c r="J1060" s="53"/>
    </row>
    <row r="1061" spans="1:10" x14ac:dyDescent="0.25">
      <c r="A1061" s="93">
        <v>41189</v>
      </c>
      <c r="B1061" s="35">
        <f t="shared" si="83"/>
        <v>46</v>
      </c>
      <c r="C1061" s="76">
        <v>10</v>
      </c>
      <c r="D1061" s="76">
        <v>2012</v>
      </c>
      <c r="E1061" s="56">
        <v>6.6666666666666666E-2</v>
      </c>
      <c r="F1061" s="53">
        <f t="shared" si="84"/>
        <v>1</v>
      </c>
      <c r="G1061" s="53">
        <f t="shared" si="86"/>
        <v>1</v>
      </c>
      <c r="H1061" s="53">
        <f t="shared" si="87"/>
        <v>-1</v>
      </c>
      <c r="I1061" s="53" t="str">
        <f t="shared" si="85"/>
        <v>dw</v>
      </c>
      <c r="J1061" s="53"/>
    </row>
    <row r="1062" spans="1:10" x14ac:dyDescent="0.25">
      <c r="A1062" s="93">
        <v>41190</v>
      </c>
      <c r="B1062" s="35">
        <f t="shared" si="83"/>
        <v>46</v>
      </c>
      <c r="C1062" s="76">
        <v>10</v>
      </c>
      <c r="D1062" s="76">
        <v>2012</v>
      </c>
      <c r="E1062" s="56">
        <v>6.6666666666666666E-2</v>
      </c>
      <c r="F1062" s="53">
        <f t="shared" si="84"/>
        <v>1</v>
      </c>
      <c r="G1062" s="53">
        <f t="shared" si="86"/>
        <v>2</v>
      </c>
      <c r="H1062" s="53">
        <f t="shared" si="87"/>
        <v>2</v>
      </c>
      <c r="I1062" s="53" t="str">
        <f t="shared" si="85"/>
        <v>ww</v>
      </c>
      <c r="J1062" s="53"/>
    </row>
    <row r="1063" spans="1:10" x14ac:dyDescent="0.25">
      <c r="A1063" s="93">
        <v>41191</v>
      </c>
      <c r="B1063" s="35">
        <f t="shared" si="83"/>
        <v>46</v>
      </c>
      <c r="C1063" s="76">
        <v>10</v>
      </c>
      <c r="D1063" s="76">
        <v>2012</v>
      </c>
      <c r="E1063" s="56">
        <v>0</v>
      </c>
      <c r="F1063" s="53">
        <f t="shared" si="84"/>
        <v>0</v>
      </c>
      <c r="G1063" s="53">
        <f t="shared" si="86"/>
        <v>1</v>
      </c>
      <c r="H1063" s="53">
        <f t="shared" si="87"/>
        <v>1</v>
      </c>
      <c r="I1063" s="53" t="str">
        <f t="shared" si="85"/>
        <v>wd</v>
      </c>
      <c r="J1063" s="53"/>
    </row>
    <row r="1064" spans="1:10" x14ac:dyDescent="0.25">
      <c r="A1064" s="93">
        <v>41192</v>
      </c>
      <c r="B1064" s="35">
        <f t="shared" si="83"/>
        <v>46</v>
      </c>
      <c r="C1064" s="76">
        <v>10</v>
      </c>
      <c r="D1064" s="76">
        <v>2012</v>
      </c>
      <c r="E1064" s="56">
        <v>0</v>
      </c>
      <c r="F1064" s="53">
        <f t="shared" si="84"/>
        <v>0</v>
      </c>
      <c r="G1064" s="53">
        <f t="shared" si="86"/>
        <v>0</v>
      </c>
      <c r="H1064" s="53">
        <f t="shared" si="87"/>
        <v>0</v>
      </c>
      <c r="I1064" s="53" t="str">
        <f t="shared" si="85"/>
        <v>dd</v>
      </c>
      <c r="J1064" s="53"/>
    </row>
    <row r="1065" spans="1:10" x14ac:dyDescent="0.25">
      <c r="A1065" s="93">
        <v>41193</v>
      </c>
      <c r="B1065" s="35">
        <f t="shared" si="83"/>
        <v>46</v>
      </c>
      <c r="C1065" s="76">
        <v>10</v>
      </c>
      <c r="D1065" s="76">
        <v>2012</v>
      </c>
      <c r="E1065" s="56">
        <v>0</v>
      </c>
      <c r="F1065" s="53">
        <f t="shared" si="84"/>
        <v>0</v>
      </c>
      <c r="G1065" s="53">
        <f t="shared" si="86"/>
        <v>0</v>
      </c>
      <c r="H1065" s="53">
        <f t="shared" si="87"/>
        <v>0</v>
      </c>
      <c r="I1065" s="53" t="str">
        <f t="shared" si="85"/>
        <v>dd</v>
      </c>
      <c r="J1065" s="53"/>
    </row>
    <row r="1066" spans="1:10" x14ac:dyDescent="0.25">
      <c r="A1066" s="93">
        <v>41194</v>
      </c>
      <c r="B1066" s="35">
        <f t="shared" si="83"/>
        <v>46</v>
      </c>
      <c r="C1066" s="76">
        <v>10</v>
      </c>
      <c r="D1066" s="76">
        <v>2012</v>
      </c>
      <c r="E1066" s="56">
        <v>30.333333333333332</v>
      </c>
      <c r="F1066" s="53">
        <f t="shared" si="84"/>
        <v>1</v>
      </c>
      <c r="G1066" s="53">
        <f t="shared" si="86"/>
        <v>1</v>
      </c>
      <c r="H1066" s="53">
        <f t="shared" si="87"/>
        <v>-1</v>
      </c>
      <c r="I1066" s="53" t="str">
        <f t="shared" si="85"/>
        <v>dw</v>
      </c>
      <c r="J1066" s="53"/>
    </row>
    <row r="1067" spans="1:10" x14ac:dyDescent="0.25">
      <c r="A1067" s="93">
        <v>41195</v>
      </c>
      <c r="B1067" s="35">
        <f t="shared" si="83"/>
        <v>46</v>
      </c>
      <c r="C1067" s="76">
        <v>10</v>
      </c>
      <c r="D1067" s="76">
        <v>2012</v>
      </c>
      <c r="E1067" s="56">
        <v>0</v>
      </c>
      <c r="F1067" s="53">
        <f t="shared" si="84"/>
        <v>0</v>
      </c>
      <c r="G1067" s="53">
        <f t="shared" si="86"/>
        <v>1</v>
      </c>
      <c r="H1067" s="53">
        <f t="shared" si="87"/>
        <v>1</v>
      </c>
      <c r="I1067" s="53" t="str">
        <f t="shared" si="85"/>
        <v>wd</v>
      </c>
      <c r="J1067" s="53"/>
    </row>
    <row r="1068" spans="1:10" x14ac:dyDescent="0.25">
      <c r="A1068" s="93">
        <v>41196</v>
      </c>
      <c r="B1068" s="35">
        <f t="shared" si="83"/>
        <v>46</v>
      </c>
      <c r="C1068" s="76">
        <v>10</v>
      </c>
      <c r="D1068" s="76">
        <v>2012</v>
      </c>
      <c r="E1068" s="56">
        <v>6.6666666666666666E-2</v>
      </c>
      <c r="F1068" s="53">
        <f t="shared" si="84"/>
        <v>1</v>
      </c>
      <c r="G1068" s="53">
        <f t="shared" si="86"/>
        <v>1</v>
      </c>
      <c r="H1068" s="53">
        <f t="shared" si="87"/>
        <v>-1</v>
      </c>
      <c r="I1068" s="53" t="str">
        <f t="shared" si="85"/>
        <v>dw</v>
      </c>
      <c r="J1068" s="53"/>
    </row>
    <row r="1069" spans="1:10" x14ac:dyDescent="0.25">
      <c r="A1069" s="93">
        <v>41197</v>
      </c>
      <c r="B1069" s="35">
        <f t="shared" si="83"/>
        <v>46</v>
      </c>
      <c r="C1069" s="76">
        <v>10</v>
      </c>
      <c r="D1069" s="76">
        <v>2012</v>
      </c>
      <c r="E1069" s="56">
        <v>1.2666666666666666</v>
      </c>
      <c r="F1069" s="53">
        <f t="shared" si="84"/>
        <v>1</v>
      </c>
      <c r="G1069" s="53">
        <f t="shared" si="86"/>
        <v>2</v>
      </c>
      <c r="H1069" s="53">
        <f t="shared" si="87"/>
        <v>2</v>
      </c>
      <c r="I1069" s="53" t="str">
        <f t="shared" si="85"/>
        <v>ww</v>
      </c>
      <c r="J1069" s="53"/>
    </row>
    <row r="1070" spans="1:10" x14ac:dyDescent="0.25">
      <c r="A1070" s="93">
        <v>41198</v>
      </c>
      <c r="B1070" s="35">
        <f t="shared" si="83"/>
        <v>46</v>
      </c>
      <c r="C1070" s="76">
        <v>10</v>
      </c>
      <c r="D1070" s="76">
        <v>2012</v>
      </c>
      <c r="E1070" s="56">
        <v>9</v>
      </c>
      <c r="F1070" s="53">
        <f t="shared" si="84"/>
        <v>1</v>
      </c>
      <c r="G1070" s="53">
        <f t="shared" si="86"/>
        <v>2</v>
      </c>
      <c r="H1070" s="53">
        <f t="shared" si="87"/>
        <v>2</v>
      </c>
      <c r="I1070" s="53" t="str">
        <f t="shared" si="85"/>
        <v>ww</v>
      </c>
      <c r="J1070" s="53"/>
    </row>
    <row r="1071" spans="1:10" x14ac:dyDescent="0.25">
      <c r="A1071" s="93">
        <v>41199</v>
      </c>
      <c r="B1071" s="35">
        <f t="shared" si="83"/>
        <v>46</v>
      </c>
      <c r="C1071" s="76">
        <v>10</v>
      </c>
      <c r="D1071" s="76">
        <v>2012</v>
      </c>
      <c r="E1071" s="56">
        <v>4.4666666666666668</v>
      </c>
      <c r="F1071" s="53">
        <f t="shared" si="84"/>
        <v>1</v>
      </c>
      <c r="G1071" s="53">
        <f t="shared" si="86"/>
        <v>2</v>
      </c>
      <c r="H1071" s="53">
        <f t="shared" si="87"/>
        <v>2</v>
      </c>
      <c r="I1071" s="53" t="str">
        <f t="shared" si="85"/>
        <v>ww</v>
      </c>
      <c r="J1071" s="53"/>
    </row>
    <row r="1072" spans="1:10" x14ac:dyDescent="0.25">
      <c r="A1072" s="93">
        <v>41200</v>
      </c>
      <c r="B1072" s="35">
        <f t="shared" si="83"/>
        <v>46</v>
      </c>
      <c r="C1072" s="76">
        <v>10</v>
      </c>
      <c r="D1072" s="76">
        <v>2012</v>
      </c>
      <c r="E1072" s="56">
        <v>7.9333333333333345</v>
      </c>
      <c r="F1072" s="53">
        <f t="shared" si="84"/>
        <v>1</v>
      </c>
      <c r="G1072" s="53">
        <f t="shared" si="86"/>
        <v>2</v>
      </c>
      <c r="H1072" s="53">
        <f t="shared" si="87"/>
        <v>2</v>
      </c>
      <c r="I1072" s="53" t="str">
        <f t="shared" si="85"/>
        <v>ww</v>
      </c>
      <c r="J1072" s="53"/>
    </row>
    <row r="1073" spans="1:10" x14ac:dyDescent="0.25">
      <c r="A1073" s="93">
        <v>41201</v>
      </c>
      <c r="B1073" s="35">
        <f t="shared" si="83"/>
        <v>46</v>
      </c>
      <c r="C1073" s="76">
        <v>10</v>
      </c>
      <c r="D1073" s="76">
        <v>2012</v>
      </c>
      <c r="E1073" s="56">
        <v>0.26666666666666666</v>
      </c>
      <c r="F1073" s="53">
        <f t="shared" si="84"/>
        <v>1</v>
      </c>
      <c r="G1073" s="53">
        <f t="shared" si="86"/>
        <v>2</v>
      </c>
      <c r="H1073" s="53">
        <f t="shared" si="87"/>
        <v>2</v>
      </c>
      <c r="I1073" s="53" t="str">
        <f t="shared" si="85"/>
        <v>ww</v>
      </c>
      <c r="J1073" s="53"/>
    </row>
    <row r="1074" spans="1:10" x14ac:dyDescent="0.25">
      <c r="A1074" s="93">
        <v>41202</v>
      </c>
      <c r="B1074" s="35">
        <f t="shared" si="83"/>
        <v>46</v>
      </c>
      <c r="C1074" s="76">
        <v>10</v>
      </c>
      <c r="D1074" s="76">
        <v>2012</v>
      </c>
      <c r="E1074" s="56">
        <v>0</v>
      </c>
      <c r="F1074" s="53">
        <f t="shared" si="84"/>
        <v>0</v>
      </c>
      <c r="G1074" s="53">
        <f t="shared" si="86"/>
        <v>1</v>
      </c>
      <c r="H1074" s="53">
        <f t="shared" si="87"/>
        <v>1</v>
      </c>
      <c r="I1074" s="53" t="str">
        <f t="shared" si="85"/>
        <v>wd</v>
      </c>
      <c r="J1074" s="53"/>
    </row>
    <row r="1075" spans="1:10" x14ac:dyDescent="0.25">
      <c r="A1075" s="93">
        <v>41203</v>
      </c>
      <c r="B1075" s="35">
        <f t="shared" si="83"/>
        <v>46</v>
      </c>
      <c r="C1075" s="76">
        <v>10</v>
      </c>
      <c r="D1075" s="76">
        <v>2012</v>
      </c>
      <c r="E1075" s="56">
        <v>0</v>
      </c>
      <c r="F1075" s="53">
        <f t="shared" si="84"/>
        <v>0</v>
      </c>
      <c r="G1075" s="53">
        <f t="shared" si="86"/>
        <v>0</v>
      </c>
      <c r="H1075" s="53">
        <f t="shared" si="87"/>
        <v>0</v>
      </c>
      <c r="I1075" s="53" t="str">
        <f t="shared" si="85"/>
        <v>dd</v>
      </c>
      <c r="J1075" s="53"/>
    </row>
    <row r="1076" spans="1:10" x14ac:dyDescent="0.25">
      <c r="A1076" s="93">
        <v>41204</v>
      </c>
      <c r="B1076" s="35">
        <f t="shared" si="83"/>
        <v>46</v>
      </c>
      <c r="C1076" s="76">
        <v>10</v>
      </c>
      <c r="D1076" s="76">
        <v>2012</v>
      </c>
      <c r="E1076" s="56">
        <v>0.13333333333333333</v>
      </c>
      <c r="F1076" s="53">
        <f t="shared" si="84"/>
        <v>1</v>
      </c>
      <c r="G1076" s="53">
        <f t="shared" si="86"/>
        <v>1</v>
      </c>
      <c r="H1076" s="53">
        <f t="shared" si="87"/>
        <v>-1</v>
      </c>
      <c r="I1076" s="53" t="str">
        <f t="shared" si="85"/>
        <v>dw</v>
      </c>
      <c r="J1076" s="53"/>
    </row>
    <row r="1077" spans="1:10" x14ac:dyDescent="0.25">
      <c r="A1077" s="93">
        <v>41205</v>
      </c>
      <c r="B1077" s="35">
        <f t="shared" si="83"/>
        <v>46</v>
      </c>
      <c r="C1077" s="76">
        <v>10</v>
      </c>
      <c r="D1077" s="76">
        <v>2012</v>
      </c>
      <c r="E1077" s="56">
        <v>3.5333333333333332</v>
      </c>
      <c r="F1077" s="53">
        <f t="shared" si="84"/>
        <v>1</v>
      </c>
      <c r="G1077" s="53">
        <f t="shared" si="86"/>
        <v>2</v>
      </c>
      <c r="H1077" s="53">
        <f t="shared" si="87"/>
        <v>2</v>
      </c>
      <c r="I1077" s="53" t="str">
        <f t="shared" si="85"/>
        <v>ww</v>
      </c>
      <c r="J1077" s="53"/>
    </row>
    <row r="1078" spans="1:10" x14ac:dyDescent="0.25">
      <c r="A1078" s="93">
        <v>41206</v>
      </c>
      <c r="B1078" s="35">
        <f t="shared" si="83"/>
        <v>46</v>
      </c>
      <c r="C1078" s="76">
        <v>10</v>
      </c>
      <c r="D1078" s="76">
        <v>2012</v>
      </c>
      <c r="E1078" s="56">
        <v>0.93333333333333324</v>
      </c>
      <c r="F1078" s="53">
        <f t="shared" si="84"/>
        <v>1</v>
      </c>
      <c r="G1078" s="53">
        <f t="shared" si="86"/>
        <v>2</v>
      </c>
      <c r="H1078" s="53">
        <f t="shared" si="87"/>
        <v>2</v>
      </c>
      <c r="I1078" s="53" t="str">
        <f t="shared" si="85"/>
        <v>ww</v>
      </c>
      <c r="J1078" s="53"/>
    </row>
    <row r="1079" spans="1:10" x14ac:dyDescent="0.25">
      <c r="A1079" s="93">
        <v>41207</v>
      </c>
      <c r="B1079" s="35">
        <f t="shared" si="83"/>
        <v>46</v>
      </c>
      <c r="C1079" s="76">
        <v>10</v>
      </c>
      <c r="D1079" s="76">
        <v>2012</v>
      </c>
      <c r="E1079" s="56">
        <v>2.4666666666666663</v>
      </c>
      <c r="F1079" s="53">
        <f t="shared" si="84"/>
        <v>1</v>
      </c>
      <c r="G1079" s="53">
        <f t="shared" si="86"/>
        <v>2</v>
      </c>
      <c r="H1079" s="53">
        <f t="shared" si="87"/>
        <v>2</v>
      </c>
      <c r="I1079" s="53" t="str">
        <f t="shared" si="85"/>
        <v>ww</v>
      </c>
      <c r="J1079" s="53"/>
    </row>
    <row r="1080" spans="1:10" x14ac:dyDescent="0.25">
      <c r="A1080" s="93">
        <v>41208</v>
      </c>
      <c r="B1080" s="35">
        <f t="shared" si="83"/>
        <v>46</v>
      </c>
      <c r="C1080" s="76">
        <v>10</v>
      </c>
      <c r="D1080" s="76">
        <v>2012</v>
      </c>
      <c r="E1080" s="56">
        <v>1</v>
      </c>
      <c r="F1080" s="53">
        <f t="shared" si="84"/>
        <v>1</v>
      </c>
      <c r="G1080" s="53">
        <f t="shared" si="86"/>
        <v>2</v>
      </c>
      <c r="H1080" s="53">
        <f t="shared" si="87"/>
        <v>2</v>
      </c>
      <c r="I1080" s="53" t="str">
        <f t="shared" si="85"/>
        <v>ww</v>
      </c>
      <c r="J1080" s="53"/>
    </row>
    <row r="1081" spans="1:10" x14ac:dyDescent="0.25">
      <c r="A1081" s="93">
        <v>41209</v>
      </c>
      <c r="B1081" s="35">
        <f t="shared" si="83"/>
        <v>46</v>
      </c>
      <c r="C1081" s="76">
        <v>10</v>
      </c>
      <c r="D1081" s="76">
        <v>2012</v>
      </c>
      <c r="E1081" s="56">
        <v>7.8</v>
      </c>
      <c r="F1081" s="53">
        <f t="shared" si="84"/>
        <v>1</v>
      </c>
      <c r="G1081" s="53">
        <f t="shared" si="86"/>
        <v>2</v>
      </c>
      <c r="H1081" s="53">
        <f t="shared" si="87"/>
        <v>2</v>
      </c>
      <c r="I1081" s="53" t="str">
        <f t="shared" si="85"/>
        <v>ww</v>
      </c>
      <c r="J1081" s="53"/>
    </row>
    <row r="1082" spans="1:10" x14ac:dyDescent="0.25">
      <c r="A1082" s="93">
        <v>41210</v>
      </c>
      <c r="B1082" s="35">
        <f t="shared" si="83"/>
        <v>46</v>
      </c>
      <c r="C1082" s="76">
        <v>10</v>
      </c>
      <c r="D1082" s="76">
        <v>2012</v>
      </c>
      <c r="E1082" s="56">
        <v>3.1999999999999997</v>
      </c>
      <c r="F1082" s="53">
        <f t="shared" si="84"/>
        <v>1</v>
      </c>
      <c r="G1082" s="53">
        <f t="shared" si="86"/>
        <v>2</v>
      </c>
      <c r="H1082" s="53">
        <f t="shared" si="87"/>
        <v>2</v>
      </c>
      <c r="I1082" s="53" t="str">
        <f t="shared" si="85"/>
        <v>ww</v>
      </c>
      <c r="J1082" s="53"/>
    </row>
    <row r="1083" spans="1:10" x14ac:dyDescent="0.25">
      <c r="A1083" s="93">
        <v>41211</v>
      </c>
      <c r="B1083" s="35">
        <f t="shared" si="83"/>
        <v>46</v>
      </c>
      <c r="C1083" s="76">
        <v>10</v>
      </c>
      <c r="D1083" s="76">
        <v>2012</v>
      </c>
      <c r="E1083" s="56">
        <v>6.6666666666666666E-2</v>
      </c>
      <c r="F1083" s="53">
        <f t="shared" si="84"/>
        <v>1</v>
      </c>
      <c r="G1083" s="53">
        <f t="shared" si="86"/>
        <v>2</v>
      </c>
      <c r="H1083" s="53">
        <f t="shared" si="87"/>
        <v>2</v>
      </c>
      <c r="I1083" s="53" t="str">
        <f t="shared" si="85"/>
        <v>ww</v>
      </c>
      <c r="J1083" s="53"/>
    </row>
    <row r="1084" spans="1:10" x14ac:dyDescent="0.25">
      <c r="A1084" s="93">
        <v>41212</v>
      </c>
      <c r="B1084" s="35">
        <f t="shared" si="83"/>
        <v>46</v>
      </c>
      <c r="C1084" s="76">
        <v>10</v>
      </c>
      <c r="D1084" s="76">
        <v>2012</v>
      </c>
      <c r="E1084" s="56">
        <v>6.6666666666666666E-2</v>
      </c>
      <c r="F1084" s="53">
        <f t="shared" si="84"/>
        <v>1</v>
      </c>
      <c r="G1084" s="53">
        <f t="shared" si="86"/>
        <v>2</v>
      </c>
      <c r="H1084" s="53">
        <f t="shared" si="87"/>
        <v>2</v>
      </c>
      <c r="I1084" s="53" t="str">
        <f t="shared" si="85"/>
        <v>ww</v>
      </c>
      <c r="J1084" s="53"/>
    </row>
    <row r="1085" spans="1:10" x14ac:dyDescent="0.25">
      <c r="A1085" s="93">
        <v>41213</v>
      </c>
      <c r="B1085" s="35">
        <f t="shared" si="83"/>
        <v>46</v>
      </c>
      <c r="C1085" s="76">
        <v>10</v>
      </c>
      <c r="D1085" s="76">
        <v>2012</v>
      </c>
      <c r="E1085" s="56">
        <v>0</v>
      </c>
      <c r="F1085" s="53">
        <f t="shared" si="84"/>
        <v>0</v>
      </c>
      <c r="G1085" s="53">
        <f t="shared" si="86"/>
        <v>1</v>
      </c>
      <c r="H1085" s="53">
        <f t="shared" si="87"/>
        <v>1</v>
      </c>
      <c r="I1085" s="53" t="str">
        <f t="shared" si="85"/>
        <v>wd</v>
      </c>
      <c r="J1085" s="53"/>
    </row>
    <row r="1086" spans="1:10" x14ac:dyDescent="0.25">
      <c r="A1086" s="93">
        <v>41214</v>
      </c>
      <c r="B1086" s="35">
        <f t="shared" si="83"/>
        <v>46</v>
      </c>
      <c r="C1086" s="76">
        <v>10</v>
      </c>
      <c r="D1086" s="76">
        <v>2012</v>
      </c>
      <c r="E1086" s="56">
        <v>3.1999999999999997</v>
      </c>
      <c r="F1086" s="53">
        <f t="shared" si="84"/>
        <v>1</v>
      </c>
      <c r="G1086" s="53">
        <f t="shared" si="86"/>
        <v>1</v>
      </c>
      <c r="H1086" s="53">
        <f t="shared" si="87"/>
        <v>-1</v>
      </c>
      <c r="I1086" s="53" t="str">
        <f t="shared" si="85"/>
        <v>dw</v>
      </c>
      <c r="J1086" s="53"/>
    </row>
    <row r="1087" spans="1:10" x14ac:dyDescent="0.25">
      <c r="A1087" s="93">
        <v>41549</v>
      </c>
      <c r="B1087" s="35">
        <f t="shared" si="83"/>
        <v>58</v>
      </c>
      <c r="C1087" s="76">
        <v>10</v>
      </c>
      <c r="D1087" s="76">
        <v>2013</v>
      </c>
      <c r="E1087" s="56">
        <v>0</v>
      </c>
      <c r="F1087" s="53">
        <f t="shared" si="84"/>
        <v>0</v>
      </c>
      <c r="G1087" s="53">
        <f t="shared" si="86"/>
        <v>1</v>
      </c>
      <c r="H1087" s="53">
        <f t="shared" si="87"/>
        <v>1</v>
      </c>
      <c r="I1087" s="53" t="str">
        <f t="shared" si="85"/>
        <v>wd</v>
      </c>
      <c r="J1087" s="53"/>
    </row>
    <row r="1088" spans="1:10" x14ac:dyDescent="0.25">
      <c r="A1088" s="93">
        <v>41550</v>
      </c>
      <c r="B1088" s="35">
        <f t="shared" si="83"/>
        <v>58</v>
      </c>
      <c r="C1088" s="76">
        <v>10</v>
      </c>
      <c r="D1088" s="76">
        <v>2013</v>
      </c>
      <c r="E1088" s="56">
        <v>0.79999999999999993</v>
      </c>
      <c r="F1088" s="53">
        <f t="shared" si="84"/>
        <v>1</v>
      </c>
      <c r="G1088" s="53">
        <f t="shared" si="86"/>
        <v>1</v>
      </c>
      <c r="H1088" s="53">
        <f t="shared" si="87"/>
        <v>-1</v>
      </c>
      <c r="I1088" s="53" t="str">
        <f t="shared" si="85"/>
        <v>dw</v>
      </c>
      <c r="J1088" s="53"/>
    </row>
    <row r="1089" spans="1:10" x14ac:dyDescent="0.25">
      <c r="A1089" s="93">
        <v>41551</v>
      </c>
      <c r="B1089" s="35">
        <f t="shared" si="83"/>
        <v>58</v>
      </c>
      <c r="C1089" s="76">
        <v>10</v>
      </c>
      <c r="D1089" s="76">
        <v>2013</v>
      </c>
      <c r="E1089" s="56">
        <v>5.9333333333333336</v>
      </c>
      <c r="F1089" s="53">
        <f t="shared" si="84"/>
        <v>1</v>
      </c>
      <c r="G1089" s="53">
        <f t="shared" si="86"/>
        <v>2</v>
      </c>
      <c r="H1089" s="53">
        <f t="shared" si="87"/>
        <v>2</v>
      </c>
      <c r="I1089" s="53" t="str">
        <f t="shared" si="85"/>
        <v>ww</v>
      </c>
      <c r="J1089" s="53"/>
    </row>
    <row r="1090" spans="1:10" x14ac:dyDescent="0.25">
      <c r="A1090" s="93">
        <v>41552</v>
      </c>
      <c r="B1090" s="35">
        <f t="shared" ref="B1090:B1153" si="88">C1090+(D1090-2009)*12</f>
        <v>58</v>
      </c>
      <c r="C1090" s="76">
        <v>10</v>
      </c>
      <c r="D1090" s="76">
        <v>2013</v>
      </c>
      <c r="E1090" s="56">
        <v>1.7333333333333334</v>
      </c>
      <c r="F1090" s="53">
        <f t="shared" ref="F1090:F1153" si="89">IF(E1090&gt;0,1,0)</f>
        <v>1</v>
      </c>
      <c r="G1090" s="53">
        <f t="shared" si="86"/>
        <v>2</v>
      </c>
      <c r="H1090" s="53">
        <f t="shared" si="87"/>
        <v>2</v>
      </c>
      <c r="I1090" s="53" t="str">
        <f t="shared" ref="I1090:I1153" si="90">VLOOKUP(H1090,codes,2,)</f>
        <v>ww</v>
      </c>
      <c r="J1090" s="53"/>
    </row>
    <row r="1091" spans="1:10" x14ac:dyDescent="0.25">
      <c r="A1091" s="93">
        <v>41553</v>
      </c>
      <c r="B1091" s="35">
        <f t="shared" si="88"/>
        <v>58</v>
      </c>
      <c r="C1091" s="76">
        <v>10</v>
      </c>
      <c r="D1091" s="76">
        <v>2013</v>
      </c>
      <c r="E1091" s="56">
        <v>0</v>
      </c>
      <c r="F1091" s="53">
        <f t="shared" si="89"/>
        <v>0</v>
      </c>
      <c r="G1091" s="53">
        <f t="shared" si="86"/>
        <v>1</v>
      </c>
      <c r="H1091" s="53">
        <f t="shared" si="87"/>
        <v>1</v>
      </c>
      <c r="I1091" s="53" t="str">
        <f t="shared" si="90"/>
        <v>wd</v>
      </c>
      <c r="J1091" s="53"/>
    </row>
    <row r="1092" spans="1:10" x14ac:dyDescent="0.25">
      <c r="A1092" s="93">
        <v>41554</v>
      </c>
      <c r="B1092" s="35">
        <f t="shared" si="88"/>
        <v>58</v>
      </c>
      <c r="C1092" s="76">
        <v>10</v>
      </c>
      <c r="D1092" s="76">
        <v>2013</v>
      </c>
      <c r="E1092" s="56">
        <v>6.6666666666666666E-2</v>
      </c>
      <c r="F1092" s="53">
        <f t="shared" si="89"/>
        <v>1</v>
      </c>
      <c r="G1092" s="53">
        <f t="shared" ref="G1092:G1155" si="91">SUM(F1091:F1092)</f>
        <v>1</v>
      </c>
      <c r="H1092" s="53">
        <f t="shared" ref="H1092:H1155" si="92">IF(G1092=1,IF(F1091=1,1,-1),G1092)</f>
        <v>-1</v>
      </c>
      <c r="I1092" s="53" t="str">
        <f t="shared" si="90"/>
        <v>dw</v>
      </c>
      <c r="J1092" s="53"/>
    </row>
    <row r="1093" spans="1:10" x14ac:dyDescent="0.25">
      <c r="A1093" s="93">
        <v>41555</v>
      </c>
      <c r="B1093" s="35">
        <f t="shared" si="88"/>
        <v>58</v>
      </c>
      <c r="C1093" s="76">
        <v>10</v>
      </c>
      <c r="D1093" s="76">
        <v>2013</v>
      </c>
      <c r="E1093" s="56">
        <v>0</v>
      </c>
      <c r="F1093" s="53">
        <f t="shared" si="89"/>
        <v>0</v>
      </c>
      <c r="G1093" s="53">
        <f t="shared" si="91"/>
        <v>1</v>
      </c>
      <c r="H1093" s="53">
        <f t="shared" si="92"/>
        <v>1</v>
      </c>
      <c r="I1093" s="53" t="str">
        <f t="shared" si="90"/>
        <v>wd</v>
      </c>
      <c r="J1093" s="53"/>
    </row>
    <row r="1094" spans="1:10" x14ac:dyDescent="0.25">
      <c r="A1094" s="93">
        <v>41556</v>
      </c>
      <c r="B1094" s="35">
        <f t="shared" si="88"/>
        <v>58</v>
      </c>
      <c r="C1094" s="76">
        <v>10</v>
      </c>
      <c r="D1094" s="76">
        <v>2013</v>
      </c>
      <c r="E1094" s="56">
        <v>0</v>
      </c>
      <c r="F1094" s="53">
        <f t="shared" si="89"/>
        <v>0</v>
      </c>
      <c r="G1094" s="53">
        <f t="shared" si="91"/>
        <v>0</v>
      </c>
      <c r="H1094" s="53">
        <f t="shared" si="92"/>
        <v>0</v>
      </c>
      <c r="I1094" s="53" t="str">
        <f t="shared" si="90"/>
        <v>dd</v>
      </c>
      <c r="J1094" s="53"/>
    </row>
    <row r="1095" spans="1:10" x14ac:dyDescent="0.25">
      <c r="A1095" s="93">
        <v>41557</v>
      </c>
      <c r="B1095" s="35">
        <f t="shared" si="88"/>
        <v>58</v>
      </c>
      <c r="C1095" s="76">
        <v>10</v>
      </c>
      <c r="D1095" s="76">
        <v>2013</v>
      </c>
      <c r="E1095" s="56">
        <v>3.5333333333333332</v>
      </c>
      <c r="F1095" s="53">
        <f t="shared" si="89"/>
        <v>1</v>
      </c>
      <c r="G1095" s="53">
        <f t="shared" si="91"/>
        <v>1</v>
      </c>
      <c r="H1095" s="53">
        <f t="shared" si="92"/>
        <v>-1</v>
      </c>
      <c r="I1095" s="53" t="str">
        <f t="shared" si="90"/>
        <v>dw</v>
      </c>
      <c r="J1095" s="53"/>
    </row>
    <row r="1096" spans="1:10" x14ac:dyDescent="0.25">
      <c r="A1096" s="93">
        <v>41558</v>
      </c>
      <c r="B1096" s="35">
        <f t="shared" si="88"/>
        <v>58</v>
      </c>
      <c r="C1096" s="76">
        <v>10</v>
      </c>
      <c r="D1096" s="76">
        <v>2013</v>
      </c>
      <c r="E1096" s="56">
        <v>1.2666666666666668</v>
      </c>
      <c r="F1096" s="53">
        <f t="shared" si="89"/>
        <v>1</v>
      </c>
      <c r="G1096" s="53">
        <f t="shared" si="91"/>
        <v>2</v>
      </c>
      <c r="H1096" s="53">
        <f t="shared" si="92"/>
        <v>2</v>
      </c>
      <c r="I1096" s="53" t="str">
        <f t="shared" si="90"/>
        <v>ww</v>
      </c>
      <c r="J1096" s="53"/>
    </row>
    <row r="1097" spans="1:10" x14ac:dyDescent="0.25">
      <c r="A1097" s="93">
        <v>41559</v>
      </c>
      <c r="B1097" s="35">
        <f t="shared" si="88"/>
        <v>58</v>
      </c>
      <c r="C1097" s="76">
        <v>10</v>
      </c>
      <c r="D1097" s="76">
        <v>2013</v>
      </c>
      <c r="E1097" s="56">
        <v>6.6666666666666666E-2</v>
      </c>
      <c r="F1097" s="53">
        <f t="shared" si="89"/>
        <v>1</v>
      </c>
      <c r="G1097" s="53">
        <f t="shared" si="91"/>
        <v>2</v>
      </c>
      <c r="H1097" s="53">
        <f t="shared" si="92"/>
        <v>2</v>
      </c>
      <c r="I1097" s="53" t="str">
        <f t="shared" si="90"/>
        <v>ww</v>
      </c>
      <c r="J1097" s="53"/>
    </row>
    <row r="1098" spans="1:10" x14ac:dyDescent="0.25">
      <c r="A1098" s="93">
        <v>41560</v>
      </c>
      <c r="B1098" s="35">
        <f t="shared" si="88"/>
        <v>58</v>
      </c>
      <c r="C1098" s="76">
        <v>10</v>
      </c>
      <c r="D1098" s="76">
        <v>2013</v>
      </c>
      <c r="E1098" s="56">
        <v>0.46666666666666662</v>
      </c>
      <c r="F1098" s="53">
        <f t="shared" si="89"/>
        <v>1</v>
      </c>
      <c r="G1098" s="53">
        <f t="shared" si="91"/>
        <v>2</v>
      </c>
      <c r="H1098" s="53">
        <f t="shared" si="92"/>
        <v>2</v>
      </c>
      <c r="I1098" s="53" t="str">
        <f t="shared" si="90"/>
        <v>ww</v>
      </c>
      <c r="J1098" s="53"/>
    </row>
    <row r="1099" spans="1:10" x14ac:dyDescent="0.25">
      <c r="A1099" s="93">
        <v>41561</v>
      </c>
      <c r="B1099" s="35">
        <f t="shared" si="88"/>
        <v>58</v>
      </c>
      <c r="C1099" s="76">
        <v>10</v>
      </c>
      <c r="D1099" s="76">
        <v>2013</v>
      </c>
      <c r="E1099" s="56">
        <v>7.7333333333333343</v>
      </c>
      <c r="F1099" s="53">
        <f t="shared" si="89"/>
        <v>1</v>
      </c>
      <c r="G1099" s="53">
        <f t="shared" si="91"/>
        <v>2</v>
      </c>
      <c r="H1099" s="53">
        <f t="shared" si="92"/>
        <v>2</v>
      </c>
      <c r="I1099" s="53" t="str">
        <f t="shared" si="90"/>
        <v>ww</v>
      </c>
      <c r="J1099" s="53"/>
    </row>
    <row r="1100" spans="1:10" x14ac:dyDescent="0.25">
      <c r="A1100" s="93">
        <v>41562</v>
      </c>
      <c r="B1100" s="35">
        <f t="shared" si="88"/>
        <v>58</v>
      </c>
      <c r="C1100" s="76">
        <v>10</v>
      </c>
      <c r="D1100" s="76">
        <v>2013</v>
      </c>
      <c r="E1100" s="56">
        <v>10.533333333333333</v>
      </c>
      <c r="F1100" s="53">
        <f t="shared" si="89"/>
        <v>1</v>
      </c>
      <c r="G1100" s="53">
        <f t="shared" si="91"/>
        <v>2</v>
      </c>
      <c r="H1100" s="53">
        <f t="shared" si="92"/>
        <v>2</v>
      </c>
      <c r="I1100" s="53" t="str">
        <f t="shared" si="90"/>
        <v>ww</v>
      </c>
      <c r="J1100" s="53"/>
    </row>
    <row r="1101" spans="1:10" x14ac:dyDescent="0.25">
      <c r="A1101" s="93">
        <v>41563</v>
      </c>
      <c r="B1101" s="35">
        <f t="shared" si="88"/>
        <v>58</v>
      </c>
      <c r="C1101" s="76">
        <v>10</v>
      </c>
      <c r="D1101" s="76">
        <v>2013</v>
      </c>
      <c r="E1101" s="56">
        <v>0</v>
      </c>
      <c r="F1101" s="53">
        <f t="shared" si="89"/>
        <v>0</v>
      </c>
      <c r="G1101" s="53">
        <f t="shared" si="91"/>
        <v>1</v>
      </c>
      <c r="H1101" s="53">
        <f t="shared" si="92"/>
        <v>1</v>
      </c>
      <c r="I1101" s="53" t="str">
        <f t="shared" si="90"/>
        <v>wd</v>
      </c>
      <c r="J1101" s="53"/>
    </row>
    <row r="1102" spans="1:10" x14ac:dyDescent="0.25">
      <c r="A1102" s="93">
        <v>41564</v>
      </c>
      <c r="B1102" s="35">
        <f t="shared" si="88"/>
        <v>58</v>
      </c>
      <c r="C1102" s="76">
        <v>10</v>
      </c>
      <c r="D1102" s="76">
        <v>2013</v>
      </c>
      <c r="E1102" s="56">
        <v>15.533333333333331</v>
      </c>
      <c r="F1102" s="53">
        <f t="shared" si="89"/>
        <v>1</v>
      </c>
      <c r="G1102" s="53">
        <f t="shared" si="91"/>
        <v>1</v>
      </c>
      <c r="H1102" s="53">
        <f t="shared" si="92"/>
        <v>-1</v>
      </c>
      <c r="I1102" s="53" t="str">
        <f t="shared" si="90"/>
        <v>dw</v>
      </c>
      <c r="J1102" s="53"/>
    </row>
    <row r="1103" spans="1:10" x14ac:dyDescent="0.25">
      <c r="A1103" s="93">
        <v>41565</v>
      </c>
      <c r="B1103" s="35">
        <f t="shared" si="88"/>
        <v>58</v>
      </c>
      <c r="C1103" s="76">
        <v>10</v>
      </c>
      <c r="D1103" s="76">
        <v>2013</v>
      </c>
      <c r="E1103" s="56">
        <v>0</v>
      </c>
      <c r="F1103" s="53">
        <f t="shared" si="89"/>
        <v>0</v>
      </c>
      <c r="G1103" s="53">
        <f t="shared" si="91"/>
        <v>1</v>
      </c>
      <c r="H1103" s="53">
        <f t="shared" si="92"/>
        <v>1</v>
      </c>
      <c r="I1103" s="53" t="str">
        <f t="shared" si="90"/>
        <v>wd</v>
      </c>
      <c r="J1103" s="53"/>
    </row>
    <row r="1104" spans="1:10" x14ac:dyDescent="0.25">
      <c r="A1104" s="93">
        <v>41566</v>
      </c>
      <c r="B1104" s="35">
        <f t="shared" si="88"/>
        <v>58</v>
      </c>
      <c r="C1104" s="76">
        <v>10</v>
      </c>
      <c r="D1104" s="76">
        <v>2013</v>
      </c>
      <c r="E1104" s="56">
        <v>2.9333333333333336</v>
      </c>
      <c r="F1104" s="53">
        <f t="shared" si="89"/>
        <v>1</v>
      </c>
      <c r="G1104" s="53">
        <f t="shared" si="91"/>
        <v>1</v>
      </c>
      <c r="H1104" s="53">
        <f t="shared" si="92"/>
        <v>-1</v>
      </c>
      <c r="I1104" s="53" t="str">
        <f t="shared" si="90"/>
        <v>dw</v>
      </c>
      <c r="J1104" s="53"/>
    </row>
    <row r="1105" spans="1:10" x14ac:dyDescent="0.25">
      <c r="A1105" s="93">
        <v>41567</v>
      </c>
      <c r="B1105" s="35">
        <f t="shared" si="88"/>
        <v>58</v>
      </c>
      <c r="C1105" s="76">
        <v>10</v>
      </c>
      <c r="D1105" s="76">
        <v>2013</v>
      </c>
      <c r="E1105" s="56">
        <v>4.7333333333333334</v>
      </c>
      <c r="F1105" s="53">
        <f t="shared" si="89"/>
        <v>1</v>
      </c>
      <c r="G1105" s="53">
        <f t="shared" si="91"/>
        <v>2</v>
      </c>
      <c r="H1105" s="53">
        <f t="shared" si="92"/>
        <v>2</v>
      </c>
      <c r="I1105" s="53" t="str">
        <f t="shared" si="90"/>
        <v>ww</v>
      </c>
      <c r="J1105" s="53"/>
    </row>
    <row r="1106" spans="1:10" x14ac:dyDescent="0.25">
      <c r="A1106" s="93">
        <v>41568</v>
      </c>
      <c r="B1106" s="35">
        <f t="shared" si="88"/>
        <v>58</v>
      </c>
      <c r="C1106" s="76">
        <v>10</v>
      </c>
      <c r="D1106" s="76">
        <v>2013</v>
      </c>
      <c r="E1106" s="56">
        <v>0.13333333333333333</v>
      </c>
      <c r="F1106" s="53">
        <f t="shared" si="89"/>
        <v>1</v>
      </c>
      <c r="G1106" s="53">
        <f t="shared" si="91"/>
        <v>2</v>
      </c>
      <c r="H1106" s="53">
        <f t="shared" si="92"/>
        <v>2</v>
      </c>
      <c r="I1106" s="53" t="str">
        <f t="shared" si="90"/>
        <v>ww</v>
      </c>
      <c r="J1106" s="53"/>
    </row>
    <row r="1107" spans="1:10" x14ac:dyDescent="0.25">
      <c r="A1107" s="93">
        <v>41569</v>
      </c>
      <c r="B1107" s="35">
        <f t="shared" si="88"/>
        <v>58</v>
      </c>
      <c r="C1107" s="76">
        <v>10</v>
      </c>
      <c r="D1107" s="76">
        <v>2013</v>
      </c>
      <c r="E1107" s="56">
        <v>2.3333333333333335</v>
      </c>
      <c r="F1107" s="53">
        <f t="shared" si="89"/>
        <v>1</v>
      </c>
      <c r="G1107" s="53">
        <f t="shared" si="91"/>
        <v>2</v>
      </c>
      <c r="H1107" s="53">
        <f t="shared" si="92"/>
        <v>2</v>
      </c>
      <c r="I1107" s="53" t="str">
        <f t="shared" si="90"/>
        <v>ww</v>
      </c>
      <c r="J1107" s="53"/>
    </row>
    <row r="1108" spans="1:10" x14ac:dyDescent="0.25">
      <c r="A1108" s="93">
        <v>41570</v>
      </c>
      <c r="B1108" s="35">
        <f t="shared" si="88"/>
        <v>58</v>
      </c>
      <c r="C1108" s="76">
        <v>10</v>
      </c>
      <c r="D1108" s="76">
        <v>2013</v>
      </c>
      <c r="E1108" s="56">
        <v>11</v>
      </c>
      <c r="F1108" s="53">
        <f t="shared" si="89"/>
        <v>1</v>
      </c>
      <c r="G1108" s="53">
        <f t="shared" si="91"/>
        <v>2</v>
      </c>
      <c r="H1108" s="53">
        <f t="shared" si="92"/>
        <v>2</v>
      </c>
      <c r="I1108" s="53" t="str">
        <f t="shared" si="90"/>
        <v>ww</v>
      </c>
      <c r="J1108" s="53"/>
    </row>
    <row r="1109" spans="1:10" x14ac:dyDescent="0.25">
      <c r="A1109" s="93">
        <v>41571</v>
      </c>
      <c r="B1109" s="35">
        <f t="shared" si="88"/>
        <v>58</v>
      </c>
      <c r="C1109" s="76">
        <v>10</v>
      </c>
      <c r="D1109" s="76">
        <v>2013</v>
      </c>
      <c r="E1109" s="56">
        <v>1.9333333333333336</v>
      </c>
      <c r="F1109" s="53">
        <f t="shared" si="89"/>
        <v>1</v>
      </c>
      <c r="G1109" s="53">
        <f t="shared" si="91"/>
        <v>2</v>
      </c>
      <c r="H1109" s="53">
        <f t="shared" si="92"/>
        <v>2</v>
      </c>
      <c r="I1109" s="53" t="str">
        <f t="shared" si="90"/>
        <v>ww</v>
      </c>
      <c r="J1109" s="53"/>
    </row>
    <row r="1110" spans="1:10" x14ac:dyDescent="0.25">
      <c r="A1110" s="93">
        <v>41572</v>
      </c>
      <c r="B1110" s="35">
        <f t="shared" si="88"/>
        <v>58</v>
      </c>
      <c r="C1110" s="76">
        <v>10</v>
      </c>
      <c r="D1110" s="76">
        <v>2013</v>
      </c>
      <c r="E1110" s="56">
        <v>6.1333333333333329</v>
      </c>
      <c r="F1110" s="53">
        <f t="shared" si="89"/>
        <v>1</v>
      </c>
      <c r="G1110" s="53">
        <f t="shared" si="91"/>
        <v>2</v>
      </c>
      <c r="H1110" s="53">
        <f t="shared" si="92"/>
        <v>2</v>
      </c>
      <c r="I1110" s="53" t="str">
        <f t="shared" si="90"/>
        <v>ww</v>
      </c>
      <c r="J1110" s="53"/>
    </row>
    <row r="1111" spans="1:10" x14ac:dyDescent="0.25">
      <c r="A1111" s="93">
        <v>41573</v>
      </c>
      <c r="B1111" s="35">
        <f t="shared" si="88"/>
        <v>58</v>
      </c>
      <c r="C1111" s="76">
        <v>10</v>
      </c>
      <c r="D1111" s="76">
        <v>2013</v>
      </c>
      <c r="E1111" s="56">
        <v>4.5333333333333332</v>
      </c>
      <c r="F1111" s="53">
        <f t="shared" si="89"/>
        <v>1</v>
      </c>
      <c r="G1111" s="53">
        <f t="shared" si="91"/>
        <v>2</v>
      </c>
      <c r="H1111" s="53">
        <f t="shared" si="92"/>
        <v>2</v>
      </c>
      <c r="I1111" s="53" t="str">
        <f t="shared" si="90"/>
        <v>ww</v>
      </c>
      <c r="J1111" s="53"/>
    </row>
    <row r="1112" spans="1:10" x14ac:dyDescent="0.25">
      <c r="A1112" s="93">
        <v>41574</v>
      </c>
      <c r="B1112" s="35">
        <f t="shared" si="88"/>
        <v>58</v>
      </c>
      <c r="C1112" s="76">
        <v>10</v>
      </c>
      <c r="D1112" s="76">
        <v>2013</v>
      </c>
      <c r="E1112" s="56">
        <v>6.6666666666666666E-2</v>
      </c>
      <c r="F1112" s="53">
        <f t="shared" si="89"/>
        <v>1</v>
      </c>
      <c r="G1112" s="53">
        <f t="shared" si="91"/>
        <v>2</v>
      </c>
      <c r="H1112" s="53">
        <f t="shared" si="92"/>
        <v>2</v>
      </c>
      <c r="I1112" s="53" t="str">
        <f t="shared" si="90"/>
        <v>ww</v>
      </c>
      <c r="J1112" s="53"/>
    </row>
    <row r="1113" spans="1:10" x14ac:dyDescent="0.25">
      <c r="A1113" s="93">
        <v>41575</v>
      </c>
      <c r="B1113" s="35">
        <f t="shared" si="88"/>
        <v>58</v>
      </c>
      <c r="C1113" s="76">
        <v>10</v>
      </c>
      <c r="D1113" s="76">
        <v>2013</v>
      </c>
      <c r="E1113" s="56">
        <v>1.4666666666666666</v>
      </c>
      <c r="F1113" s="53">
        <f t="shared" si="89"/>
        <v>1</v>
      </c>
      <c r="G1113" s="53">
        <f t="shared" si="91"/>
        <v>2</v>
      </c>
      <c r="H1113" s="53">
        <f t="shared" si="92"/>
        <v>2</v>
      </c>
      <c r="I1113" s="53" t="str">
        <f t="shared" si="90"/>
        <v>ww</v>
      </c>
      <c r="J1113" s="53"/>
    </row>
    <row r="1114" spans="1:10" x14ac:dyDescent="0.25">
      <c r="A1114" s="93">
        <v>41576</v>
      </c>
      <c r="B1114" s="35">
        <f t="shared" si="88"/>
        <v>58</v>
      </c>
      <c r="C1114" s="76">
        <v>10</v>
      </c>
      <c r="D1114" s="76">
        <v>2013</v>
      </c>
      <c r="E1114" s="56">
        <v>0.79999999999999993</v>
      </c>
      <c r="F1114" s="53">
        <f t="shared" si="89"/>
        <v>1</v>
      </c>
      <c r="G1114" s="53">
        <f t="shared" si="91"/>
        <v>2</v>
      </c>
      <c r="H1114" s="53">
        <f t="shared" si="92"/>
        <v>2</v>
      </c>
      <c r="I1114" s="53" t="str">
        <f t="shared" si="90"/>
        <v>ww</v>
      </c>
      <c r="J1114" s="53"/>
    </row>
    <row r="1115" spans="1:10" x14ac:dyDescent="0.25">
      <c r="A1115" s="93">
        <v>41577</v>
      </c>
      <c r="B1115" s="35">
        <f t="shared" si="88"/>
        <v>58</v>
      </c>
      <c r="C1115" s="76">
        <v>10</v>
      </c>
      <c r="D1115" s="76">
        <v>2013</v>
      </c>
      <c r="E1115" s="56">
        <v>0</v>
      </c>
      <c r="F1115" s="53">
        <f t="shared" si="89"/>
        <v>0</v>
      </c>
      <c r="G1115" s="53">
        <f t="shared" si="91"/>
        <v>1</v>
      </c>
      <c r="H1115" s="53">
        <f t="shared" si="92"/>
        <v>1</v>
      </c>
      <c r="I1115" s="53" t="str">
        <f t="shared" si="90"/>
        <v>wd</v>
      </c>
      <c r="J1115" s="53"/>
    </row>
    <row r="1116" spans="1:10" x14ac:dyDescent="0.25">
      <c r="A1116" s="93">
        <v>41578</v>
      </c>
      <c r="B1116" s="35">
        <f t="shared" si="88"/>
        <v>58</v>
      </c>
      <c r="C1116" s="76">
        <v>10</v>
      </c>
      <c r="D1116" s="76">
        <v>2013</v>
      </c>
      <c r="E1116" s="56">
        <v>0</v>
      </c>
      <c r="F1116" s="53">
        <f t="shared" si="89"/>
        <v>0</v>
      </c>
      <c r="G1116" s="53">
        <f t="shared" si="91"/>
        <v>0</v>
      </c>
      <c r="H1116" s="53">
        <f t="shared" si="92"/>
        <v>0</v>
      </c>
      <c r="I1116" s="53" t="str">
        <f t="shared" si="90"/>
        <v>dd</v>
      </c>
      <c r="J1116" s="53"/>
    </row>
    <row r="1117" spans="1:10" x14ac:dyDescent="0.25">
      <c r="A1117" s="93">
        <v>41579</v>
      </c>
      <c r="B1117" s="35">
        <f t="shared" si="88"/>
        <v>58</v>
      </c>
      <c r="C1117" s="76">
        <v>10</v>
      </c>
      <c r="D1117" s="76">
        <v>2013</v>
      </c>
      <c r="E1117" s="56">
        <v>0.26666666666666666</v>
      </c>
      <c r="F1117" s="53">
        <f t="shared" si="89"/>
        <v>1</v>
      </c>
      <c r="G1117" s="53">
        <f t="shared" si="91"/>
        <v>1</v>
      </c>
      <c r="H1117" s="53">
        <f t="shared" si="92"/>
        <v>-1</v>
      </c>
      <c r="I1117" s="53" t="str">
        <f t="shared" si="90"/>
        <v>dw</v>
      </c>
      <c r="J1117" s="53"/>
    </row>
    <row r="1118" spans="1:10" x14ac:dyDescent="0.25">
      <c r="A1118" s="93">
        <v>41915</v>
      </c>
      <c r="B1118" s="35">
        <f t="shared" si="88"/>
        <v>70</v>
      </c>
      <c r="C1118" s="76">
        <v>10</v>
      </c>
      <c r="D1118" s="76">
        <v>2014</v>
      </c>
      <c r="E1118" s="56">
        <v>0</v>
      </c>
      <c r="F1118" s="53">
        <f t="shared" si="89"/>
        <v>0</v>
      </c>
      <c r="G1118" s="53">
        <f t="shared" si="91"/>
        <v>1</v>
      </c>
      <c r="H1118" s="53">
        <f t="shared" si="92"/>
        <v>1</v>
      </c>
      <c r="I1118" s="53" t="str">
        <f t="shared" si="90"/>
        <v>wd</v>
      </c>
      <c r="J1118" s="53"/>
    </row>
    <row r="1119" spans="1:10" x14ac:dyDescent="0.25">
      <c r="A1119" s="93">
        <v>41916</v>
      </c>
      <c r="B1119" s="35">
        <f t="shared" si="88"/>
        <v>70</v>
      </c>
      <c r="C1119" s="76">
        <v>10</v>
      </c>
      <c r="D1119" s="76">
        <v>2014</v>
      </c>
      <c r="E1119" s="56">
        <v>1.6666666666666667</v>
      </c>
      <c r="F1119" s="53">
        <f t="shared" si="89"/>
        <v>1</v>
      </c>
      <c r="G1119" s="53">
        <f t="shared" si="91"/>
        <v>1</v>
      </c>
      <c r="H1119" s="53">
        <f t="shared" si="92"/>
        <v>-1</v>
      </c>
      <c r="I1119" s="53" t="str">
        <f t="shared" si="90"/>
        <v>dw</v>
      </c>
      <c r="J1119" s="53"/>
    </row>
    <row r="1120" spans="1:10" x14ac:dyDescent="0.25">
      <c r="A1120" s="93">
        <v>41917</v>
      </c>
      <c r="B1120" s="35">
        <f t="shared" si="88"/>
        <v>70</v>
      </c>
      <c r="C1120" s="76">
        <v>10</v>
      </c>
      <c r="D1120" s="76">
        <v>2014</v>
      </c>
      <c r="E1120" s="56">
        <v>0.8666666666666667</v>
      </c>
      <c r="F1120" s="53">
        <f t="shared" si="89"/>
        <v>1</v>
      </c>
      <c r="G1120" s="53">
        <f t="shared" si="91"/>
        <v>2</v>
      </c>
      <c r="H1120" s="53">
        <f t="shared" si="92"/>
        <v>2</v>
      </c>
      <c r="I1120" s="53" t="str">
        <f t="shared" si="90"/>
        <v>ww</v>
      </c>
      <c r="J1120" s="53"/>
    </row>
    <row r="1121" spans="1:10" x14ac:dyDescent="0.25">
      <c r="A1121" s="93">
        <v>41918</v>
      </c>
      <c r="B1121" s="35">
        <f t="shared" si="88"/>
        <v>70</v>
      </c>
      <c r="C1121" s="76">
        <v>10</v>
      </c>
      <c r="D1121" s="76">
        <v>2014</v>
      </c>
      <c r="E1121" s="56">
        <v>3.0666666666666669</v>
      </c>
      <c r="F1121" s="53">
        <f t="shared" si="89"/>
        <v>1</v>
      </c>
      <c r="G1121" s="53">
        <f t="shared" si="91"/>
        <v>2</v>
      </c>
      <c r="H1121" s="53">
        <f t="shared" si="92"/>
        <v>2</v>
      </c>
      <c r="I1121" s="53" t="str">
        <f t="shared" si="90"/>
        <v>ww</v>
      </c>
      <c r="J1121" s="53"/>
    </row>
    <row r="1122" spans="1:10" x14ac:dyDescent="0.25">
      <c r="A1122" s="93">
        <v>41919</v>
      </c>
      <c r="B1122" s="35">
        <f t="shared" si="88"/>
        <v>70</v>
      </c>
      <c r="C1122" s="76">
        <v>10</v>
      </c>
      <c r="D1122" s="76">
        <v>2014</v>
      </c>
      <c r="E1122" s="56">
        <v>6.0666666666666664</v>
      </c>
      <c r="F1122" s="53">
        <f t="shared" si="89"/>
        <v>1</v>
      </c>
      <c r="G1122" s="53">
        <f t="shared" si="91"/>
        <v>2</v>
      </c>
      <c r="H1122" s="53">
        <f t="shared" si="92"/>
        <v>2</v>
      </c>
      <c r="I1122" s="53" t="str">
        <f t="shared" si="90"/>
        <v>ww</v>
      </c>
      <c r="J1122" s="53"/>
    </row>
    <row r="1123" spans="1:10" x14ac:dyDescent="0.25">
      <c r="A1123" s="93">
        <v>41920</v>
      </c>
      <c r="B1123" s="35">
        <f t="shared" si="88"/>
        <v>70</v>
      </c>
      <c r="C1123" s="76">
        <v>10</v>
      </c>
      <c r="D1123" s="76">
        <v>2014</v>
      </c>
      <c r="E1123" s="56">
        <v>0</v>
      </c>
      <c r="F1123" s="53">
        <f t="shared" si="89"/>
        <v>0</v>
      </c>
      <c r="G1123" s="53">
        <f t="shared" si="91"/>
        <v>1</v>
      </c>
      <c r="H1123" s="53">
        <f t="shared" si="92"/>
        <v>1</v>
      </c>
      <c r="I1123" s="53" t="str">
        <f t="shared" si="90"/>
        <v>wd</v>
      </c>
      <c r="J1123" s="53"/>
    </row>
    <row r="1124" spans="1:10" x14ac:dyDescent="0.25">
      <c r="A1124" s="93">
        <v>41921</v>
      </c>
      <c r="B1124" s="35">
        <f t="shared" si="88"/>
        <v>70</v>
      </c>
      <c r="C1124" s="76">
        <v>10</v>
      </c>
      <c r="D1124" s="76">
        <v>2014</v>
      </c>
      <c r="E1124" s="56">
        <v>3.2666666666666671</v>
      </c>
      <c r="F1124" s="53">
        <f t="shared" si="89"/>
        <v>1</v>
      </c>
      <c r="G1124" s="53">
        <f t="shared" si="91"/>
        <v>1</v>
      </c>
      <c r="H1124" s="53">
        <f t="shared" si="92"/>
        <v>-1</v>
      </c>
      <c r="I1124" s="53" t="str">
        <f t="shared" si="90"/>
        <v>dw</v>
      </c>
      <c r="J1124" s="53"/>
    </row>
    <row r="1125" spans="1:10" x14ac:dyDescent="0.25">
      <c r="A1125" s="93">
        <v>41922</v>
      </c>
      <c r="B1125" s="35">
        <f t="shared" si="88"/>
        <v>70</v>
      </c>
      <c r="C1125" s="76">
        <v>10</v>
      </c>
      <c r="D1125" s="76">
        <v>2014</v>
      </c>
      <c r="E1125" s="56">
        <v>1.6000000000000003</v>
      </c>
      <c r="F1125" s="53">
        <f t="shared" si="89"/>
        <v>1</v>
      </c>
      <c r="G1125" s="53">
        <f t="shared" si="91"/>
        <v>2</v>
      </c>
      <c r="H1125" s="53">
        <f t="shared" si="92"/>
        <v>2</v>
      </c>
      <c r="I1125" s="53" t="str">
        <f t="shared" si="90"/>
        <v>ww</v>
      </c>
      <c r="J1125" s="53"/>
    </row>
    <row r="1126" spans="1:10" x14ac:dyDescent="0.25">
      <c r="A1126" s="93">
        <v>41923</v>
      </c>
      <c r="B1126" s="35">
        <f t="shared" si="88"/>
        <v>70</v>
      </c>
      <c r="C1126" s="76">
        <v>10</v>
      </c>
      <c r="D1126" s="76">
        <v>2014</v>
      </c>
      <c r="E1126" s="56">
        <v>6.6666666666666666E-2</v>
      </c>
      <c r="F1126" s="53">
        <f t="shared" si="89"/>
        <v>1</v>
      </c>
      <c r="G1126" s="53">
        <f t="shared" si="91"/>
        <v>2</v>
      </c>
      <c r="H1126" s="53">
        <f t="shared" si="92"/>
        <v>2</v>
      </c>
      <c r="I1126" s="53" t="str">
        <f t="shared" si="90"/>
        <v>ww</v>
      </c>
      <c r="J1126" s="53"/>
    </row>
    <row r="1127" spans="1:10" x14ac:dyDescent="0.25">
      <c r="A1127" s="93">
        <v>41924</v>
      </c>
      <c r="B1127" s="35">
        <f t="shared" si="88"/>
        <v>70</v>
      </c>
      <c r="C1127" s="76">
        <v>10</v>
      </c>
      <c r="D1127" s="76">
        <v>2014</v>
      </c>
      <c r="E1127" s="56">
        <v>6.6666666666666666E-2</v>
      </c>
      <c r="F1127" s="53">
        <f t="shared" si="89"/>
        <v>1</v>
      </c>
      <c r="G1127" s="53">
        <f t="shared" si="91"/>
        <v>2</v>
      </c>
      <c r="H1127" s="53">
        <f t="shared" si="92"/>
        <v>2</v>
      </c>
      <c r="I1127" s="53" t="str">
        <f t="shared" si="90"/>
        <v>ww</v>
      </c>
      <c r="J1127" s="53"/>
    </row>
    <row r="1128" spans="1:10" x14ac:dyDescent="0.25">
      <c r="A1128" s="93">
        <v>41925</v>
      </c>
      <c r="B1128" s="35">
        <f t="shared" si="88"/>
        <v>70</v>
      </c>
      <c r="C1128" s="76">
        <v>10</v>
      </c>
      <c r="D1128" s="76">
        <v>2014</v>
      </c>
      <c r="E1128" s="56">
        <v>6.6666666666666666E-2</v>
      </c>
      <c r="F1128" s="53">
        <f t="shared" si="89"/>
        <v>1</v>
      </c>
      <c r="G1128" s="53">
        <f t="shared" si="91"/>
        <v>2</v>
      </c>
      <c r="H1128" s="53">
        <f t="shared" si="92"/>
        <v>2</v>
      </c>
      <c r="I1128" s="53" t="str">
        <f t="shared" si="90"/>
        <v>ww</v>
      </c>
      <c r="J1128" s="53"/>
    </row>
    <row r="1129" spans="1:10" x14ac:dyDescent="0.25">
      <c r="A1129" s="93">
        <v>41926</v>
      </c>
      <c r="B1129" s="35">
        <f t="shared" si="88"/>
        <v>70</v>
      </c>
      <c r="C1129" s="76">
        <v>10</v>
      </c>
      <c r="D1129" s="76">
        <v>2014</v>
      </c>
      <c r="E1129" s="56">
        <v>0</v>
      </c>
      <c r="F1129" s="53">
        <f t="shared" si="89"/>
        <v>0</v>
      </c>
      <c r="G1129" s="53">
        <f t="shared" si="91"/>
        <v>1</v>
      </c>
      <c r="H1129" s="53">
        <f t="shared" si="92"/>
        <v>1</v>
      </c>
      <c r="I1129" s="53" t="str">
        <f t="shared" si="90"/>
        <v>wd</v>
      </c>
      <c r="J1129" s="53"/>
    </row>
    <row r="1130" spans="1:10" x14ac:dyDescent="0.25">
      <c r="A1130" s="93">
        <v>41927</v>
      </c>
      <c r="B1130" s="35">
        <f t="shared" si="88"/>
        <v>70</v>
      </c>
      <c r="C1130" s="76">
        <v>10</v>
      </c>
      <c r="D1130" s="76">
        <v>2014</v>
      </c>
      <c r="E1130" s="56">
        <v>0.19999999999999998</v>
      </c>
      <c r="F1130" s="53">
        <f t="shared" si="89"/>
        <v>1</v>
      </c>
      <c r="G1130" s="53">
        <f t="shared" si="91"/>
        <v>1</v>
      </c>
      <c r="H1130" s="53">
        <f t="shared" si="92"/>
        <v>-1</v>
      </c>
      <c r="I1130" s="53" t="str">
        <f t="shared" si="90"/>
        <v>dw</v>
      </c>
      <c r="J1130" s="53"/>
    </row>
    <row r="1131" spans="1:10" x14ac:dyDescent="0.25">
      <c r="A1131" s="93">
        <v>41928</v>
      </c>
      <c r="B1131" s="35">
        <f t="shared" si="88"/>
        <v>70</v>
      </c>
      <c r="C1131" s="76">
        <v>10</v>
      </c>
      <c r="D1131" s="76">
        <v>2014</v>
      </c>
      <c r="E1131" s="56">
        <v>5.8</v>
      </c>
      <c r="F1131" s="53">
        <f t="shared" si="89"/>
        <v>1</v>
      </c>
      <c r="G1131" s="53">
        <f t="shared" si="91"/>
        <v>2</v>
      </c>
      <c r="H1131" s="53">
        <f t="shared" si="92"/>
        <v>2</v>
      </c>
      <c r="I1131" s="53" t="str">
        <f t="shared" si="90"/>
        <v>ww</v>
      </c>
      <c r="J1131" s="53"/>
    </row>
    <row r="1132" spans="1:10" x14ac:dyDescent="0.25">
      <c r="A1132" s="93">
        <v>41929</v>
      </c>
      <c r="B1132" s="35">
        <f t="shared" si="88"/>
        <v>70</v>
      </c>
      <c r="C1132" s="76">
        <v>10</v>
      </c>
      <c r="D1132" s="76">
        <v>2014</v>
      </c>
      <c r="E1132" s="56">
        <v>3.3333333333333335</v>
      </c>
      <c r="F1132" s="53">
        <f t="shared" si="89"/>
        <v>1</v>
      </c>
      <c r="G1132" s="53">
        <f t="shared" si="91"/>
        <v>2</v>
      </c>
      <c r="H1132" s="53">
        <f t="shared" si="92"/>
        <v>2</v>
      </c>
      <c r="I1132" s="53" t="str">
        <f t="shared" si="90"/>
        <v>ww</v>
      </c>
      <c r="J1132" s="53"/>
    </row>
    <row r="1133" spans="1:10" x14ac:dyDescent="0.25">
      <c r="A1133" s="93">
        <v>41930</v>
      </c>
      <c r="B1133" s="35">
        <f t="shared" si="88"/>
        <v>70</v>
      </c>
      <c r="C1133" s="76">
        <v>10</v>
      </c>
      <c r="D1133" s="76">
        <v>2014</v>
      </c>
      <c r="E1133" s="56">
        <v>1.6666666666666667</v>
      </c>
      <c r="F1133" s="53">
        <f t="shared" si="89"/>
        <v>1</v>
      </c>
      <c r="G1133" s="53">
        <f t="shared" si="91"/>
        <v>2</v>
      </c>
      <c r="H1133" s="53">
        <f t="shared" si="92"/>
        <v>2</v>
      </c>
      <c r="I1133" s="53" t="str">
        <f t="shared" si="90"/>
        <v>ww</v>
      </c>
      <c r="J1133" s="53"/>
    </row>
    <row r="1134" spans="1:10" x14ac:dyDescent="0.25">
      <c r="A1134" s="93">
        <v>41931</v>
      </c>
      <c r="B1134" s="35">
        <f t="shared" si="88"/>
        <v>70</v>
      </c>
      <c r="C1134" s="76">
        <v>10</v>
      </c>
      <c r="D1134" s="76">
        <v>2014</v>
      </c>
      <c r="E1134" s="56">
        <v>6.6666666666666666E-2</v>
      </c>
      <c r="F1134" s="53">
        <f t="shared" si="89"/>
        <v>1</v>
      </c>
      <c r="G1134" s="53">
        <f t="shared" si="91"/>
        <v>2</v>
      </c>
      <c r="H1134" s="53">
        <f t="shared" si="92"/>
        <v>2</v>
      </c>
      <c r="I1134" s="53" t="str">
        <f t="shared" si="90"/>
        <v>ww</v>
      </c>
      <c r="J1134" s="53"/>
    </row>
    <row r="1135" spans="1:10" x14ac:dyDescent="0.25">
      <c r="A1135" s="93">
        <v>41932</v>
      </c>
      <c r="B1135" s="35">
        <f t="shared" si="88"/>
        <v>70</v>
      </c>
      <c r="C1135" s="76">
        <v>10</v>
      </c>
      <c r="D1135" s="76">
        <v>2014</v>
      </c>
      <c r="E1135" s="56">
        <v>0</v>
      </c>
      <c r="F1135" s="53">
        <f t="shared" si="89"/>
        <v>0</v>
      </c>
      <c r="G1135" s="53">
        <f t="shared" si="91"/>
        <v>1</v>
      </c>
      <c r="H1135" s="53">
        <f t="shared" si="92"/>
        <v>1</v>
      </c>
      <c r="I1135" s="53" t="str">
        <f t="shared" si="90"/>
        <v>wd</v>
      </c>
      <c r="J1135" s="53"/>
    </row>
    <row r="1136" spans="1:10" x14ac:dyDescent="0.25">
      <c r="A1136" s="93">
        <v>41933</v>
      </c>
      <c r="B1136" s="35">
        <f t="shared" si="88"/>
        <v>70</v>
      </c>
      <c r="C1136" s="76">
        <v>10</v>
      </c>
      <c r="D1136" s="76">
        <v>2014</v>
      </c>
      <c r="E1136" s="56">
        <v>1.2666666666666668</v>
      </c>
      <c r="F1136" s="53">
        <f t="shared" si="89"/>
        <v>1</v>
      </c>
      <c r="G1136" s="53">
        <f t="shared" si="91"/>
        <v>1</v>
      </c>
      <c r="H1136" s="53">
        <f t="shared" si="92"/>
        <v>-1</v>
      </c>
      <c r="I1136" s="53" t="str">
        <f t="shared" si="90"/>
        <v>dw</v>
      </c>
      <c r="J1136" s="53"/>
    </row>
    <row r="1137" spans="1:10" x14ac:dyDescent="0.25">
      <c r="A1137" s="93">
        <v>41934</v>
      </c>
      <c r="B1137" s="35">
        <f t="shared" si="88"/>
        <v>70</v>
      </c>
      <c r="C1137" s="76">
        <v>10</v>
      </c>
      <c r="D1137" s="76">
        <v>2014</v>
      </c>
      <c r="E1137" s="56">
        <v>0</v>
      </c>
      <c r="F1137" s="53">
        <f t="shared" si="89"/>
        <v>0</v>
      </c>
      <c r="G1137" s="53">
        <f t="shared" si="91"/>
        <v>1</v>
      </c>
      <c r="H1137" s="53">
        <f t="shared" si="92"/>
        <v>1</v>
      </c>
      <c r="I1137" s="53" t="str">
        <f t="shared" si="90"/>
        <v>wd</v>
      </c>
      <c r="J1137" s="53"/>
    </row>
    <row r="1138" spans="1:10" x14ac:dyDescent="0.25">
      <c r="A1138" s="93">
        <v>41935</v>
      </c>
      <c r="B1138" s="35">
        <f t="shared" si="88"/>
        <v>70</v>
      </c>
      <c r="C1138" s="76">
        <v>10</v>
      </c>
      <c r="D1138" s="76">
        <v>2014</v>
      </c>
      <c r="E1138" s="56">
        <v>0.26666666666666666</v>
      </c>
      <c r="F1138" s="53">
        <f t="shared" si="89"/>
        <v>1</v>
      </c>
      <c r="G1138" s="53">
        <f t="shared" si="91"/>
        <v>1</v>
      </c>
      <c r="H1138" s="53">
        <f t="shared" si="92"/>
        <v>-1</v>
      </c>
      <c r="I1138" s="53" t="str">
        <f t="shared" si="90"/>
        <v>dw</v>
      </c>
      <c r="J1138" s="53"/>
    </row>
    <row r="1139" spans="1:10" x14ac:dyDescent="0.25">
      <c r="A1139" s="93">
        <v>41936</v>
      </c>
      <c r="B1139" s="35">
        <f t="shared" si="88"/>
        <v>70</v>
      </c>
      <c r="C1139" s="76">
        <v>10</v>
      </c>
      <c r="D1139" s="76">
        <v>2014</v>
      </c>
      <c r="E1139" s="56">
        <v>0.13333333333333333</v>
      </c>
      <c r="F1139" s="53">
        <f t="shared" si="89"/>
        <v>1</v>
      </c>
      <c r="G1139" s="53">
        <f t="shared" si="91"/>
        <v>2</v>
      </c>
      <c r="H1139" s="53">
        <f t="shared" si="92"/>
        <v>2</v>
      </c>
      <c r="I1139" s="53" t="str">
        <f t="shared" si="90"/>
        <v>ww</v>
      </c>
      <c r="J1139" s="53"/>
    </row>
    <row r="1140" spans="1:10" x14ac:dyDescent="0.25">
      <c r="A1140" s="93">
        <v>41937</v>
      </c>
      <c r="B1140" s="35">
        <f t="shared" si="88"/>
        <v>70</v>
      </c>
      <c r="C1140" s="76">
        <v>10</v>
      </c>
      <c r="D1140" s="76">
        <v>2014</v>
      </c>
      <c r="E1140" s="56">
        <v>6.6666666666666666E-2</v>
      </c>
      <c r="F1140" s="53">
        <f t="shared" si="89"/>
        <v>1</v>
      </c>
      <c r="G1140" s="53">
        <f t="shared" si="91"/>
        <v>2</v>
      </c>
      <c r="H1140" s="53">
        <f t="shared" si="92"/>
        <v>2</v>
      </c>
      <c r="I1140" s="53" t="str">
        <f t="shared" si="90"/>
        <v>ww</v>
      </c>
      <c r="J1140" s="53"/>
    </row>
    <row r="1141" spans="1:10" x14ac:dyDescent="0.25">
      <c r="A1141" s="93">
        <v>41938</v>
      </c>
      <c r="B1141" s="35">
        <f t="shared" si="88"/>
        <v>70</v>
      </c>
      <c r="C1141" s="76">
        <v>10</v>
      </c>
      <c r="D1141" s="76">
        <v>2014</v>
      </c>
      <c r="E1141" s="56">
        <v>0</v>
      </c>
      <c r="F1141" s="53">
        <f t="shared" si="89"/>
        <v>0</v>
      </c>
      <c r="G1141" s="53">
        <f t="shared" si="91"/>
        <v>1</v>
      </c>
      <c r="H1141" s="53">
        <f t="shared" si="92"/>
        <v>1</v>
      </c>
      <c r="I1141" s="53" t="str">
        <f t="shared" si="90"/>
        <v>wd</v>
      </c>
      <c r="J1141" s="53"/>
    </row>
    <row r="1142" spans="1:10" x14ac:dyDescent="0.25">
      <c r="A1142" s="93">
        <v>41939</v>
      </c>
      <c r="B1142" s="35">
        <f t="shared" si="88"/>
        <v>70</v>
      </c>
      <c r="C1142" s="76">
        <v>10</v>
      </c>
      <c r="D1142" s="76">
        <v>2014</v>
      </c>
      <c r="E1142" s="56">
        <v>0</v>
      </c>
      <c r="F1142" s="53">
        <f t="shared" si="89"/>
        <v>0</v>
      </c>
      <c r="G1142" s="53">
        <f t="shared" si="91"/>
        <v>0</v>
      </c>
      <c r="H1142" s="53">
        <f t="shared" si="92"/>
        <v>0</v>
      </c>
      <c r="I1142" s="53" t="str">
        <f t="shared" si="90"/>
        <v>dd</v>
      </c>
      <c r="J1142" s="53"/>
    </row>
    <row r="1143" spans="1:10" x14ac:dyDescent="0.25">
      <c r="A1143" s="93">
        <v>41940</v>
      </c>
      <c r="B1143" s="35">
        <f t="shared" si="88"/>
        <v>70</v>
      </c>
      <c r="C1143" s="76">
        <v>10</v>
      </c>
      <c r="D1143" s="76">
        <v>2014</v>
      </c>
      <c r="E1143" s="56">
        <v>0</v>
      </c>
      <c r="F1143" s="53">
        <f t="shared" si="89"/>
        <v>0</v>
      </c>
      <c r="G1143" s="53">
        <f t="shared" si="91"/>
        <v>0</v>
      </c>
      <c r="H1143" s="53">
        <f t="shared" si="92"/>
        <v>0</v>
      </c>
      <c r="I1143" s="53" t="str">
        <f t="shared" si="90"/>
        <v>dd</v>
      </c>
      <c r="J1143" s="53"/>
    </row>
    <row r="1144" spans="1:10" x14ac:dyDescent="0.25">
      <c r="A1144" s="93">
        <v>41941</v>
      </c>
      <c r="B1144" s="35">
        <f t="shared" si="88"/>
        <v>70</v>
      </c>
      <c r="C1144" s="76">
        <v>10</v>
      </c>
      <c r="D1144" s="76">
        <v>2014</v>
      </c>
      <c r="E1144" s="56">
        <v>9.4</v>
      </c>
      <c r="F1144" s="53">
        <f t="shared" si="89"/>
        <v>1</v>
      </c>
      <c r="G1144" s="53">
        <f t="shared" si="91"/>
        <v>1</v>
      </c>
      <c r="H1144" s="53">
        <f t="shared" si="92"/>
        <v>-1</v>
      </c>
      <c r="I1144" s="53" t="str">
        <f t="shared" si="90"/>
        <v>dw</v>
      </c>
      <c r="J1144" s="53"/>
    </row>
    <row r="1145" spans="1:10" x14ac:dyDescent="0.25">
      <c r="A1145" s="93">
        <v>41942</v>
      </c>
      <c r="B1145" s="35">
        <f t="shared" si="88"/>
        <v>70</v>
      </c>
      <c r="C1145" s="76">
        <v>10</v>
      </c>
      <c r="D1145" s="76">
        <v>2014</v>
      </c>
      <c r="E1145" s="56">
        <v>3.6666666666666665</v>
      </c>
      <c r="F1145" s="53">
        <f t="shared" si="89"/>
        <v>1</v>
      </c>
      <c r="G1145" s="53">
        <f t="shared" si="91"/>
        <v>2</v>
      </c>
      <c r="H1145" s="53">
        <f t="shared" si="92"/>
        <v>2</v>
      </c>
      <c r="I1145" s="53" t="str">
        <f t="shared" si="90"/>
        <v>ww</v>
      </c>
      <c r="J1145" s="53"/>
    </row>
    <row r="1146" spans="1:10" x14ac:dyDescent="0.25">
      <c r="A1146" s="93">
        <v>41943</v>
      </c>
      <c r="B1146" s="35">
        <f t="shared" si="88"/>
        <v>70</v>
      </c>
      <c r="C1146" s="76">
        <v>10</v>
      </c>
      <c r="D1146" s="76">
        <v>2014</v>
      </c>
      <c r="E1146" s="56">
        <v>6.6666666666666666E-2</v>
      </c>
      <c r="F1146" s="53">
        <f t="shared" si="89"/>
        <v>1</v>
      </c>
      <c r="G1146" s="53">
        <f t="shared" si="91"/>
        <v>2</v>
      </c>
      <c r="H1146" s="53">
        <f t="shared" si="92"/>
        <v>2</v>
      </c>
      <c r="I1146" s="53" t="str">
        <f t="shared" si="90"/>
        <v>ww</v>
      </c>
      <c r="J1146" s="53"/>
    </row>
    <row r="1147" spans="1:10" x14ac:dyDescent="0.25">
      <c r="A1147" s="93">
        <v>41944</v>
      </c>
      <c r="B1147" s="35">
        <f t="shared" si="88"/>
        <v>70</v>
      </c>
      <c r="C1147" s="76">
        <v>10</v>
      </c>
      <c r="D1147" s="76">
        <v>2014</v>
      </c>
      <c r="E1147" s="56">
        <v>0</v>
      </c>
      <c r="F1147" s="53">
        <f t="shared" si="89"/>
        <v>0</v>
      </c>
      <c r="G1147" s="53">
        <f t="shared" si="91"/>
        <v>1</v>
      </c>
      <c r="H1147" s="53">
        <f t="shared" si="92"/>
        <v>1</v>
      </c>
      <c r="I1147" s="53" t="str">
        <f t="shared" si="90"/>
        <v>wd</v>
      </c>
      <c r="J1147" s="53"/>
    </row>
    <row r="1148" spans="1:10" x14ac:dyDescent="0.25">
      <c r="A1148" s="93">
        <v>41945</v>
      </c>
      <c r="B1148" s="35">
        <f t="shared" si="88"/>
        <v>70</v>
      </c>
      <c r="C1148" s="76">
        <v>10</v>
      </c>
      <c r="D1148" s="76">
        <v>2014</v>
      </c>
      <c r="E1148" s="56">
        <v>0</v>
      </c>
      <c r="F1148" s="53">
        <f t="shared" si="89"/>
        <v>0</v>
      </c>
      <c r="G1148" s="53">
        <f t="shared" si="91"/>
        <v>0</v>
      </c>
      <c r="H1148" s="53">
        <f t="shared" si="92"/>
        <v>0</v>
      </c>
      <c r="I1148" s="53" t="str">
        <f t="shared" si="90"/>
        <v>dd</v>
      </c>
      <c r="J1148" s="53"/>
    </row>
    <row r="1149" spans="1:10" x14ac:dyDescent="0.25">
      <c r="A1149" s="93">
        <v>42280</v>
      </c>
      <c r="B1149" s="35">
        <f t="shared" si="88"/>
        <v>82</v>
      </c>
      <c r="C1149" s="76">
        <v>10</v>
      </c>
      <c r="D1149" s="76">
        <v>2015</v>
      </c>
      <c r="E1149" s="56">
        <v>6.6666666666666666E-2</v>
      </c>
      <c r="F1149" s="53">
        <f t="shared" si="89"/>
        <v>1</v>
      </c>
      <c r="G1149" s="53">
        <f t="shared" si="91"/>
        <v>1</v>
      </c>
      <c r="H1149" s="53">
        <f t="shared" si="92"/>
        <v>-1</v>
      </c>
      <c r="I1149" s="53" t="str">
        <f t="shared" si="90"/>
        <v>dw</v>
      </c>
      <c r="J1149" s="53"/>
    </row>
    <row r="1150" spans="1:10" x14ac:dyDescent="0.25">
      <c r="A1150" s="93">
        <v>42281</v>
      </c>
      <c r="B1150" s="35">
        <f t="shared" si="88"/>
        <v>82</v>
      </c>
      <c r="C1150" s="76">
        <v>10</v>
      </c>
      <c r="D1150" s="76">
        <v>2015</v>
      </c>
      <c r="E1150" s="56">
        <v>0</v>
      </c>
      <c r="F1150" s="53">
        <f t="shared" si="89"/>
        <v>0</v>
      </c>
      <c r="G1150" s="53">
        <f t="shared" si="91"/>
        <v>1</v>
      </c>
      <c r="H1150" s="53">
        <f t="shared" si="92"/>
        <v>1</v>
      </c>
      <c r="I1150" s="53" t="str">
        <f t="shared" si="90"/>
        <v>wd</v>
      </c>
      <c r="J1150" s="53"/>
    </row>
    <row r="1151" spans="1:10" x14ac:dyDescent="0.25">
      <c r="A1151" s="93">
        <v>42282</v>
      </c>
      <c r="B1151" s="35">
        <f t="shared" si="88"/>
        <v>82</v>
      </c>
      <c r="C1151" s="76">
        <v>10</v>
      </c>
      <c r="D1151" s="76">
        <v>2015</v>
      </c>
      <c r="E1151" s="56">
        <v>0</v>
      </c>
      <c r="F1151" s="53">
        <f t="shared" si="89"/>
        <v>0</v>
      </c>
      <c r="G1151" s="53">
        <f t="shared" si="91"/>
        <v>0</v>
      </c>
      <c r="H1151" s="53">
        <f t="shared" si="92"/>
        <v>0</v>
      </c>
      <c r="I1151" s="53" t="str">
        <f t="shared" si="90"/>
        <v>dd</v>
      </c>
      <c r="J1151" s="53"/>
    </row>
    <row r="1152" spans="1:10" x14ac:dyDescent="0.25">
      <c r="A1152" s="93">
        <v>42283</v>
      </c>
      <c r="B1152" s="35">
        <f t="shared" si="88"/>
        <v>82</v>
      </c>
      <c r="C1152" s="76">
        <v>10</v>
      </c>
      <c r="D1152" s="76">
        <v>2015</v>
      </c>
      <c r="E1152" s="56">
        <v>10.200000000000001</v>
      </c>
      <c r="F1152" s="53">
        <f t="shared" si="89"/>
        <v>1</v>
      </c>
      <c r="G1152" s="53">
        <f t="shared" si="91"/>
        <v>1</v>
      </c>
      <c r="H1152" s="53">
        <f t="shared" si="92"/>
        <v>-1</v>
      </c>
      <c r="I1152" s="53" t="str">
        <f t="shared" si="90"/>
        <v>dw</v>
      </c>
      <c r="J1152" s="53"/>
    </row>
    <row r="1153" spans="1:10" x14ac:dyDescent="0.25">
      <c r="A1153" s="93">
        <v>42284</v>
      </c>
      <c r="B1153" s="35">
        <f t="shared" si="88"/>
        <v>82</v>
      </c>
      <c r="C1153" s="76">
        <v>10</v>
      </c>
      <c r="D1153" s="76">
        <v>2015</v>
      </c>
      <c r="E1153" s="56">
        <v>11.133333333333335</v>
      </c>
      <c r="F1153" s="53">
        <f t="shared" si="89"/>
        <v>1</v>
      </c>
      <c r="G1153" s="53">
        <f t="shared" si="91"/>
        <v>2</v>
      </c>
      <c r="H1153" s="53">
        <f t="shared" si="92"/>
        <v>2</v>
      </c>
      <c r="I1153" s="53" t="str">
        <f t="shared" si="90"/>
        <v>ww</v>
      </c>
      <c r="J1153" s="53"/>
    </row>
    <row r="1154" spans="1:10" x14ac:dyDescent="0.25">
      <c r="A1154" s="93">
        <v>42285</v>
      </c>
      <c r="B1154" s="35">
        <f t="shared" ref="B1154:B1217" si="93">C1154+(D1154-2009)*12</f>
        <v>82</v>
      </c>
      <c r="C1154" s="76">
        <v>10</v>
      </c>
      <c r="D1154" s="76">
        <v>2015</v>
      </c>
      <c r="E1154" s="56">
        <v>2.7333333333333338</v>
      </c>
      <c r="F1154" s="53">
        <f t="shared" ref="F1154:F1217" si="94">IF(E1154&gt;0,1,0)</f>
        <v>1</v>
      </c>
      <c r="G1154" s="53">
        <f t="shared" si="91"/>
        <v>2</v>
      </c>
      <c r="H1154" s="53">
        <f t="shared" si="92"/>
        <v>2</v>
      </c>
      <c r="I1154" s="53" t="str">
        <f t="shared" ref="I1154:I1217" si="95">VLOOKUP(H1154,codes,2,)</f>
        <v>ww</v>
      </c>
      <c r="J1154" s="53"/>
    </row>
    <row r="1155" spans="1:10" x14ac:dyDescent="0.25">
      <c r="A1155" s="93">
        <v>42286</v>
      </c>
      <c r="B1155" s="35">
        <f t="shared" si="93"/>
        <v>82</v>
      </c>
      <c r="C1155" s="76">
        <v>10</v>
      </c>
      <c r="D1155" s="76">
        <v>2015</v>
      </c>
      <c r="E1155" s="56">
        <v>6.6666666666666666E-2</v>
      </c>
      <c r="F1155" s="53">
        <f t="shared" si="94"/>
        <v>1</v>
      </c>
      <c r="G1155" s="53">
        <f t="shared" si="91"/>
        <v>2</v>
      </c>
      <c r="H1155" s="53">
        <f t="shared" si="92"/>
        <v>2</v>
      </c>
      <c r="I1155" s="53" t="str">
        <f t="shared" si="95"/>
        <v>ww</v>
      </c>
      <c r="J1155" s="53"/>
    </row>
    <row r="1156" spans="1:10" x14ac:dyDescent="0.25">
      <c r="A1156" s="93">
        <v>42287</v>
      </c>
      <c r="B1156" s="35">
        <f t="shared" si="93"/>
        <v>82</v>
      </c>
      <c r="C1156" s="76">
        <v>10</v>
      </c>
      <c r="D1156" s="76">
        <v>2015</v>
      </c>
      <c r="E1156" s="56">
        <v>0</v>
      </c>
      <c r="F1156" s="53">
        <f t="shared" si="94"/>
        <v>0</v>
      </c>
      <c r="G1156" s="53">
        <f t="shared" ref="G1156:G1219" si="96">SUM(F1155:F1156)</f>
        <v>1</v>
      </c>
      <c r="H1156" s="53">
        <f t="shared" ref="H1156:H1219" si="97">IF(G1156=1,IF(F1155=1,1,-1),G1156)</f>
        <v>1</v>
      </c>
      <c r="I1156" s="53" t="str">
        <f t="shared" si="95"/>
        <v>wd</v>
      </c>
      <c r="J1156" s="53"/>
    </row>
    <row r="1157" spans="1:10" x14ac:dyDescent="0.25">
      <c r="A1157" s="93">
        <v>42288</v>
      </c>
      <c r="B1157" s="35">
        <f t="shared" si="93"/>
        <v>82</v>
      </c>
      <c r="C1157" s="76">
        <v>10</v>
      </c>
      <c r="D1157" s="76">
        <v>2015</v>
      </c>
      <c r="E1157" s="56">
        <v>0.26666666666666666</v>
      </c>
      <c r="F1157" s="53">
        <f t="shared" si="94"/>
        <v>1</v>
      </c>
      <c r="G1157" s="53">
        <f t="shared" si="96"/>
        <v>1</v>
      </c>
      <c r="H1157" s="53">
        <f t="shared" si="97"/>
        <v>-1</v>
      </c>
      <c r="I1157" s="53" t="str">
        <f t="shared" si="95"/>
        <v>dw</v>
      </c>
      <c r="J1157" s="53"/>
    </row>
    <row r="1158" spans="1:10" x14ac:dyDescent="0.25">
      <c r="A1158" s="93">
        <v>42289</v>
      </c>
      <c r="B1158" s="35">
        <f t="shared" si="93"/>
        <v>82</v>
      </c>
      <c r="C1158" s="76">
        <v>10</v>
      </c>
      <c r="D1158" s="76">
        <v>2015</v>
      </c>
      <c r="E1158" s="56">
        <v>1</v>
      </c>
      <c r="F1158" s="53">
        <f t="shared" si="94"/>
        <v>1</v>
      </c>
      <c r="G1158" s="53">
        <f t="shared" si="96"/>
        <v>2</v>
      </c>
      <c r="H1158" s="53">
        <f t="shared" si="97"/>
        <v>2</v>
      </c>
      <c r="I1158" s="53" t="str">
        <f t="shared" si="95"/>
        <v>ww</v>
      </c>
      <c r="J1158" s="53"/>
    </row>
    <row r="1159" spans="1:10" x14ac:dyDescent="0.25">
      <c r="A1159" s="93">
        <v>42290</v>
      </c>
      <c r="B1159" s="35">
        <f t="shared" si="93"/>
        <v>82</v>
      </c>
      <c r="C1159" s="76">
        <v>10</v>
      </c>
      <c r="D1159" s="76">
        <v>2015</v>
      </c>
      <c r="E1159" s="56">
        <v>6.0666666666666664</v>
      </c>
      <c r="F1159" s="53">
        <f t="shared" si="94"/>
        <v>1</v>
      </c>
      <c r="G1159" s="53">
        <f t="shared" si="96"/>
        <v>2</v>
      </c>
      <c r="H1159" s="53">
        <f t="shared" si="97"/>
        <v>2</v>
      </c>
      <c r="I1159" s="53" t="str">
        <f t="shared" si="95"/>
        <v>ww</v>
      </c>
      <c r="J1159" s="53"/>
    </row>
    <row r="1160" spans="1:10" x14ac:dyDescent="0.25">
      <c r="A1160" s="93">
        <v>42291</v>
      </c>
      <c r="B1160" s="35">
        <f t="shared" si="93"/>
        <v>82</v>
      </c>
      <c r="C1160" s="76">
        <v>10</v>
      </c>
      <c r="D1160" s="76">
        <v>2015</v>
      </c>
      <c r="E1160" s="56">
        <v>0</v>
      </c>
      <c r="F1160" s="53">
        <f t="shared" si="94"/>
        <v>0</v>
      </c>
      <c r="G1160" s="53">
        <f t="shared" si="96"/>
        <v>1</v>
      </c>
      <c r="H1160" s="53">
        <f t="shared" si="97"/>
        <v>1</v>
      </c>
      <c r="I1160" s="53" t="str">
        <f t="shared" si="95"/>
        <v>wd</v>
      </c>
      <c r="J1160" s="53"/>
    </row>
    <row r="1161" spans="1:10" x14ac:dyDescent="0.25">
      <c r="A1161" s="93">
        <v>42292</v>
      </c>
      <c r="B1161" s="35">
        <f t="shared" si="93"/>
        <v>82</v>
      </c>
      <c r="C1161" s="76">
        <v>10</v>
      </c>
      <c r="D1161" s="76">
        <v>2015</v>
      </c>
      <c r="E1161" s="56">
        <v>6.6666666666666666E-2</v>
      </c>
      <c r="F1161" s="53">
        <f t="shared" si="94"/>
        <v>1</v>
      </c>
      <c r="G1161" s="53">
        <f t="shared" si="96"/>
        <v>1</v>
      </c>
      <c r="H1161" s="53">
        <f t="shared" si="97"/>
        <v>-1</v>
      </c>
      <c r="I1161" s="53" t="str">
        <f t="shared" si="95"/>
        <v>dw</v>
      </c>
      <c r="J1161" s="53"/>
    </row>
    <row r="1162" spans="1:10" x14ac:dyDescent="0.25">
      <c r="A1162" s="93">
        <v>42293</v>
      </c>
      <c r="B1162" s="35">
        <f t="shared" si="93"/>
        <v>82</v>
      </c>
      <c r="C1162" s="76">
        <v>10</v>
      </c>
      <c r="D1162" s="76">
        <v>2015</v>
      </c>
      <c r="E1162" s="56">
        <v>0</v>
      </c>
      <c r="F1162" s="53">
        <f t="shared" si="94"/>
        <v>0</v>
      </c>
      <c r="G1162" s="53">
        <f t="shared" si="96"/>
        <v>1</v>
      </c>
      <c r="H1162" s="53">
        <f t="shared" si="97"/>
        <v>1</v>
      </c>
      <c r="I1162" s="53" t="str">
        <f t="shared" si="95"/>
        <v>wd</v>
      </c>
      <c r="J1162" s="53"/>
    </row>
    <row r="1163" spans="1:10" x14ac:dyDescent="0.25">
      <c r="A1163" s="93">
        <v>42294</v>
      </c>
      <c r="B1163" s="35">
        <f t="shared" si="93"/>
        <v>82</v>
      </c>
      <c r="C1163" s="76">
        <v>10</v>
      </c>
      <c r="D1163" s="76">
        <v>2015</v>
      </c>
      <c r="E1163" s="56">
        <v>6.6666666666666666E-2</v>
      </c>
      <c r="F1163" s="53">
        <f t="shared" si="94"/>
        <v>1</v>
      </c>
      <c r="G1163" s="53">
        <f t="shared" si="96"/>
        <v>1</v>
      </c>
      <c r="H1163" s="53">
        <f t="shared" si="97"/>
        <v>-1</v>
      </c>
      <c r="I1163" s="53" t="str">
        <f t="shared" si="95"/>
        <v>dw</v>
      </c>
      <c r="J1163" s="53"/>
    </row>
    <row r="1164" spans="1:10" x14ac:dyDescent="0.25">
      <c r="A1164" s="93">
        <v>42295</v>
      </c>
      <c r="B1164" s="35">
        <f t="shared" si="93"/>
        <v>82</v>
      </c>
      <c r="C1164" s="76">
        <v>10</v>
      </c>
      <c r="D1164" s="76">
        <v>2015</v>
      </c>
      <c r="E1164" s="56">
        <v>0</v>
      </c>
      <c r="F1164" s="53">
        <f t="shared" si="94"/>
        <v>0</v>
      </c>
      <c r="G1164" s="53">
        <f t="shared" si="96"/>
        <v>1</v>
      </c>
      <c r="H1164" s="53">
        <f t="shared" si="97"/>
        <v>1</v>
      </c>
      <c r="I1164" s="53" t="str">
        <f t="shared" si="95"/>
        <v>wd</v>
      </c>
      <c r="J1164" s="53"/>
    </row>
    <row r="1165" spans="1:10" x14ac:dyDescent="0.25">
      <c r="A1165" s="93">
        <v>42296</v>
      </c>
      <c r="B1165" s="35">
        <f t="shared" si="93"/>
        <v>82</v>
      </c>
      <c r="C1165" s="76">
        <v>10</v>
      </c>
      <c r="D1165" s="76">
        <v>2015</v>
      </c>
      <c r="E1165" s="56">
        <v>6.6666666666666666E-2</v>
      </c>
      <c r="F1165" s="53">
        <f t="shared" si="94"/>
        <v>1</v>
      </c>
      <c r="G1165" s="53">
        <f t="shared" si="96"/>
        <v>1</v>
      </c>
      <c r="H1165" s="53">
        <f t="shared" si="97"/>
        <v>-1</v>
      </c>
      <c r="I1165" s="53" t="str">
        <f t="shared" si="95"/>
        <v>dw</v>
      </c>
      <c r="J1165" s="53"/>
    </row>
    <row r="1166" spans="1:10" x14ac:dyDescent="0.25">
      <c r="A1166" s="93">
        <v>42297</v>
      </c>
      <c r="B1166" s="35">
        <f t="shared" si="93"/>
        <v>82</v>
      </c>
      <c r="C1166" s="76">
        <v>10</v>
      </c>
      <c r="D1166" s="76">
        <v>2015</v>
      </c>
      <c r="E1166" s="56">
        <v>0.26666666666666666</v>
      </c>
      <c r="F1166" s="53">
        <f t="shared" si="94"/>
        <v>1</v>
      </c>
      <c r="G1166" s="53">
        <f t="shared" si="96"/>
        <v>2</v>
      </c>
      <c r="H1166" s="53">
        <f t="shared" si="97"/>
        <v>2</v>
      </c>
      <c r="I1166" s="53" t="str">
        <f t="shared" si="95"/>
        <v>ww</v>
      </c>
      <c r="J1166" s="53"/>
    </row>
    <row r="1167" spans="1:10" x14ac:dyDescent="0.25">
      <c r="A1167" s="93">
        <v>42298</v>
      </c>
      <c r="B1167" s="35">
        <f t="shared" si="93"/>
        <v>82</v>
      </c>
      <c r="C1167" s="76">
        <v>10</v>
      </c>
      <c r="D1167" s="76">
        <v>2015</v>
      </c>
      <c r="E1167" s="56">
        <v>8.1333333333333329</v>
      </c>
      <c r="F1167" s="53">
        <f t="shared" si="94"/>
        <v>1</v>
      </c>
      <c r="G1167" s="53">
        <f t="shared" si="96"/>
        <v>2</v>
      </c>
      <c r="H1167" s="53">
        <f t="shared" si="97"/>
        <v>2</v>
      </c>
      <c r="I1167" s="53" t="str">
        <f t="shared" si="95"/>
        <v>ww</v>
      </c>
      <c r="J1167" s="53"/>
    </row>
    <row r="1168" spans="1:10" x14ac:dyDescent="0.25">
      <c r="A1168" s="93">
        <v>42299</v>
      </c>
      <c r="B1168" s="35">
        <f t="shared" si="93"/>
        <v>82</v>
      </c>
      <c r="C1168" s="76">
        <v>10</v>
      </c>
      <c r="D1168" s="76">
        <v>2015</v>
      </c>
      <c r="E1168" s="56">
        <v>0</v>
      </c>
      <c r="F1168" s="53">
        <f t="shared" si="94"/>
        <v>0</v>
      </c>
      <c r="G1168" s="53">
        <f t="shared" si="96"/>
        <v>1</v>
      </c>
      <c r="H1168" s="53">
        <f t="shared" si="97"/>
        <v>1</v>
      </c>
      <c r="I1168" s="53" t="str">
        <f t="shared" si="95"/>
        <v>wd</v>
      </c>
      <c r="J1168" s="53"/>
    </row>
    <row r="1169" spans="1:10" x14ac:dyDescent="0.25">
      <c r="A1169" s="93">
        <v>42300</v>
      </c>
      <c r="B1169" s="35">
        <f t="shared" si="93"/>
        <v>82</v>
      </c>
      <c r="C1169" s="76">
        <v>10</v>
      </c>
      <c r="D1169" s="76">
        <v>2015</v>
      </c>
      <c r="E1169" s="56">
        <v>0</v>
      </c>
      <c r="F1169" s="53">
        <f t="shared" si="94"/>
        <v>0</v>
      </c>
      <c r="G1169" s="53">
        <f t="shared" si="96"/>
        <v>0</v>
      </c>
      <c r="H1169" s="53">
        <f t="shared" si="97"/>
        <v>0</v>
      </c>
      <c r="I1169" s="53" t="str">
        <f t="shared" si="95"/>
        <v>dd</v>
      </c>
      <c r="J1169" s="53"/>
    </row>
    <row r="1170" spans="1:10" x14ac:dyDescent="0.25">
      <c r="A1170" s="93">
        <v>42301</v>
      </c>
      <c r="B1170" s="35">
        <f t="shared" si="93"/>
        <v>82</v>
      </c>
      <c r="C1170" s="76">
        <v>10</v>
      </c>
      <c r="D1170" s="76">
        <v>2015</v>
      </c>
      <c r="E1170" s="56">
        <v>0</v>
      </c>
      <c r="F1170" s="53">
        <f t="shared" si="94"/>
        <v>0</v>
      </c>
      <c r="G1170" s="53">
        <f t="shared" si="96"/>
        <v>0</v>
      </c>
      <c r="H1170" s="53">
        <f t="shared" si="97"/>
        <v>0</v>
      </c>
      <c r="I1170" s="53" t="str">
        <f t="shared" si="95"/>
        <v>dd</v>
      </c>
      <c r="J1170" s="53"/>
    </row>
    <row r="1171" spans="1:10" x14ac:dyDescent="0.25">
      <c r="A1171" s="93">
        <v>42302</v>
      </c>
      <c r="B1171" s="35">
        <f t="shared" si="93"/>
        <v>82</v>
      </c>
      <c r="C1171" s="76">
        <v>10</v>
      </c>
      <c r="D1171" s="76">
        <v>2015</v>
      </c>
      <c r="E1171" s="56">
        <v>0.13333333333333333</v>
      </c>
      <c r="F1171" s="53">
        <f t="shared" si="94"/>
        <v>1</v>
      </c>
      <c r="G1171" s="53">
        <f t="shared" si="96"/>
        <v>1</v>
      </c>
      <c r="H1171" s="53">
        <f t="shared" si="97"/>
        <v>-1</v>
      </c>
      <c r="I1171" s="53" t="str">
        <f t="shared" si="95"/>
        <v>dw</v>
      </c>
      <c r="J1171" s="53"/>
    </row>
    <row r="1172" spans="1:10" x14ac:dyDescent="0.25">
      <c r="A1172" s="93">
        <v>42303</v>
      </c>
      <c r="B1172" s="35">
        <f t="shared" si="93"/>
        <v>82</v>
      </c>
      <c r="C1172" s="76">
        <v>10</v>
      </c>
      <c r="D1172" s="76">
        <v>2015</v>
      </c>
      <c r="E1172" s="56">
        <v>0</v>
      </c>
      <c r="F1172" s="53">
        <f t="shared" si="94"/>
        <v>0</v>
      </c>
      <c r="G1172" s="53">
        <f t="shared" si="96"/>
        <v>1</v>
      </c>
      <c r="H1172" s="53">
        <f t="shared" si="97"/>
        <v>1</v>
      </c>
      <c r="I1172" s="53" t="str">
        <f t="shared" si="95"/>
        <v>wd</v>
      </c>
      <c r="J1172" s="53"/>
    </row>
    <row r="1173" spans="1:10" x14ac:dyDescent="0.25">
      <c r="A1173" s="93">
        <v>42304</v>
      </c>
      <c r="B1173" s="35">
        <f t="shared" si="93"/>
        <v>82</v>
      </c>
      <c r="C1173" s="76">
        <v>10</v>
      </c>
      <c r="D1173" s="76">
        <v>2015</v>
      </c>
      <c r="E1173" s="56">
        <v>0</v>
      </c>
      <c r="F1173" s="53">
        <f t="shared" si="94"/>
        <v>0</v>
      </c>
      <c r="G1173" s="53">
        <f t="shared" si="96"/>
        <v>0</v>
      </c>
      <c r="H1173" s="53">
        <f t="shared" si="97"/>
        <v>0</v>
      </c>
      <c r="I1173" s="53" t="str">
        <f t="shared" si="95"/>
        <v>dd</v>
      </c>
      <c r="J1173" s="53"/>
    </row>
    <row r="1174" spans="1:10" x14ac:dyDescent="0.25">
      <c r="A1174" s="93">
        <v>42305</v>
      </c>
      <c r="B1174" s="35">
        <f t="shared" si="93"/>
        <v>82</v>
      </c>
      <c r="C1174" s="76">
        <v>10</v>
      </c>
      <c r="D1174" s="76">
        <v>2015</v>
      </c>
      <c r="E1174" s="56">
        <v>6.6666666666666666E-2</v>
      </c>
      <c r="F1174" s="53">
        <f t="shared" si="94"/>
        <v>1</v>
      </c>
      <c r="G1174" s="53">
        <f t="shared" si="96"/>
        <v>1</v>
      </c>
      <c r="H1174" s="53">
        <f t="shared" si="97"/>
        <v>-1</v>
      </c>
      <c r="I1174" s="53" t="str">
        <f t="shared" si="95"/>
        <v>dw</v>
      </c>
      <c r="J1174" s="53"/>
    </row>
    <row r="1175" spans="1:10" x14ac:dyDescent="0.25">
      <c r="A1175" s="93">
        <v>42306</v>
      </c>
      <c r="B1175" s="35">
        <f t="shared" si="93"/>
        <v>82</v>
      </c>
      <c r="C1175" s="76">
        <v>10</v>
      </c>
      <c r="D1175" s="76">
        <v>2015</v>
      </c>
      <c r="E1175" s="56">
        <v>7.8</v>
      </c>
      <c r="F1175" s="53">
        <f t="shared" si="94"/>
        <v>1</v>
      </c>
      <c r="G1175" s="53">
        <f t="shared" si="96"/>
        <v>2</v>
      </c>
      <c r="H1175" s="53">
        <f t="shared" si="97"/>
        <v>2</v>
      </c>
      <c r="I1175" s="53" t="str">
        <f t="shared" si="95"/>
        <v>ww</v>
      </c>
      <c r="J1175" s="53"/>
    </row>
    <row r="1176" spans="1:10" x14ac:dyDescent="0.25">
      <c r="A1176" s="93">
        <v>42307</v>
      </c>
      <c r="B1176" s="35">
        <f t="shared" si="93"/>
        <v>82</v>
      </c>
      <c r="C1176" s="76">
        <v>10</v>
      </c>
      <c r="D1176" s="76">
        <v>2015</v>
      </c>
      <c r="E1176" s="56">
        <v>7.666666666666667</v>
      </c>
      <c r="F1176" s="53">
        <f t="shared" si="94"/>
        <v>1</v>
      </c>
      <c r="G1176" s="53">
        <f t="shared" si="96"/>
        <v>2</v>
      </c>
      <c r="H1176" s="53">
        <f t="shared" si="97"/>
        <v>2</v>
      </c>
      <c r="I1176" s="53" t="str">
        <f t="shared" si="95"/>
        <v>ww</v>
      </c>
      <c r="J1176" s="53"/>
    </row>
    <row r="1177" spans="1:10" x14ac:dyDescent="0.25">
      <c r="A1177" s="93">
        <v>42308</v>
      </c>
      <c r="B1177" s="35">
        <f t="shared" si="93"/>
        <v>82</v>
      </c>
      <c r="C1177" s="76">
        <v>10</v>
      </c>
      <c r="D1177" s="76">
        <v>2015</v>
      </c>
      <c r="E1177" s="56">
        <v>3.2666666666666671</v>
      </c>
      <c r="F1177" s="53">
        <f t="shared" si="94"/>
        <v>1</v>
      </c>
      <c r="G1177" s="53">
        <f t="shared" si="96"/>
        <v>2</v>
      </c>
      <c r="H1177" s="53">
        <f t="shared" si="97"/>
        <v>2</v>
      </c>
      <c r="I1177" s="53" t="str">
        <f t="shared" si="95"/>
        <v>ww</v>
      </c>
      <c r="J1177" s="53"/>
    </row>
    <row r="1178" spans="1:10" x14ac:dyDescent="0.25">
      <c r="A1178" s="93">
        <v>42309</v>
      </c>
      <c r="B1178" s="35">
        <f t="shared" si="93"/>
        <v>82</v>
      </c>
      <c r="C1178" s="76">
        <v>10</v>
      </c>
      <c r="D1178" s="76">
        <v>2015</v>
      </c>
      <c r="E1178" s="56">
        <v>0.13333333333333333</v>
      </c>
      <c r="F1178" s="53">
        <f t="shared" si="94"/>
        <v>1</v>
      </c>
      <c r="G1178" s="53">
        <f t="shared" si="96"/>
        <v>2</v>
      </c>
      <c r="H1178" s="53">
        <f t="shared" si="97"/>
        <v>2</v>
      </c>
      <c r="I1178" s="53" t="str">
        <f t="shared" si="95"/>
        <v>ww</v>
      </c>
      <c r="J1178" s="53"/>
    </row>
    <row r="1179" spans="1:10" x14ac:dyDescent="0.25">
      <c r="A1179" s="93">
        <v>42310</v>
      </c>
      <c r="B1179" s="35">
        <f t="shared" si="93"/>
        <v>82</v>
      </c>
      <c r="C1179" s="76">
        <v>10</v>
      </c>
      <c r="D1179" s="76">
        <v>2015</v>
      </c>
      <c r="E1179" s="56">
        <v>0.20000000000000004</v>
      </c>
      <c r="F1179" s="53">
        <f t="shared" si="94"/>
        <v>1</v>
      </c>
      <c r="G1179" s="53">
        <f t="shared" si="96"/>
        <v>2</v>
      </c>
      <c r="H1179" s="53">
        <f t="shared" si="97"/>
        <v>2</v>
      </c>
      <c r="I1179" s="53" t="str">
        <f t="shared" si="95"/>
        <v>ww</v>
      </c>
      <c r="J1179" s="53"/>
    </row>
    <row r="1180" spans="1:10" x14ac:dyDescent="0.25">
      <c r="A1180" s="93">
        <v>42646</v>
      </c>
      <c r="B1180" s="35">
        <f t="shared" si="93"/>
        <v>94</v>
      </c>
      <c r="C1180" s="76">
        <v>10</v>
      </c>
      <c r="D1180" s="76">
        <v>2016</v>
      </c>
      <c r="E1180" s="56">
        <v>0.13333333333333333</v>
      </c>
      <c r="F1180" s="53">
        <f t="shared" si="94"/>
        <v>1</v>
      </c>
      <c r="G1180" s="53">
        <f t="shared" si="96"/>
        <v>2</v>
      </c>
      <c r="H1180" s="53">
        <f t="shared" si="97"/>
        <v>2</v>
      </c>
      <c r="I1180" s="53" t="str">
        <f t="shared" si="95"/>
        <v>ww</v>
      </c>
      <c r="J1180" s="53"/>
    </row>
    <row r="1181" spans="1:10" x14ac:dyDescent="0.25">
      <c r="A1181" s="93">
        <v>42647</v>
      </c>
      <c r="B1181" s="35">
        <f t="shared" si="93"/>
        <v>94</v>
      </c>
      <c r="C1181" s="76">
        <v>10</v>
      </c>
      <c r="D1181" s="76">
        <v>2016</v>
      </c>
      <c r="E1181" s="56">
        <v>0</v>
      </c>
      <c r="F1181" s="53">
        <f t="shared" si="94"/>
        <v>0</v>
      </c>
      <c r="G1181" s="53">
        <f t="shared" si="96"/>
        <v>1</v>
      </c>
      <c r="H1181" s="53">
        <f t="shared" si="97"/>
        <v>1</v>
      </c>
      <c r="I1181" s="53" t="str">
        <f t="shared" si="95"/>
        <v>wd</v>
      </c>
      <c r="J1181" s="53"/>
    </row>
    <row r="1182" spans="1:10" x14ac:dyDescent="0.25">
      <c r="A1182" s="93">
        <v>42648</v>
      </c>
      <c r="B1182" s="35">
        <f t="shared" si="93"/>
        <v>94</v>
      </c>
      <c r="C1182" s="76">
        <v>10</v>
      </c>
      <c r="D1182" s="76">
        <v>2016</v>
      </c>
      <c r="E1182" s="56">
        <v>6.6666666666666666E-2</v>
      </c>
      <c r="F1182" s="53">
        <f t="shared" si="94"/>
        <v>1</v>
      </c>
      <c r="G1182" s="53">
        <f t="shared" si="96"/>
        <v>1</v>
      </c>
      <c r="H1182" s="53">
        <f t="shared" si="97"/>
        <v>-1</v>
      </c>
      <c r="I1182" s="53" t="str">
        <f t="shared" si="95"/>
        <v>dw</v>
      </c>
      <c r="J1182" s="53"/>
    </row>
    <row r="1183" spans="1:10" x14ac:dyDescent="0.25">
      <c r="A1183" s="93">
        <v>42649</v>
      </c>
      <c r="B1183" s="35">
        <f t="shared" si="93"/>
        <v>94</v>
      </c>
      <c r="C1183" s="76">
        <v>10</v>
      </c>
      <c r="D1183" s="76">
        <v>2016</v>
      </c>
      <c r="E1183" s="56">
        <v>0</v>
      </c>
      <c r="F1183" s="53">
        <f t="shared" si="94"/>
        <v>0</v>
      </c>
      <c r="G1183" s="53">
        <f t="shared" si="96"/>
        <v>1</v>
      </c>
      <c r="H1183" s="53">
        <f t="shared" si="97"/>
        <v>1</v>
      </c>
      <c r="I1183" s="53" t="str">
        <f t="shared" si="95"/>
        <v>wd</v>
      </c>
      <c r="J1183" s="53"/>
    </row>
    <row r="1184" spans="1:10" x14ac:dyDescent="0.25">
      <c r="A1184" s="93">
        <v>42650</v>
      </c>
      <c r="B1184" s="35">
        <f t="shared" si="93"/>
        <v>94</v>
      </c>
      <c r="C1184" s="76">
        <v>10</v>
      </c>
      <c r="D1184" s="76">
        <v>2016</v>
      </c>
      <c r="E1184" s="56">
        <v>0</v>
      </c>
      <c r="F1184" s="53">
        <f t="shared" si="94"/>
        <v>0</v>
      </c>
      <c r="G1184" s="53">
        <f t="shared" si="96"/>
        <v>0</v>
      </c>
      <c r="H1184" s="53">
        <f t="shared" si="97"/>
        <v>0</v>
      </c>
      <c r="I1184" s="53" t="str">
        <f t="shared" si="95"/>
        <v>dd</v>
      </c>
      <c r="J1184" s="53"/>
    </row>
    <row r="1185" spans="1:10" x14ac:dyDescent="0.25">
      <c r="A1185" s="93">
        <v>42651</v>
      </c>
      <c r="B1185" s="35">
        <f t="shared" si="93"/>
        <v>94</v>
      </c>
      <c r="C1185" s="76">
        <v>10</v>
      </c>
      <c r="D1185" s="76">
        <v>2016</v>
      </c>
      <c r="E1185" s="56">
        <v>0.20000000000000004</v>
      </c>
      <c r="F1185" s="53">
        <f t="shared" si="94"/>
        <v>1</v>
      </c>
      <c r="G1185" s="53">
        <f t="shared" si="96"/>
        <v>1</v>
      </c>
      <c r="H1185" s="53">
        <f t="shared" si="97"/>
        <v>-1</v>
      </c>
      <c r="I1185" s="53" t="str">
        <f t="shared" si="95"/>
        <v>dw</v>
      </c>
      <c r="J1185" s="53"/>
    </row>
    <row r="1186" spans="1:10" x14ac:dyDescent="0.25">
      <c r="A1186" s="93">
        <v>42652</v>
      </c>
      <c r="B1186" s="35">
        <f t="shared" si="93"/>
        <v>94</v>
      </c>
      <c r="C1186" s="76">
        <v>10</v>
      </c>
      <c r="D1186" s="76">
        <v>2016</v>
      </c>
      <c r="E1186" s="56">
        <v>1.7333333333333332</v>
      </c>
      <c r="F1186" s="53">
        <f t="shared" si="94"/>
        <v>1</v>
      </c>
      <c r="G1186" s="53">
        <f t="shared" si="96"/>
        <v>2</v>
      </c>
      <c r="H1186" s="53">
        <f t="shared" si="97"/>
        <v>2</v>
      </c>
      <c r="I1186" s="53" t="str">
        <f t="shared" si="95"/>
        <v>ww</v>
      </c>
      <c r="J1186" s="53"/>
    </row>
    <row r="1187" spans="1:10" x14ac:dyDescent="0.25">
      <c r="A1187" s="93">
        <v>42653</v>
      </c>
      <c r="B1187" s="35">
        <f t="shared" si="93"/>
        <v>94</v>
      </c>
      <c r="C1187" s="76">
        <v>10</v>
      </c>
      <c r="D1187" s="76">
        <v>2016</v>
      </c>
      <c r="E1187" s="56">
        <v>1.5333333333333332</v>
      </c>
      <c r="F1187" s="53">
        <f t="shared" si="94"/>
        <v>1</v>
      </c>
      <c r="G1187" s="53">
        <f t="shared" si="96"/>
        <v>2</v>
      </c>
      <c r="H1187" s="53">
        <f t="shared" si="97"/>
        <v>2</v>
      </c>
      <c r="I1187" s="53" t="str">
        <f t="shared" si="95"/>
        <v>ww</v>
      </c>
      <c r="J1187" s="53"/>
    </row>
    <row r="1188" spans="1:10" x14ac:dyDescent="0.25">
      <c r="A1188" s="93">
        <v>42654</v>
      </c>
      <c r="B1188" s="35">
        <f t="shared" si="93"/>
        <v>94</v>
      </c>
      <c r="C1188" s="76">
        <v>10</v>
      </c>
      <c r="D1188" s="76">
        <v>2016</v>
      </c>
      <c r="E1188" s="56">
        <v>1.7333333333333334</v>
      </c>
      <c r="F1188" s="53">
        <f t="shared" si="94"/>
        <v>1</v>
      </c>
      <c r="G1188" s="53">
        <f t="shared" si="96"/>
        <v>2</v>
      </c>
      <c r="H1188" s="53">
        <f t="shared" si="97"/>
        <v>2</v>
      </c>
      <c r="I1188" s="53" t="str">
        <f t="shared" si="95"/>
        <v>ww</v>
      </c>
      <c r="J1188" s="53"/>
    </row>
    <row r="1189" spans="1:10" x14ac:dyDescent="0.25">
      <c r="A1189" s="93">
        <v>42655</v>
      </c>
      <c r="B1189" s="35">
        <f t="shared" si="93"/>
        <v>94</v>
      </c>
      <c r="C1189" s="76">
        <v>10</v>
      </c>
      <c r="D1189" s="76">
        <v>2016</v>
      </c>
      <c r="E1189" s="56">
        <v>2.4666666666666668</v>
      </c>
      <c r="F1189" s="53">
        <f t="shared" si="94"/>
        <v>1</v>
      </c>
      <c r="G1189" s="53">
        <f t="shared" si="96"/>
        <v>2</v>
      </c>
      <c r="H1189" s="53">
        <f t="shared" si="97"/>
        <v>2</v>
      </c>
      <c r="I1189" s="53" t="str">
        <f t="shared" si="95"/>
        <v>ww</v>
      </c>
      <c r="J1189" s="53"/>
    </row>
    <row r="1190" spans="1:10" x14ac:dyDescent="0.25">
      <c r="A1190" s="93">
        <v>42656</v>
      </c>
      <c r="B1190" s="35">
        <f t="shared" si="93"/>
        <v>94</v>
      </c>
      <c r="C1190" s="76">
        <v>10</v>
      </c>
      <c r="D1190" s="76">
        <v>2016</v>
      </c>
      <c r="E1190" s="56">
        <v>3.2000000000000006</v>
      </c>
      <c r="F1190" s="53">
        <f t="shared" si="94"/>
        <v>1</v>
      </c>
      <c r="G1190" s="53">
        <f t="shared" si="96"/>
        <v>2</v>
      </c>
      <c r="H1190" s="53">
        <f t="shared" si="97"/>
        <v>2</v>
      </c>
      <c r="I1190" s="53" t="str">
        <f t="shared" si="95"/>
        <v>ww</v>
      </c>
      <c r="J1190" s="53"/>
    </row>
    <row r="1191" spans="1:10" x14ac:dyDescent="0.25">
      <c r="A1191" s="93">
        <v>42657</v>
      </c>
      <c r="B1191" s="35">
        <f t="shared" si="93"/>
        <v>94</v>
      </c>
      <c r="C1191" s="76">
        <v>10</v>
      </c>
      <c r="D1191" s="76">
        <v>2016</v>
      </c>
      <c r="E1191" s="56">
        <v>4.5999999999999996</v>
      </c>
      <c r="F1191" s="53">
        <f t="shared" si="94"/>
        <v>1</v>
      </c>
      <c r="G1191" s="53">
        <f t="shared" si="96"/>
        <v>2</v>
      </c>
      <c r="H1191" s="53">
        <f t="shared" si="97"/>
        <v>2</v>
      </c>
      <c r="I1191" s="53" t="str">
        <f t="shared" si="95"/>
        <v>ww</v>
      </c>
      <c r="J1191" s="53"/>
    </row>
    <row r="1192" spans="1:10" x14ac:dyDescent="0.25">
      <c r="A1192" s="93">
        <v>42658</v>
      </c>
      <c r="B1192" s="35">
        <f t="shared" si="93"/>
        <v>94</v>
      </c>
      <c r="C1192" s="76">
        <v>10</v>
      </c>
      <c r="D1192" s="76">
        <v>2016</v>
      </c>
      <c r="E1192" s="56">
        <v>1.2</v>
      </c>
      <c r="F1192" s="53">
        <f t="shared" si="94"/>
        <v>1</v>
      </c>
      <c r="G1192" s="53">
        <f t="shared" si="96"/>
        <v>2</v>
      </c>
      <c r="H1192" s="53">
        <f t="shared" si="97"/>
        <v>2</v>
      </c>
      <c r="I1192" s="53" t="str">
        <f t="shared" si="95"/>
        <v>ww</v>
      </c>
      <c r="J1192" s="53"/>
    </row>
    <row r="1193" spans="1:10" x14ac:dyDescent="0.25">
      <c r="A1193" s="93">
        <v>42659</v>
      </c>
      <c r="B1193" s="35">
        <f t="shared" si="93"/>
        <v>94</v>
      </c>
      <c r="C1193" s="76">
        <v>10</v>
      </c>
      <c r="D1193" s="76">
        <v>2016</v>
      </c>
      <c r="E1193" s="56">
        <v>0.20000000000000004</v>
      </c>
      <c r="F1193" s="53">
        <f t="shared" si="94"/>
        <v>1</v>
      </c>
      <c r="G1193" s="53">
        <f t="shared" si="96"/>
        <v>2</v>
      </c>
      <c r="H1193" s="53">
        <f t="shared" si="97"/>
        <v>2</v>
      </c>
      <c r="I1193" s="53" t="str">
        <f t="shared" si="95"/>
        <v>ww</v>
      </c>
      <c r="J1193" s="53"/>
    </row>
    <row r="1194" spans="1:10" x14ac:dyDescent="0.25">
      <c r="A1194" s="93">
        <v>42660</v>
      </c>
      <c r="B1194" s="35">
        <f t="shared" si="93"/>
        <v>94</v>
      </c>
      <c r="C1194" s="76">
        <v>10</v>
      </c>
      <c r="D1194" s="76">
        <v>2016</v>
      </c>
      <c r="E1194" s="56">
        <v>1.9333333333333333</v>
      </c>
      <c r="F1194" s="53">
        <f t="shared" si="94"/>
        <v>1</v>
      </c>
      <c r="G1194" s="53">
        <f t="shared" si="96"/>
        <v>2</v>
      </c>
      <c r="H1194" s="53">
        <f t="shared" si="97"/>
        <v>2</v>
      </c>
      <c r="I1194" s="53" t="str">
        <f t="shared" si="95"/>
        <v>ww</v>
      </c>
      <c r="J1194" s="53"/>
    </row>
    <row r="1195" spans="1:10" x14ac:dyDescent="0.25">
      <c r="A1195" s="93">
        <v>42661</v>
      </c>
      <c r="B1195" s="35">
        <f t="shared" si="93"/>
        <v>94</v>
      </c>
      <c r="C1195" s="76">
        <v>10</v>
      </c>
      <c r="D1195" s="76">
        <v>2016</v>
      </c>
      <c r="E1195" s="56">
        <v>1.9333333333333336</v>
      </c>
      <c r="F1195" s="53">
        <f t="shared" si="94"/>
        <v>1</v>
      </c>
      <c r="G1195" s="53">
        <f t="shared" si="96"/>
        <v>2</v>
      </c>
      <c r="H1195" s="53">
        <f t="shared" si="97"/>
        <v>2</v>
      </c>
      <c r="I1195" s="53" t="str">
        <f t="shared" si="95"/>
        <v>ww</v>
      </c>
      <c r="J1195" s="53"/>
    </row>
    <row r="1196" spans="1:10" x14ac:dyDescent="0.25">
      <c r="A1196" s="93">
        <v>42662</v>
      </c>
      <c r="B1196" s="35">
        <f t="shared" si="93"/>
        <v>94</v>
      </c>
      <c r="C1196" s="76">
        <v>10</v>
      </c>
      <c r="D1196" s="76">
        <v>2016</v>
      </c>
      <c r="E1196" s="56">
        <v>0</v>
      </c>
      <c r="F1196" s="53">
        <f t="shared" si="94"/>
        <v>0</v>
      </c>
      <c r="G1196" s="53">
        <f t="shared" si="96"/>
        <v>1</v>
      </c>
      <c r="H1196" s="53">
        <f t="shared" si="97"/>
        <v>1</v>
      </c>
      <c r="I1196" s="53" t="str">
        <f t="shared" si="95"/>
        <v>wd</v>
      </c>
      <c r="J1196" s="53"/>
    </row>
    <row r="1197" spans="1:10" x14ac:dyDescent="0.25">
      <c r="A1197" s="93">
        <v>42663</v>
      </c>
      <c r="B1197" s="35">
        <f t="shared" si="93"/>
        <v>94</v>
      </c>
      <c r="C1197" s="76">
        <v>10</v>
      </c>
      <c r="D1197" s="76">
        <v>2016</v>
      </c>
      <c r="E1197" s="56">
        <v>3.1999999999999997</v>
      </c>
      <c r="F1197" s="53">
        <f t="shared" si="94"/>
        <v>1</v>
      </c>
      <c r="G1197" s="53">
        <f t="shared" si="96"/>
        <v>1</v>
      </c>
      <c r="H1197" s="53">
        <f t="shared" si="97"/>
        <v>-1</v>
      </c>
      <c r="I1197" s="53" t="str">
        <f t="shared" si="95"/>
        <v>dw</v>
      </c>
      <c r="J1197" s="53"/>
    </row>
    <row r="1198" spans="1:10" x14ac:dyDescent="0.25">
      <c r="A1198" s="93">
        <v>42664</v>
      </c>
      <c r="B1198" s="35">
        <f t="shared" si="93"/>
        <v>94</v>
      </c>
      <c r="C1198" s="76">
        <v>10</v>
      </c>
      <c r="D1198" s="76">
        <v>2016</v>
      </c>
      <c r="E1198" s="56">
        <v>0.53333333333333333</v>
      </c>
      <c r="F1198" s="53">
        <f t="shared" si="94"/>
        <v>1</v>
      </c>
      <c r="G1198" s="53">
        <f t="shared" si="96"/>
        <v>2</v>
      </c>
      <c r="H1198" s="53">
        <f t="shared" si="97"/>
        <v>2</v>
      </c>
      <c r="I1198" s="53" t="str">
        <f t="shared" si="95"/>
        <v>ww</v>
      </c>
      <c r="J1198" s="53"/>
    </row>
    <row r="1199" spans="1:10" x14ac:dyDescent="0.25">
      <c r="A1199" s="93">
        <v>42665</v>
      </c>
      <c r="B1199" s="35">
        <f t="shared" si="93"/>
        <v>94</v>
      </c>
      <c r="C1199" s="76">
        <v>10</v>
      </c>
      <c r="D1199" s="76">
        <v>2016</v>
      </c>
      <c r="E1199" s="56">
        <v>2.1333333333333333</v>
      </c>
      <c r="F1199" s="53">
        <f t="shared" si="94"/>
        <v>1</v>
      </c>
      <c r="G1199" s="53">
        <f t="shared" si="96"/>
        <v>2</v>
      </c>
      <c r="H1199" s="53">
        <f t="shared" si="97"/>
        <v>2</v>
      </c>
      <c r="I1199" s="53" t="str">
        <f t="shared" si="95"/>
        <v>ww</v>
      </c>
      <c r="J1199" s="53"/>
    </row>
    <row r="1200" spans="1:10" x14ac:dyDescent="0.25">
      <c r="A1200" s="93">
        <v>42666</v>
      </c>
      <c r="B1200" s="35">
        <f t="shared" si="93"/>
        <v>94</v>
      </c>
      <c r="C1200" s="76">
        <v>10</v>
      </c>
      <c r="D1200" s="76">
        <v>2016</v>
      </c>
      <c r="E1200" s="56">
        <v>1.8</v>
      </c>
      <c r="F1200" s="53">
        <f t="shared" si="94"/>
        <v>1</v>
      </c>
      <c r="G1200" s="53">
        <f t="shared" si="96"/>
        <v>2</v>
      </c>
      <c r="H1200" s="53">
        <f t="shared" si="97"/>
        <v>2</v>
      </c>
      <c r="I1200" s="53" t="str">
        <f t="shared" si="95"/>
        <v>ww</v>
      </c>
      <c r="J1200" s="53"/>
    </row>
    <row r="1201" spans="1:10" x14ac:dyDescent="0.25">
      <c r="A1201" s="93">
        <v>42667</v>
      </c>
      <c r="B1201" s="35">
        <f t="shared" si="93"/>
        <v>94</v>
      </c>
      <c r="C1201" s="76">
        <v>10</v>
      </c>
      <c r="D1201" s="76">
        <v>2016</v>
      </c>
      <c r="E1201" s="56">
        <v>7.8</v>
      </c>
      <c r="F1201" s="53">
        <f t="shared" si="94"/>
        <v>1</v>
      </c>
      <c r="G1201" s="53">
        <f t="shared" si="96"/>
        <v>2</v>
      </c>
      <c r="H1201" s="53">
        <f t="shared" si="97"/>
        <v>2</v>
      </c>
      <c r="I1201" s="53" t="str">
        <f t="shared" si="95"/>
        <v>ww</v>
      </c>
      <c r="J1201" s="53"/>
    </row>
    <row r="1202" spans="1:10" x14ac:dyDescent="0.25">
      <c r="A1202" s="93">
        <v>42668</v>
      </c>
      <c r="B1202" s="35">
        <f t="shared" si="93"/>
        <v>94</v>
      </c>
      <c r="C1202" s="76">
        <v>10</v>
      </c>
      <c r="D1202" s="76">
        <v>2016</v>
      </c>
      <c r="E1202" s="56">
        <v>1</v>
      </c>
      <c r="F1202" s="53">
        <f t="shared" si="94"/>
        <v>1</v>
      </c>
      <c r="G1202" s="53">
        <f t="shared" si="96"/>
        <v>2</v>
      </c>
      <c r="H1202" s="53">
        <f t="shared" si="97"/>
        <v>2</v>
      </c>
      <c r="I1202" s="53" t="str">
        <f t="shared" si="95"/>
        <v>ww</v>
      </c>
      <c r="J1202" s="53"/>
    </row>
    <row r="1203" spans="1:10" x14ac:dyDescent="0.25">
      <c r="A1203" s="93">
        <v>42669</v>
      </c>
      <c r="B1203" s="35">
        <f t="shared" si="93"/>
        <v>94</v>
      </c>
      <c r="C1203" s="76">
        <v>10</v>
      </c>
      <c r="D1203" s="76">
        <v>2016</v>
      </c>
      <c r="E1203" s="56">
        <v>0</v>
      </c>
      <c r="F1203" s="53">
        <f t="shared" si="94"/>
        <v>0</v>
      </c>
      <c r="G1203" s="53">
        <f t="shared" si="96"/>
        <v>1</v>
      </c>
      <c r="H1203" s="53">
        <f t="shared" si="97"/>
        <v>1</v>
      </c>
      <c r="I1203" s="53" t="str">
        <f t="shared" si="95"/>
        <v>wd</v>
      </c>
      <c r="J1203" s="53"/>
    </row>
    <row r="1204" spans="1:10" x14ac:dyDescent="0.25">
      <c r="A1204" s="93">
        <v>42670</v>
      </c>
      <c r="B1204" s="35">
        <f t="shared" si="93"/>
        <v>94</v>
      </c>
      <c r="C1204" s="76">
        <v>10</v>
      </c>
      <c r="D1204" s="76">
        <v>2016</v>
      </c>
      <c r="E1204" s="56">
        <v>0</v>
      </c>
      <c r="F1204" s="53">
        <f t="shared" si="94"/>
        <v>0</v>
      </c>
      <c r="G1204" s="53">
        <f t="shared" si="96"/>
        <v>0</v>
      </c>
      <c r="H1204" s="53">
        <f t="shared" si="97"/>
        <v>0</v>
      </c>
      <c r="I1204" s="53" t="str">
        <f t="shared" si="95"/>
        <v>dd</v>
      </c>
      <c r="J1204" s="53"/>
    </row>
    <row r="1205" spans="1:10" x14ac:dyDescent="0.25">
      <c r="A1205" s="93">
        <v>42671</v>
      </c>
      <c r="B1205" s="35">
        <f t="shared" si="93"/>
        <v>94</v>
      </c>
      <c r="C1205" s="76">
        <v>10</v>
      </c>
      <c r="D1205" s="76">
        <v>2016</v>
      </c>
      <c r="E1205" s="56">
        <v>0.13333333333333333</v>
      </c>
      <c r="F1205" s="53">
        <f t="shared" si="94"/>
        <v>1</v>
      </c>
      <c r="G1205" s="53">
        <f t="shared" si="96"/>
        <v>1</v>
      </c>
      <c r="H1205" s="53">
        <f t="shared" si="97"/>
        <v>-1</v>
      </c>
      <c r="I1205" s="53" t="str">
        <f t="shared" si="95"/>
        <v>dw</v>
      </c>
      <c r="J1205" s="53"/>
    </row>
    <row r="1206" spans="1:10" x14ac:dyDescent="0.25">
      <c r="A1206" s="93">
        <v>42672</v>
      </c>
      <c r="B1206" s="35">
        <f t="shared" si="93"/>
        <v>94</v>
      </c>
      <c r="C1206" s="76">
        <v>10</v>
      </c>
      <c r="D1206" s="76">
        <v>2016</v>
      </c>
      <c r="E1206" s="56">
        <v>6.6666666666666666E-2</v>
      </c>
      <c r="F1206" s="53">
        <f t="shared" si="94"/>
        <v>1</v>
      </c>
      <c r="G1206" s="53">
        <f t="shared" si="96"/>
        <v>2</v>
      </c>
      <c r="H1206" s="53">
        <f t="shared" si="97"/>
        <v>2</v>
      </c>
      <c r="I1206" s="53" t="str">
        <f t="shared" si="95"/>
        <v>ww</v>
      </c>
      <c r="J1206" s="53"/>
    </row>
    <row r="1207" spans="1:10" x14ac:dyDescent="0.25">
      <c r="A1207" s="93">
        <v>42673</v>
      </c>
      <c r="B1207" s="35">
        <f t="shared" si="93"/>
        <v>94</v>
      </c>
      <c r="C1207" s="76">
        <v>10</v>
      </c>
      <c r="D1207" s="76">
        <v>2016</v>
      </c>
      <c r="E1207" s="56">
        <v>0</v>
      </c>
      <c r="F1207" s="53">
        <f t="shared" si="94"/>
        <v>0</v>
      </c>
      <c r="G1207" s="53">
        <f t="shared" si="96"/>
        <v>1</v>
      </c>
      <c r="H1207" s="53">
        <f t="shared" si="97"/>
        <v>1</v>
      </c>
      <c r="I1207" s="53" t="str">
        <f t="shared" si="95"/>
        <v>wd</v>
      </c>
      <c r="J1207" s="53"/>
    </row>
    <row r="1208" spans="1:10" x14ac:dyDescent="0.25">
      <c r="A1208" s="93">
        <v>42674</v>
      </c>
      <c r="B1208" s="35">
        <f t="shared" si="93"/>
        <v>94</v>
      </c>
      <c r="C1208" s="76">
        <v>10</v>
      </c>
      <c r="D1208" s="76">
        <v>2016</v>
      </c>
      <c r="E1208" s="56">
        <v>0</v>
      </c>
      <c r="F1208" s="53">
        <f t="shared" si="94"/>
        <v>0</v>
      </c>
      <c r="G1208" s="53">
        <f t="shared" si="96"/>
        <v>0</v>
      </c>
      <c r="H1208" s="53">
        <f t="shared" si="97"/>
        <v>0</v>
      </c>
      <c r="I1208" s="53" t="str">
        <f t="shared" si="95"/>
        <v>dd</v>
      </c>
      <c r="J1208" s="53"/>
    </row>
    <row r="1209" spans="1:10" x14ac:dyDescent="0.25">
      <c r="A1209" s="93">
        <v>42675</v>
      </c>
      <c r="B1209" s="35">
        <f t="shared" si="93"/>
        <v>94</v>
      </c>
      <c r="C1209" s="76">
        <v>10</v>
      </c>
      <c r="D1209" s="76">
        <v>2016</v>
      </c>
      <c r="E1209" s="56">
        <v>1.2</v>
      </c>
      <c r="F1209" s="53">
        <f t="shared" si="94"/>
        <v>1</v>
      </c>
      <c r="G1209" s="53">
        <f t="shared" si="96"/>
        <v>1</v>
      </c>
      <c r="H1209" s="53">
        <f t="shared" si="97"/>
        <v>-1</v>
      </c>
      <c r="I1209" s="53" t="str">
        <f t="shared" si="95"/>
        <v>dw</v>
      </c>
      <c r="J1209" s="53"/>
    </row>
    <row r="1210" spans="1:10" x14ac:dyDescent="0.25">
      <c r="A1210" s="93">
        <v>42676</v>
      </c>
      <c r="B1210" s="35">
        <f t="shared" si="93"/>
        <v>94</v>
      </c>
      <c r="C1210" s="76">
        <v>10</v>
      </c>
      <c r="D1210" s="76">
        <v>2016</v>
      </c>
      <c r="E1210" s="56">
        <v>0</v>
      </c>
      <c r="F1210" s="53">
        <f t="shared" si="94"/>
        <v>0</v>
      </c>
      <c r="G1210" s="53">
        <f t="shared" si="96"/>
        <v>1</v>
      </c>
      <c r="H1210" s="53">
        <f t="shared" si="97"/>
        <v>1</v>
      </c>
      <c r="I1210" s="53" t="str">
        <f t="shared" si="95"/>
        <v>wd</v>
      </c>
      <c r="J1210" s="53"/>
    </row>
    <row r="1211" spans="1:10" x14ac:dyDescent="0.25">
      <c r="A1211" s="93">
        <v>43011</v>
      </c>
      <c r="B1211" s="35">
        <f t="shared" si="93"/>
        <v>106</v>
      </c>
      <c r="C1211" s="76">
        <v>10</v>
      </c>
      <c r="D1211" s="76">
        <v>2017</v>
      </c>
      <c r="E1211" s="56">
        <v>0</v>
      </c>
      <c r="F1211" s="53">
        <f t="shared" si="94"/>
        <v>0</v>
      </c>
      <c r="G1211" s="53">
        <f t="shared" si="96"/>
        <v>0</v>
      </c>
      <c r="H1211" s="53">
        <f t="shared" si="97"/>
        <v>0</v>
      </c>
      <c r="I1211" s="53" t="str">
        <f t="shared" si="95"/>
        <v>dd</v>
      </c>
      <c r="J1211" s="53"/>
    </row>
    <row r="1212" spans="1:10" x14ac:dyDescent="0.25">
      <c r="A1212" s="93">
        <v>43012</v>
      </c>
      <c r="B1212" s="35">
        <f t="shared" si="93"/>
        <v>106</v>
      </c>
      <c r="C1212" s="76">
        <v>10</v>
      </c>
      <c r="D1212" s="76">
        <v>2017</v>
      </c>
      <c r="E1212" s="56">
        <v>0</v>
      </c>
      <c r="F1212" s="53">
        <f t="shared" si="94"/>
        <v>0</v>
      </c>
      <c r="G1212" s="53">
        <f t="shared" si="96"/>
        <v>0</v>
      </c>
      <c r="H1212" s="53">
        <f t="shared" si="97"/>
        <v>0</v>
      </c>
      <c r="I1212" s="53" t="str">
        <f t="shared" si="95"/>
        <v>dd</v>
      </c>
      <c r="J1212" s="53"/>
    </row>
    <row r="1213" spans="1:10" x14ac:dyDescent="0.25">
      <c r="A1213" s="93">
        <v>43013</v>
      </c>
      <c r="B1213" s="35">
        <f t="shared" si="93"/>
        <v>106</v>
      </c>
      <c r="C1213" s="76">
        <v>10</v>
      </c>
      <c r="D1213" s="76">
        <v>2017</v>
      </c>
      <c r="E1213" s="56">
        <v>4.1333333333333329</v>
      </c>
      <c r="F1213" s="53">
        <f t="shared" si="94"/>
        <v>1</v>
      </c>
      <c r="G1213" s="53">
        <f t="shared" si="96"/>
        <v>1</v>
      </c>
      <c r="H1213" s="53">
        <f t="shared" si="97"/>
        <v>-1</v>
      </c>
      <c r="I1213" s="53" t="str">
        <f t="shared" si="95"/>
        <v>dw</v>
      </c>
      <c r="J1213" s="53"/>
    </row>
    <row r="1214" spans="1:10" x14ac:dyDescent="0.25">
      <c r="A1214" s="93">
        <v>43014</v>
      </c>
      <c r="B1214" s="35">
        <f t="shared" si="93"/>
        <v>106</v>
      </c>
      <c r="C1214" s="76">
        <v>10</v>
      </c>
      <c r="D1214" s="76">
        <v>2017</v>
      </c>
      <c r="E1214" s="56">
        <v>0</v>
      </c>
      <c r="F1214" s="53">
        <f t="shared" si="94"/>
        <v>0</v>
      </c>
      <c r="G1214" s="53">
        <f t="shared" si="96"/>
        <v>1</v>
      </c>
      <c r="H1214" s="53">
        <f t="shared" si="97"/>
        <v>1</v>
      </c>
      <c r="I1214" s="53" t="str">
        <f t="shared" si="95"/>
        <v>wd</v>
      </c>
      <c r="J1214" s="53"/>
    </row>
    <row r="1215" spans="1:10" x14ac:dyDescent="0.25">
      <c r="A1215" s="93">
        <v>43015</v>
      </c>
      <c r="B1215" s="35">
        <f t="shared" si="93"/>
        <v>106</v>
      </c>
      <c r="C1215" s="76">
        <v>10</v>
      </c>
      <c r="D1215" s="76">
        <v>2017</v>
      </c>
      <c r="E1215" s="56">
        <v>0.33333333333333331</v>
      </c>
      <c r="F1215" s="53">
        <f t="shared" si="94"/>
        <v>1</v>
      </c>
      <c r="G1215" s="53">
        <f t="shared" si="96"/>
        <v>1</v>
      </c>
      <c r="H1215" s="53">
        <f t="shared" si="97"/>
        <v>-1</v>
      </c>
      <c r="I1215" s="53" t="str">
        <f t="shared" si="95"/>
        <v>dw</v>
      </c>
      <c r="J1215" s="53"/>
    </row>
    <row r="1216" spans="1:10" x14ac:dyDescent="0.25">
      <c r="A1216" s="93">
        <v>43016</v>
      </c>
      <c r="B1216" s="35">
        <f t="shared" si="93"/>
        <v>106</v>
      </c>
      <c r="C1216" s="76">
        <v>10</v>
      </c>
      <c r="D1216" s="76">
        <v>2017</v>
      </c>
      <c r="E1216" s="56">
        <v>0</v>
      </c>
      <c r="F1216" s="53">
        <f t="shared" si="94"/>
        <v>0</v>
      </c>
      <c r="G1216" s="53">
        <f t="shared" si="96"/>
        <v>1</v>
      </c>
      <c r="H1216" s="53">
        <f t="shared" si="97"/>
        <v>1</v>
      </c>
      <c r="I1216" s="53" t="str">
        <f t="shared" si="95"/>
        <v>wd</v>
      </c>
      <c r="J1216" s="53"/>
    </row>
    <row r="1217" spans="1:10" x14ac:dyDescent="0.25">
      <c r="A1217" s="93">
        <v>43017</v>
      </c>
      <c r="B1217" s="35">
        <f t="shared" si="93"/>
        <v>106</v>
      </c>
      <c r="C1217" s="76">
        <v>10</v>
      </c>
      <c r="D1217" s="76">
        <v>2017</v>
      </c>
      <c r="E1217" s="56">
        <v>0</v>
      </c>
      <c r="F1217" s="53">
        <f t="shared" si="94"/>
        <v>0</v>
      </c>
      <c r="G1217" s="53">
        <f t="shared" si="96"/>
        <v>0</v>
      </c>
      <c r="H1217" s="53">
        <f t="shared" si="97"/>
        <v>0</v>
      </c>
      <c r="I1217" s="53" t="str">
        <f t="shared" si="95"/>
        <v>dd</v>
      </c>
      <c r="J1217" s="53"/>
    </row>
    <row r="1218" spans="1:10" x14ac:dyDescent="0.25">
      <c r="A1218" s="93">
        <v>43018</v>
      </c>
      <c r="B1218" s="35">
        <f t="shared" ref="B1218:B1281" si="98">C1218+(D1218-2009)*12</f>
        <v>106</v>
      </c>
      <c r="C1218" s="76">
        <v>10</v>
      </c>
      <c r="D1218" s="76">
        <v>2017</v>
      </c>
      <c r="E1218" s="56">
        <v>0.13333333333333333</v>
      </c>
      <c r="F1218" s="53">
        <f t="shared" ref="F1218:F1281" si="99">IF(E1218&gt;0,1,0)</f>
        <v>1</v>
      </c>
      <c r="G1218" s="53">
        <f t="shared" si="96"/>
        <v>1</v>
      </c>
      <c r="H1218" s="53">
        <f t="shared" si="97"/>
        <v>-1</v>
      </c>
      <c r="I1218" s="53" t="str">
        <f t="shared" ref="I1218:I1281" si="100">VLOOKUP(H1218,codes,2,)</f>
        <v>dw</v>
      </c>
      <c r="J1218" s="53"/>
    </row>
    <row r="1219" spans="1:10" x14ac:dyDescent="0.25">
      <c r="A1219" s="93">
        <v>43019</v>
      </c>
      <c r="B1219" s="35">
        <f t="shared" si="98"/>
        <v>106</v>
      </c>
      <c r="C1219" s="76">
        <v>10</v>
      </c>
      <c r="D1219" s="76">
        <v>2017</v>
      </c>
      <c r="E1219" s="56">
        <v>0.13333333333333333</v>
      </c>
      <c r="F1219" s="53">
        <f t="shared" si="99"/>
        <v>1</v>
      </c>
      <c r="G1219" s="53">
        <f t="shared" si="96"/>
        <v>2</v>
      </c>
      <c r="H1219" s="53">
        <f t="shared" si="97"/>
        <v>2</v>
      </c>
      <c r="I1219" s="53" t="str">
        <f t="shared" si="100"/>
        <v>ww</v>
      </c>
      <c r="J1219" s="53"/>
    </row>
    <row r="1220" spans="1:10" x14ac:dyDescent="0.25">
      <c r="A1220" s="93">
        <v>43020</v>
      </c>
      <c r="B1220" s="35">
        <f t="shared" si="98"/>
        <v>106</v>
      </c>
      <c r="C1220" s="76">
        <v>10</v>
      </c>
      <c r="D1220" s="76">
        <v>2017</v>
      </c>
      <c r="E1220" s="56">
        <v>2</v>
      </c>
      <c r="F1220" s="53">
        <f t="shared" si="99"/>
        <v>1</v>
      </c>
      <c r="G1220" s="53">
        <f t="shared" ref="G1220:G1283" si="101">SUM(F1219:F1220)</f>
        <v>2</v>
      </c>
      <c r="H1220" s="53">
        <f t="shared" ref="H1220:H1283" si="102">IF(G1220=1,IF(F1219=1,1,-1),G1220)</f>
        <v>2</v>
      </c>
      <c r="I1220" s="53" t="str">
        <f t="shared" si="100"/>
        <v>ww</v>
      </c>
      <c r="J1220" s="53"/>
    </row>
    <row r="1221" spans="1:10" x14ac:dyDescent="0.25">
      <c r="A1221" s="93">
        <v>43021</v>
      </c>
      <c r="B1221" s="35">
        <f t="shared" si="98"/>
        <v>106</v>
      </c>
      <c r="C1221" s="76">
        <v>10</v>
      </c>
      <c r="D1221" s="76">
        <v>2017</v>
      </c>
      <c r="E1221" s="56">
        <v>0</v>
      </c>
      <c r="F1221" s="53">
        <f t="shared" si="99"/>
        <v>0</v>
      </c>
      <c r="G1221" s="53">
        <f t="shared" si="101"/>
        <v>1</v>
      </c>
      <c r="H1221" s="53">
        <f t="shared" si="102"/>
        <v>1</v>
      </c>
      <c r="I1221" s="53" t="str">
        <f t="shared" si="100"/>
        <v>wd</v>
      </c>
      <c r="J1221" s="53"/>
    </row>
    <row r="1222" spans="1:10" x14ac:dyDescent="0.25">
      <c r="A1222" s="93">
        <v>43022</v>
      </c>
      <c r="B1222" s="35">
        <f t="shared" si="98"/>
        <v>106</v>
      </c>
      <c r="C1222" s="76">
        <v>10</v>
      </c>
      <c r="D1222" s="76">
        <v>2017</v>
      </c>
      <c r="E1222" s="56">
        <v>1.5333333333333332</v>
      </c>
      <c r="F1222" s="53">
        <f t="shared" si="99"/>
        <v>1</v>
      </c>
      <c r="G1222" s="53">
        <f t="shared" si="101"/>
        <v>1</v>
      </c>
      <c r="H1222" s="53">
        <f t="shared" si="102"/>
        <v>-1</v>
      </c>
      <c r="I1222" s="53" t="str">
        <f t="shared" si="100"/>
        <v>dw</v>
      </c>
      <c r="J1222" s="53"/>
    </row>
    <row r="1223" spans="1:10" x14ac:dyDescent="0.25">
      <c r="A1223" s="93">
        <v>43023</v>
      </c>
      <c r="B1223" s="35">
        <f t="shared" si="98"/>
        <v>106</v>
      </c>
      <c r="C1223" s="76">
        <v>10</v>
      </c>
      <c r="D1223" s="76">
        <v>2017</v>
      </c>
      <c r="E1223" s="56">
        <v>0.20000000000000004</v>
      </c>
      <c r="F1223" s="53">
        <f t="shared" si="99"/>
        <v>1</v>
      </c>
      <c r="G1223" s="53">
        <f t="shared" si="101"/>
        <v>2</v>
      </c>
      <c r="H1223" s="53">
        <f t="shared" si="102"/>
        <v>2</v>
      </c>
      <c r="I1223" s="53" t="str">
        <f t="shared" si="100"/>
        <v>ww</v>
      </c>
      <c r="J1223" s="53"/>
    </row>
    <row r="1224" spans="1:10" x14ac:dyDescent="0.25">
      <c r="A1224" s="93">
        <v>43024</v>
      </c>
      <c r="B1224" s="35">
        <f t="shared" si="98"/>
        <v>106</v>
      </c>
      <c r="C1224" s="76">
        <v>10</v>
      </c>
      <c r="D1224" s="76">
        <v>2017</v>
      </c>
      <c r="E1224" s="56">
        <v>0</v>
      </c>
      <c r="F1224" s="53">
        <f t="shared" si="99"/>
        <v>0</v>
      </c>
      <c r="G1224" s="53">
        <f t="shared" si="101"/>
        <v>1</v>
      </c>
      <c r="H1224" s="53">
        <f t="shared" si="102"/>
        <v>1</v>
      </c>
      <c r="I1224" s="53" t="str">
        <f t="shared" si="100"/>
        <v>wd</v>
      </c>
      <c r="J1224" s="53"/>
    </row>
    <row r="1225" spans="1:10" x14ac:dyDescent="0.25">
      <c r="A1225" s="93">
        <v>43025</v>
      </c>
      <c r="B1225" s="35">
        <f t="shared" si="98"/>
        <v>106</v>
      </c>
      <c r="C1225" s="76">
        <v>10</v>
      </c>
      <c r="D1225" s="76">
        <v>2017</v>
      </c>
      <c r="E1225" s="56">
        <v>0.40000000000000008</v>
      </c>
      <c r="F1225" s="53">
        <f t="shared" si="99"/>
        <v>1</v>
      </c>
      <c r="G1225" s="53">
        <f t="shared" si="101"/>
        <v>1</v>
      </c>
      <c r="H1225" s="53">
        <f t="shared" si="102"/>
        <v>-1</v>
      </c>
      <c r="I1225" s="53" t="str">
        <f t="shared" si="100"/>
        <v>dw</v>
      </c>
      <c r="J1225" s="53"/>
    </row>
    <row r="1226" spans="1:10" x14ac:dyDescent="0.25">
      <c r="A1226" s="93">
        <v>43026</v>
      </c>
      <c r="B1226" s="35">
        <f t="shared" si="98"/>
        <v>106</v>
      </c>
      <c r="C1226" s="76">
        <v>10</v>
      </c>
      <c r="D1226" s="76">
        <v>2017</v>
      </c>
      <c r="E1226" s="56">
        <v>2.5333333333333337</v>
      </c>
      <c r="F1226" s="53">
        <f t="shared" si="99"/>
        <v>1</v>
      </c>
      <c r="G1226" s="53">
        <f t="shared" si="101"/>
        <v>2</v>
      </c>
      <c r="H1226" s="53">
        <f t="shared" si="102"/>
        <v>2</v>
      </c>
      <c r="I1226" s="53" t="str">
        <f t="shared" si="100"/>
        <v>ww</v>
      </c>
      <c r="J1226" s="53"/>
    </row>
    <row r="1227" spans="1:10" x14ac:dyDescent="0.25">
      <c r="A1227" s="93">
        <v>43027</v>
      </c>
      <c r="B1227" s="35">
        <f t="shared" si="98"/>
        <v>106</v>
      </c>
      <c r="C1227" s="76">
        <v>10</v>
      </c>
      <c r="D1227" s="76">
        <v>2017</v>
      </c>
      <c r="E1227" s="56">
        <v>1.4000000000000001</v>
      </c>
      <c r="F1227" s="53">
        <f t="shared" si="99"/>
        <v>1</v>
      </c>
      <c r="G1227" s="53">
        <f t="shared" si="101"/>
        <v>2</v>
      </c>
      <c r="H1227" s="53">
        <f t="shared" si="102"/>
        <v>2</v>
      </c>
      <c r="I1227" s="53" t="str">
        <f t="shared" si="100"/>
        <v>ww</v>
      </c>
      <c r="J1227" s="53"/>
    </row>
    <row r="1228" spans="1:10" x14ac:dyDescent="0.25">
      <c r="A1228" s="93">
        <v>43028</v>
      </c>
      <c r="B1228" s="35">
        <f t="shared" si="98"/>
        <v>106</v>
      </c>
      <c r="C1228" s="76">
        <v>10</v>
      </c>
      <c r="D1228" s="76">
        <v>2017</v>
      </c>
      <c r="E1228" s="56">
        <v>12.200000000000001</v>
      </c>
      <c r="F1228" s="53">
        <f t="shared" si="99"/>
        <v>1</v>
      </c>
      <c r="G1228" s="53">
        <f t="shared" si="101"/>
        <v>2</v>
      </c>
      <c r="H1228" s="53">
        <f t="shared" si="102"/>
        <v>2</v>
      </c>
      <c r="I1228" s="53" t="str">
        <f t="shared" si="100"/>
        <v>ww</v>
      </c>
      <c r="J1228" s="53"/>
    </row>
    <row r="1229" spans="1:10" x14ac:dyDescent="0.25">
      <c r="A1229" s="93">
        <v>43029</v>
      </c>
      <c r="B1229" s="35">
        <f t="shared" si="98"/>
        <v>106</v>
      </c>
      <c r="C1229" s="76">
        <v>10</v>
      </c>
      <c r="D1229" s="76">
        <v>2017</v>
      </c>
      <c r="E1229" s="56">
        <v>1.9333333333333336</v>
      </c>
      <c r="F1229" s="53">
        <f t="shared" si="99"/>
        <v>1</v>
      </c>
      <c r="G1229" s="53">
        <f t="shared" si="101"/>
        <v>2</v>
      </c>
      <c r="H1229" s="53">
        <f t="shared" si="102"/>
        <v>2</v>
      </c>
      <c r="I1229" s="53" t="str">
        <f t="shared" si="100"/>
        <v>ww</v>
      </c>
      <c r="J1229" s="53"/>
    </row>
    <row r="1230" spans="1:10" x14ac:dyDescent="0.25">
      <c r="A1230" s="93">
        <v>43030</v>
      </c>
      <c r="B1230" s="35">
        <f t="shared" si="98"/>
        <v>106</v>
      </c>
      <c r="C1230" s="76">
        <v>10</v>
      </c>
      <c r="D1230" s="76">
        <v>2017</v>
      </c>
      <c r="E1230" s="56">
        <v>2.7999999999999994</v>
      </c>
      <c r="F1230" s="53">
        <f t="shared" si="99"/>
        <v>1</v>
      </c>
      <c r="G1230" s="53">
        <f t="shared" si="101"/>
        <v>2</v>
      </c>
      <c r="H1230" s="53">
        <f t="shared" si="102"/>
        <v>2</v>
      </c>
      <c r="I1230" s="53" t="str">
        <f t="shared" si="100"/>
        <v>ww</v>
      </c>
      <c r="J1230" s="53"/>
    </row>
    <row r="1231" spans="1:10" x14ac:dyDescent="0.25">
      <c r="A1231" s="93">
        <v>43031</v>
      </c>
      <c r="B1231" s="35">
        <f t="shared" si="98"/>
        <v>106</v>
      </c>
      <c r="C1231" s="76">
        <v>10</v>
      </c>
      <c r="D1231" s="76">
        <v>2017</v>
      </c>
      <c r="E1231" s="56">
        <v>0</v>
      </c>
      <c r="F1231" s="53">
        <f t="shared" si="99"/>
        <v>0</v>
      </c>
      <c r="G1231" s="53">
        <f t="shared" si="101"/>
        <v>1</v>
      </c>
      <c r="H1231" s="53">
        <f t="shared" si="102"/>
        <v>1</v>
      </c>
      <c r="I1231" s="53" t="str">
        <f t="shared" si="100"/>
        <v>wd</v>
      </c>
      <c r="J1231" s="53"/>
    </row>
    <row r="1232" spans="1:10" x14ac:dyDescent="0.25">
      <c r="A1232" s="93">
        <v>43032</v>
      </c>
      <c r="B1232" s="35">
        <f t="shared" si="98"/>
        <v>106</v>
      </c>
      <c r="C1232" s="76">
        <v>10</v>
      </c>
      <c r="D1232" s="76">
        <v>2017</v>
      </c>
      <c r="E1232" s="56">
        <v>0.26666666666666666</v>
      </c>
      <c r="F1232" s="53">
        <f t="shared" si="99"/>
        <v>1</v>
      </c>
      <c r="G1232" s="53">
        <f t="shared" si="101"/>
        <v>1</v>
      </c>
      <c r="H1232" s="53">
        <f t="shared" si="102"/>
        <v>-1</v>
      </c>
      <c r="I1232" s="53" t="str">
        <f t="shared" si="100"/>
        <v>dw</v>
      </c>
      <c r="J1232" s="53"/>
    </row>
    <row r="1233" spans="1:10" x14ac:dyDescent="0.25">
      <c r="A1233" s="93">
        <v>43033</v>
      </c>
      <c r="B1233" s="35">
        <f t="shared" si="98"/>
        <v>106</v>
      </c>
      <c r="C1233" s="76">
        <v>10</v>
      </c>
      <c r="D1233" s="76">
        <v>2017</v>
      </c>
      <c r="E1233" s="56">
        <v>2.6</v>
      </c>
      <c r="F1233" s="53">
        <f t="shared" si="99"/>
        <v>1</v>
      </c>
      <c r="G1233" s="53">
        <f t="shared" si="101"/>
        <v>2</v>
      </c>
      <c r="H1233" s="53">
        <f t="shared" si="102"/>
        <v>2</v>
      </c>
      <c r="I1233" s="53" t="str">
        <f t="shared" si="100"/>
        <v>ww</v>
      </c>
      <c r="J1233" s="53"/>
    </row>
    <row r="1234" spans="1:10" x14ac:dyDescent="0.25">
      <c r="A1234" s="93">
        <v>43034</v>
      </c>
      <c r="B1234" s="35">
        <f t="shared" si="98"/>
        <v>106</v>
      </c>
      <c r="C1234" s="76">
        <v>10</v>
      </c>
      <c r="D1234" s="76">
        <v>2017</v>
      </c>
      <c r="E1234" s="56">
        <v>0.40000000000000008</v>
      </c>
      <c r="F1234" s="53">
        <f t="shared" si="99"/>
        <v>1</v>
      </c>
      <c r="G1234" s="53">
        <f t="shared" si="101"/>
        <v>2</v>
      </c>
      <c r="H1234" s="53">
        <f t="shared" si="102"/>
        <v>2</v>
      </c>
      <c r="I1234" s="53" t="str">
        <f t="shared" si="100"/>
        <v>ww</v>
      </c>
      <c r="J1234" s="53"/>
    </row>
    <row r="1235" spans="1:10" x14ac:dyDescent="0.25">
      <c r="A1235" s="93">
        <v>43035</v>
      </c>
      <c r="B1235" s="35">
        <f t="shared" si="98"/>
        <v>106</v>
      </c>
      <c r="C1235" s="76">
        <v>10</v>
      </c>
      <c r="D1235" s="76">
        <v>2017</v>
      </c>
      <c r="E1235" s="56">
        <v>0</v>
      </c>
      <c r="F1235" s="53">
        <f t="shared" si="99"/>
        <v>0</v>
      </c>
      <c r="G1235" s="53">
        <f t="shared" si="101"/>
        <v>1</v>
      </c>
      <c r="H1235" s="53">
        <f t="shared" si="102"/>
        <v>1</v>
      </c>
      <c r="I1235" s="53" t="str">
        <f t="shared" si="100"/>
        <v>wd</v>
      </c>
      <c r="J1235" s="53"/>
    </row>
    <row r="1236" spans="1:10" x14ac:dyDescent="0.25">
      <c r="A1236" s="93">
        <v>43036</v>
      </c>
      <c r="B1236" s="35">
        <f t="shared" si="98"/>
        <v>106</v>
      </c>
      <c r="C1236" s="76">
        <v>10</v>
      </c>
      <c r="D1236" s="76">
        <v>2017</v>
      </c>
      <c r="E1236" s="56">
        <v>0</v>
      </c>
      <c r="F1236" s="53">
        <f t="shared" si="99"/>
        <v>0</v>
      </c>
      <c r="G1236" s="53">
        <f t="shared" si="101"/>
        <v>0</v>
      </c>
      <c r="H1236" s="53">
        <f t="shared" si="102"/>
        <v>0</v>
      </c>
      <c r="I1236" s="53" t="str">
        <f t="shared" si="100"/>
        <v>dd</v>
      </c>
      <c r="J1236" s="53"/>
    </row>
    <row r="1237" spans="1:10" x14ac:dyDescent="0.25">
      <c r="A1237" s="93">
        <v>43037</v>
      </c>
      <c r="B1237" s="35">
        <f t="shared" si="98"/>
        <v>106</v>
      </c>
      <c r="C1237" s="76">
        <v>10</v>
      </c>
      <c r="D1237" s="76">
        <v>2017</v>
      </c>
      <c r="E1237" s="56">
        <v>0</v>
      </c>
      <c r="F1237" s="53">
        <f t="shared" si="99"/>
        <v>0</v>
      </c>
      <c r="G1237" s="53">
        <f t="shared" si="101"/>
        <v>0</v>
      </c>
      <c r="H1237" s="53">
        <f t="shared" si="102"/>
        <v>0</v>
      </c>
      <c r="I1237" s="53" t="str">
        <f t="shared" si="100"/>
        <v>dd</v>
      </c>
      <c r="J1237" s="53"/>
    </row>
    <row r="1238" spans="1:10" x14ac:dyDescent="0.25">
      <c r="A1238" s="93">
        <v>43038</v>
      </c>
      <c r="B1238" s="35">
        <f t="shared" si="98"/>
        <v>106</v>
      </c>
      <c r="C1238" s="76">
        <v>10</v>
      </c>
      <c r="D1238" s="76">
        <v>2017</v>
      </c>
      <c r="E1238" s="56">
        <v>0.26666666666666666</v>
      </c>
      <c r="F1238" s="53">
        <f t="shared" si="99"/>
        <v>1</v>
      </c>
      <c r="G1238" s="53">
        <f t="shared" si="101"/>
        <v>1</v>
      </c>
      <c r="H1238" s="53">
        <f t="shared" si="102"/>
        <v>-1</v>
      </c>
      <c r="I1238" s="53" t="str">
        <f t="shared" si="100"/>
        <v>dw</v>
      </c>
      <c r="J1238" s="53"/>
    </row>
    <row r="1239" spans="1:10" x14ac:dyDescent="0.25">
      <c r="A1239" s="93">
        <v>43039</v>
      </c>
      <c r="B1239" s="35">
        <f t="shared" si="98"/>
        <v>106</v>
      </c>
      <c r="C1239" s="76">
        <v>10</v>
      </c>
      <c r="D1239" s="76">
        <v>2017</v>
      </c>
      <c r="E1239" s="56">
        <v>2.3333333333333335</v>
      </c>
      <c r="F1239" s="53">
        <f t="shared" si="99"/>
        <v>1</v>
      </c>
      <c r="G1239" s="53">
        <f t="shared" si="101"/>
        <v>2</v>
      </c>
      <c r="H1239" s="53">
        <f t="shared" si="102"/>
        <v>2</v>
      </c>
      <c r="I1239" s="53" t="str">
        <f t="shared" si="100"/>
        <v>ww</v>
      </c>
      <c r="J1239" s="53"/>
    </row>
    <row r="1240" spans="1:10" x14ac:dyDescent="0.25">
      <c r="A1240" s="93">
        <v>43040</v>
      </c>
      <c r="B1240" s="35">
        <f t="shared" si="98"/>
        <v>106</v>
      </c>
      <c r="C1240" s="76">
        <v>10</v>
      </c>
      <c r="D1240" s="76">
        <v>2017</v>
      </c>
      <c r="E1240" s="56">
        <v>0</v>
      </c>
      <c r="F1240" s="53">
        <f t="shared" si="99"/>
        <v>0</v>
      </c>
      <c r="G1240" s="53">
        <f t="shared" si="101"/>
        <v>1</v>
      </c>
      <c r="H1240" s="53">
        <f t="shared" si="102"/>
        <v>1</v>
      </c>
      <c r="I1240" s="53" t="str">
        <f t="shared" si="100"/>
        <v>wd</v>
      </c>
      <c r="J1240" s="53"/>
    </row>
    <row r="1241" spans="1:10" x14ac:dyDescent="0.25">
      <c r="A1241" s="93">
        <v>43041</v>
      </c>
      <c r="B1241" s="35">
        <f t="shared" si="98"/>
        <v>106</v>
      </c>
      <c r="C1241" s="76">
        <v>10</v>
      </c>
      <c r="D1241" s="76">
        <v>2017</v>
      </c>
      <c r="E1241" s="56">
        <v>0</v>
      </c>
      <c r="F1241" s="53">
        <f t="shared" si="99"/>
        <v>0</v>
      </c>
      <c r="G1241" s="53">
        <f t="shared" si="101"/>
        <v>0</v>
      </c>
      <c r="H1241" s="53">
        <f t="shared" si="102"/>
        <v>0</v>
      </c>
      <c r="I1241" s="53" t="str">
        <f t="shared" si="100"/>
        <v>dd</v>
      </c>
      <c r="J1241" s="53"/>
    </row>
    <row r="1242" spans="1:10" x14ac:dyDescent="0.25">
      <c r="A1242" s="93">
        <v>43377</v>
      </c>
      <c r="B1242" s="35">
        <f t="shared" si="98"/>
        <v>118</v>
      </c>
      <c r="C1242" s="76">
        <v>10</v>
      </c>
      <c r="D1242" s="76">
        <v>2018</v>
      </c>
      <c r="E1242" s="56">
        <v>6.6666666666666666E-2</v>
      </c>
      <c r="F1242" s="53">
        <f t="shared" si="99"/>
        <v>1</v>
      </c>
      <c r="G1242" s="53">
        <f t="shared" si="101"/>
        <v>1</v>
      </c>
      <c r="H1242" s="53">
        <f t="shared" si="102"/>
        <v>-1</v>
      </c>
      <c r="I1242" s="53" t="str">
        <f t="shared" si="100"/>
        <v>dw</v>
      </c>
      <c r="J1242" s="53"/>
    </row>
    <row r="1243" spans="1:10" x14ac:dyDescent="0.25">
      <c r="A1243" s="93">
        <v>43378</v>
      </c>
      <c r="B1243" s="35">
        <f t="shared" si="98"/>
        <v>118</v>
      </c>
      <c r="C1243" s="76">
        <v>10</v>
      </c>
      <c r="D1243" s="76">
        <v>2018</v>
      </c>
      <c r="E1243" s="56">
        <v>7.5999999999999988</v>
      </c>
      <c r="F1243" s="53">
        <f t="shared" si="99"/>
        <v>1</v>
      </c>
      <c r="G1243" s="53">
        <f t="shared" si="101"/>
        <v>2</v>
      </c>
      <c r="H1243" s="53">
        <f t="shared" si="102"/>
        <v>2</v>
      </c>
      <c r="I1243" s="53" t="str">
        <f t="shared" si="100"/>
        <v>ww</v>
      </c>
      <c r="J1243" s="53"/>
    </row>
    <row r="1244" spans="1:10" x14ac:dyDescent="0.25">
      <c r="A1244" s="93">
        <v>43379</v>
      </c>
      <c r="B1244" s="35">
        <f t="shared" si="98"/>
        <v>118</v>
      </c>
      <c r="C1244" s="76">
        <v>10</v>
      </c>
      <c r="D1244" s="76">
        <v>2018</v>
      </c>
      <c r="E1244" s="56">
        <v>0.80000000000000016</v>
      </c>
      <c r="F1244" s="53">
        <f t="shared" si="99"/>
        <v>1</v>
      </c>
      <c r="G1244" s="53">
        <f t="shared" si="101"/>
        <v>2</v>
      </c>
      <c r="H1244" s="53">
        <f t="shared" si="102"/>
        <v>2</v>
      </c>
      <c r="I1244" s="53" t="str">
        <f t="shared" si="100"/>
        <v>ww</v>
      </c>
      <c r="J1244" s="53"/>
    </row>
    <row r="1245" spans="1:10" x14ac:dyDescent="0.25">
      <c r="A1245" s="93">
        <v>43380</v>
      </c>
      <c r="B1245" s="35">
        <f t="shared" si="98"/>
        <v>118</v>
      </c>
      <c r="C1245" s="76">
        <v>10</v>
      </c>
      <c r="D1245" s="76">
        <v>2018</v>
      </c>
      <c r="E1245" s="56">
        <v>0</v>
      </c>
      <c r="F1245" s="53">
        <f t="shared" si="99"/>
        <v>0</v>
      </c>
      <c r="G1245" s="53">
        <f t="shared" si="101"/>
        <v>1</v>
      </c>
      <c r="H1245" s="53">
        <f t="shared" si="102"/>
        <v>1</v>
      </c>
      <c r="I1245" s="53" t="str">
        <f t="shared" si="100"/>
        <v>wd</v>
      </c>
      <c r="J1245" s="53"/>
    </row>
    <row r="1246" spans="1:10" x14ac:dyDescent="0.25">
      <c r="A1246" s="93">
        <v>43381</v>
      </c>
      <c r="B1246" s="35">
        <f t="shared" si="98"/>
        <v>118</v>
      </c>
      <c r="C1246" s="76">
        <v>10</v>
      </c>
      <c r="D1246" s="76">
        <v>2018</v>
      </c>
      <c r="E1246" s="56">
        <v>0.13333333333333333</v>
      </c>
      <c r="F1246" s="53">
        <f t="shared" si="99"/>
        <v>1</v>
      </c>
      <c r="G1246" s="53">
        <f t="shared" si="101"/>
        <v>1</v>
      </c>
      <c r="H1246" s="53">
        <f t="shared" si="102"/>
        <v>-1</v>
      </c>
      <c r="I1246" s="53" t="str">
        <f t="shared" si="100"/>
        <v>dw</v>
      </c>
      <c r="J1246" s="53"/>
    </row>
    <row r="1247" spans="1:10" x14ac:dyDescent="0.25">
      <c r="A1247" s="93">
        <v>43382</v>
      </c>
      <c r="B1247" s="35">
        <f t="shared" si="98"/>
        <v>118</v>
      </c>
      <c r="C1247" s="76">
        <v>10</v>
      </c>
      <c r="D1247" s="76">
        <v>2018</v>
      </c>
      <c r="E1247" s="56">
        <v>0</v>
      </c>
      <c r="F1247" s="53">
        <f t="shared" si="99"/>
        <v>0</v>
      </c>
      <c r="G1247" s="53">
        <f t="shared" si="101"/>
        <v>1</v>
      </c>
      <c r="H1247" s="53">
        <f t="shared" si="102"/>
        <v>1</v>
      </c>
      <c r="I1247" s="53" t="str">
        <f t="shared" si="100"/>
        <v>wd</v>
      </c>
      <c r="J1247" s="53"/>
    </row>
    <row r="1248" spans="1:10" x14ac:dyDescent="0.25">
      <c r="A1248" s="93">
        <v>43383</v>
      </c>
      <c r="B1248" s="35">
        <f t="shared" si="98"/>
        <v>118</v>
      </c>
      <c r="C1248" s="76">
        <v>10</v>
      </c>
      <c r="D1248" s="76">
        <v>2018</v>
      </c>
      <c r="E1248" s="56">
        <v>0</v>
      </c>
      <c r="F1248" s="53">
        <f t="shared" si="99"/>
        <v>0</v>
      </c>
      <c r="G1248" s="53">
        <f t="shared" si="101"/>
        <v>0</v>
      </c>
      <c r="H1248" s="53">
        <f t="shared" si="102"/>
        <v>0</v>
      </c>
      <c r="I1248" s="53" t="str">
        <f t="shared" si="100"/>
        <v>dd</v>
      </c>
      <c r="J1248" s="53"/>
    </row>
    <row r="1249" spans="1:10" x14ac:dyDescent="0.25">
      <c r="A1249" s="93">
        <v>43384</v>
      </c>
      <c r="B1249" s="35">
        <f t="shared" si="98"/>
        <v>118</v>
      </c>
      <c r="C1249" s="76">
        <v>10</v>
      </c>
      <c r="D1249" s="76">
        <v>2018</v>
      </c>
      <c r="E1249" s="56">
        <v>0.20000000000000004</v>
      </c>
      <c r="F1249" s="53">
        <f t="shared" si="99"/>
        <v>1</v>
      </c>
      <c r="G1249" s="53">
        <f t="shared" si="101"/>
        <v>1</v>
      </c>
      <c r="H1249" s="53">
        <f t="shared" si="102"/>
        <v>-1</v>
      </c>
      <c r="I1249" s="53" t="str">
        <f t="shared" si="100"/>
        <v>dw</v>
      </c>
      <c r="J1249" s="53"/>
    </row>
    <row r="1250" spans="1:10" x14ac:dyDescent="0.25">
      <c r="A1250" s="93">
        <v>43385</v>
      </c>
      <c r="B1250" s="35">
        <f t="shared" si="98"/>
        <v>118</v>
      </c>
      <c r="C1250" s="76">
        <v>10</v>
      </c>
      <c r="D1250" s="76">
        <v>2018</v>
      </c>
      <c r="E1250" s="56">
        <v>0.80000000000000016</v>
      </c>
      <c r="F1250" s="53">
        <f t="shared" si="99"/>
        <v>1</v>
      </c>
      <c r="G1250" s="53">
        <f t="shared" si="101"/>
        <v>2</v>
      </c>
      <c r="H1250" s="53">
        <f t="shared" si="102"/>
        <v>2</v>
      </c>
      <c r="I1250" s="53" t="str">
        <f t="shared" si="100"/>
        <v>ww</v>
      </c>
      <c r="J1250" s="53"/>
    </row>
    <row r="1251" spans="1:10" x14ac:dyDescent="0.25">
      <c r="A1251" s="93">
        <v>43386</v>
      </c>
      <c r="B1251" s="35">
        <f t="shared" si="98"/>
        <v>118</v>
      </c>
      <c r="C1251" s="76">
        <v>10</v>
      </c>
      <c r="D1251" s="76">
        <v>2018</v>
      </c>
      <c r="E1251" s="56">
        <v>9.3333333333333339</v>
      </c>
      <c r="F1251" s="53">
        <f t="shared" si="99"/>
        <v>1</v>
      </c>
      <c r="G1251" s="53">
        <f t="shared" si="101"/>
        <v>2</v>
      </c>
      <c r="H1251" s="53">
        <f t="shared" si="102"/>
        <v>2</v>
      </c>
      <c r="I1251" s="53" t="str">
        <f t="shared" si="100"/>
        <v>ww</v>
      </c>
      <c r="J1251" s="53"/>
    </row>
    <row r="1252" spans="1:10" x14ac:dyDescent="0.25">
      <c r="A1252" s="93">
        <v>43387</v>
      </c>
      <c r="B1252" s="35">
        <f t="shared" si="98"/>
        <v>118</v>
      </c>
      <c r="C1252" s="76">
        <v>10</v>
      </c>
      <c r="D1252" s="76">
        <v>2018</v>
      </c>
      <c r="E1252" s="56">
        <v>1.5999999999999999</v>
      </c>
      <c r="F1252" s="53">
        <f t="shared" si="99"/>
        <v>1</v>
      </c>
      <c r="G1252" s="53">
        <f t="shared" si="101"/>
        <v>2</v>
      </c>
      <c r="H1252" s="53">
        <f t="shared" si="102"/>
        <v>2</v>
      </c>
      <c r="I1252" s="53" t="str">
        <f t="shared" si="100"/>
        <v>ww</v>
      </c>
      <c r="J1252" s="53"/>
    </row>
    <row r="1253" spans="1:10" x14ac:dyDescent="0.25">
      <c r="A1253" s="93">
        <v>43388</v>
      </c>
      <c r="B1253" s="35">
        <f t="shared" si="98"/>
        <v>118</v>
      </c>
      <c r="C1253" s="76">
        <v>10</v>
      </c>
      <c r="D1253" s="76">
        <v>2018</v>
      </c>
      <c r="E1253" s="56">
        <v>0.53333333333333333</v>
      </c>
      <c r="F1253" s="53">
        <f t="shared" si="99"/>
        <v>1</v>
      </c>
      <c r="G1253" s="53">
        <f t="shared" si="101"/>
        <v>2</v>
      </c>
      <c r="H1253" s="53">
        <f t="shared" si="102"/>
        <v>2</v>
      </c>
      <c r="I1253" s="53" t="str">
        <f t="shared" si="100"/>
        <v>ww</v>
      </c>
      <c r="J1253" s="53"/>
    </row>
    <row r="1254" spans="1:10" x14ac:dyDescent="0.25">
      <c r="A1254" s="93">
        <v>43389</v>
      </c>
      <c r="B1254" s="35">
        <f t="shared" si="98"/>
        <v>118</v>
      </c>
      <c r="C1254" s="76">
        <v>10</v>
      </c>
      <c r="D1254" s="76">
        <v>2018</v>
      </c>
      <c r="E1254" s="56">
        <v>0.13333333333333333</v>
      </c>
      <c r="F1254" s="53">
        <f t="shared" si="99"/>
        <v>1</v>
      </c>
      <c r="G1254" s="53">
        <f t="shared" si="101"/>
        <v>2</v>
      </c>
      <c r="H1254" s="53">
        <f t="shared" si="102"/>
        <v>2</v>
      </c>
      <c r="I1254" s="53" t="str">
        <f t="shared" si="100"/>
        <v>ww</v>
      </c>
      <c r="J1254" s="53"/>
    </row>
    <row r="1255" spans="1:10" x14ac:dyDescent="0.25">
      <c r="A1255" s="93">
        <v>43390</v>
      </c>
      <c r="B1255" s="35">
        <f t="shared" si="98"/>
        <v>118</v>
      </c>
      <c r="C1255" s="76">
        <v>10</v>
      </c>
      <c r="D1255" s="76">
        <v>2018</v>
      </c>
      <c r="E1255" s="56">
        <v>6.6666666666666666E-2</v>
      </c>
      <c r="F1255" s="53">
        <f t="shared" si="99"/>
        <v>1</v>
      </c>
      <c r="G1255" s="53">
        <f t="shared" si="101"/>
        <v>2</v>
      </c>
      <c r="H1255" s="53">
        <f t="shared" si="102"/>
        <v>2</v>
      </c>
      <c r="I1255" s="53" t="str">
        <f t="shared" si="100"/>
        <v>ww</v>
      </c>
      <c r="J1255" s="53"/>
    </row>
    <row r="1256" spans="1:10" x14ac:dyDescent="0.25">
      <c r="A1256" s="93">
        <v>43391</v>
      </c>
      <c r="B1256" s="35">
        <f t="shared" si="98"/>
        <v>118</v>
      </c>
      <c r="C1256" s="76">
        <v>10</v>
      </c>
      <c r="D1256" s="76">
        <v>2018</v>
      </c>
      <c r="E1256" s="56">
        <v>0</v>
      </c>
      <c r="F1256" s="53">
        <f t="shared" si="99"/>
        <v>0</v>
      </c>
      <c r="G1256" s="53">
        <f t="shared" si="101"/>
        <v>1</v>
      </c>
      <c r="H1256" s="53">
        <f t="shared" si="102"/>
        <v>1</v>
      </c>
      <c r="I1256" s="53" t="str">
        <f t="shared" si="100"/>
        <v>wd</v>
      </c>
      <c r="J1256" s="53"/>
    </row>
    <row r="1257" spans="1:10" x14ac:dyDescent="0.25">
      <c r="A1257" s="93">
        <v>43392</v>
      </c>
      <c r="B1257" s="35">
        <f t="shared" si="98"/>
        <v>118</v>
      </c>
      <c r="C1257" s="76">
        <v>10</v>
      </c>
      <c r="D1257" s="76">
        <v>2018</v>
      </c>
      <c r="E1257" s="56">
        <v>0</v>
      </c>
      <c r="F1257" s="53">
        <f t="shared" si="99"/>
        <v>0</v>
      </c>
      <c r="G1257" s="53">
        <f t="shared" si="101"/>
        <v>0</v>
      </c>
      <c r="H1257" s="53">
        <f t="shared" si="102"/>
        <v>0</v>
      </c>
      <c r="I1257" s="53" t="str">
        <f t="shared" si="100"/>
        <v>dd</v>
      </c>
      <c r="J1257" s="53"/>
    </row>
    <row r="1258" spans="1:10" x14ac:dyDescent="0.25">
      <c r="A1258" s="93">
        <v>43393</v>
      </c>
      <c r="B1258" s="35">
        <f t="shared" si="98"/>
        <v>118</v>
      </c>
      <c r="C1258" s="76">
        <v>10</v>
      </c>
      <c r="D1258" s="76">
        <v>2018</v>
      </c>
      <c r="E1258" s="56">
        <v>0</v>
      </c>
      <c r="F1258" s="53">
        <f t="shared" si="99"/>
        <v>0</v>
      </c>
      <c r="G1258" s="53">
        <f t="shared" si="101"/>
        <v>0</v>
      </c>
      <c r="H1258" s="53">
        <f t="shared" si="102"/>
        <v>0</v>
      </c>
      <c r="I1258" s="53" t="str">
        <f t="shared" si="100"/>
        <v>dd</v>
      </c>
      <c r="J1258" s="53"/>
    </row>
    <row r="1259" spans="1:10" x14ac:dyDescent="0.25">
      <c r="A1259" s="93">
        <v>43394</v>
      </c>
      <c r="B1259" s="35">
        <f t="shared" si="98"/>
        <v>118</v>
      </c>
      <c r="C1259" s="76">
        <v>10</v>
      </c>
      <c r="D1259" s="76">
        <v>2018</v>
      </c>
      <c r="E1259" s="56">
        <v>0</v>
      </c>
      <c r="F1259" s="53">
        <f t="shared" si="99"/>
        <v>0</v>
      </c>
      <c r="G1259" s="53">
        <f t="shared" si="101"/>
        <v>0</v>
      </c>
      <c r="H1259" s="53">
        <f t="shared" si="102"/>
        <v>0</v>
      </c>
      <c r="I1259" s="53" t="str">
        <f t="shared" si="100"/>
        <v>dd</v>
      </c>
      <c r="J1259" s="53"/>
    </row>
    <row r="1260" spans="1:10" x14ac:dyDescent="0.25">
      <c r="A1260" s="93">
        <v>43395</v>
      </c>
      <c r="B1260" s="35">
        <f t="shared" si="98"/>
        <v>118</v>
      </c>
      <c r="C1260" s="76">
        <v>10</v>
      </c>
      <c r="D1260" s="76">
        <v>2018</v>
      </c>
      <c r="E1260" s="56">
        <v>6.6666666666666666E-2</v>
      </c>
      <c r="F1260" s="53">
        <f t="shared" si="99"/>
        <v>1</v>
      </c>
      <c r="G1260" s="53">
        <f t="shared" si="101"/>
        <v>1</v>
      </c>
      <c r="H1260" s="53">
        <f t="shared" si="102"/>
        <v>-1</v>
      </c>
      <c r="I1260" s="53" t="str">
        <f t="shared" si="100"/>
        <v>dw</v>
      </c>
      <c r="J1260" s="53"/>
    </row>
    <row r="1261" spans="1:10" x14ac:dyDescent="0.25">
      <c r="A1261" s="93">
        <v>43396</v>
      </c>
      <c r="B1261" s="35">
        <f t="shared" si="98"/>
        <v>118</v>
      </c>
      <c r="C1261" s="76">
        <v>10</v>
      </c>
      <c r="D1261" s="76">
        <v>2018</v>
      </c>
      <c r="E1261" s="56">
        <v>0</v>
      </c>
      <c r="F1261" s="53">
        <f t="shared" si="99"/>
        <v>0</v>
      </c>
      <c r="G1261" s="53">
        <f t="shared" si="101"/>
        <v>1</v>
      </c>
      <c r="H1261" s="53">
        <f t="shared" si="102"/>
        <v>1</v>
      </c>
      <c r="I1261" s="53" t="str">
        <f t="shared" si="100"/>
        <v>wd</v>
      </c>
      <c r="J1261" s="53"/>
    </row>
    <row r="1262" spans="1:10" x14ac:dyDescent="0.25">
      <c r="A1262" s="93">
        <v>43397</v>
      </c>
      <c r="B1262" s="35">
        <f t="shared" si="98"/>
        <v>118</v>
      </c>
      <c r="C1262" s="76">
        <v>10</v>
      </c>
      <c r="D1262" s="76">
        <v>2018</v>
      </c>
      <c r="E1262" s="56">
        <v>0</v>
      </c>
      <c r="F1262" s="53">
        <f t="shared" si="99"/>
        <v>0</v>
      </c>
      <c r="G1262" s="53">
        <f t="shared" si="101"/>
        <v>0</v>
      </c>
      <c r="H1262" s="53">
        <f t="shared" si="102"/>
        <v>0</v>
      </c>
      <c r="I1262" s="53" t="str">
        <f t="shared" si="100"/>
        <v>dd</v>
      </c>
      <c r="J1262" s="53"/>
    </row>
    <row r="1263" spans="1:10" x14ac:dyDescent="0.25">
      <c r="A1263" s="93">
        <v>43398</v>
      </c>
      <c r="B1263" s="35">
        <f t="shared" si="98"/>
        <v>118</v>
      </c>
      <c r="C1263" s="76">
        <v>10</v>
      </c>
      <c r="D1263" s="76">
        <v>2018</v>
      </c>
      <c r="E1263" s="56">
        <v>0</v>
      </c>
      <c r="F1263" s="53">
        <f t="shared" si="99"/>
        <v>0</v>
      </c>
      <c r="G1263" s="53">
        <f t="shared" si="101"/>
        <v>0</v>
      </c>
      <c r="H1263" s="53">
        <f t="shared" si="102"/>
        <v>0</v>
      </c>
      <c r="I1263" s="53" t="str">
        <f t="shared" si="100"/>
        <v>dd</v>
      </c>
      <c r="J1263" s="53"/>
    </row>
    <row r="1264" spans="1:10" x14ac:dyDescent="0.25">
      <c r="A1264" s="93">
        <v>43399</v>
      </c>
      <c r="B1264" s="35">
        <f t="shared" si="98"/>
        <v>118</v>
      </c>
      <c r="C1264" s="76">
        <v>10</v>
      </c>
      <c r="D1264" s="76">
        <v>2018</v>
      </c>
      <c r="E1264" s="56">
        <v>0</v>
      </c>
      <c r="F1264" s="53">
        <f t="shared" si="99"/>
        <v>0</v>
      </c>
      <c r="G1264" s="53">
        <f t="shared" si="101"/>
        <v>0</v>
      </c>
      <c r="H1264" s="53">
        <f t="shared" si="102"/>
        <v>0</v>
      </c>
      <c r="I1264" s="53" t="str">
        <f t="shared" si="100"/>
        <v>dd</v>
      </c>
      <c r="J1264" s="53"/>
    </row>
    <row r="1265" spans="1:10" x14ac:dyDescent="0.25">
      <c r="A1265" s="93">
        <v>43400</v>
      </c>
      <c r="B1265" s="35">
        <f t="shared" si="98"/>
        <v>118</v>
      </c>
      <c r="C1265" s="76">
        <v>10</v>
      </c>
      <c r="D1265" s="76">
        <v>2018</v>
      </c>
      <c r="E1265" s="56">
        <v>12.866666666666665</v>
      </c>
      <c r="F1265" s="53">
        <f t="shared" si="99"/>
        <v>1</v>
      </c>
      <c r="G1265" s="53">
        <f t="shared" si="101"/>
        <v>1</v>
      </c>
      <c r="H1265" s="53">
        <f t="shared" si="102"/>
        <v>-1</v>
      </c>
      <c r="I1265" s="53" t="str">
        <f t="shared" si="100"/>
        <v>dw</v>
      </c>
      <c r="J1265" s="53"/>
    </row>
    <row r="1266" spans="1:10" x14ac:dyDescent="0.25">
      <c r="A1266" s="93">
        <v>43401</v>
      </c>
      <c r="B1266" s="35">
        <f t="shared" si="98"/>
        <v>118</v>
      </c>
      <c r="C1266" s="76">
        <v>10</v>
      </c>
      <c r="D1266" s="76">
        <v>2018</v>
      </c>
      <c r="E1266" s="56">
        <v>2.2000000000000002</v>
      </c>
      <c r="F1266" s="53">
        <f t="shared" si="99"/>
        <v>1</v>
      </c>
      <c r="G1266" s="53">
        <f t="shared" si="101"/>
        <v>2</v>
      </c>
      <c r="H1266" s="53">
        <f t="shared" si="102"/>
        <v>2</v>
      </c>
      <c r="I1266" s="53" t="str">
        <f t="shared" si="100"/>
        <v>ww</v>
      </c>
      <c r="J1266" s="53"/>
    </row>
    <row r="1267" spans="1:10" x14ac:dyDescent="0.25">
      <c r="A1267" s="93">
        <v>43402</v>
      </c>
      <c r="B1267" s="35">
        <f t="shared" si="98"/>
        <v>118</v>
      </c>
      <c r="C1267" s="76">
        <v>10</v>
      </c>
      <c r="D1267" s="76">
        <v>2018</v>
      </c>
      <c r="E1267" s="56">
        <v>2.8666666666666671</v>
      </c>
      <c r="F1267" s="53">
        <f t="shared" si="99"/>
        <v>1</v>
      </c>
      <c r="G1267" s="53">
        <f t="shared" si="101"/>
        <v>2</v>
      </c>
      <c r="H1267" s="53">
        <f t="shared" si="102"/>
        <v>2</v>
      </c>
      <c r="I1267" s="53" t="str">
        <f t="shared" si="100"/>
        <v>ww</v>
      </c>
      <c r="J1267" s="53"/>
    </row>
    <row r="1268" spans="1:10" x14ac:dyDescent="0.25">
      <c r="A1268" s="93">
        <v>43403</v>
      </c>
      <c r="B1268" s="35">
        <f t="shared" si="98"/>
        <v>118</v>
      </c>
      <c r="C1268" s="76">
        <v>10</v>
      </c>
      <c r="D1268" s="76">
        <v>2018</v>
      </c>
      <c r="E1268" s="56">
        <v>2.4666666666666668</v>
      </c>
      <c r="F1268" s="53">
        <f t="shared" si="99"/>
        <v>1</v>
      </c>
      <c r="G1268" s="53">
        <f t="shared" si="101"/>
        <v>2</v>
      </c>
      <c r="H1268" s="53">
        <f t="shared" si="102"/>
        <v>2</v>
      </c>
      <c r="I1268" s="53" t="str">
        <f t="shared" si="100"/>
        <v>ww</v>
      </c>
      <c r="J1268" s="53"/>
    </row>
    <row r="1269" spans="1:10" x14ac:dyDescent="0.25">
      <c r="A1269" s="93">
        <v>43404</v>
      </c>
      <c r="B1269" s="35">
        <f t="shared" si="98"/>
        <v>118</v>
      </c>
      <c r="C1269" s="76">
        <v>10</v>
      </c>
      <c r="D1269" s="76">
        <v>2018</v>
      </c>
      <c r="E1269" s="56">
        <v>2.5333333333333332</v>
      </c>
      <c r="F1269" s="53">
        <f t="shared" si="99"/>
        <v>1</v>
      </c>
      <c r="G1269" s="53">
        <f t="shared" si="101"/>
        <v>2</v>
      </c>
      <c r="H1269" s="53">
        <f t="shared" si="102"/>
        <v>2</v>
      </c>
      <c r="I1269" s="53" t="str">
        <f t="shared" si="100"/>
        <v>ww</v>
      </c>
      <c r="J1269" s="53"/>
    </row>
    <row r="1270" spans="1:10" x14ac:dyDescent="0.25">
      <c r="A1270" s="93">
        <v>43405</v>
      </c>
      <c r="B1270" s="35">
        <f t="shared" si="98"/>
        <v>118</v>
      </c>
      <c r="C1270" s="76">
        <v>10</v>
      </c>
      <c r="D1270" s="76">
        <v>2018</v>
      </c>
      <c r="E1270" s="56">
        <v>0.93333333333333324</v>
      </c>
      <c r="F1270" s="53">
        <f t="shared" si="99"/>
        <v>1</v>
      </c>
      <c r="G1270" s="53">
        <f t="shared" si="101"/>
        <v>2</v>
      </c>
      <c r="H1270" s="53">
        <f t="shared" si="102"/>
        <v>2</v>
      </c>
      <c r="I1270" s="53" t="str">
        <f t="shared" si="100"/>
        <v>ww</v>
      </c>
      <c r="J1270" s="53"/>
    </row>
    <row r="1271" spans="1:10" x14ac:dyDescent="0.25">
      <c r="A1271" s="93">
        <v>43406</v>
      </c>
      <c r="B1271" s="35">
        <f t="shared" si="98"/>
        <v>118</v>
      </c>
      <c r="C1271" s="76">
        <v>10</v>
      </c>
      <c r="D1271" s="76">
        <v>2018</v>
      </c>
      <c r="E1271" s="56">
        <v>0.80000000000000016</v>
      </c>
      <c r="F1271" s="53">
        <f t="shared" si="99"/>
        <v>1</v>
      </c>
      <c r="G1271" s="53">
        <f t="shared" si="101"/>
        <v>2</v>
      </c>
      <c r="H1271" s="53">
        <f t="shared" si="102"/>
        <v>2</v>
      </c>
      <c r="I1271" s="53" t="str">
        <f t="shared" si="100"/>
        <v>ww</v>
      </c>
      <c r="J1271" s="53"/>
    </row>
    <row r="1272" spans="1:10" x14ac:dyDescent="0.25">
      <c r="A1272" s="93">
        <v>43407</v>
      </c>
      <c r="B1272" s="35">
        <f t="shared" si="98"/>
        <v>118</v>
      </c>
      <c r="C1272" s="76">
        <v>10</v>
      </c>
      <c r="D1272" s="76">
        <v>2018</v>
      </c>
      <c r="E1272" s="56">
        <v>0.46666666666666662</v>
      </c>
      <c r="F1272" s="53">
        <f t="shared" si="99"/>
        <v>1</v>
      </c>
      <c r="G1272" s="53">
        <f t="shared" si="101"/>
        <v>2</v>
      </c>
      <c r="H1272" s="53">
        <f t="shared" si="102"/>
        <v>2</v>
      </c>
      <c r="I1272" s="53" t="str">
        <f t="shared" si="100"/>
        <v>ww</v>
      </c>
      <c r="J1272" s="53"/>
    </row>
    <row r="1273" spans="1:10" x14ac:dyDescent="0.25">
      <c r="A1273" s="93">
        <v>43739</v>
      </c>
      <c r="B1273" s="35">
        <f t="shared" si="98"/>
        <v>130</v>
      </c>
      <c r="C1273" s="76">
        <v>10</v>
      </c>
      <c r="D1273" s="76">
        <v>2019</v>
      </c>
      <c r="E1273" s="56">
        <v>14.933333333333332</v>
      </c>
      <c r="F1273" s="53">
        <f t="shared" si="99"/>
        <v>1</v>
      </c>
      <c r="G1273" s="53">
        <f t="shared" si="101"/>
        <v>2</v>
      </c>
      <c r="H1273" s="53">
        <f t="shared" si="102"/>
        <v>2</v>
      </c>
      <c r="I1273" s="53" t="str">
        <f t="shared" si="100"/>
        <v>ww</v>
      </c>
      <c r="J1273" s="53"/>
    </row>
    <row r="1274" spans="1:10" x14ac:dyDescent="0.25">
      <c r="A1274" s="93">
        <v>43740</v>
      </c>
      <c r="B1274" s="35">
        <f t="shared" si="98"/>
        <v>130</v>
      </c>
      <c r="C1274" s="76">
        <v>10</v>
      </c>
      <c r="D1274" s="76">
        <v>2019</v>
      </c>
      <c r="E1274" s="56">
        <v>9.8666666666666671</v>
      </c>
      <c r="F1274" s="53">
        <f t="shared" si="99"/>
        <v>1</v>
      </c>
      <c r="G1274" s="53">
        <f t="shared" si="101"/>
        <v>2</v>
      </c>
      <c r="H1274" s="53">
        <f t="shared" si="102"/>
        <v>2</v>
      </c>
      <c r="I1274" s="53" t="str">
        <f t="shared" si="100"/>
        <v>ww</v>
      </c>
      <c r="J1274" s="53"/>
    </row>
    <row r="1275" spans="1:10" x14ac:dyDescent="0.25">
      <c r="A1275" s="93">
        <v>43741</v>
      </c>
      <c r="B1275" s="35">
        <f t="shared" si="98"/>
        <v>130</v>
      </c>
      <c r="C1275" s="76">
        <v>10</v>
      </c>
      <c r="D1275" s="76">
        <v>2019</v>
      </c>
      <c r="E1275" s="56">
        <v>0.46666666666666662</v>
      </c>
      <c r="F1275" s="53">
        <f t="shared" si="99"/>
        <v>1</v>
      </c>
      <c r="G1275" s="53">
        <f t="shared" si="101"/>
        <v>2</v>
      </c>
      <c r="H1275" s="53">
        <f t="shared" si="102"/>
        <v>2</v>
      </c>
      <c r="I1275" s="53" t="str">
        <f t="shared" si="100"/>
        <v>ww</v>
      </c>
      <c r="J1275" s="53"/>
    </row>
    <row r="1276" spans="1:10" x14ac:dyDescent="0.25">
      <c r="A1276" s="93">
        <v>43742</v>
      </c>
      <c r="B1276" s="35">
        <f t="shared" si="98"/>
        <v>130</v>
      </c>
      <c r="C1276" s="76">
        <v>10</v>
      </c>
      <c r="D1276" s="76">
        <v>2019</v>
      </c>
      <c r="E1276" s="56">
        <v>9.6666666666666661</v>
      </c>
      <c r="F1276" s="53">
        <f t="shared" si="99"/>
        <v>1</v>
      </c>
      <c r="G1276" s="53">
        <f t="shared" si="101"/>
        <v>2</v>
      </c>
      <c r="H1276" s="53">
        <f t="shared" si="102"/>
        <v>2</v>
      </c>
      <c r="I1276" s="53" t="str">
        <f t="shared" si="100"/>
        <v>ww</v>
      </c>
      <c r="J1276" s="53"/>
    </row>
    <row r="1277" spans="1:10" x14ac:dyDescent="0.25">
      <c r="A1277" s="93">
        <v>43743</v>
      </c>
      <c r="B1277" s="35">
        <f t="shared" si="98"/>
        <v>130</v>
      </c>
      <c r="C1277" s="76">
        <v>10</v>
      </c>
      <c r="D1277" s="76">
        <v>2019</v>
      </c>
      <c r="E1277" s="56">
        <v>5.2666666666666666</v>
      </c>
      <c r="F1277" s="53">
        <f t="shared" si="99"/>
        <v>1</v>
      </c>
      <c r="G1277" s="53">
        <f t="shared" si="101"/>
        <v>2</v>
      </c>
      <c r="H1277" s="53">
        <f t="shared" si="102"/>
        <v>2</v>
      </c>
      <c r="I1277" s="53" t="str">
        <f t="shared" si="100"/>
        <v>ww</v>
      </c>
      <c r="J1277" s="53"/>
    </row>
    <row r="1278" spans="1:10" x14ac:dyDescent="0.25">
      <c r="A1278" s="93">
        <v>43744</v>
      </c>
      <c r="B1278" s="35">
        <f t="shared" si="98"/>
        <v>130</v>
      </c>
      <c r="C1278" s="76">
        <v>10</v>
      </c>
      <c r="D1278" s="76">
        <v>2019</v>
      </c>
      <c r="E1278" s="56">
        <v>14.466666666666667</v>
      </c>
      <c r="F1278" s="53">
        <f t="shared" si="99"/>
        <v>1</v>
      </c>
      <c r="G1278" s="53">
        <f t="shared" si="101"/>
        <v>2</v>
      </c>
      <c r="H1278" s="53">
        <f t="shared" si="102"/>
        <v>2</v>
      </c>
      <c r="I1278" s="53" t="str">
        <f t="shared" si="100"/>
        <v>ww</v>
      </c>
      <c r="J1278" s="53"/>
    </row>
    <row r="1279" spans="1:10" x14ac:dyDescent="0.25">
      <c r="A1279" s="93">
        <v>43745</v>
      </c>
      <c r="B1279" s="35">
        <f t="shared" si="98"/>
        <v>130</v>
      </c>
      <c r="C1279" s="76">
        <v>10</v>
      </c>
      <c r="D1279" s="76">
        <v>2019</v>
      </c>
      <c r="E1279" s="56">
        <v>8.0000000000000018</v>
      </c>
      <c r="F1279" s="53">
        <f t="shared" si="99"/>
        <v>1</v>
      </c>
      <c r="G1279" s="53">
        <f t="shared" si="101"/>
        <v>2</v>
      </c>
      <c r="H1279" s="53">
        <f t="shared" si="102"/>
        <v>2</v>
      </c>
      <c r="I1279" s="53" t="str">
        <f t="shared" si="100"/>
        <v>ww</v>
      </c>
      <c r="J1279" s="53"/>
    </row>
    <row r="1280" spans="1:10" x14ac:dyDescent="0.25">
      <c r="A1280" s="93">
        <v>43746</v>
      </c>
      <c r="B1280" s="35">
        <f t="shared" si="98"/>
        <v>130</v>
      </c>
      <c r="C1280" s="76">
        <v>10</v>
      </c>
      <c r="D1280" s="76">
        <v>2019</v>
      </c>
      <c r="E1280" s="56">
        <v>1.2666666666666668</v>
      </c>
      <c r="F1280" s="53">
        <f t="shared" si="99"/>
        <v>1</v>
      </c>
      <c r="G1280" s="53">
        <f t="shared" si="101"/>
        <v>2</v>
      </c>
      <c r="H1280" s="53">
        <f t="shared" si="102"/>
        <v>2</v>
      </c>
      <c r="I1280" s="53" t="str">
        <f t="shared" si="100"/>
        <v>ww</v>
      </c>
      <c r="J1280" s="53"/>
    </row>
    <row r="1281" spans="1:10" x14ac:dyDescent="0.25">
      <c r="A1281" s="93">
        <v>43747</v>
      </c>
      <c r="B1281" s="35">
        <f t="shared" si="98"/>
        <v>130</v>
      </c>
      <c r="C1281" s="76">
        <v>10</v>
      </c>
      <c r="D1281" s="76">
        <v>2019</v>
      </c>
      <c r="E1281" s="56">
        <v>6.6666666666666666E-2</v>
      </c>
      <c r="F1281" s="53">
        <f t="shared" si="99"/>
        <v>1</v>
      </c>
      <c r="G1281" s="53">
        <f t="shared" si="101"/>
        <v>2</v>
      </c>
      <c r="H1281" s="53">
        <f t="shared" si="102"/>
        <v>2</v>
      </c>
      <c r="I1281" s="53" t="str">
        <f t="shared" si="100"/>
        <v>ww</v>
      </c>
      <c r="J1281" s="53"/>
    </row>
    <row r="1282" spans="1:10" x14ac:dyDescent="0.25">
      <c r="A1282" s="93">
        <v>43748</v>
      </c>
      <c r="B1282" s="35">
        <f t="shared" ref="B1282:B1345" si="103">C1282+(D1282-2009)*12</f>
        <v>130</v>
      </c>
      <c r="C1282" s="76">
        <v>10</v>
      </c>
      <c r="D1282" s="76">
        <v>2019</v>
      </c>
      <c r="E1282" s="56">
        <v>0</v>
      </c>
      <c r="F1282" s="53">
        <f t="shared" ref="F1282:F1345" si="104">IF(E1282&gt;0,1,0)</f>
        <v>0</v>
      </c>
      <c r="G1282" s="53">
        <f t="shared" si="101"/>
        <v>1</v>
      </c>
      <c r="H1282" s="53">
        <f t="shared" si="102"/>
        <v>1</v>
      </c>
      <c r="I1282" s="53" t="str">
        <f t="shared" ref="I1282:I1345" si="105">VLOOKUP(H1282,codes,2,)</f>
        <v>wd</v>
      </c>
      <c r="J1282" s="53"/>
    </row>
    <row r="1283" spans="1:10" x14ac:dyDescent="0.25">
      <c r="A1283" s="93">
        <v>43749</v>
      </c>
      <c r="B1283" s="35">
        <f t="shared" si="103"/>
        <v>130</v>
      </c>
      <c r="C1283" s="76">
        <v>10</v>
      </c>
      <c r="D1283" s="76">
        <v>2019</v>
      </c>
      <c r="E1283" s="56">
        <v>1.3333333333333333</v>
      </c>
      <c r="F1283" s="53">
        <f t="shared" si="104"/>
        <v>1</v>
      </c>
      <c r="G1283" s="53">
        <f t="shared" si="101"/>
        <v>1</v>
      </c>
      <c r="H1283" s="53">
        <f t="shared" si="102"/>
        <v>-1</v>
      </c>
      <c r="I1283" s="53" t="str">
        <f t="shared" si="105"/>
        <v>dw</v>
      </c>
      <c r="J1283" s="53"/>
    </row>
    <row r="1284" spans="1:10" x14ac:dyDescent="0.25">
      <c r="A1284" s="93">
        <v>43750</v>
      </c>
      <c r="B1284" s="35">
        <f t="shared" si="103"/>
        <v>130</v>
      </c>
      <c r="C1284" s="76">
        <v>10</v>
      </c>
      <c r="D1284" s="76">
        <v>2019</v>
      </c>
      <c r="E1284" s="56">
        <v>3.4</v>
      </c>
      <c r="F1284" s="53">
        <f t="shared" si="104"/>
        <v>1</v>
      </c>
      <c r="G1284" s="53">
        <f t="shared" ref="G1284:G1347" si="106">SUM(F1283:F1284)</f>
        <v>2</v>
      </c>
      <c r="H1284" s="53">
        <f t="shared" ref="H1284:H1347" si="107">IF(G1284=1,IF(F1283=1,1,-1),G1284)</f>
        <v>2</v>
      </c>
      <c r="I1284" s="53" t="str">
        <f t="shared" si="105"/>
        <v>ww</v>
      </c>
      <c r="J1284" s="53"/>
    </row>
    <row r="1285" spans="1:10" x14ac:dyDescent="0.25">
      <c r="A1285" s="93">
        <v>43751</v>
      </c>
      <c r="B1285" s="35">
        <f t="shared" si="103"/>
        <v>130</v>
      </c>
      <c r="C1285" s="76">
        <v>10</v>
      </c>
      <c r="D1285" s="76">
        <v>2019</v>
      </c>
      <c r="E1285" s="56">
        <v>0</v>
      </c>
      <c r="F1285" s="53">
        <f t="shared" si="104"/>
        <v>0</v>
      </c>
      <c r="G1285" s="53">
        <f t="shared" si="106"/>
        <v>1</v>
      </c>
      <c r="H1285" s="53">
        <f t="shared" si="107"/>
        <v>1</v>
      </c>
      <c r="I1285" s="53" t="str">
        <f t="shared" si="105"/>
        <v>wd</v>
      </c>
      <c r="J1285" s="53"/>
    </row>
    <row r="1286" spans="1:10" x14ac:dyDescent="0.25">
      <c r="A1286" s="93">
        <v>43752</v>
      </c>
      <c r="B1286" s="35">
        <f t="shared" si="103"/>
        <v>130</v>
      </c>
      <c r="C1286" s="76">
        <v>10</v>
      </c>
      <c r="D1286" s="76">
        <v>2019</v>
      </c>
      <c r="E1286" s="56">
        <v>6.4666666666666659</v>
      </c>
      <c r="F1286" s="53">
        <f t="shared" si="104"/>
        <v>1</v>
      </c>
      <c r="G1286" s="53">
        <f t="shared" si="106"/>
        <v>1</v>
      </c>
      <c r="H1286" s="53">
        <f t="shared" si="107"/>
        <v>-1</v>
      </c>
      <c r="I1286" s="53" t="str">
        <f t="shared" si="105"/>
        <v>dw</v>
      </c>
      <c r="J1286" s="53"/>
    </row>
    <row r="1287" spans="1:10" x14ac:dyDescent="0.25">
      <c r="A1287" s="93">
        <v>43753</v>
      </c>
      <c r="B1287" s="35">
        <f t="shared" si="103"/>
        <v>130</v>
      </c>
      <c r="C1287" s="76">
        <v>10</v>
      </c>
      <c r="D1287" s="76">
        <v>2019</v>
      </c>
      <c r="E1287" s="56">
        <v>4.8666666666666671</v>
      </c>
      <c r="F1287" s="53">
        <f t="shared" si="104"/>
        <v>1</v>
      </c>
      <c r="G1287" s="53">
        <f t="shared" si="106"/>
        <v>2</v>
      </c>
      <c r="H1287" s="53">
        <f t="shared" si="107"/>
        <v>2</v>
      </c>
      <c r="I1287" s="53" t="str">
        <f t="shared" si="105"/>
        <v>ww</v>
      </c>
      <c r="J1287" s="53"/>
    </row>
    <row r="1288" spans="1:10" x14ac:dyDescent="0.25">
      <c r="A1288" s="93">
        <v>43754</v>
      </c>
      <c r="B1288" s="35">
        <f t="shared" si="103"/>
        <v>130</v>
      </c>
      <c r="C1288" s="76">
        <v>10</v>
      </c>
      <c r="D1288" s="76">
        <v>2019</v>
      </c>
      <c r="E1288" s="56">
        <v>2.0000000000000004</v>
      </c>
      <c r="F1288" s="53">
        <f t="shared" si="104"/>
        <v>1</v>
      </c>
      <c r="G1288" s="53">
        <f t="shared" si="106"/>
        <v>2</v>
      </c>
      <c r="H1288" s="53">
        <f t="shared" si="107"/>
        <v>2</v>
      </c>
      <c r="I1288" s="53" t="str">
        <f t="shared" si="105"/>
        <v>ww</v>
      </c>
      <c r="J1288" s="53"/>
    </row>
    <row r="1289" spans="1:10" x14ac:dyDescent="0.25">
      <c r="A1289" s="93">
        <v>43755</v>
      </c>
      <c r="B1289" s="35">
        <f t="shared" si="103"/>
        <v>130</v>
      </c>
      <c r="C1289" s="76">
        <v>10</v>
      </c>
      <c r="D1289" s="76">
        <v>2019</v>
      </c>
      <c r="E1289" s="56">
        <v>0.46666666666666662</v>
      </c>
      <c r="F1289" s="53">
        <f t="shared" si="104"/>
        <v>1</v>
      </c>
      <c r="G1289" s="53">
        <f t="shared" si="106"/>
        <v>2</v>
      </c>
      <c r="H1289" s="53">
        <f t="shared" si="107"/>
        <v>2</v>
      </c>
      <c r="I1289" s="53" t="str">
        <f t="shared" si="105"/>
        <v>ww</v>
      </c>
      <c r="J1289" s="53"/>
    </row>
    <row r="1290" spans="1:10" x14ac:dyDescent="0.25">
      <c r="A1290" s="93">
        <v>43756</v>
      </c>
      <c r="B1290" s="35">
        <f t="shared" si="103"/>
        <v>130</v>
      </c>
      <c r="C1290" s="76">
        <v>10</v>
      </c>
      <c r="D1290" s="76">
        <v>2019</v>
      </c>
      <c r="E1290" s="56">
        <v>3.5333333333333337</v>
      </c>
      <c r="F1290" s="53">
        <f t="shared" si="104"/>
        <v>1</v>
      </c>
      <c r="G1290" s="53">
        <f t="shared" si="106"/>
        <v>2</v>
      </c>
      <c r="H1290" s="53">
        <f t="shared" si="107"/>
        <v>2</v>
      </c>
      <c r="I1290" s="53" t="str">
        <f t="shared" si="105"/>
        <v>ww</v>
      </c>
      <c r="J1290" s="53"/>
    </row>
    <row r="1291" spans="1:10" x14ac:dyDescent="0.25">
      <c r="A1291" s="93">
        <v>43757</v>
      </c>
      <c r="B1291" s="35">
        <f t="shared" si="103"/>
        <v>130</v>
      </c>
      <c r="C1291" s="76">
        <v>10</v>
      </c>
      <c r="D1291" s="76">
        <v>2019</v>
      </c>
      <c r="E1291" s="56">
        <v>2.0666666666666669</v>
      </c>
      <c r="F1291" s="53">
        <f t="shared" si="104"/>
        <v>1</v>
      </c>
      <c r="G1291" s="53">
        <f t="shared" si="106"/>
        <v>2</v>
      </c>
      <c r="H1291" s="53">
        <f t="shared" si="107"/>
        <v>2</v>
      </c>
      <c r="I1291" s="53" t="str">
        <f t="shared" si="105"/>
        <v>ww</v>
      </c>
      <c r="J1291" s="53"/>
    </row>
    <row r="1292" spans="1:10" x14ac:dyDescent="0.25">
      <c r="A1292" s="93">
        <v>43758</v>
      </c>
      <c r="B1292" s="35">
        <f t="shared" si="103"/>
        <v>130</v>
      </c>
      <c r="C1292" s="76">
        <v>10</v>
      </c>
      <c r="D1292" s="76">
        <v>2019</v>
      </c>
      <c r="E1292" s="56">
        <v>3.5999999999999996</v>
      </c>
      <c r="F1292" s="53">
        <f t="shared" si="104"/>
        <v>1</v>
      </c>
      <c r="G1292" s="53">
        <f t="shared" si="106"/>
        <v>2</v>
      </c>
      <c r="H1292" s="53">
        <f t="shared" si="107"/>
        <v>2</v>
      </c>
      <c r="I1292" s="53" t="str">
        <f t="shared" si="105"/>
        <v>ww</v>
      </c>
      <c r="J1292" s="53"/>
    </row>
    <row r="1293" spans="1:10" x14ac:dyDescent="0.25">
      <c r="A1293" s="93">
        <v>43759</v>
      </c>
      <c r="B1293" s="35">
        <f t="shared" si="103"/>
        <v>130</v>
      </c>
      <c r="C1293" s="76">
        <v>10</v>
      </c>
      <c r="D1293" s="76">
        <v>2019</v>
      </c>
      <c r="E1293" s="56">
        <v>6.6000000000000005</v>
      </c>
      <c r="F1293" s="53">
        <f t="shared" si="104"/>
        <v>1</v>
      </c>
      <c r="G1293" s="53">
        <f t="shared" si="106"/>
        <v>2</v>
      </c>
      <c r="H1293" s="53">
        <f t="shared" si="107"/>
        <v>2</v>
      </c>
      <c r="I1293" s="53" t="str">
        <f t="shared" si="105"/>
        <v>ww</v>
      </c>
      <c r="J1293" s="53"/>
    </row>
    <row r="1294" spans="1:10" x14ac:dyDescent="0.25">
      <c r="A1294" s="93">
        <v>43760</v>
      </c>
      <c r="B1294" s="35">
        <f t="shared" si="103"/>
        <v>130</v>
      </c>
      <c r="C1294" s="76">
        <v>10</v>
      </c>
      <c r="D1294" s="76">
        <v>2019</v>
      </c>
      <c r="E1294" s="56">
        <v>1.2</v>
      </c>
      <c r="F1294" s="53">
        <f t="shared" si="104"/>
        <v>1</v>
      </c>
      <c r="G1294" s="53">
        <f t="shared" si="106"/>
        <v>2</v>
      </c>
      <c r="H1294" s="53">
        <f t="shared" si="107"/>
        <v>2</v>
      </c>
      <c r="I1294" s="53" t="str">
        <f t="shared" si="105"/>
        <v>ww</v>
      </c>
      <c r="J1294" s="53"/>
    </row>
    <row r="1295" spans="1:10" x14ac:dyDescent="0.25">
      <c r="A1295" s="93">
        <v>43761</v>
      </c>
      <c r="B1295" s="35">
        <f t="shared" si="103"/>
        <v>130</v>
      </c>
      <c r="C1295" s="76">
        <v>10</v>
      </c>
      <c r="D1295" s="76">
        <v>2019</v>
      </c>
      <c r="E1295" s="56">
        <v>0</v>
      </c>
      <c r="F1295" s="53">
        <f t="shared" si="104"/>
        <v>0</v>
      </c>
      <c r="G1295" s="53">
        <f t="shared" si="106"/>
        <v>1</v>
      </c>
      <c r="H1295" s="53">
        <f t="shared" si="107"/>
        <v>1</v>
      </c>
      <c r="I1295" s="53" t="str">
        <f t="shared" si="105"/>
        <v>wd</v>
      </c>
      <c r="J1295" s="53"/>
    </row>
    <row r="1296" spans="1:10" x14ac:dyDescent="0.25">
      <c r="A1296" s="93">
        <v>43762</v>
      </c>
      <c r="B1296" s="35">
        <f t="shared" si="103"/>
        <v>130</v>
      </c>
      <c r="C1296" s="76">
        <v>10</v>
      </c>
      <c r="D1296" s="76">
        <v>2019</v>
      </c>
      <c r="E1296" s="56">
        <v>0</v>
      </c>
      <c r="F1296" s="53">
        <f t="shared" si="104"/>
        <v>0</v>
      </c>
      <c r="G1296" s="53">
        <f t="shared" si="106"/>
        <v>0</v>
      </c>
      <c r="H1296" s="53">
        <f t="shared" si="107"/>
        <v>0</v>
      </c>
      <c r="I1296" s="53" t="str">
        <f t="shared" si="105"/>
        <v>dd</v>
      </c>
      <c r="J1296" s="53"/>
    </row>
    <row r="1297" spans="1:10" x14ac:dyDescent="0.25">
      <c r="A1297" s="93">
        <v>43763</v>
      </c>
      <c r="B1297" s="35">
        <f t="shared" si="103"/>
        <v>130</v>
      </c>
      <c r="C1297" s="76">
        <v>10</v>
      </c>
      <c r="D1297" s="76">
        <v>2019</v>
      </c>
      <c r="E1297" s="56">
        <v>0</v>
      </c>
      <c r="F1297" s="53">
        <f t="shared" si="104"/>
        <v>0</v>
      </c>
      <c r="G1297" s="53">
        <f t="shared" si="106"/>
        <v>0</v>
      </c>
      <c r="H1297" s="53">
        <f t="shared" si="107"/>
        <v>0</v>
      </c>
      <c r="I1297" s="53" t="str">
        <f t="shared" si="105"/>
        <v>dd</v>
      </c>
      <c r="J1297" s="53"/>
    </row>
    <row r="1298" spans="1:10" x14ac:dyDescent="0.25">
      <c r="A1298" s="93">
        <v>43764</v>
      </c>
      <c r="B1298" s="35">
        <f t="shared" si="103"/>
        <v>130</v>
      </c>
      <c r="C1298" s="76">
        <v>10</v>
      </c>
      <c r="D1298" s="76">
        <v>2019</v>
      </c>
      <c r="E1298" s="56">
        <v>8.8666666666666671</v>
      </c>
      <c r="F1298" s="53">
        <f t="shared" si="104"/>
        <v>1</v>
      </c>
      <c r="G1298" s="53">
        <f t="shared" si="106"/>
        <v>1</v>
      </c>
      <c r="H1298" s="53">
        <f t="shared" si="107"/>
        <v>-1</v>
      </c>
      <c r="I1298" s="53" t="str">
        <f t="shared" si="105"/>
        <v>dw</v>
      </c>
      <c r="J1298" s="53"/>
    </row>
    <row r="1299" spans="1:10" x14ac:dyDescent="0.25">
      <c r="A1299" s="93">
        <v>43765</v>
      </c>
      <c r="B1299" s="35">
        <f t="shared" si="103"/>
        <v>130</v>
      </c>
      <c r="C1299" s="76">
        <v>10</v>
      </c>
      <c r="D1299" s="76">
        <v>2019</v>
      </c>
      <c r="E1299" s="56">
        <v>3.6666666666666661</v>
      </c>
      <c r="F1299" s="53">
        <f t="shared" si="104"/>
        <v>1</v>
      </c>
      <c r="G1299" s="53">
        <f t="shared" si="106"/>
        <v>2</v>
      </c>
      <c r="H1299" s="53">
        <f t="shared" si="107"/>
        <v>2</v>
      </c>
      <c r="I1299" s="53" t="str">
        <f t="shared" si="105"/>
        <v>ww</v>
      </c>
      <c r="J1299" s="53"/>
    </row>
    <row r="1300" spans="1:10" x14ac:dyDescent="0.25">
      <c r="A1300" s="93">
        <v>43766</v>
      </c>
      <c r="B1300" s="35">
        <f t="shared" si="103"/>
        <v>130</v>
      </c>
      <c r="C1300" s="76">
        <v>10</v>
      </c>
      <c r="D1300" s="76">
        <v>2019</v>
      </c>
      <c r="E1300" s="56">
        <v>0</v>
      </c>
      <c r="F1300" s="53">
        <f t="shared" si="104"/>
        <v>0</v>
      </c>
      <c r="G1300" s="53">
        <f t="shared" si="106"/>
        <v>1</v>
      </c>
      <c r="H1300" s="53">
        <f t="shared" si="107"/>
        <v>1</v>
      </c>
      <c r="I1300" s="53" t="str">
        <f t="shared" si="105"/>
        <v>wd</v>
      </c>
      <c r="J1300" s="53"/>
    </row>
    <row r="1301" spans="1:10" x14ac:dyDescent="0.25">
      <c r="A1301" s="93">
        <v>43767</v>
      </c>
      <c r="B1301" s="35">
        <f t="shared" si="103"/>
        <v>130</v>
      </c>
      <c r="C1301" s="76">
        <v>10</v>
      </c>
      <c r="D1301" s="76">
        <v>2019</v>
      </c>
      <c r="E1301" s="56">
        <v>1.2666666666666668</v>
      </c>
      <c r="F1301" s="53">
        <f t="shared" si="104"/>
        <v>1</v>
      </c>
      <c r="G1301" s="53">
        <f t="shared" si="106"/>
        <v>1</v>
      </c>
      <c r="H1301" s="53">
        <f t="shared" si="107"/>
        <v>-1</v>
      </c>
      <c r="I1301" s="53" t="str">
        <f t="shared" si="105"/>
        <v>dw</v>
      </c>
      <c r="J1301" s="53"/>
    </row>
    <row r="1302" spans="1:10" x14ac:dyDescent="0.25">
      <c r="A1302" s="93">
        <v>43768</v>
      </c>
      <c r="B1302" s="35">
        <f t="shared" si="103"/>
        <v>130</v>
      </c>
      <c r="C1302" s="76">
        <v>10</v>
      </c>
      <c r="D1302" s="76">
        <v>2019</v>
      </c>
      <c r="E1302" s="56">
        <v>1.2666666666666666</v>
      </c>
      <c r="F1302" s="53">
        <f t="shared" si="104"/>
        <v>1</v>
      </c>
      <c r="G1302" s="53">
        <f t="shared" si="106"/>
        <v>2</v>
      </c>
      <c r="H1302" s="53">
        <f t="shared" si="107"/>
        <v>2</v>
      </c>
      <c r="I1302" s="53" t="str">
        <f t="shared" si="105"/>
        <v>ww</v>
      </c>
      <c r="J1302" s="53"/>
    </row>
    <row r="1303" spans="1:10" x14ac:dyDescent="0.25">
      <c r="A1303" s="93">
        <v>43769</v>
      </c>
      <c r="B1303" s="35">
        <f t="shared" si="103"/>
        <v>130</v>
      </c>
      <c r="C1303" s="76">
        <v>10</v>
      </c>
      <c r="D1303" s="76">
        <v>2019</v>
      </c>
      <c r="E1303" s="56">
        <v>0.39999999999999997</v>
      </c>
      <c r="F1303" s="53">
        <f t="shared" si="104"/>
        <v>1</v>
      </c>
      <c r="G1303" s="53">
        <f t="shared" si="106"/>
        <v>2</v>
      </c>
      <c r="H1303" s="53">
        <f t="shared" si="107"/>
        <v>2</v>
      </c>
      <c r="I1303" s="53" t="str">
        <f t="shared" si="105"/>
        <v>ww</v>
      </c>
      <c r="J1303" s="53"/>
    </row>
    <row r="1304" spans="1:10" x14ac:dyDescent="0.25">
      <c r="A1304" s="93">
        <v>44105</v>
      </c>
      <c r="B1304" s="35">
        <f t="shared" si="103"/>
        <v>142</v>
      </c>
      <c r="C1304" s="76">
        <v>10</v>
      </c>
      <c r="D1304" s="53">
        <v>2020</v>
      </c>
      <c r="E1304" s="56">
        <v>3.0666666666666664</v>
      </c>
      <c r="F1304" s="53">
        <f t="shared" si="104"/>
        <v>1</v>
      </c>
      <c r="G1304" s="53">
        <f t="shared" si="106"/>
        <v>2</v>
      </c>
      <c r="H1304" s="53">
        <f t="shared" si="107"/>
        <v>2</v>
      </c>
      <c r="I1304" s="53" t="str">
        <f t="shared" si="105"/>
        <v>ww</v>
      </c>
      <c r="J1304" s="53"/>
    </row>
    <row r="1305" spans="1:10" x14ac:dyDescent="0.25">
      <c r="A1305" s="93">
        <v>44106</v>
      </c>
      <c r="B1305" s="35">
        <f t="shared" si="103"/>
        <v>142</v>
      </c>
      <c r="C1305" s="76">
        <v>10</v>
      </c>
      <c r="D1305" s="53">
        <v>2020</v>
      </c>
      <c r="E1305" s="56">
        <v>0.13333333333333333</v>
      </c>
      <c r="F1305" s="53">
        <f t="shared" si="104"/>
        <v>1</v>
      </c>
      <c r="G1305" s="53">
        <f t="shared" si="106"/>
        <v>2</v>
      </c>
      <c r="H1305" s="53">
        <f t="shared" si="107"/>
        <v>2</v>
      </c>
      <c r="I1305" s="53" t="str">
        <f t="shared" si="105"/>
        <v>ww</v>
      </c>
      <c r="J1305" s="53"/>
    </row>
    <row r="1306" spans="1:10" x14ac:dyDescent="0.25">
      <c r="A1306" s="93">
        <v>44107</v>
      </c>
      <c r="B1306" s="35">
        <f t="shared" si="103"/>
        <v>142</v>
      </c>
      <c r="C1306" s="76">
        <v>10</v>
      </c>
      <c r="D1306" s="53">
        <v>2020</v>
      </c>
      <c r="E1306" s="56">
        <v>4.2666666666666666</v>
      </c>
      <c r="F1306" s="53">
        <f t="shared" si="104"/>
        <v>1</v>
      </c>
      <c r="G1306" s="53">
        <f t="shared" si="106"/>
        <v>2</v>
      </c>
      <c r="H1306" s="53">
        <f t="shared" si="107"/>
        <v>2</v>
      </c>
      <c r="I1306" s="53" t="str">
        <f t="shared" si="105"/>
        <v>ww</v>
      </c>
      <c r="J1306" s="53"/>
    </row>
    <row r="1307" spans="1:10" x14ac:dyDescent="0.25">
      <c r="A1307" s="93">
        <v>44108</v>
      </c>
      <c r="B1307" s="35">
        <f t="shared" si="103"/>
        <v>142</v>
      </c>
      <c r="C1307" s="76">
        <v>10</v>
      </c>
      <c r="D1307" s="53">
        <v>2020</v>
      </c>
      <c r="E1307" s="56">
        <v>30.066666666666666</v>
      </c>
      <c r="F1307" s="53">
        <f t="shared" si="104"/>
        <v>1</v>
      </c>
      <c r="G1307" s="53">
        <f t="shared" si="106"/>
        <v>2</v>
      </c>
      <c r="H1307" s="53">
        <f t="shared" si="107"/>
        <v>2</v>
      </c>
      <c r="I1307" s="53" t="str">
        <f t="shared" si="105"/>
        <v>ww</v>
      </c>
      <c r="J1307" s="53"/>
    </row>
    <row r="1308" spans="1:10" x14ac:dyDescent="0.25">
      <c r="A1308" s="93">
        <v>44109</v>
      </c>
      <c r="B1308" s="35">
        <f t="shared" si="103"/>
        <v>142</v>
      </c>
      <c r="C1308" s="76">
        <v>10</v>
      </c>
      <c r="D1308" s="53">
        <v>2020</v>
      </c>
      <c r="E1308" s="56">
        <v>2.4</v>
      </c>
      <c r="F1308" s="53">
        <f t="shared" si="104"/>
        <v>1</v>
      </c>
      <c r="G1308" s="53">
        <f t="shared" si="106"/>
        <v>2</v>
      </c>
      <c r="H1308" s="53">
        <f t="shared" si="107"/>
        <v>2</v>
      </c>
      <c r="I1308" s="53" t="str">
        <f t="shared" si="105"/>
        <v>ww</v>
      </c>
      <c r="J1308" s="53"/>
    </row>
    <row r="1309" spans="1:10" x14ac:dyDescent="0.25">
      <c r="A1309" s="93">
        <v>44110</v>
      </c>
      <c r="B1309" s="35">
        <f t="shared" si="103"/>
        <v>142</v>
      </c>
      <c r="C1309" s="76">
        <v>10</v>
      </c>
      <c r="D1309" s="53">
        <v>2020</v>
      </c>
      <c r="E1309" s="56">
        <v>4.7333333333333334</v>
      </c>
      <c r="F1309" s="53">
        <f t="shared" si="104"/>
        <v>1</v>
      </c>
      <c r="G1309" s="53">
        <f t="shared" si="106"/>
        <v>2</v>
      </c>
      <c r="H1309" s="53">
        <f t="shared" si="107"/>
        <v>2</v>
      </c>
      <c r="I1309" s="53" t="str">
        <f t="shared" si="105"/>
        <v>ww</v>
      </c>
      <c r="J1309" s="53"/>
    </row>
    <row r="1310" spans="1:10" x14ac:dyDescent="0.25">
      <c r="A1310" s="93">
        <v>44111</v>
      </c>
      <c r="B1310" s="35">
        <f t="shared" si="103"/>
        <v>142</v>
      </c>
      <c r="C1310" s="76">
        <v>10</v>
      </c>
      <c r="D1310" s="53">
        <v>2020</v>
      </c>
      <c r="E1310" s="56">
        <v>0</v>
      </c>
      <c r="F1310" s="53">
        <f t="shared" si="104"/>
        <v>0</v>
      </c>
      <c r="G1310" s="53">
        <f t="shared" si="106"/>
        <v>1</v>
      </c>
      <c r="H1310" s="53">
        <f t="shared" si="107"/>
        <v>1</v>
      </c>
      <c r="I1310" s="53" t="str">
        <f t="shared" si="105"/>
        <v>wd</v>
      </c>
      <c r="J1310" s="53"/>
    </row>
    <row r="1311" spans="1:10" x14ac:dyDescent="0.25">
      <c r="A1311" s="93">
        <v>44112</v>
      </c>
      <c r="B1311" s="35">
        <f t="shared" si="103"/>
        <v>142</v>
      </c>
      <c r="C1311" s="76">
        <v>10</v>
      </c>
      <c r="D1311" s="53">
        <v>2020</v>
      </c>
      <c r="E1311" s="56">
        <v>8.9333333333333336</v>
      </c>
      <c r="F1311" s="53">
        <f t="shared" si="104"/>
        <v>1</v>
      </c>
      <c r="G1311" s="53">
        <f t="shared" si="106"/>
        <v>1</v>
      </c>
      <c r="H1311" s="53">
        <f t="shared" si="107"/>
        <v>-1</v>
      </c>
      <c r="I1311" s="53" t="str">
        <f t="shared" si="105"/>
        <v>dw</v>
      </c>
      <c r="J1311" s="53"/>
    </row>
    <row r="1312" spans="1:10" x14ac:dyDescent="0.25">
      <c r="A1312" s="93">
        <v>44113</v>
      </c>
      <c r="B1312" s="35">
        <f t="shared" si="103"/>
        <v>142</v>
      </c>
      <c r="C1312" s="76">
        <v>10</v>
      </c>
      <c r="D1312" s="53">
        <v>2020</v>
      </c>
      <c r="E1312" s="56">
        <v>0.13333333333333333</v>
      </c>
      <c r="F1312" s="53">
        <f t="shared" si="104"/>
        <v>1</v>
      </c>
      <c r="G1312" s="53">
        <f t="shared" si="106"/>
        <v>2</v>
      </c>
      <c r="H1312" s="53">
        <f t="shared" si="107"/>
        <v>2</v>
      </c>
      <c r="I1312" s="53" t="str">
        <f t="shared" si="105"/>
        <v>ww</v>
      </c>
      <c r="J1312" s="53"/>
    </row>
    <row r="1313" spans="1:10" x14ac:dyDescent="0.25">
      <c r="A1313" s="93">
        <v>44114</v>
      </c>
      <c r="B1313" s="35">
        <f t="shared" si="103"/>
        <v>142</v>
      </c>
      <c r="C1313" s="76">
        <v>10</v>
      </c>
      <c r="D1313" s="53">
        <v>2020</v>
      </c>
      <c r="E1313" s="56">
        <v>0.66666666666666663</v>
      </c>
      <c r="F1313" s="53">
        <f t="shared" si="104"/>
        <v>1</v>
      </c>
      <c r="G1313" s="53">
        <f t="shared" si="106"/>
        <v>2</v>
      </c>
      <c r="H1313" s="53">
        <f t="shared" si="107"/>
        <v>2</v>
      </c>
      <c r="I1313" s="53" t="str">
        <f t="shared" si="105"/>
        <v>ww</v>
      </c>
      <c r="J1313" s="53"/>
    </row>
    <row r="1314" spans="1:10" x14ac:dyDescent="0.25">
      <c r="A1314" s="93">
        <v>44115</v>
      </c>
      <c r="B1314" s="35">
        <f t="shared" si="103"/>
        <v>142</v>
      </c>
      <c r="C1314" s="76">
        <v>10</v>
      </c>
      <c r="D1314" s="53">
        <v>2020</v>
      </c>
      <c r="E1314" s="56">
        <v>0.93333333333333324</v>
      </c>
      <c r="F1314" s="53">
        <f t="shared" si="104"/>
        <v>1</v>
      </c>
      <c r="G1314" s="53">
        <f t="shared" si="106"/>
        <v>2</v>
      </c>
      <c r="H1314" s="53">
        <f t="shared" si="107"/>
        <v>2</v>
      </c>
      <c r="I1314" s="53" t="str">
        <f t="shared" si="105"/>
        <v>ww</v>
      </c>
      <c r="J1314" s="53"/>
    </row>
    <row r="1315" spans="1:10" x14ac:dyDescent="0.25">
      <c r="A1315" s="93">
        <v>44116</v>
      </c>
      <c r="B1315" s="35">
        <f t="shared" si="103"/>
        <v>142</v>
      </c>
      <c r="C1315" s="76">
        <v>10</v>
      </c>
      <c r="D1315" s="53">
        <v>2020</v>
      </c>
      <c r="E1315" s="56">
        <v>2.5333333333333332</v>
      </c>
      <c r="F1315" s="53">
        <f t="shared" si="104"/>
        <v>1</v>
      </c>
      <c r="G1315" s="53">
        <f t="shared" si="106"/>
        <v>2</v>
      </c>
      <c r="H1315" s="53">
        <f t="shared" si="107"/>
        <v>2</v>
      </c>
      <c r="I1315" s="53" t="str">
        <f t="shared" si="105"/>
        <v>ww</v>
      </c>
      <c r="J1315" s="53"/>
    </row>
    <row r="1316" spans="1:10" x14ac:dyDescent="0.25">
      <c r="A1316" s="93">
        <v>44117</v>
      </c>
      <c r="B1316" s="35">
        <f t="shared" si="103"/>
        <v>142</v>
      </c>
      <c r="C1316" s="76">
        <v>10</v>
      </c>
      <c r="D1316" s="53">
        <v>2020</v>
      </c>
      <c r="E1316" s="56">
        <v>6.8666666666666671</v>
      </c>
      <c r="F1316" s="53">
        <f t="shared" si="104"/>
        <v>1</v>
      </c>
      <c r="G1316" s="53">
        <f t="shared" si="106"/>
        <v>2</v>
      </c>
      <c r="H1316" s="53">
        <f t="shared" si="107"/>
        <v>2</v>
      </c>
      <c r="I1316" s="53" t="str">
        <f t="shared" si="105"/>
        <v>ww</v>
      </c>
      <c r="J1316" s="53"/>
    </row>
    <row r="1317" spans="1:10" x14ac:dyDescent="0.25">
      <c r="A1317" s="93">
        <v>44118</v>
      </c>
      <c r="B1317" s="35">
        <f t="shared" si="103"/>
        <v>142</v>
      </c>
      <c r="C1317" s="76">
        <v>10</v>
      </c>
      <c r="D1317" s="53">
        <v>2020</v>
      </c>
      <c r="E1317" s="56">
        <v>6.2666666666666666</v>
      </c>
      <c r="F1317" s="53">
        <f t="shared" si="104"/>
        <v>1</v>
      </c>
      <c r="G1317" s="53">
        <f t="shared" si="106"/>
        <v>2</v>
      </c>
      <c r="H1317" s="53">
        <f t="shared" si="107"/>
        <v>2</v>
      </c>
      <c r="I1317" s="53" t="str">
        <f t="shared" si="105"/>
        <v>ww</v>
      </c>
      <c r="J1317" s="53"/>
    </row>
    <row r="1318" spans="1:10" x14ac:dyDescent="0.25">
      <c r="A1318" s="93">
        <v>44119</v>
      </c>
      <c r="B1318" s="35">
        <f t="shared" si="103"/>
        <v>142</v>
      </c>
      <c r="C1318" s="76">
        <v>10</v>
      </c>
      <c r="D1318" s="53">
        <v>2020</v>
      </c>
      <c r="E1318" s="56">
        <v>2.6</v>
      </c>
      <c r="F1318" s="53">
        <f t="shared" si="104"/>
        <v>1</v>
      </c>
      <c r="G1318" s="53">
        <f t="shared" si="106"/>
        <v>2</v>
      </c>
      <c r="H1318" s="53">
        <f t="shared" si="107"/>
        <v>2</v>
      </c>
      <c r="I1318" s="53" t="str">
        <f t="shared" si="105"/>
        <v>ww</v>
      </c>
      <c r="J1318" s="53"/>
    </row>
    <row r="1319" spans="1:10" x14ac:dyDescent="0.25">
      <c r="A1319" s="93">
        <v>44120</v>
      </c>
      <c r="B1319" s="35">
        <f t="shared" si="103"/>
        <v>142</v>
      </c>
      <c r="C1319" s="76">
        <v>10</v>
      </c>
      <c r="D1319" s="53">
        <v>2020</v>
      </c>
      <c r="E1319" s="56">
        <v>0.73333333333333339</v>
      </c>
      <c r="F1319" s="53">
        <f t="shared" si="104"/>
        <v>1</v>
      </c>
      <c r="G1319" s="53">
        <f t="shared" si="106"/>
        <v>2</v>
      </c>
      <c r="H1319" s="53">
        <f t="shared" si="107"/>
        <v>2</v>
      </c>
      <c r="I1319" s="53" t="str">
        <f t="shared" si="105"/>
        <v>ww</v>
      </c>
      <c r="J1319" s="53"/>
    </row>
    <row r="1320" spans="1:10" x14ac:dyDescent="0.25">
      <c r="A1320" s="93">
        <v>44121</v>
      </c>
      <c r="B1320" s="35">
        <f t="shared" si="103"/>
        <v>142</v>
      </c>
      <c r="C1320" s="76">
        <v>10</v>
      </c>
      <c r="D1320" s="53">
        <v>2020</v>
      </c>
      <c r="E1320" s="56">
        <v>0.93333333333333324</v>
      </c>
      <c r="F1320" s="53">
        <f t="shared" si="104"/>
        <v>1</v>
      </c>
      <c r="G1320" s="53">
        <f t="shared" si="106"/>
        <v>2</v>
      </c>
      <c r="H1320" s="53">
        <f t="shared" si="107"/>
        <v>2</v>
      </c>
      <c r="I1320" s="53" t="str">
        <f t="shared" si="105"/>
        <v>ww</v>
      </c>
      <c r="J1320" s="53"/>
    </row>
    <row r="1321" spans="1:10" x14ac:dyDescent="0.25">
      <c r="A1321" s="93">
        <v>44122</v>
      </c>
      <c r="B1321" s="35">
        <f t="shared" si="103"/>
        <v>142</v>
      </c>
      <c r="C1321" s="76">
        <v>10</v>
      </c>
      <c r="D1321" s="53">
        <v>2020</v>
      </c>
      <c r="E1321" s="56">
        <v>2.1999999999999997</v>
      </c>
      <c r="F1321" s="53">
        <f t="shared" si="104"/>
        <v>1</v>
      </c>
      <c r="G1321" s="53">
        <f t="shared" si="106"/>
        <v>2</v>
      </c>
      <c r="H1321" s="53">
        <f t="shared" si="107"/>
        <v>2</v>
      </c>
      <c r="I1321" s="53" t="str">
        <f t="shared" si="105"/>
        <v>ww</v>
      </c>
      <c r="J1321" s="53"/>
    </row>
    <row r="1322" spans="1:10" x14ac:dyDescent="0.25">
      <c r="A1322" s="93">
        <v>44123</v>
      </c>
      <c r="B1322" s="35">
        <f t="shared" si="103"/>
        <v>142</v>
      </c>
      <c r="C1322" s="76">
        <v>10</v>
      </c>
      <c r="D1322" s="53">
        <v>2020</v>
      </c>
      <c r="E1322" s="56">
        <v>0</v>
      </c>
      <c r="F1322" s="53">
        <f t="shared" si="104"/>
        <v>0</v>
      </c>
      <c r="G1322" s="53">
        <f t="shared" si="106"/>
        <v>1</v>
      </c>
      <c r="H1322" s="53">
        <f t="shared" si="107"/>
        <v>1</v>
      </c>
      <c r="I1322" s="53" t="str">
        <f t="shared" si="105"/>
        <v>wd</v>
      </c>
      <c r="J1322" s="53"/>
    </row>
    <row r="1323" spans="1:10" x14ac:dyDescent="0.25">
      <c r="A1323" s="93">
        <v>44124</v>
      </c>
      <c r="B1323" s="35">
        <f t="shared" si="103"/>
        <v>142</v>
      </c>
      <c r="C1323" s="76">
        <v>10</v>
      </c>
      <c r="D1323" s="53">
        <v>2020</v>
      </c>
      <c r="E1323" s="56">
        <v>3.6</v>
      </c>
      <c r="F1323" s="53">
        <f t="shared" si="104"/>
        <v>1</v>
      </c>
      <c r="G1323" s="53">
        <f t="shared" si="106"/>
        <v>1</v>
      </c>
      <c r="H1323" s="53">
        <f t="shared" si="107"/>
        <v>-1</v>
      </c>
      <c r="I1323" s="53" t="str">
        <f t="shared" si="105"/>
        <v>dw</v>
      </c>
      <c r="J1323" s="53"/>
    </row>
    <row r="1324" spans="1:10" x14ac:dyDescent="0.25">
      <c r="A1324" s="93">
        <v>44125</v>
      </c>
      <c r="B1324" s="35">
        <f t="shared" si="103"/>
        <v>142</v>
      </c>
      <c r="C1324" s="76">
        <v>10</v>
      </c>
      <c r="D1324" s="53">
        <v>2020</v>
      </c>
      <c r="E1324" s="56">
        <v>1.0666666666666667</v>
      </c>
      <c r="F1324" s="53">
        <f t="shared" si="104"/>
        <v>1</v>
      </c>
      <c r="G1324" s="53">
        <f t="shared" si="106"/>
        <v>2</v>
      </c>
      <c r="H1324" s="53">
        <f t="shared" si="107"/>
        <v>2</v>
      </c>
      <c r="I1324" s="53" t="str">
        <f t="shared" si="105"/>
        <v>ww</v>
      </c>
      <c r="J1324" s="53"/>
    </row>
    <row r="1325" spans="1:10" x14ac:dyDescent="0.25">
      <c r="A1325" s="93">
        <v>44126</v>
      </c>
      <c r="B1325" s="35">
        <f t="shared" si="103"/>
        <v>142</v>
      </c>
      <c r="C1325" s="76">
        <v>10</v>
      </c>
      <c r="D1325" s="53">
        <v>2020</v>
      </c>
      <c r="E1325" s="56">
        <v>0.6</v>
      </c>
      <c r="F1325" s="53">
        <f t="shared" si="104"/>
        <v>1</v>
      </c>
      <c r="G1325" s="53">
        <f t="shared" si="106"/>
        <v>2</v>
      </c>
      <c r="H1325" s="53">
        <f t="shared" si="107"/>
        <v>2</v>
      </c>
      <c r="I1325" s="53" t="str">
        <f t="shared" si="105"/>
        <v>ww</v>
      </c>
      <c r="J1325" s="53"/>
    </row>
    <row r="1326" spans="1:10" x14ac:dyDescent="0.25">
      <c r="A1326" s="93">
        <v>44127</v>
      </c>
      <c r="B1326" s="35">
        <f t="shared" si="103"/>
        <v>142</v>
      </c>
      <c r="C1326" s="76">
        <v>10</v>
      </c>
      <c r="D1326" s="53">
        <v>2020</v>
      </c>
      <c r="E1326" s="56">
        <v>1.2666666666666666</v>
      </c>
      <c r="F1326" s="53">
        <f t="shared" si="104"/>
        <v>1</v>
      </c>
      <c r="G1326" s="53">
        <f t="shared" si="106"/>
        <v>2</v>
      </c>
      <c r="H1326" s="53">
        <f t="shared" si="107"/>
        <v>2</v>
      </c>
      <c r="I1326" s="53" t="str">
        <f t="shared" si="105"/>
        <v>ww</v>
      </c>
      <c r="J1326" s="53"/>
    </row>
    <row r="1327" spans="1:10" x14ac:dyDescent="0.25">
      <c r="A1327" s="93">
        <v>44128</v>
      </c>
      <c r="B1327" s="35">
        <f t="shared" si="103"/>
        <v>142</v>
      </c>
      <c r="C1327" s="76">
        <v>10</v>
      </c>
      <c r="D1327" s="53">
        <v>2020</v>
      </c>
      <c r="E1327" s="56">
        <v>1.3333333333333333</v>
      </c>
      <c r="F1327" s="53">
        <f t="shared" si="104"/>
        <v>1</v>
      </c>
      <c r="G1327" s="53">
        <f t="shared" si="106"/>
        <v>2</v>
      </c>
      <c r="H1327" s="53">
        <f t="shared" si="107"/>
        <v>2</v>
      </c>
      <c r="I1327" s="53" t="str">
        <f t="shared" si="105"/>
        <v>ww</v>
      </c>
      <c r="J1327" s="53"/>
    </row>
    <row r="1328" spans="1:10" x14ac:dyDescent="0.25">
      <c r="A1328" s="93">
        <v>44129</v>
      </c>
      <c r="B1328" s="35">
        <f t="shared" si="103"/>
        <v>142</v>
      </c>
      <c r="C1328" s="76">
        <v>10</v>
      </c>
      <c r="D1328" s="53">
        <v>2020</v>
      </c>
      <c r="E1328" s="56">
        <v>5.7333333333333334</v>
      </c>
      <c r="F1328" s="53">
        <f t="shared" si="104"/>
        <v>1</v>
      </c>
      <c r="G1328" s="53">
        <f t="shared" si="106"/>
        <v>2</v>
      </c>
      <c r="H1328" s="53">
        <f t="shared" si="107"/>
        <v>2</v>
      </c>
      <c r="I1328" s="53" t="str">
        <f t="shared" si="105"/>
        <v>ww</v>
      </c>
      <c r="J1328" s="53"/>
    </row>
    <row r="1329" spans="1:10" x14ac:dyDescent="0.25">
      <c r="A1329" s="93">
        <v>44130</v>
      </c>
      <c r="B1329" s="35">
        <f t="shared" si="103"/>
        <v>142</v>
      </c>
      <c r="C1329" s="76">
        <v>10</v>
      </c>
      <c r="D1329" s="53">
        <v>2020</v>
      </c>
      <c r="E1329" s="56">
        <v>6.6666666666666666E-2</v>
      </c>
      <c r="F1329" s="53">
        <f t="shared" si="104"/>
        <v>1</v>
      </c>
      <c r="G1329" s="53">
        <f t="shared" si="106"/>
        <v>2</v>
      </c>
      <c r="H1329" s="53">
        <f t="shared" si="107"/>
        <v>2</v>
      </c>
      <c r="I1329" s="53" t="str">
        <f t="shared" si="105"/>
        <v>ww</v>
      </c>
      <c r="J1329" s="53"/>
    </row>
    <row r="1330" spans="1:10" x14ac:dyDescent="0.25">
      <c r="A1330" s="93">
        <v>44131</v>
      </c>
      <c r="B1330" s="35">
        <f t="shared" si="103"/>
        <v>142</v>
      </c>
      <c r="C1330" s="76">
        <v>10</v>
      </c>
      <c r="D1330" s="53">
        <v>2020</v>
      </c>
      <c r="E1330" s="56">
        <v>0</v>
      </c>
      <c r="F1330" s="53">
        <f t="shared" si="104"/>
        <v>0</v>
      </c>
      <c r="G1330" s="53">
        <f t="shared" si="106"/>
        <v>1</v>
      </c>
      <c r="H1330" s="53">
        <f t="shared" si="107"/>
        <v>1</v>
      </c>
      <c r="I1330" s="53" t="str">
        <f t="shared" si="105"/>
        <v>wd</v>
      </c>
      <c r="J1330" s="53"/>
    </row>
    <row r="1331" spans="1:10" x14ac:dyDescent="0.25">
      <c r="A1331" s="93">
        <v>44132</v>
      </c>
      <c r="B1331" s="35">
        <f t="shared" si="103"/>
        <v>142</v>
      </c>
      <c r="C1331" s="76">
        <v>10</v>
      </c>
      <c r="D1331" s="53">
        <v>2020</v>
      </c>
      <c r="E1331" s="56">
        <v>2.0666666666666664</v>
      </c>
      <c r="F1331" s="53">
        <f t="shared" si="104"/>
        <v>1</v>
      </c>
      <c r="G1331" s="53">
        <f t="shared" si="106"/>
        <v>1</v>
      </c>
      <c r="H1331" s="53">
        <f t="shared" si="107"/>
        <v>-1</v>
      </c>
      <c r="I1331" s="53" t="str">
        <f t="shared" si="105"/>
        <v>dw</v>
      </c>
      <c r="J1331" s="53"/>
    </row>
    <row r="1332" spans="1:10" x14ac:dyDescent="0.25">
      <c r="A1332" s="93">
        <v>44133</v>
      </c>
      <c r="B1332" s="35">
        <f t="shared" si="103"/>
        <v>142</v>
      </c>
      <c r="C1332" s="76">
        <v>10</v>
      </c>
      <c r="D1332" s="53">
        <v>2020</v>
      </c>
      <c r="E1332" s="56">
        <v>0</v>
      </c>
      <c r="F1332" s="53">
        <f t="shared" si="104"/>
        <v>0</v>
      </c>
      <c r="G1332" s="53">
        <f t="shared" si="106"/>
        <v>1</v>
      </c>
      <c r="H1332" s="53">
        <f t="shared" si="107"/>
        <v>1</v>
      </c>
      <c r="I1332" s="53" t="str">
        <f t="shared" si="105"/>
        <v>wd</v>
      </c>
      <c r="J1332" s="53"/>
    </row>
    <row r="1333" spans="1:10" x14ac:dyDescent="0.25">
      <c r="A1333" s="93">
        <v>44134</v>
      </c>
      <c r="B1333" s="35">
        <f t="shared" si="103"/>
        <v>142</v>
      </c>
      <c r="C1333" s="76">
        <v>10</v>
      </c>
      <c r="D1333" s="53">
        <v>2020</v>
      </c>
      <c r="E1333" s="56">
        <v>2.7999999999999994</v>
      </c>
      <c r="F1333" s="53">
        <f t="shared" si="104"/>
        <v>1</v>
      </c>
      <c r="G1333" s="53">
        <f t="shared" si="106"/>
        <v>1</v>
      </c>
      <c r="H1333" s="53">
        <f t="shared" si="107"/>
        <v>-1</v>
      </c>
      <c r="I1333" s="53" t="str">
        <f t="shared" si="105"/>
        <v>dw</v>
      </c>
      <c r="J1333" s="53"/>
    </row>
    <row r="1334" spans="1:10" x14ac:dyDescent="0.25">
      <c r="A1334" s="93">
        <v>44135</v>
      </c>
      <c r="B1334" s="35">
        <f t="shared" si="103"/>
        <v>142</v>
      </c>
      <c r="C1334" s="76">
        <v>10</v>
      </c>
      <c r="D1334" s="53">
        <v>2020</v>
      </c>
      <c r="E1334" s="56">
        <v>0.33333333333333331</v>
      </c>
      <c r="F1334" s="53">
        <f t="shared" si="104"/>
        <v>1</v>
      </c>
      <c r="G1334" s="53">
        <f t="shared" si="106"/>
        <v>2</v>
      </c>
      <c r="H1334" s="53">
        <f t="shared" si="107"/>
        <v>2</v>
      </c>
      <c r="I1334" s="53" t="str">
        <f t="shared" si="105"/>
        <v>ww</v>
      </c>
      <c r="J1334" s="53"/>
    </row>
    <row r="1335" spans="1:10" x14ac:dyDescent="0.25">
      <c r="A1335" s="93">
        <v>44470</v>
      </c>
      <c r="B1335" s="35">
        <f t="shared" si="103"/>
        <v>154</v>
      </c>
      <c r="C1335" s="76">
        <v>10</v>
      </c>
      <c r="D1335" s="53">
        <v>2021</v>
      </c>
      <c r="E1335" s="56">
        <v>3.2666666666666671</v>
      </c>
      <c r="F1335" s="53">
        <f t="shared" si="104"/>
        <v>1</v>
      </c>
      <c r="G1335" s="53">
        <f t="shared" si="106"/>
        <v>2</v>
      </c>
      <c r="H1335" s="53">
        <f t="shared" si="107"/>
        <v>2</v>
      </c>
      <c r="I1335" s="53" t="str">
        <f t="shared" si="105"/>
        <v>ww</v>
      </c>
      <c r="J1335" s="53"/>
    </row>
    <row r="1336" spans="1:10" x14ac:dyDescent="0.25">
      <c r="A1336" s="93">
        <v>44471</v>
      </c>
      <c r="B1336" s="35">
        <f t="shared" si="103"/>
        <v>154</v>
      </c>
      <c r="C1336" s="76">
        <v>10</v>
      </c>
      <c r="D1336" s="53">
        <v>2021</v>
      </c>
      <c r="E1336" s="56">
        <v>0.13333333333333333</v>
      </c>
      <c r="F1336" s="53">
        <f t="shared" si="104"/>
        <v>1</v>
      </c>
      <c r="G1336" s="53">
        <f t="shared" si="106"/>
        <v>2</v>
      </c>
      <c r="H1336" s="53">
        <f t="shared" si="107"/>
        <v>2</v>
      </c>
      <c r="I1336" s="53" t="str">
        <f t="shared" si="105"/>
        <v>ww</v>
      </c>
      <c r="J1336" s="53"/>
    </row>
    <row r="1337" spans="1:10" x14ac:dyDescent="0.25">
      <c r="A1337" s="93">
        <v>44472</v>
      </c>
      <c r="B1337" s="35">
        <f t="shared" si="103"/>
        <v>154</v>
      </c>
      <c r="C1337" s="76">
        <v>10</v>
      </c>
      <c r="D1337" s="53">
        <v>2021</v>
      </c>
      <c r="E1337" s="56">
        <v>4</v>
      </c>
      <c r="F1337" s="53">
        <f t="shared" si="104"/>
        <v>1</v>
      </c>
      <c r="G1337" s="53">
        <f t="shared" si="106"/>
        <v>2</v>
      </c>
      <c r="H1337" s="53">
        <f t="shared" si="107"/>
        <v>2</v>
      </c>
      <c r="I1337" s="53" t="str">
        <f t="shared" si="105"/>
        <v>ww</v>
      </c>
      <c r="J1337" s="53"/>
    </row>
    <row r="1338" spans="1:10" x14ac:dyDescent="0.25">
      <c r="A1338" s="93">
        <v>44473</v>
      </c>
      <c r="B1338" s="35">
        <f t="shared" si="103"/>
        <v>154</v>
      </c>
      <c r="C1338" s="76">
        <v>10</v>
      </c>
      <c r="D1338" s="53">
        <v>2021</v>
      </c>
      <c r="E1338" s="56">
        <v>1.2</v>
      </c>
      <c r="F1338" s="53">
        <f t="shared" si="104"/>
        <v>1</v>
      </c>
      <c r="G1338" s="53">
        <f t="shared" si="106"/>
        <v>2</v>
      </c>
      <c r="H1338" s="53">
        <f t="shared" si="107"/>
        <v>2</v>
      </c>
      <c r="I1338" s="53" t="str">
        <f t="shared" si="105"/>
        <v>ww</v>
      </c>
      <c r="J1338" s="53"/>
    </row>
    <row r="1339" spans="1:10" x14ac:dyDescent="0.25">
      <c r="A1339" s="93">
        <v>44474</v>
      </c>
      <c r="B1339" s="35">
        <f t="shared" si="103"/>
        <v>154</v>
      </c>
      <c r="C1339" s="76">
        <v>10</v>
      </c>
      <c r="D1339" s="53">
        <v>2021</v>
      </c>
      <c r="E1339" s="56">
        <v>23.733333333333334</v>
      </c>
      <c r="F1339" s="53">
        <f t="shared" si="104"/>
        <v>1</v>
      </c>
      <c r="G1339" s="53">
        <f t="shared" si="106"/>
        <v>2</v>
      </c>
      <c r="H1339" s="53">
        <f t="shared" si="107"/>
        <v>2</v>
      </c>
      <c r="I1339" s="53" t="str">
        <f t="shared" si="105"/>
        <v>ww</v>
      </c>
      <c r="J1339" s="53"/>
    </row>
    <row r="1340" spans="1:10" x14ac:dyDescent="0.25">
      <c r="A1340" s="93">
        <v>44475</v>
      </c>
      <c r="B1340" s="35">
        <f t="shared" si="103"/>
        <v>154</v>
      </c>
      <c r="C1340" s="76">
        <v>10</v>
      </c>
      <c r="D1340" s="53">
        <v>2021</v>
      </c>
      <c r="E1340" s="56">
        <v>22</v>
      </c>
      <c r="F1340" s="53">
        <f t="shared" si="104"/>
        <v>1</v>
      </c>
      <c r="G1340" s="53">
        <f t="shared" si="106"/>
        <v>2</v>
      </c>
      <c r="H1340" s="53">
        <f t="shared" si="107"/>
        <v>2</v>
      </c>
      <c r="I1340" s="53" t="str">
        <f t="shared" si="105"/>
        <v>ww</v>
      </c>
      <c r="J1340" s="53"/>
    </row>
    <row r="1341" spans="1:10" x14ac:dyDescent="0.25">
      <c r="A1341" s="93">
        <v>44476</v>
      </c>
      <c r="B1341" s="35">
        <f t="shared" si="103"/>
        <v>154</v>
      </c>
      <c r="C1341" s="76">
        <v>10</v>
      </c>
      <c r="D1341" s="53">
        <v>2021</v>
      </c>
      <c r="E1341" s="56">
        <v>0.33333333333333331</v>
      </c>
      <c r="F1341" s="53">
        <f t="shared" si="104"/>
        <v>1</v>
      </c>
      <c r="G1341" s="53">
        <f t="shared" si="106"/>
        <v>2</v>
      </c>
      <c r="H1341" s="53">
        <f t="shared" si="107"/>
        <v>2</v>
      </c>
      <c r="I1341" s="53" t="str">
        <f t="shared" si="105"/>
        <v>ww</v>
      </c>
      <c r="J1341" s="53"/>
    </row>
    <row r="1342" spans="1:10" x14ac:dyDescent="0.25">
      <c r="A1342" s="93">
        <v>44477</v>
      </c>
      <c r="B1342" s="35">
        <f t="shared" si="103"/>
        <v>154</v>
      </c>
      <c r="C1342" s="76">
        <v>10</v>
      </c>
      <c r="D1342" s="53">
        <v>2021</v>
      </c>
      <c r="E1342" s="56">
        <v>0</v>
      </c>
      <c r="F1342" s="53">
        <f t="shared" si="104"/>
        <v>0</v>
      </c>
      <c r="G1342" s="53">
        <f t="shared" si="106"/>
        <v>1</v>
      </c>
      <c r="H1342" s="53">
        <f t="shared" si="107"/>
        <v>1</v>
      </c>
      <c r="I1342" s="53" t="str">
        <f t="shared" si="105"/>
        <v>wd</v>
      </c>
      <c r="J1342" s="53"/>
    </row>
    <row r="1343" spans="1:10" x14ac:dyDescent="0.25">
      <c r="A1343" s="93">
        <v>44478</v>
      </c>
      <c r="B1343" s="35">
        <f t="shared" si="103"/>
        <v>154</v>
      </c>
      <c r="C1343" s="76">
        <v>10</v>
      </c>
      <c r="D1343" s="53">
        <v>2021</v>
      </c>
      <c r="E1343" s="56">
        <v>0</v>
      </c>
      <c r="F1343" s="53">
        <f t="shared" si="104"/>
        <v>0</v>
      </c>
      <c r="G1343" s="53">
        <f t="shared" si="106"/>
        <v>0</v>
      </c>
      <c r="H1343" s="53">
        <f t="shared" si="107"/>
        <v>0</v>
      </c>
      <c r="I1343" s="53" t="str">
        <f t="shared" si="105"/>
        <v>dd</v>
      </c>
      <c r="J1343" s="53"/>
    </row>
    <row r="1344" spans="1:10" x14ac:dyDescent="0.25">
      <c r="A1344" s="93">
        <v>44479</v>
      </c>
      <c r="B1344" s="35">
        <f t="shared" si="103"/>
        <v>154</v>
      </c>
      <c r="C1344" s="76">
        <v>10</v>
      </c>
      <c r="D1344" s="53">
        <v>2021</v>
      </c>
      <c r="E1344" s="56">
        <v>0.33333333333333331</v>
      </c>
      <c r="F1344" s="53">
        <f t="shared" si="104"/>
        <v>1</v>
      </c>
      <c r="G1344" s="53">
        <f t="shared" si="106"/>
        <v>1</v>
      </c>
      <c r="H1344" s="53">
        <f t="shared" si="107"/>
        <v>-1</v>
      </c>
      <c r="I1344" s="53" t="str">
        <f t="shared" si="105"/>
        <v>dw</v>
      </c>
      <c r="J1344" s="53"/>
    </row>
    <row r="1345" spans="1:10" x14ac:dyDescent="0.25">
      <c r="A1345" s="93">
        <v>44480</v>
      </c>
      <c r="B1345" s="35">
        <f t="shared" si="103"/>
        <v>154</v>
      </c>
      <c r="C1345" s="76">
        <v>10</v>
      </c>
      <c r="D1345" s="53">
        <v>2021</v>
      </c>
      <c r="E1345" s="56">
        <v>0</v>
      </c>
      <c r="F1345" s="53">
        <f t="shared" si="104"/>
        <v>0</v>
      </c>
      <c r="G1345" s="53">
        <f t="shared" si="106"/>
        <v>1</v>
      </c>
      <c r="H1345" s="53">
        <f t="shared" si="107"/>
        <v>1</v>
      </c>
      <c r="I1345" s="53" t="str">
        <f t="shared" si="105"/>
        <v>wd</v>
      </c>
      <c r="J1345" s="53"/>
    </row>
    <row r="1346" spans="1:10" x14ac:dyDescent="0.25">
      <c r="A1346" s="93">
        <v>44481</v>
      </c>
      <c r="B1346" s="35">
        <f t="shared" ref="B1346:B1409" si="108">C1346+(D1346-2009)*12</f>
        <v>154</v>
      </c>
      <c r="C1346" s="76">
        <v>10</v>
      </c>
      <c r="D1346" s="53">
        <v>2021</v>
      </c>
      <c r="E1346" s="56">
        <v>0.79999999999999993</v>
      </c>
      <c r="F1346" s="53">
        <f t="shared" ref="F1346:F1409" si="109">IF(E1346&gt;0,1,0)</f>
        <v>1</v>
      </c>
      <c r="G1346" s="53">
        <f t="shared" si="106"/>
        <v>1</v>
      </c>
      <c r="H1346" s="53">
        <f t="shared" si="107"/>
        <v>-1</v>
      </c>
      <c r="I1346" s="53" t="str">
        <f t="shared" ref="I1346:I1409" si="110">VLOOKUP(H1346,codes,2,)</f>
        <v>dw</v>
      </c>
      <c r="J1346" s="53"/>
    </row>
    <row r="1347" spans="1:10" x14ac:dyDescent="0.25">
      <c r="A1347" s="93">
        <v>44482</v>
      </c>
      <c r="B1347" s="35">
        <f t="shared" si="108"/>
        <v>154</v>
      </c>
      <c r="C1347" s="76">
        <v>10</v>
      </c>
      <c r="D1347" s="53">
        <v>2021</v>
      </c>
      <c r="E1347" s="56">
        <v>0.46666666666666673</v>
      </c>
      <c r="F1347" s="53">
        <f t="shared" si="109"/>
        <v>1</v>
      </c>
      <c r="G1347" s="53">
        <f t="shared" si="106"/>
        <v>2</v>
      </c>
      <c r="H1347" s="53">
        <f t="shared" si="107"/>
        <v>2</v>
      </c>
      <c r="I1347" s="53" t="str">
        <f t="shared" si="110"/>
        <v>ww</v>
      </c>
      <c r="J1347" s="53"/>
    </row>
    <row r="1348" spans="1:10" x14ac:dyDescent="0.25">
      <c r="A1348" s="93">
        <v>44483</v>
      </c>
      <c r="B1348" s="35">
        <f t="shared" si="108"/>
        <v>154</v>
      </c>
      <c r="C1348" s="76">
        <v>10</v>
      </c>
      <c r="D1348" s="53">
        <v>2021</v>
      </c>
      <c r="E1348" s="56">
        <v>0</v>
      </c>
      <c r="F1348" s="53">
        <f t="shared" si="109"/>
        <v>0</v>
      </c>
      <c r="G1348" s="53">
        <f t="shared" ref="G1348:G1411" si="111">SUM(F1347:F1348)</f>
        <v>1</v>
      </c>
      <c r="H1348" s="53">
        <f t="shared" ref="H1348:H1411" si="112">IF(G1348=1,IF(F1347=1,1,-1),G1348)</f>
        <v>1</v>
      </c>
      <c r="I1348" s="53" t="str">
        <f t="shared" si="110"/>
        <v>wd</v>
      </c>
      <c r="J1348" s="53"/>
    </row>
    <row r="1349" spans="1:10" x14ac:dyDescent="0.25">
      <c r="A1349" s="93">
        <v>44484</v>
      </c>
      <c r="B1349" s="35">
        <f t="shared" si="108"/>
        <v>154</v>
      </c>
      <c r="C1349" s="76">
        <v>10</v>
      </c>
      <c r="D1349" s="53">
        <v>2021</v>
      </c>
      <c r="E1349" s="56">
        <v>6.8666666666666663</v>
      </c>
      <c r="F1349" s="53">
        <f t="shared" si="109"/>
        <v>1</v>
      </c>
      <c r="G1349" s="53">
        <f t="shared" si="111"/>
        <v>1</v>
      </c>
      <c r="H1349" s="53">
        <f t="shared" si="112"/>
        <v>-1</v>
      </c>
      <c r="I1349" s="53" t="str">
        <f t="shared" si="110"/>
        <v>dw</v>
      </c>
      <c r="J1349" s="53"/>
    </row>
    <row r="1350" spans="1:10" x14ac:dyDescent="0.25">
      <c r="A1350" s="93">
        <v>44485</v>
      </c>
      <c r="B1350" s="35">
        <f t="shared" si="108"/>
        <v>154</v>
      </c>
      <c r="C1350" s="76">
        <v>10</v>
      </c>
      <c r="D1350" s="53">
        <v>2021</v>
      </c>
      <c r="E1350" s="56">
        <v>0</v>
      </c>
      <c r="F1350" s="53">
        <f t="shared" si="109"/>
        <v>0</v>
      </c>
      <c r="G1350" s="53">
        <f t="shared" si="111"/>
        <v>1</v>
      </c>
      <c r="H1350" s="53">
        <f t="shared" si="112"/>
        <v>1</v>
      </c>
      <c r="I1350" s="53" t="str">
        <f t="shared" si="110"/>
        <v>wd</v>
      </c>
      <c r="J1350" s="53"/>
    </row>
    <row r="1351" spans="1:10" x14ac:dyDescent="0.25">
      <c r="A1351" s="93">
        <v>44486</v>
      </c>
      <c r="B1351" s="35">
        <f t="shared" si="108"/>
        <v>154</v>
      </c>
      <c r="C1351" s="76">
        <v>10</v>
      </c>
      <c r="D1351" s="53">
        <v>2021</v>
      </c>
      <c r="E1351" s="56">
        <v>0.73333333333333339</v>
      </c>
      <c r="F1351" s="53">
        <f t="shared" si="109"/>
        <v>1</v>
      </c>
      <c r="G1351" s="53">
        <f t="shared" si="111"/>
        <v>1</v>
      </c>
      <c r="H1351" s="53">
        <f t="shared" si="112"/>
        <v>-1</v>
      </c>
      <c r="I1351" s="53" t="str">
        <f t="shared" si="110"/>
        <v>dw</v>
      </c>
      <c r="J1351" s="53"/>
    </row>
    <row r="1352" spans="1:10" x14ac:dyDescent="0.25">
      <c r="A1352" s="93">
        <v>44487</v>
      </c>
      <c r="B1352" s="35">
        <f t="shared" si="108"/>
        <v>154</v>
      </c>
      <c r="C1352" s="76">
        <v>10</v>
      </c>
      <c r="D1352" s="53">
        <v>2021</v>
      </c>
      <c r="E1352" s="56">
        <v>0</v>
      </c>
      <c r="F1352" s="53">
        <f t="shared" si="109"/>
        <v>0</v>
      </c>
      <c r="G1352" s="53">
        <f t="shared" si="111"/>
        <v>1</v>
      </c>
      <c r="H1352" s="53">
        <f t="shared" si="112"/>
        <v>1</v>
      </c>
      <c r="I1352" s="53" t="str">
        <f t="shared" si="110"/>
        <v>wd</v>
      </c>
      <c r="J1352" s="53"/>
    </row>
    <row r="1353" spans="1:10" x14ac:dyDescent="0.25">
      <c r="A1353" s="93">
        <v>44488</v>
      </c>
      <c r="B1353" s="35">
        <f t="shared" si="108"/>
        <v>154</v>
      </c>
      <c r="C1353" s="76">
        <v>10</v>
      </c>
      <c r="D1353" s="53">
        <v>2021</v>
      </c>
      <c r="E1353" s="56">
        <v>1.9333333333333333</v>
      </c>
      <c r="F1353" s="53">
        <f t="shared" si="109"/>
        <v>1</v>
      </c>
      <c r="G1353" s="53">
        <f t="shared" si="111"/>
        <v>1</v>
      </c>
      <c r="H1353" s="53">
        <f t="shared" si="112"/>
        <v>-1</v>
      </c>
      <c r="I1353" s="53" t="str">
        <f t="shared" si="110"/>
        <v>dw</v>
      </c>
      <c r="J1353" s="53"/>
    </row>
    <row r="1354" spans="1:10" x14ac:dyDescent="0.25">
      <c r="A1354" s="93">
        <v>44489</v>
      </c>
      <c r="B1354" s="35">
        <f t="shared" si="108"/>
        <v>154</v>
      </c>
      <c r="C1354" s="76">
        <v>10</v>
      </c>
      <c r="D1354" s="53">
        <v>2021</v>
      </c>
      <c r="E1354" s="56">
        <v>1.0666666666666667</v>
      </c>
      <c r="F1354" s="53">
        <f t="shared" si="109"/>
        <v>1</v>
      </c>
      <c r="G1354" s="53">
        <f t="shared" si="111"/>
        <v>2</v>
      </c>
      <c r="H1354" s="53">
        <f t="shared" si="112"/>
        <v>2</v>
      </c>
      <c r="I1354" s="53" t="str">
        <f t="shared" si="110"/>
        <v>ww</v>
      </c>
      <c r="J1354" s="53"/>
    </row>
    <row r="1355" spans="1:10" x14ac:dyDescent="0.25">
      <c r="A1355" s="93">
        <v>44490</v>
      </c>
      <c r="B1355" s="35">
        <f t="shared" si="108"/>
        <v>154</v>
      </c>
      <c r="C1355" s="76">
        <v>10</v>
      </c>
      <c r="D1355" s="53">
        <v>2021</v>
      </c>
      <c r="E1355" s="56">
        <v>4.2666666666666666</v>
      </c>
      <c r="F1355" s="53">
        <f t="shared" si="109"/>
        <v>1</v>
      </c>
      <c r="G1355" s="53">
        <f t="shared" si="111"/>
        <v>2</v>
      </c>
      <c r="H1355" s="53">
        <f t="shared" si="112"/>
        <v>2</v>
      </c>
      <c r="I1355" s="53" t="str">
        <f t="shared" si="110"/>
        <v>ww</v>
      </c>
      <c r="J1355" s="53"/>
    </row>
    <row r="1356" spans="1:10" x14ac:dyDescent="0.25">
      <c r="A1356" s="93">
        <v>44491</v>
      </c>
      <c r="B1356" s="35">
        <f t="shared" si="108"/>
        <v>154</v>
      </c>
      <c r="C1356" s="76">
        <v>10</v>
      </c>
      <c r="D1356" s="53">
        <v>2021</v>
      </c>
      <c r="E1356" s="56">
        <v>0</v>
      </c>
      <c r="F1356" s="53">
        <f t="shared" si="109"/>
        <v>0</v>
      </c>
      <c r="G1356" s="53">
        <f t="shared" si="111"/>
        <v>1</v>
      </c>
      <c r="H1356" s="53">
        <f t="shared" si="112"/>
        <v>1</v>
      </c>
      <c r="I1356" s="53" t="str">
        <f t="shared" si="110"/>
        <v>wd</v>
      </c>
      <c r="J1356" s="53"/>
    </row>
    <row r="1357" spans="1:10" x14ac:dyDescent="0.25">
      <c r="A1357" s="93">
        <v>44492</v>
      </c>
      <c r="B1357" s="35">
        <f t="shared" si="108"/>
        <v>154</v>
      </c>
      <c r="C1357" s="76">
        <v>10</v>
      </c>
      <c r="D1357" s="53">
        <v>2021</v>
      </c>
      <c r="E1357" s="56">
        <v>0.6</v>
      </c>
      <c r="F1357" s="53">
        <f t="shared" si="109"/>
        <v>1</v>
      </c>
      <c r="G1357" s="53">
        <f t="shared" si="111"/>
        <v>1</v>
      </c>
      <c r="H1357" s="53">
        <f t="shared" si="112"/>
        <v>-1</v>
      </c>
      <c r="I1357" s="53" t="str">
        <f t="shared" si="110"/>
        <v>dw</v>
      </c>
      <c r="J1357" s="53"/>
    </row>
    <row r="1358" spans="1:10" x14ac:dyDescent="0.25">
      <c r="A1358" s="93">
        <v>44493</v>
      </c>
      <c r="B1358" s="35">
        <f t="shared" si="108"/>
        <v>154</v>
      </c>
      <c r="C1358" s="76">
        <v>10</v>
      </c>
      <c r="D1358" s="53">
        <v>2021</v>
      </c>
      <c r="E1358" s="56">
        <v>0</v>
      </c>
      <c r="F1358" s="53">
        <f t="shared" si="109"/>
        <v>0</v>
      </c>
      <c r="G1358" s="53">
        <f t="shared" si="111"/>
        <v>1</v>
      </c>
      <c r="H1358" s="53">
        <f t="shared" si="112"/>
        <v>1</v>
      </c>
      <c r="I1358" s="53" t="str">
        <f t="shared" si="110"/>
        <v>wd</v>
      </c>
      <c r="J1358" s="53"/>
    </row>
    <row r="1359" spans="1:10" x14ac:dyDescent="0.25">
      <c r="A1359" s="93">
        <v>44494</v>
      </c>
      <c r="B1359" s="35">
        <f t="shared" si="108"/>
        <v>154</v>
      </c>
      <c r="C1359" s="76">
        <v>10</v>
      </c>
      <c r="D1359" s="53">
        <v>2021</v>
      </c>
      <c r="E1359" s="56">
        <v>0.66666666666666663</v>
      </c>
      <c r="F1359" s="53">
        <f t="shared" si="109"/>
        <v>1</v>
      </c>
      <c r="G1359" s="53">
        <f t="shared" si="111"/>
        <v>1</v>
      </c>
      <c r="H1359" s="53">
        <f t="shared" si="112"/>
        <v>-1</v>
      </c>
      <c r="I1359" s="53" t="str">
        <f t="shared" si="110"/>
        <v>dw</v>
      </c>
      <c r="J1359" s="53"/>
    </row>
    <row r="1360" spans="1:10" x14ac:dyDescent="0.25">
      <c r="A1360" s="93">
        <v>44495</v>
      </c>
      <c r="B1360" s="35">
        <f t="shared" si="108"/>
        <v>154</v>
      </c>
      <c r="C1360" s="76">
        <v>10</v>
      </c>
      <c r="D1360" s="53">
        <v>2021</v>
      </c>
      <c r="E1360" s="56">
        <v>0.13333333333333333</v>
      </c>
      <c r="F1360" s="53">
        <f t="shared" si="109"/>
        <v>1</v>
      </c>
      <c r="G1360" s="53">
        <f t="shared" si="111"/>
        <v>2</v>
      </c>
      <c r="H1360" s="53">
        <f t="shared" si="112"/>
        <v>2</v>
      </c>
      <c r="I1360" s="53" t="str">
        <f t="shared" si="110"/>
        <v>ww</v>
      </c>
      <c r="J1360" s="53"/>
    </row>
    <row r="1361" spans="1:10" x14ac:dyDescent="0.25">
      <c r="A1361" s="93">
        <v>44496</v>
      </c>
      <c r="B1361" s="35">
        <f t="shared" si="108"/>
        <v>154</v>
      </c>
      <c r="C1361" s="76">
        <v>10</v>
      </c>
      <c r="D1361" s="53">
        <v>2021</v>
      </c>
      <c r="E1361" s="56">
        <v>0.20000000000000004</v>
      </c>
      <c r="F1361" s="53">
        <f t="shared" si="109"/>
        <v>1</v>
      </c>
      <c r="G1361" s="53">
        <f t="shared" si="111"/>
        <v>2</v>
      </c>
      <c r="H1361" s="53">
        <f t="shared" si="112"/>
        <v>2</v>
      </c>
      <c r="I1361" s="53" t="str">
        <f t="shared" si="110"/>
        <v>ww</v>
      </c>
      <c r="J1361" s="53"/>
    </row>
    <row r="1362" spans="1:10" x14ac:dyDescent="0.25">
      <c r="A1362" s="93">
        <v>44497</v>
      </c>
      <c r="B1362" s="35">
        <f t="shared" si="108"/>
        <v>154</v>
      </c>
      <c r="C1362" s="76">
        <v>10</v>
      </c>
      <c r="D1362" s="53">
        <v>2021</v>
      </c>
      <c r="E1362" s="56">
        <v>6.6666666666666666E-2</v>
      </c>
      <c r="F1362" s="53">
        <f t="shared" si="109"/>
        <v>1</v>
      </c>
      <c r="G1362" s="53">
        <f t="shared" si="111"/>
        <v>2</v>
      </c>
      <c r="H1362" s="53">
        <f t="shared" si="112"/>
        <v>2</v>
      </c>
      <c r="I1362" s="53" t="str">
        <f t="shared" si="110"/>
        <v>ww</v>
      </c>
      <c r="J1362" s="53"/>
    </row>
    <row r="1363" spans="1:10" x14ac:dyDescent="0.25">
      <c r="A1363" s="93">
        <v>44498</v>
      </c>
      <c r="B1363" s="35">
        <f t="shared" si="108"/>
        <v>154</v>
      </c>
      <c r="C1363" s="76">
        <v>10</v>
      </c>
      <c r="D1363" s="53">
        <v>2021</v>
      </c>
      <c r="E1363" s="56">
        <v>1.7333333333333332</v>
      </c>
      <c r="F1363" s="53">
        <f t="shared" si="109"/>
        <v>1</v>
      </c>
      <c r="G1363" s="53">
        <f t="shared" si="111"/>
        <v>2</v>
      </c>
      <c r="H1363" s="53">
        <f t="shared" si="112"/>
        <v>2</v>
      </c>
      <c r="I1363" s="53" t="str">
        <f t="shared" si="110"/>
        <v>ww</v>
      </c>
      <c r="J1363" s="53"/>
    </row>
    <row r="1364" spans="1:10" x14ac:dyDescent="0.25">
      <c r="A1364" s="93">
        <v>44499</v>
      </c>
      <c r="B1364" s="35">
        <f t="shared" si="108"/>
        <v>154</v>
      </c>
      <c r="C1364" s="76">
        <v>10</v>
      </c>
      <c r="D1364" s="53">
        <v>2021</v>
      </c>
      <c r="E1364" s="56">
        <v>0.66666666666666663</v>
      </c>
      <c r="F1364" s="53">
        <f t="shared" si="109"/>
        <v>1</v>
      </c>
      <c r="G1364" s="53">
        <f t="shared" si="111"/>
        <v>2</v>
      </c>
      <c r="H1364" s="53">
        <f t="shared" si="112"/>
        <v>2</v>
      </c>
      <c r="I1364" s="53" t="str">
        <f t="shared" si="110"/>
        <v>ww</v>
      </c>
      <c r="J1364" s="53"/>
    </row>
    <row r="1365" spans="1:10" x14ac:dyDescent="0.25">
      <c r="A1365" s="93">
        <v>44500</v>
      </c>
      <c r="B1365" s="35">
        <f t="shared" si="108"/>
        <v>154</v>
      </c>
      <c r="C1365" s="76">
        <v>10</v>
      </c>
      <c r="D1365" s="53">
        <v>2021</v>
      </c>
      <c r="E1365" s="56">
        <v>2.4666666666666668</v>
      </c>
      <c r="F1365" s="53">
        <f t="shared" si="109"/>
        <v>1</v>
      </c>
      <c r="G1365" s="53">
        <f t="shared" si="111"/>
        <v>2</v>
      </c>
      <c r="H1365" s="53">
        <f t="shared" si="112"/>
        <v>2</v>
      </c>
      <c r="I1365" s="53" t="str">
        <f t="shared" si="110"/>
        <v>ww</v>
      </c>
      <c r="J1365" s="53"/>
    </row>
    <row r="1366" spans="1:10" x14ac:dyDescent="0.25">
      <c r="A1366" s="93">
        <v>44835</v>
      </c>
      <c r="B1366" s="35">
        <f t="shared" si="108"/>
        <v>166</v>
      </c>
      <c r="C1366" s="76">
        <v>10</v>
      </c>
      <c r="D1366" s="53">
        <v>2022</v>
      </c>
      <c r="E1366" s="56">
        <v>8.4666666666666668</v>
      </c>
      <c r="F1366" s="53">
        <f t="shared" si="109"/>
        <v>1</v>
      </c>
      <c r="G1366" s="53">
        <f t="shared" si="111"/>
        <v>2</v>
      </c>
      <c r="H1366" s="53">
        <f t="shared" si="112"/>
        <v>2</v>
      </c>
      <c r="I1366" s="53" t="str">
        <f t="shared" si="110"/>
        <v>ww</v>
      </c>
      <c r="J1366" s="53"/>
    </row>
    <row r="1367" spans="1:10" x14ac:dyDescent="0.25">
      <c r="A1367" s="93">
        <v>44836</v>
      </c>
      <c r="B1367" s="35">
        <f t="shared" si="108"/>
        <v>166</v>
      </c>
      <c r="C1367" s="76">
        <v>10</v>
      </c>
      <c r="D1367" s="53">
        <v>2022</v>
      </c>
      <c r="E1367" s="56">
        <v>0.13333333333333333</v>
      </c>
      <c r="F1367" s="53">
        <f t="shared" si="109"/>
        <v>1</v>
      </c>
      <c r="G1367" s="53">
        <f t="shared" si="111"/>
        <v>2</v>
      </c>
      <c r="H1367" s="53">
        <f t="shared" si="112"/>
        <v>2</v>
      </c>
      <c r="I1367" s="53" t="str">
        <f t="shared" si="110"/>
        <v>ww</v>
      </c>
      <c r="J1367" s="53"/>
    </row>
    <row r="1368" spans="1:10" x14ac:dyDescent="0.25">
      <c r="A1368" s="93">
        <v>44837</v>
      </c>
      <c r="B1368" s="35">
        <f t="shared" si="108"/>
        <v>166</v>
      </c>
      <c r="C1368" s="76">
        <v>10</v>
      </c>
      <c r="D1368" s="53">
        <v>2022</v>
      </c>
      <c r="E1368" s="56">
        <v>0</v>
      </c>
      <c r="F1368" s="53">
        <f t="shared" si="109"/>
        <v>0</v>
      </c>
      <c r="G1368" s="53">
        <f t="shared" si="111"/>
        <v>1</v>
      </c>
      <c r="H1368" s="53">
        <f t="shared" si="112"/>
        <v>1</v>
      </c>
      <c r="I1368" s="53" t="str">
        <f t="shared" si="110"/>
        <v>wd</v>
      </c>
      <c r="J1368" s="53"/>
    </row>
    <row r="1369" spans="1:10" x14ac:dyDescent="0.25">
      <c r="A1369" s="93">
        <v>44838</v>
      </c>
      <c r="B1369" s="35">
        <f t="shared" si="108"/>
        <v>166</v>
      </c>
      <c r="C1369" s="76">
        <v>10</v>
      </c>
      <c r="D1369" s="53">
        <v>2022</v>
      </c>
      <c r="E1369" s="56">
        <v>0</v>
      </c>
      <c r="F1369" s="53">
        <f t="shared" si="109"/>
        <v>0</v>
      </c>
      <c r="G1369" s="53">
        <f t="shared" si="111"/>
        <v>0</v>
      </c>
      <c r="H1369" s="53">
        <f t="shared" si="112"/>
        <v>0</v>
      </c>
      <c r="I1369" s="53" t="str">
        <f t="shared" si="110"/>
        <v>dd</v>
      </c>
      <c r="J1369" s="53"/>
    </row>
    <row r="1370" spans="1:10" x14ac:dyDescent="0.25">
      <c r="A1370" s="93">
        <v>44839</v>
      </c>
      <c r="B1370" s="35">
        <f t="shared" si="108"/>
        <v>166</v>
      </c>
      <c r="C1370" s="76">
        <v>10</v>
      </c>
      <c r="D1370" s="53">
        <v>2022</v>
      </c>
      <c r="E1370" s="56">
        <v>4.0666666666666664</v>
      </c>
      <c r="F1370" s="53">
        <f t="shared" si="109"/>
        <v>1</v>
      </c>
      <c r="G1370" s="53">
        <f t="shared" si="111"/>
        <v>1</v>
      </c>
      <c r="H1370" s="53">
        <f t="shared" si="112"/>
        <v>-1</v>
      </c>
      <c r="I1370" s="53" t="str">
        <f t="shared" si="110"/>
        <v>dw</v>
      </c>
      <c r="J1370" s="53"/>
    </row>
    <row r="1371" spans="1:10" x14ac:dyDescent="0.25">
      <c r="A1371" s="93">
        <v>44840</v>
      </c>
      <c r="B1371" s="35">
        <f t="shared" si="108"/>
        <v>166</v>
      </c>
      <c r="C1371" s="76">
        <v>10</v>
      </c>
      <c r="D1371" s="53">
        <v>2022</v>
      </c>
      <c r="E1371" s="56">
        <v>1.1333333333333333</v>
      </c>
      <c r="F1371" s="53">
        <f t="shared" si="109"/>
        <v>1</v>
      </c>
      <c r="G1371" s="53">
        <f t="shared" si="111"/>
        <v>2</v>
      </c>
      <c r="H1371" s="53">
        <f t="shared" si="112"/>
        <v>2</v>
      </c>
      <c r="I1371" s="53" t="str">
        <f t="shared" si="110"/>
        <v>ww</v>
      </c>
      <c r="J1371" s="53"/>
    </row>
    <row r="1372" spans="1:10" x14ac:dyDescent="0.25">
      <c r="A1372" s="93">
        <v>44841</v>
      </c>
      <c r="B1372" s="35">
        <f t="shared" si="108"/>
        <v>166</v>
      </c>
      <c r="C1372" s="76">
        <v>10</v>
      </c>
      <c r="D1372" s="53">
        <v>2022</v>
      </c>
      <c r="E1372" s="56">
        <v>5.0666666666666664</v>
      </c>
      <c r="F1372" s="53">
        <f t="shared" si="109"/>
        <v>1</v>
      </c>
      <c r="G1372" s="53">
        <f t="shared" si="111"/>
        <v>2</v>
      </c>
      <c r="H1372" s="53">
        <f t="shared" si="112"/>
        <v>2</v>
      </c>
      <c r="I1372" s="53" t="str">
        <f t="shared" si="110"/>
        <v>ww</v>
      </c>
      <c r="J1372" s="53"/>
    </row>
    <row r="1373" spans="1:10" x14ac:dyDescent="0.25">
      <c r="A1373" s="93">
        <v>44842</v>
      </c>
      <c r="B1373" s="35">
        <f t="shared" si="108"/>
        <v>166</v>
      </c>
      <c r="C1373" s="76">
        <v>10</v>
      </c>
      <c r="D1373" s="53">
        <v>2022</v>
      </c>
      <c r="E1373" s="56">
        <v>1.9333333333333336</v>
      </c>
      <c r="F1373" s="53">
        <f t="shared" si="109"/>
        <v>1</v>
      </c>
      <c r="G1373" s="53">
        <f t="shared" si="111"/>
        <v>2</v>
      </c>
      <c r="H1373" s="53">
        <f t="shared" si="112"/>
        <v>2</v>
      </c>
      <c r="I1373" s="53" t="str">
        <f t="shared" si="110"/>
        <v>ww</v>
      </c>
      <c r="J1373" s="53"/>
    </row>
    <row r="1374" spans="1:10" x14ac:dyDescent="0.25">
      <c r="A1374" s="93">
        <v>44843</v>
      </c>
      <c r="B1374" s="35">
        <f t="shared" si="108"/>
        <v>166</v>
      </c>
      <c r="C1374" s="76">
        <v>10</v>
      </c>
      <c r="D1374" s="53">
        <v>2022</v>
      </c>
      <c r="E1374" s="56">
        <v>0</v>
      </c>
      <c r="F1374" s="53">
        <f t="shared" si="109"/>
        <v>0</v>
      </c>
      <c r="G1374" s="53">
        <f t="shared" si="111"/>
        <v>1</v>
      </c>
      <c r="H1374" s="53">
        <f t="shared" si="112"/>
        <v>1</v>
      </c>
      <c r="I1374" s="53" t="str">
        <f t="shared" si="110"/>
        <v>wd</v>
      </c>
      <c r="J1374" s="53"/>
    </row>
    <row r="1375" spans="1:10" x14ac:dyDescent="0.25">
      <c r="A1375" s="93">
        <v>44844</v>
      </c>
      <c r="B1375" s="35">
        <f t="shared" si="108"/>
        <v>166</v>
      </c>
      <c r="C1375" s="76">
        <v>10</v>
      </c>
      <c r="D1375" s="53">
        <v>2022</v>
      </c>
      <c r="E1375" s="56">
        <v>5.4666666666666659</v>
      </c>
      <c r="F1375" s="53">
        <f t="shared" si="109"/>
        <v>1</v>
      </c>
      <c r="G1375" s="53">
        <f t="shared" si="111"/>
        <v>1</v>
      </c>
      <c r="H1375" s="53">
        <f t="shared" si="112"/>
        <v>-1</v>
      </c>
      <c r="I1375" s="53" t="str">
        <f t="shared" si="110"/>
        <v>dw</v>
      </c>
      <c r="J1375" s="53"/>
    </row>
    <row r="1376" spans="1:10" x14ac:dyDescent="0.25">
      <c r="A1376" s="93">
        <v>44845</v>
      </c>
      <c r="B1376" s="35">
        <f t="shared" si="108"/>
        <v>166</v>
      </c>
      <c r="C1376" s="76">
        <v>10</v>
      </c>
      <c r="D1376" s="53">
        <v>2022</v>
      </c>
      <c r="E1376" s="56">
        <v>6.6666666666666666E-2</v>
      </c>
      <c r="F1376" s="53">
        <f t="shared" si="109"/>
        <v>1</v>
      </c>
      <c r="G1376" s="53">
        <f t="shared" si="111"/>
        <v>2</v>
      </c>
      <c r="H1376" s="53">
        <f t="shared" si="112"/>
        <v>2</v>
      </c>
      <c r="I1376" s="53" t="str">
        <f t="shared" si="110"/>
        <v>ww</v>
      </c>
      <c r="J1376" s="53"/>
    </row>
    <row r="1377" spans="1:10" x14ac:dyDescent="0.25">
      <c r="A1377" s="93">
        <v>44846</v>
      </c>
      <c r="B1377" s="35">
        <f t="shared" si="108"/>
        <v>166</v>
      </c>
      <c r="C1377" s="76">
        <v>10</v>
      </c>
      <c r="D1377" s="53">
        <v>2022</v>
      </c>
      <c r="E1377" s="56">
        <v>6.6666666666666666E-2</v>
      </c>
      <c r="F1377" s="53">
        <f t="shared" si="109"/>
        <v>1</v>
      </c>
      <c r="G1377" s="53">
        <f t="shared" si="111"/>
        <v>2</v>
      </c>
      <c r="H1377" s="53">
        <f t="shared" si="112"/>
        <v>2</v>
      </c>
      <c r="I1377" s="53" t="str">
        <f t="shared" si="110"/>
        <v>ww</v>
      </c>
      <c r="J1377" s="53"/>
    </row>
    <row r="1378" spans="1:10" x14ac:dyDescent="0.25">
      <c r="A1378" s="93">
        <v>44847</v>
      </c>
      <c r="B1378" s="35">
        <f t="shared" si="108"/>
        <v>166</v>
      </c>
      <c r="C1378" s="76">
        <v>10</v>
      </c>
      <c r="D1378" s="53">
        <v>2022</v>
      </c>
      <c r="E1378" s="56">
        <v>0</v>
      </c>
      <c r="F1378" s="53">
        <f t="shared" si="109"/>
        <v>0</v>
      </c>
      <c r="G1378" s="53">
        <f t="shared" si="111"/>
        <v>1</v>
      </c>
      <c r="H1378" s="53">
        <f t="shared" si="112"/>
        <v>1</v>
      </c>
      <c r="I1378" s="53" t="str">
        <f t="shared" si="110"/>
        <v>wd</v>
      </c>
      <c r="J1378" s="53"/>
    </row>
    <row r="1379" spans="1:10" x14ac:dyDescent="0.25">
      <c r="A1379" s="93">
        <v>44848</v>
      </c>
      <c r="B1379" s="35">
        <f t="shared" si="108"/>
        <v>166</v>
      </c>
      <c r="C1379" s="76">
        <v>10</v>
      </c>
      <c r="D1379" s="53">
        <v>2022</v>
      </c>
      <c r="E1379" s="56">
        <v>0</v>
      </c>
      <c r="F1379" s="53">
        <f t="shared" si="109"/>
        <v>0</v>
      </c>
      <c r="G1379" s="53">
        <f t="shared" si="111"/>
        <v>0</v>
      </c>
      <c r="H1379" s="53">
        <f t="shared" si="112"/>
        <v>0</v>
      </c>
      <c r="I1379" s="53" t="str">
        <f t="shared" si="110"/>
        <v>dd</v>
      </c>
      <c r="J1379" s="53"/>
    </row>
    <row r="1380" spans="1:10" x14ac:dyDescent="0.25">
      <c r="A1380" s="93">
        <v>44849</v>
      </c>
      <c r="B1380" s="35">
        <f t="shared" si="108"/>
        <v>166</v>
      </c>
      <c r="C1380" s="76">
        <v>10</v>
      </c>
      <c r="D1380" s="53">
        <v>2022</v>
      </c>
      <c r="E1380" s="56">
        <v>0.60000000000000009</v>
      </c>
      <c r="F1380" s="53">
        <f t="shared" si="109"/>
        <v>1</v>
      </c>
      <c r="G1380" s="53">
        <f t="shared" si="111"/>
        <v>1</v>
      </c>
      <c r="H1380" s="53">
        <f t="shared" si="112"/>
        <v>-1</v>
      </c>
      <c r="I1380" s="53" t="str">
        <f t="shared" si="110"/>
        <v>dw</v>
      </c>
      <c r="J1380" s="53"/>
    </row>
    <row r="1381" spans="1:10" x14ac:dyDescent="0.25">
      <c r="A1381" s="93">
        <v>44850</v>
      </c>
      <c r="B1381" s="35">
        <f t="shared" si="108"/>
        <v>166</v>
      </c>
      <c r="C1381" s="76">
        <v>10</v>
      </c>
      <c r="D1381" s="53">
        <v>2022</v>
      </c>
      <c r="E1381" s="56">
        <v>1.5999999999999999</v>
      </c>
      <c r="F1381" s="53">
        <f t="shared" si="109"/>
        <v>1</v>
      </c>
      <c r="G1381" s="53">
        <f t="shared" si="111"/>
        <v>2</v>
      </c>
      <c r="H1381" s="53">
        <f t="shared" si="112"/>
        <v>2</v>
      </c>
      <c r="I1381" s="53" t="str">
        <f t="shared" si="110"/>
        <v>ww</v>
      </c>
      <c r="J1381" s="53"/>
    </row>
    <row r="1382" spans="1:10" x14ac:dyDescent="0.25">
      <c r="A1382" s="93">
        <v>44851</v>
      </c>
      <c r="B1382" s="35">
        <f t="shared" si="108"/>
        <v>166</v>
      </c>
      <c r="C1382" s="76">
        <v>10</v>
      </c>
      <c r="D1382" s="53">
        <v>2022</v>
      </c>
      <c r="E1382" s="56">
        <v>4.5333333333333332</v>
      </c>
      <c r="F1382" s="53">
        <f t="shared" si="109"/>
        <v>1</v>
      </c>
      <c r="G1382" s="53">
        <f t="shared" si="111"/>
        <v>2</v>
      </c>
      <c r="H1382" s="53">
        <f t="shared" si="112"/>
        <v>2</v>
      </c>
      <c r="I1382" s="53" t="str">
        <f t="shared" si="110"/>
        <v>ww</v>
      </c>
      <c r="J1382" s="53"/>
    </row>
    <row r="1383" spans="1:10" x14ac:dyDescent="0.25">
      <c r="A1383" s="93">
        <v>44852</v>
      </c>
      <c r="B1383" s="35">
        <f t="shared" si="108"/>
        <v>166</v>
      </c>
      <c r="C1383" s="76">
        <v>10</v>
      </c>
      <c r="D1383" s="53">
        <v>2022</v>
      </c>
      <c r="E1383" s="56">
        <v>0</v>
      </c>
      <c r="F1383" s="53">
        <f t="shared" si="109"/>
        <v>0</v>
      </c>
      <c r="G1383" s="53">
        <f t="shared" si="111"/>
        <v>1</v>
      </c>
      <c r="H1383" s="53">
        <f t="shared" si="112"/>
        <v>1</v>
      </c>
      <c r="I1383" s="53" t="str">
        <f t="shared" si="110"/>
        <v>wd</v>
      </c>
      <c r="J1383" s="53"/>
    </row>
    <row r="1384" spans="1:10" x14ac:dyDescent="0.25">
      <c r="A1384" s="93">
        <v>44853</v>
      </c>
      <c r="B1384" s="35">
        <f t="shared" si="108"/>
        <v>166</v>
      </c>
      <c r="C1384" s="76">
        <v>10</v>
      </c>
      <c r="D1384" s="53">
        <v>2022</v>
      </c>
      <c r="E1384" s="56">
        <v>0.33333333333333331</v>
      </c>
      <c r="F1384" s="53">
        <f t="shared" si="109"/>
        <v>1</v>
      </c>
      <c r="G1384" s="53">
        <f t="shared" si="111"/>
        <v>1</v>
      </c>
      <c r="H1384" s="53">
        <f t="shared" si="112"/>
        <v>-1</v>
      </c>
      <c r="I1384" s="53" t="str">
        <f t="shared" si="110"/>
        <v>dw</v>
      </c>
      <c r="J1384" s="53"/>
    </row>
    <row r="1385" spans="1:10" x14ac:dyDescent="0.25">
      <c r="A1385" s="93">
        <v>44854</v>
      </c>
      <c r="B1385" s="35">
        <f t="shared" si="108"/>
        <v>166</v>
      </c>
      <c r="C1385" s="76">
        <v>10</v>
      </c>
      <c r="D1385" s="53">
        <v>2022</v>
      </c>
      <c r="E1385" s="56">
        <v>2.2666666666666666</v>
      </c>
      <c r="F1385" s="53">
        <f t="shared" si="109"/>
        <v>1</v>
      </c>
      <c r="G1385" s="53">
        <f t="shared" si="111"/>
        <v>2</v>
      </c>
      <c r="H1385" s="53">
        <f t="shared" si="112"/>
        <v>2</v>
      </c>
      <c r="I1385" s="53" t="str">
        <f t="shared" si="110"/>
        <v>ww</v>
      </c>
      <c r="J1385" s="53"/>
    </row>
    <row r="1386" spans="1:10" x14ac:dyDescent="0.25">
      <c r="A1386" s="93">
        <v>44855</v>
      </c>
      <c r="B1386" s="35">
        <f t="shared" si="108"/>
        <v>166</v>
      </c>
      <c r="C1386" s="76">
        <v>10</v>
      </c>
      <c r="D1386" s="53">
        <v>2022</v>
      </c>
      <c r="E1386" s="56">
        <v>14.333333333333334</v>
      </c>
      <c r="F1386" s="53">
        <f t="shared" si="109"/>
        <v>1</v>
      </c>
      <c r="G1386" s="53">
        <f t="shared" si="111"/>
        <v>2</v>
      </c>
      <c r="H1386" s="53">
        <f t="shared" si="112"/>
        <v>2</v>
      </c>
      <c r="I1386" s="53" t="str">
        <f t="shared" si="110"/>
        <v>ww</v>
      </c>
      <c r="J1386" s="53"/>
    </row>
    <row r="1387" spans="1:10" x14ac:dyDescent="0.25">
      <c r="A1387" s="93">
        <v>44856</v>
      </c>
      <c r="B1387" s="35">
        <f t="shared" si="108"/>
        <v>166</v>
      </c>
      <c r="C1387" s="76">
        <v>10</v>
      </c>
      <c r="D1387" s="53">
        <v>2022</v>
      </c>
      <c r="E1387" s="56">
        <v>1.4000000000000001</v>
      </c>
      <c r="F1387" s="53">
        <f t="shared" si="109"/>
        <v>1</v>
      </c>
      <c r="G1387" s="53">
        <f t="shared" si="111"/>
        <v>2</v>
      </c>
      <c r="H1387" s="53">
        <f t="shared" si="112"/>
        <v>2</v>
      </c>
      <c r="I1387" s="53" t="str">
        <f t="shared" si="110"/>
        <v>ww</v>
      </c>
      <c r="J1387" s="53"/>
    </row>
    <row r="1388" spans="1:10" x14ac:dyDescent="0.25">
      <c r="A1388" s="93">
        <v>44857</v>
      </c>
      <c r="B1388" s="35">
        <f t="shared" si="108"/>
        <v>166</v>
      </c>
      <c r="C1388" s="76">
        <v>10</v>
      </c>
      <c r="D1388" s="53">
        <v>2022</v>
      </c>
      <c r="E1388" s="56">
        <v>0</v>
      </c>
      <c r="F1388" s="53">
        <f t="shared" si="109"/>
        <v>0</v>
      </c>
      <c r="G1388" s="53">
        <f t="shared" si="111"/>
        <v>1</v>
      </c>
      <c r="H1388" s="53">
        <f t="shared" si="112"/>
        <v>1</v>
      </c>
      <c r="I1388" s="53" t="str">
        <f t="shared" si="110"/>
        <v>wd</v>
      </c>
      <c r="J1388" s="53"/>
    </row>
    <row r="1389" spans="1:10" x14ac:dyDescent="0.25">
      <c r="A1389" s="93">
        <v>44858</v>
      </c>
      <c r="B1389" s="35">
        <f t="shared" si="108"/>
        <v>166</v>
      </c>
      <c r="C1389" s="76">
        <v>10</v>
      </c>
      <c r="D1389" s="53">
        <v>2022</v>
      </c>
      <c r="E1389" s="56">
        <v>3.6666666666666665</v>
      </c>
      <c r="F1389" s="53">
        <f t="shared" si="109"/>
        <v>1</v>
      </c>
      <c r="G1389" s="53">
        <f t="shared" si="111"/>
        <v>1</v>
      </c>
      <c r="H1389" s="53">
        <f t="shared" si="112"/>
        <v>-1</v>
      </c>
      <c r="I1389" s="53" t="str">
        <f t="shared" si="110"/>
        <v>dw</v>
      </c>
      <c r="J1389" s="53"/>
    </row>
    <row r="1390" spans="1:10" x14ac:dyDescent="0.25">
      <c r="A1390" s="93">
        <v>44859</v>
      </c>
      <c r="B1390" s="35">
        <f t="shared" si="108"/>
        <v>166</v>
      </c>
      <c r="C1390" s="76">
        <v>10</v>
      </c>
      <c r="D1390" s="53">
        <v>2022</v>
      </c>
      <c r="E1390" s="56">
        <v>6.6666666666666666E-2</v>
      </c>
      <c r="F1390" s="53">
        <f t="shared" si="109"/>
        <v>1</v>
      </c>
      <c r="G1390" s="53">
        <f t="shared" si="111"/>
        <v>2</v>
      </c>
      <c r="H1390" s="53">
        <f t="shared" si="112"/>
        <v>2</v>
      </c>
      <c r="I1390" s="53" t="str">
        <f t="shared" si="110"/>
        <v>ww</v>
      </c>
      <c r="J1390" s="53"/>
    </row>
    <row r="1391" spans="1:10" x14ac:dyDescent="0.25">
      <c r="A1391" s="93">
        <v>44860</v>
      </c>
      <c r="B1391" s="35">
        <f t="shared" si="108"/>
        <v>166</v>
      </c>
      <c r="C1391" s="76">
        <v>10</v>
      </c>
      <c r="D1391" s="53">
        <v>2022</v>
      </c>
      <c r="E1391" s="56">
        <v>1.3999999999999997</v>
      </c>
      <c r="F1391" s="53">
        <f t="shared" si="109"/>
        <v>1</v>
      </c>
      <c r="G1391" s="53">
        <f t="shared" si="111"/>
        <v>2</v>
      </c>
      <c r="H1391" s="53">
        <f t="shared" si="112"/>
        <v>2</v>
      </c>
      <c r="I1391" s="53" t="str">
        <f t="shared" si="110"/>
        <v>ww</v>
      </c>
      <c r="J1391" s="53"/>
    </row>
    <row r="1392" spans="1:10" x14ac:dyDescent="0.25">
      <c r="A1392" s="93">
        <v>44861</v>
      </c>
      <c r="B1392" s="35">
        <f t="shared" si="108"/>
        <v>166</v>
      </c>
      <c r="C1392" s="76">
        <v>10</v>
      </c>
      <c r="D1392" s="53">
        <v>2022</v>
      </c>
      <c r="E1392" s="56">
        <v>0.20000000000000004</v>
      </c>
      <c r="F1392" s="53">
        <f t="shared" si="109"/>
        <v>1</v>
      </c>
      <c r="G1392" s="53">
        <f t="shared" si="111"/>
        <v>2</v>
      </c>
      <c r="H1392" s="53">
        <f t="shared" si="112"/>
        <v>2</v>
      </c>
      <c r="I1392" s="53" t="str">
        <f t="shared" si="110"/>
        <v>ww</v>
      </c>
      <c r="J1392" s="53"/>
    </row>
    <row r="1393" spans="1:10" x14ac:dyDescent="0.25">
      <c r="A1393" s="93">
        <v>44862</v>
      </c>
      <c r="B1393" s="35">
        <f t="shared" si="108"/>
        <v>166</v>
      </c>
      <c r="C1393" s="76">
        <v>10</v>
      </c>
      <c r="D1393" s="53">
        <v>2022</v>
      </c>
      <c r="E1393" s="56">
        <v>2</v>
      </c>
      <c r="F1393" s="53">
        <f t="shared" si="109"/>
        <v>1</v>
      </c>
      <c r="G1393" s="53">
        <f t="shared" si="111"/>
        <v>2</v>
      </c>
      <c r="H1393" s="53">
        <f t="shared" si="112"/>
        <v>2</v>
      </c>
      <c r="I1393" s="53" t="str">
        <f t="shared" si="110"/>
        <v>ww</v>
      </c>
      <c r="J1393" s="53"/>
    </row>
    <row r="1394" spans="1:10" x14ac:dyDescent="0.25">
      <c r="A1394" s="93">
        <v>44863</v>
      </c>
      <c r="B1394" s="35">
        <f t="shared" si="108"/>
        <v>166</v>
      </c>
      <c r="C1394" s="76">
        <v>10</v>
      </c>
      <c r="D1394" s="53">
        <v>2022</v>
      </c>
      <c r="E1394" s="56">
        <v>0.26666666666666666</v>
      </c>
      <c r="F1394" s="53">
        <f t="shared" si="109"/>
        <v>1</v>
      </c>
      <c r="G1394" s="53">
        <f t="shared" si="111"/>
        <v>2</v>
      </c>
      <c r="H1394" s="53">
        <f t="shared" si="112"/>
        <v>2</v>
      </c>
      <c r="I1394" s="53" t="str">
        <f t="shared" si="110"/>
        <v>ww</v>
      </c>
      <c r="J1394" s="53"/>
    </row>
    <row r="1395" spans="1:10" x14ac:dyDescent="0.25">
      <c r="A1395" s="93">
        <v>44864</v>
      </c>
      <c r="B1395" s="35">
        <f t="shared" si="108"/>
        <v>166</v>
      </c>
      <c r="C1395" s="76">
        <v>10</v>
      </c>
      <c r="D1395" s="53">
        <v>2022</v>
      </c>
      <c r="E1395" s="56">
        <v>1.2</v>
      </c>
      <c r="F1395" s="53">
        <f t="shared" si="109"/>
        <v>1</v>
      </c>
      <c r="G1395" s="53">
        <f t="shared" si="111"/>
        <v>2</v>
      </c>
      <c r="H1395" s="53">
        <f t="shared" si="112"/>
        <v>2</v>
      </c>
      <c r="I1395" s="53" t="str">
        <f t="shared" si="110"/>
        <v>ww</v>
      </c>
      <c r="J1395" s="53"/>
    </row>
    <row r="1396" spans="1:10" x14ac:dyDescent="0.25">
      <c r="A1396" s="93">
        <v>44865</v>
      </c>
      <c r="B1396" s="35">
        <f t="shared" si="108"/>
        <v>166</v>
      </c>
      <c r="C1396" s="76">
        <v>10</v>
      </c>
      <c r="D1396" s="53">
        <v>2022</v>
      </c>
      <c r="E1396" s="56">
        <v>0.40000000000000008</v>
      </c>
      <c r="F1396" s="53">
        <f t="shared" si="109"/>
        <v>1</v>
      </c>
      <c r="G1396" s="53">
        <f t="shared" si="111"/>
        <v>2</v>
      </c>
      <c r="H1396" s="53">
        <f t="shared" si="112"/>
        <v>2</v>
      </c>
      <c r="I1396" s="53" t="str">
        <f t="shared" si="110"/>
        <v>ww</v>
      </c>
      <c r="J1396" s="53"/>
    </row>
    <row r="1397" spans="1:10" x14ac:dyDescent="0.25">
      <c r="A1397" s="93">
        <v>45200</v>
      </c>
      <c r="B1397" s="35">
        <f t="shared" si="108"/>
        <v>178</v>
      </c>
      <c r="C1397" s="76">
        <v>10</v>
      </c>
      <c r="D1397" s="53">
        <v>2023</v>
      </c>
      <c r="E1397" s="56">
        <v>0.53333333333333333</v>
      </c>
      <c r="F1397" s="53">
        <f t="shared" si="109"/>
        <v>1</v>
      </c>
      <c r="G1397" s="53">
        <f t="shared" si="111"/>
        <v>2</v>
      </c>
      <c r="H1397" s="53">
        <f t="shared" si="112"/>
        <v>2</v>
      </c>
      <c r="I1397" s="53" t="str">
        <f t="shared" si="110"/>
        <v>ww</v>
      </c>
      <c r="J1397" s="53"/>
    </row>
    <row r="1398" spans="1:10" x14ac:dyDescent="0.25">
      <c r="A1398" s="93">
        <v>45201</v>
      </c>
      <c r="B1398" s="35">
        <f t="shared" si="108"/>
        <v>178</v>
      </c>
      <c r="C1398" s="76">
        <v>10</v>
      </c>
      <c r="D1398" s="53">
        <v>2023</v>
      </c>
      <c r="E1398" s="56">
        <v>6.6666666666666666E-2</v>
      </c>
      <c r="F1398" s="53">
        <f t="shared" si="109"/>
        <v>1</v>
      </c>
      <c r="G1398" s="53">
        <f t="shared" si="111"/>
        <v>2</v>
      </c>
      <c r="H1398" s="53">
        <f t="shared" si="112"/>
        <v>2</v>
      </c>
      <c r="I1398" s="53" t="str">
        <f t="shared" si="110"/>
        <v>ww</v>
      </c>
      <c r="J1398" s="53"/>
    </row>
    <row r="1399" spans="1:10" x14ac:dyDescent="0.25">
      <c r="A1399" s="93">
        <v>45202</v>
      </c>
      <c r="B1399" s="35">
        <f t="shared" si="108"/>
        <v>178</v>
      </c>
      <c r="C1399" s="76">
        <v>10</v>
      </c>
      <c r="D1399" s="53">
        <v>2023</v>
      </c>
      <c r="E1399" s="56">
        <v>0.66666666666666663</v>
      </c>
      <c r="F1399" s="53">
        <f t="shared" si="109"/>
        <v>1</v>
      </c>
      <c r="G1399" s="53">
        <f t="shared" si="111"/>
        <v>2</v>
      </c>
      <c r="H1399" s="53">
        <f t="shared" si="112"/>
        <v>2</v>
      </c>
      <c r="I1399" s="53" t="str">
        <f t="shared" si="110"/>
        <v>ww</v>
      </c>
      <c r="J1399" s="53"/>
    </row>
    <row r="1400" spans="1:10" x14ac:dyDescent="0.25">
      <c r="A1400" s="93">
        <v>45203</v>
      </c>
      <c r="B1400" s="35">
        <f t="shared" si="108"/>
        <v>178</v>
      </c>
      <c r="C1400" s="76">
        <v>10</v>
      </c>
      <c r="D1400" s="53">
        <v>2023</v>
      </c>
      <c r="E1400" s="56">
        <v>0</v>
      </c>
      <c r="F1400" s="53">
        <f t="shared" si="109"/>
        <v>0</v>
      </c>
      <c r="G1400" s="53">
        <f t="shared" si="111"/>
        <v>1</v>
      </c>
      <c r="H1400" s="53">
        <f t="shared" si="112"/>
        <v>1</v>
      </c>
      <c r="I1400" s="53" t="str">
        <f t="shared" si="110"/>
        <v>wd</v>
      </c>
      <c r="J1400" s="53"/>
    </row>
    <row r="1401" spans="1:10" x14ac:dyDescent="0.25">
      <c r="A1401" s="93">
        <v>45204</v>
      </c>
      <c r="B1401" s="35">
        <f t="shared" si="108"/>
        <v>178</v>
      </c>
      <c r="C1401" s="76">
        <v>10</v>
      </c>
      <c r="D1401" s="53">
        <v>2023</v>
      </c>
      <c r="E1401" s="56">
        <v>2</v>
      </c>
      <c r="F1401" s="53">
        <f t="shared" si="109"/>
        <v>1</v>
      </c>
      <c r="G1401" s="53">
        <f t="shared" si="111"/>
        <v>1</v>
      </c>
      <c r="H1401" s="53">
        <f t="shared" si="112"/>
        <v>-1</v>
      </c>
      <c r="I1401" s="53" t="str">
        <f t="shared" si="110"/>
        <v>dw</v>
      </c>
      <c r="J1401" s="53"/>
    </row>
    <row r="1402" spans="1:10" x14ac:dyDescent="0.25">
      <c r="A1402" s="93">
        <v>45205</v>
      </c>
      <c r="B1402" s="35">
        <f t="shared" si="108"/>
        <v>178</v>
      </c>
      <c r="C1402" s="76">
        <v>10</v>
      </c>
      <c r="D1402" s="53">
        <v>2023</v>
      </c>
      <c r="E1402" s="56">
        <v>1</v>
      </c>
      <c r="F1402" s="53">
        <f t="shared" si="109"/>
        <v>1</v>
      </c>
      <c r="G1402" s="53">
        <f t="shared" si="111"/>
        <v>2</v>
      </c>
      <c r="H1402" s="53">
        <f t="shared" si="112"/>
        <v>2</v>
      </c>
      <c r="I1402" s="53" t="str">
        <f t="shared" si="110"/>
        <v>ww</v>
      </c>
      <c r="J1402" s="53"/>
    </row>
    <row r="1403" spans="1:10" x14ac:dyDescent="0.25">
      <c r="A1403" s="93">
        <v>45206</v>
      </c>
      <c r="B1403" s="35">
        <f t="shared" si="108"/>
        <v>178</v>
      </c>
      <c r="C1403" s="76">
        <v>10</v>
      </c>
      <c r="D1403" s="53">
        <v>2023</v>
      </c>
      <c r="E1403" s="56">
        <v>23.400000000000002</v>
      </c>
      <c r="F1403" s="53">
        <f t="shared" si="109"/>
        <v>1</v>
      </c>
      <c r="G1403" s="53">
        <f t="shared" si="111"/>
        <v>2</v>
      </c>
      <c r="H1403" s="53">
        <f t="shared" si="112"/>
        <v>2</v>
      </c>
      <c r="I1403" s="53" t="str">
        <f t="shared" si="110"/>
        <v>ww</v>
      </c>
      <c r="J1403" s="53"/>
    </row>
    <row r="1404" spans="1:10" x14ac:dyDescent="0.25">
      <c r="A1404" s="93">
        <v>45207</v>
      </c>
      <c r="B1404" s="35">
        <f t="shared" si="108"/>
        <v>178</v>
      </c>
      <c r="C1404" s="76">
        <v>10</v>
      </c>
      <c r="D1404" s="53">
        <v>2023</v>
      </c>
      <c r="E1404" s="56">
        <v>6.2666666666666657</v>
      </c>
      <c r="F1404" s="53">
        <f t="shared" si="109"/>
        <v>1</v>
      </c>
      <c r="G1404" s="53">
        <f t="shared" si="111"/>
        <v>2</v>
      </c>
      <c r="H1404" s="53">
        <f t="shared" si="112"/>
        <v>2</v>
      </c>
      <c r="I1404" s="53" t="str">
        <f t="shared" si="110"/>
        <v>ww</v>
      </c>
      <c r="J1404" s="53"/>
    </row>
    <row r="1405" spans="1:10" x14ac:dyDescent="0.25">
      <c r="A1405" s="93">
        <v>45208</v>
      </c>
      <c r="B1405" s="35">
        <f t="shared" si="108"/>
        <v>178</v>
      </c>
      <c r="C1405" s="76">
        <v>10</v>
      </c>
      <c r="D1405" s="53">
        <v>2023</v>
      </c>
      <c r="E1405" s="56">
        <v>6.6666666666666666E-2</v>
      </c>
      <c r="F1405" s="53">
        <f t="shared" si="109"/>
        <v>1</v>
      </c>
      <c r="G1405" s="53">
        <f t="shared" si="111"/>
        <v>2</v>
      </c>
      <c r="H1405" s="53">
        <f t="shared" si="112"/>
        <v>2</v>
      </c>
      <c r="I1405" s="53" t="str">
        <f t="shared" si="110"/>
        <v>ww</v>
      </c>
      <c r="J1405" s="53"/>
    </row>
    <row r="1406" spans="1:10" x14ac:dyDescent="0.25">
      <c r="A1406" s="93">
        <v>45209</v>
      </c>
      <c r="B1406" s="35">
        <f t="shared" si="108"/>
        <v>178</v>
      </c>
      <c r="C1406" s="76">
        <v>10</v>
      </c>
      <c r="D1406" s="53">
        <v>2023</v>
      </c>
      <c r="E1406" s="56">
        <v>0</v>
      </c>
      <c r="F1406" s="53">
        <f t="shared" si="109"/>
        <v>0</v>
      </c>
      <c r="G1406" s="53">
        <f t="shared" si="111"/>
        <v>1</v>
      </c>
      <c r="H1406" s="53">
        <f t="shared" si="112"/>
        <v>1</v>
      </c>
      <c r="I1406" s="53" t="str">
        <f t="shared" si="110"/>
        <v>wd</v>
      </c>
      <c r="J1406" s="53"/>
    </row>
    <row r="1407" spans="1:10" x14ac:dyDescent="0.25">
      <c r="A1407" s="93">
        <v>45210</v>
      </c>
      <c r="B1407" s="35">
        <f t="shared" si="108"/>
        <v>178</v>
      </c>
      <c r="C1407" s="76">
        <v>10</v>
      </c>
      <c r="D1407" s="53">
        <v>2023</v>
      </c>
      <c r="E1407" s="56">
        <v>6.6666666666666666E-2</v>
      </c>
      <c r="F1407" s="53">
        <f t="shared" si="109"/>
        <v>1</v>
      </c>
      <c r="G1407" s="53">
        <f t="shared" si="111"/>
        <v>1</v>
      </c>
      <c r="H1407" s="53">
        <f t="shared" si="112"/>
        <v>-1</v>
      </c>
      <c r="I1407" s="53" t="str">
        <f t="shared" si="110"/>
        <v>dw</v>
      </c>
      <c r="J1407" s="53"/>
    </row>
    <row r="1408" spans="1:10" x14ac:dyDescent="0.25">
      <c r="A1408" s="93">
        <v>45211</v>
      </c>
      <c r="B1408" s="35">
        <f t="shared" si="108"/>
        <v>178</v>
      </c>
      <c r="C1408" s="76">
        <v>10</v>
      </c>
      <c r="D1408" s="53">
        <v>2023</v>
      </c>
      <c r="E1408" s="56">
        <v>0</v>
      </c>
      <c r="F1408" s="53">
        <f t="shared" si="109"/>
        <v>0</v>
      </c>
      <c r="G1408" s="53">
        <f t="shared" si="111"/>
        <v>1</v>
      </c>
      <c r="H1408" s="53">
        <f t="shared" si="112"/>
        <v>1</v>
      </c>
      <c r="I1408" s="53" t="str">
        <f t="shared" si="110"/>
        <v>wd</v>
      </c>
      <c r="J1408" s="53"/>
    </row>
    <row r="1409" spans="1:10" x14ac:dyDescent="0.25">
      <c r="A1409" s="93">
        <v>45212</v>
      </c>
      <c r="B1409" s="35">
        <f t="shared" si="108"/>
        <v>178</v>
      </c>
      <c r="C1409" s="76">
        <v>10</v>
      </c>
      <c r="D1409" s="53">
        <v>2023</v>
      </c>
      <c r="E1409" s="56">
        <v>0.53333333333333333</v>
      </c>
      <c r="F1409" s="53">
        <f t="shared" si="109"/>
        <v>1</v>
      </c>
      <c r="G1409" s="53">
        <f t="shared" si="111"/>
        <v>1</v>
      </c>
      <c r="H1409" s="53">
        <f t="shared" si="112"/>
        <v>-1</v>
      </c>
      <c r="I1409" s="53" t="str">
        <f t="shared" si="110"/>
        <v>dw</v>
      </c>
      <c r="J1409" s="53"/>
    </row>
    <row r="1410" spans="1:10" x14ac:dyDescent="0.25">
      <c r="A1410" s="93">
        <v>45213</v>
      </c>
      <c r="B1410" s="35">
        <f t="shared" ref="B1410:B1473" si="113">C1410+(D1410-2009)*12</f>
        <v>178</v>
      </c>
      <c r="C1410" s="76">
        <v>10</v>
      </c>
      <c r="D1410" s="53">
        <v>2023</v>
      </c>
      <c r="E1410" s="56">
        <v>6.6666666666666666E-2</v>
      </c>
      <c r="F1410" s="53">
        <f t="shared" ref="F1410:F1473" si="114">IF(E1410&gt;0,1,0)</f>
        <v>1</v>
      </c>
      <c r="G1410" s="53">
        <f t="shared" si="111"/>
        <v>2</v>
      </c>
      <c r="H1410" s="53">
        <f t="shared" si="112"/>
        <v>2</v>
      </c>
      <c r="I1410" s="53" t="str">
        <f t="shared" ref="I1410:I1473" si="115">VLOOKUP(H1410,codes,2,)</f>
        <v>ww</v>
      </c>
      <c r="J1410" s="53"/>
    </row>
    <row r="1411" spans="1:10" x14ac:dyDescent="0.25">
      <c r="A1411" s="93">
        <v>45214</v>
      </c>
      <c r="B1411" s="35">
        <f t="shared" si="113"/>
        <v>178</v>
      </c>
      <c r="C1411" s="76">
        <v>10</v>
      </c>
      <c r="D1411" s="53">
        <v>2023</v>
      </c>
      <c r="E1411" s="56">
        <v>0</v>
      </c>
      <c r="F1411" s="53">
        <f t="shared" si="114"/>
        <v>0</v>
      </c>
      <c r="G1411" s="53">
        <f t="shared" si="111"/>
        <v>1</v>
      </c>
      <c r="H1411" s="53">
        <f t="shared" si="112"/>
        <v>1</v>
      </c>
      <c r="I1411" s="53" t="str">
        <f t="shared" si="115"/>
        <v>wd</v>
      </c>
      <c r="J1411" s="53"/>
    </row>
    <row r="1412" spans="1:10" x14ac:dyDescent="0.25">
      <c r="A1412" s="93">
        <v>45215</v>
      </c>
      <c r="B1412" s="35">
        <f t="shared" si="113"/>
        <v>178</v>
      </c>
      <c r="C1412" s="76">
        <v>10</v>
      </c>
      <c r="D1412" s="53">
        <v>2023</v>
      </c>
      <c r="E1412" s="56">
        <v>0</v>
      </c>
      <c r="F1412" s="53">
        <f t="shared" si="114"/>
        <v>0</v>
      </c>
      <c r="G1412" s="53">
        <f t="shared" ref="G1412:G1475" si="116">SUM(F1411:F1412)</f>
        <v>0</v>
      </c>
      <c r="H1412" s="53">
        <f t="shared" ref="H1412:H1475" si="117">IF(G1412=1,IF(F1411=1,1,-1),G1412)</f>
        <v>0</v>
      </c>
      <c r="I1412" s="53" t="str">
        <f t="shared" si="115"/>
        <v>dd</v>
      </c>
      <c r="J1412" s="53"/>
    </row>
    <row r="1413" spans="1:10" x14ac:dyDescent="0.25">
      <c r="A1413" s="93">
        <v>45216</v>
      </c>
      <c r="B1413" s="35">
        <f t="shared" si="113"/>
        <v>178</v>
      </c>
      <c r="C1413" s="76">
        <v>10</v>
      </c>
      <c r="D1413" s="53">
        <v>2023</v>
      </c>
      <c r="E1413" s="56">
        <v>0</v>
      </c>
      <c r="F1413" s="53">
        <f t="shared" si="114"/>
        <v>0</v>
      </c>
      <c r="G1413" s="53">
        <f t="shared" si="116"/>
        <v>0</v>
      </c>
      <c r="H1413" s="53">
        <f t="shared" si="117"/>
        <v>0</v>
      </c>
      <c r="I1413" s="53" t="str">
        <f t="shared" si="115"/>
        <v>dd</v>
      </c>
      <c r="J1413" s="53"/>
    </row>
    <row r="1414" spans="1:10" x14ac:dyDescent="0.25">
      <c r="A1414" s="93">
        <v>45217</v>
      </c>
      <c r="B1414" s="35">
        <f t="shared" si="113"/>
        <v>178</v>
      </c>
      <c r="C1414" s="76">
        <v>10</v>
      </c>
      <c r="D1414" s="53">
        <v>2023</v>
      </c>
      <c r="E1414" s="56">
        <v>6.6666666666666666E-2</v>
      </c>
      <c r="F1414" s="53">
        <f t="shared" si="114"/>
        <v>1</v>
      </c>
      <c r="G1414" s="53">
        <f t="shared" si="116"/>
        <v>1</v>
      </c>
      <c r="H1414" s="53">
        <f t="shared" si="117"/>
        <v>-1</v>
      </c>
      <c r="I1414" s="53" t="str">
        <f t="shared" si="115"/>
        <v>dw</v>
      </c>
      <c r="J1414" s="53"/>
    </row>
    <row r="1415" spans="1:10" x14ac:dyDescent="0.25">
      <c r="A1415" s="93">
        <v>45218</v>
      </c>
      <c r="B1415" s="35">
        <f t="shared" si="113"/>
        <v>178</v>
      </c>
      <c r="C1415" s="76">
        <v>10</v>
      </c>
      <c r="D1415" s="53">
        <v>2023</v>
      </c>
      <c r="E1415" s="56">
        <v>13.200000000000001</v>
      </c>
      <c r="F1415" s="53">
        <f t="shared" si="114"/>
        <v>1</v>
      </c>
      <c r="G1415" s="53">
        <f t="shared" si="116"/>
        <v>2</v>
      </c>
      <c r="H1415" s="53">
        <f t="shared" si="117"/>
        <v>2</v>
      </c>
      <c r="I1415" s="53" t="str">
        <f t="shared" si="115"/>
        <v>ww</v>
      </c>
      <c r="J1415" s="53"/>
    </row>
    <row r="1416" spans="1:10" x14ac:dyDescent="0.25">
      <c r="A1416" s="93">
        <v>45219</v>
      </c>
      <c r="B1416" s="35">
        <f t="shared" si="113"/>
        <v>178</v>
      </c>
      <c r="C1416" s="76">
        <v>10</v>
      </c>
      <c r="D1416" s="53">
        <v>2023</v>
      </c>
      <c r="E1416" s="56">
        <v>11.200000000000001</v>
      </c>
      <c r="F1416" s="53">
        <f t="shared" si="114"/>
        <v>1</v>
      </c>
      <c r="G1416" s="53">
        <f t="shared" si="116"/>
        <v>2</v>
      </c>
      <c r="H1416" s="53">
        <f t="shared" si="117"/>
        <v>2</v>
      </c>
      <c r="I1416" s="53" t="str">
        <f t="shared" si="115"/>
        <v>ww</v>
      </c>
      <c r="J1416" s="53"/>
    </row>
    <row r="1417" spans="1:10" x14ac:dyDescent="0.25">
      <c r="A1417" s="93">
        <v>45220</v>
      </c>
      <c r="B1417" s="35">
        <f t="shared" si="113"/>
        <v>178</v>
      </c>
      <c r="C1417" s="76">
        <v>10</v>
      </c>
      <c r="D1417" s="53">
        <v>2023</v>
      </c>
      <c r="E1417" s="56">
        <v>13.866666666666667</v>
      </c>
      <c r="F1417" s="53">
        <f t="shared" si="114"/>
        <v>1</v>
      </c>
      <c r="G1417" s="53">
        <f t="shared" si="116"/>
        <v>2</v>
      </c>
      <c r="H1417" s="53">
        <f t="shared" si="117"/>
        <v>2</v>
      </c>
      <c r="I1417" s="53" t="str">
        <f t="shared" si="115"/>
        <v>ww</v>
      </c>
      <c r="J1417" s="53"/>
    </row>
    <row r="1418" spans="1:10" x14ac:dyDescent="0.25">
      <c r="A1418" s="93">
        <v>45221</v>
      </c>
      <c r="B1418" s="35">
        <f t="shared" si="113"/>
        <v>178</v>
      </c>
      <c r="C1418" s="76">
        <v>10</v>
      </c>
      <c r="D1418" s="53">
        <v>2023</v>
      </c>
      <c r="E1418" s="56">
        <v>0.40000000000000008</v>
      </c>
      <c r="F1418" s="53">
        <f t="shared" si="114"/>
        <v>1</v>
      </c>
      <c r="G1418" s="53">
        <f t="shared" si="116"/>
        <v>2</v>
      </c>
      <c r="H1418" s="53">
        <f t="shared" si="117"/>
        <v>2</v>
      </c>
      <c r="I1418" s="53" t="str">
        <f t="shared" si="115"/>
        <v>ww</v>
      </c>
      <c r="J1418" s="53"/>
    </row>
    <row r="1419" spans="1:10" x14ac:dyDescent="0.25">
      <c r="A1419" s="93">
        <v>45222</v>
      </c>
      <c r="B1419" s="35">
        <f t="shared" si="113"/>
        <v>178</v>
      </c>
      <c r="C1419" s="76">
        <v>10</v>
      </c>
      <c r="D1419" s="53">
        <v>2023</v>
      </c>
      <c r="E1419" s="56">
        <v>0</v>
      </c>
      <c r="F1419" s="53">
        <f t="shared" si="114"/>
        <v>0</v>
      </c>
      <c r="G1419" s="53">
        <f t="shared" si="116"/>
        <v>1</v>
      </c>
      <c r="H1419" s="53">
        <f t="shared" si="117"/>
        <v>1</v>
      </c>
      <c r="I1419" s="53" t="str">
        <f t="shared" si="115"/>
        <v>wd</v>
      </c>
      <c r="J1419" s="53"/>
    </row>
    <row r="1420" spans="1:10" x14ac:dyDescent="0.25">
      <c r="A1420" s="93">
        <v>45223</v>
      </c>
      <c r="B1420" s="35">
        <f t="shared" si="113"/>
        <v>178</v>
      </c>
      <c r="C1420" s="76">
        <v>10</v>
      </c>
      <c r="D1420" s="53">
        <v>2023</v>
      </c>
      <c r="E1420" s="56">
        <v>0.93333333333333324</v>
      </c>
      <c r="F1420" s="53">
        <f t="shared" si="114"/>
        <v>1</v>
      </c>
      <c r="G1420" s="53">
        <f t="shared" si="116"/>
        <v>1</v>
      </c>
      <c r="H1420" s="53">
        <f t="shared" si="117"/>
        <v>-1</v>
      </c>
      <c r="I1420" s="53" t="str">
        <f t="shared" si="115"/>
        <v>dw</v>
      </c>
      <c r="J1420" s="53"/>
    </row>
    <row r="1421" spans="1:10" x14ac:dyDescent="0.25">
      <c r="A1421" s="93">
        <v>45224</v>
      </c>
      <c r="B1421" s="35">
        <f t="shared" si="113"/>
        <v>178</v>
      </c>
      <c r="C1421" s="76">
        <v>10</v>
      </c>
      <c r="D1421" s="53">
        <v>2023</v>
      </c>
      <c r="E1421" s="56">
        <v>1.6666666666666667</v>
      </c>
      <c r="F1421" s="53">
        <f t="shared" si="114"/>
        <v>1</v>
      </c>
      <c r="G1421" s="53">
        <f t="shared" si="116"/>
        <v>2</v>
      </c>
      <c r="H1421" s="53">
        <f t="shared" si="117"/>
        <v>2</v>
      </c>
      <c r="I1421" s="53" t="str">
        <f t="shared" si="115"/>
        <v>ww</v>
      </c>
      <c r="J1421" s="53"/>
    </row>
    <row r="1422" spans="1:10" x14ac:dyDescent="0.25">
      <c r="A1422" s="93">
        <v>45225</v>
      </c>
      <c r="B1422" s="35">
        <f t="shared" si="113"/>
        <v>178</v>
      </c>
      <c r="C1422" s="76">
        <v>10</v>
      </c>
      <c r="D1422" s="53">
        <v>2023</v>
      </c>
      <c r="E1422" s="56">
        <v>14.333333333333334</v>
      </c>
      <c r="F1422" s="53">
        <f t="shared" si="114"/>
        <v>1</v>
      </c>
      <c r="G1422" s="53">
        <f t="shared" si="116"/>
        <v>2</v>
      </c>
      <c r="H1422" s="53">
        <f t="shared" si="117"/>
        <v>2</v>
      </c>
      <c r="I1422" s="53" t="str">
        <f t="shared" si="115"/>
        <v>ww</v>
      </c>
      <c r="J1422" s="53"/>
    </row>
    <row r="1423" spans="1:10" x14ac:dyDescent="0.25">
      <c r="A1423" s="93">
        <v>45226</v>
      </c>
      <c r="B1423" s="35">
        <f t="shared" si="113"/>
        <v>178</v>
      </c>
      <c r="C1423" s="76">
        <v>10</v>
      </c>
      <c r="D1423" s="53">
        <v>2023</v>
      </c>
      <c r="E1423" s="56">
        <v>14.333333333333334</v>
      </c>
      <c r="F1423" s="53">
        <f t="shared" si="114"/>
        <v>1</v>
      </c>
      <c r="G1423" s="53">
        <f t="shared" si="116"/>
        <v>2</v>
      </c>
      <c r="H1423" s="53">
        <f t="shared" si="117"/>
        <v>2</v>
      </c>
      <c r="I1423" s="53" t="str">
        <f t="shared" si="115"/>
        <v>ww</v>
      </c>
      <c r="J1423" s="53"/>
    </row>
    <row r="1424" spans="1:10" x14ac:dyDescent="0.25">
      <c r="A1424" s="93">
        <v>45227</v>
      </c>
      <c r="B1424" s="35">
        <f t="shared" si="113"/>
        <v>178</v>
      </c>
      <c r="C1424" s="76">
        <v>10</v>
      </c>
      <c r="D1424" s="53">
        <v>2023</v>
      </c>
      <c r="E1424" s="56">
        <v>9.7333333333333325</v>
      </c>
      <c r="F1424" s="53">
        <f t="shared" si="114"/>
        <v>1</v>
      </c>
      <c r="G1424" s="53">
        <f t="shared" si="116"/>
        <v>2</v>
      </c>
      <c r="H1424" s="53">
        <f t="shared" si="117"/>
        <v>2</v>
      </c>
      <c r="I1424" s="53" t="str">
        <f t="shared" si="115"/>
        <v>ww</v>
      </c>
      <c r="J1424" s="53"/>
    </row>
    <row r="1425" spans="1:10" x14ac:dyDescent="0.25">
      <c r="A1425" s="93">
        <v>45228</v>
      </c>
      <c r="B1425" s="35">
        <f t="shared" si="113"/>
        <v>178</v>
      </c>
      <c r="C1425" s="76">
        <v>10</v>
      </c>
      <c r="D1425" s="53">
        <v>2023</v>
      </c>
      <c r="E1425" s="56">
        <v>6.5333333333333341</v>
      </c>
      <c r="F1425" s="53">
        <f t="shared" si="114"/>
        <v>1</v>
      </c>
      <c r="G1425" s="53">
        <f t="shared" si="116"/>
        <v>2</v>
      </c>
      <c r="H1425" s="53">
        <f t="shared" si="117"/>
        <v>2</v>
      </c>
      <c r="I1425" s="53" t="str">
        <f t="shared" si="115"/>
        <v>ww</v>
      </c>
      <c r="J1425" s="53"/>
    </row>
    <row r="1426" spans="1:10" x14ac:dyDescent="0.25">
      <c r="A1426" s="93">
        <v>45229</v>
      </c>
      <c r="B1426" s="35">
        <f t="shared" si="113"/>
        <v>178</v>
      </c>
      <c r="C1426" s="76">
        <v>10</v>
      </c>
      <c r="D1426" s="53">
        <v>2023</v>
      </c>
      <c r="E1426" s="56">
        <v>15.466666666666667</v>
      </c>
      <c r="F1426" s="53">
        <f t="shared" si="114"/>
        <v>1</v>
      </c>
      <c r="G1426" s="53">
        <f t="shared" si="116"/>
        <v>2</v>
      </c>
      <c r="H1426" s="53">
        <f t="shared" si="117"/>
        <v>2</v>
      </c>
      <c r="I1426" s="53" t="str">
        <f t="shared" si="115"/>
        <v>ww</v>
      </c>
      <c r="J1426" s="53"/>
    </row>
    <row r="1427" spans="1:10" x14ac:dyDescent="0.25">
      <c r="A1427" s="93">
        <v>45230</v>
      </c>
      <c r="B1427" s="35">
        <f t="shared" si="113"/>
        <v>178</v>
      </c>
      <c r="C1427" s="76">
        <v>10</v>
      </c>
      <c r="D1427" s="53">
        <v>2023</v>
      </c>
      <c r="E1427" s="56">
        <v>1.2000000000000002</v>
      </c>
      <c r="F1427" s="53">
        <f t="shared" si="114"/>
        <v>1</v>
      </c>
      <c r="G1427" s="53">
        <f t="shared" si="116"/>
        <v>2</v>
      </c>
      <c r="H1427" s="53">
        <f t="shared" si="117"/>
        <v>2</v>
      </c>
      <c r="I1427" s="53" t="str">
        <f t="shared" si="115"/>
        <v>ww</v>
      </c>
      <c r="J1427" s="53"/>
    </row>
    <row r="1428" spans="1:10" x14ac:dyDescent="0.25">
      <c r="A1428" s="93">
        <v>45566</v>
      </c>
      <c r="B1428" s="35">
        <f t="shared" si="113"/>
        <v>190</v>
      </c>
      <c r="C1428" s="76">
        <v>10</v>
      </c>
      <c r="D1428" s="53">
        <v>2024</v>
      </c>
      <c r="E1428" s="56">
        <v>2.2666666666666666</v>
      </c>
      <c r="F1428" s="53">
        <f t="shared" si="114"/>
        <v>1</v>
      </c>
      <c r="G1428" s="53">
        <f t="shared" si="116"/>
        <v>2</v>
      </c>
      <c r="H1428" s="53">
        <f t="shared" si="117"/>
        <v>2</v>
      </c>
      <c r="I1428" s="53" t="str">
        <f t="shared" si="115"/>
        <v>ww</v>
      </c>
      <c r="J1428" s="53"/>
    </row>
    <row r="1429" spans="1:10" x14ac:dyDescent="0.25">
      <c r="A1429" s="93">
        <v>45567</v>
      </c>
      <c r="B1429" s="35">
        <f t="shared" si="113"/>
        <v>190</v>
      </c>
      <c r="C1429" s="76">
        <v>10</v>
      </c>
      <c r="D1429" s="53">
        <v>2024</v>
      </c>
      <c r="E1429" s="56">
        <v>0.79999999999999993</v>
      </c>
      <c r="F1429" s="53">
        <f t="shared" si="114"/>
        <v>1</v>
      </c>
      <c r="G1429" s="53">
        <f t="shared" si="116"/>
        <v>2</v>
      </c>
      <c r="H1429" s="53">
        <f t="shared" si="117"/>
        <v>2</v>
      </c>
      <c r="I1429" s="53" t="str">
        <f t="shared" si="115"/>
        <v>ww</v>
      </c>
      <c r="J1429" s="53"/>
    </row>
    <row r="1430" spans="1:10" x14ac:dyDescent="0.25">
      <c r="A1430" s="93">
        <v>45568</v>
      </c>
      <c r="B1430" s="35">
        <f t="shared" si="113"/>
        <v>190</v>
      </c>
      <c r="C1430" s="76">
        <v>10</v>
      </c>
      <c r="D1430" s="53">
        <v>2024</v>
      </c>
      <c r="E1430" s="56">
        <v>6.6666666666666666E-2</v>
      </c>
      <c r="F1430" s="53">
        <f t="shared" si="114"/>
        <v>1</v>
      </c>
      <c r="G1430" s="53">
        <f t="shared" si="116"/>
        <v>2</v>
      </c>
      <c r="H1430" s="53">
        <f t="shared" si="117"/>
        <v>2</v>
      </c>
      <c r="I1430" s="53" t="str">
        <f t="shared" si="115"/>
        <v>ww</v>
      </c>
      <c r="J1430" s="53"/>
    </row>
    <row r="1431" spans="1:10" x14ac:dyDescent="0.25">
      <c r="A1431" s="93">
        <v>45569</v>
      </c>
      <c r="B1431" s="35">
        <f t="shared" si="113"/>
        <v>190</v>
      </c>
      <c r="C1431" s="76">
        <v>10</v>
      </c>
      <c r="D1431" s="53">
        <v>2024</v>
      </c>
      <c r="E1431" s="56">
        <v>0.13333333333333333</v>
      </c>
      <c r="F1431" s="53">
        <f t="shared" si="114"/>
        <v>1</v>
      </c>
      <c r="G1431" s="53">
        <f t="shared" si="116"/>
        <v>2</v>
      </c>
      <c r="H1431" s="53">
        <f t="shared" si="117"/>
        <v>2</v>
      </c>
      <c r="I1431" s="53" t="str">
        <f t="shared" si="115"/>
        <v>ww</v>
      </c>
      <c r="J1431" s="53"/>
    </row>
    <row r="1432" spans="1:10" x14ac:dyDescent="0.25">
      <c r="A1432" s="93">
        <v>45570</v>
      </c>
      <c r="B1432" s="35">
        <f t="shared" si="113"/>
        <v>190</v>
      </c>
      <c r="C1432" s="76">
        <v>10</v>
      </c>
      <c r="D1432" s="53">
        <v>2024</v>
      </c>
      <c r="E1432" s="56">
        <v>0</v>
      </c>
      <c r="F1432" s="53">
        <f t="shared" si="114"/>
        <v>0</v>
      </c>
      <c r="G1432" s="53">
        <f t="shared" si="116"/>
        <v>1</v>
      </c>
      <c r="H1432" s="53">
        <f t="shared" si="117"/>
        <v>1</v>
      </c>
      <c r="I1432" s="53" t="str">
        <f t="shared" si="115"/>
        <v>wd</v>
      </c>
      <c r="J1432" s="53"/>
    </row>
    <row r="1433" spans="1:10" x14ac:dyDescent="0.25">
      <c r="A1433" s="93">
        <v>45571</v>
      </c>
      <c r="B1433" s="35">
        <f t="shared" si="113"/>
        <v>190</v>
      </c>
      <c r="C1433" s="76">
        <v>10</v>
      </c>
      <c r="D1433" s="53">
        <v>2024</v>
      </c>
      <c r="E1433" s="56">
        <v>0.13333333333333333</v>
      </c>
      <c r="F1433" s="53">
        <f t="shared" si="114"/>
        <v>1</v>
      </c>
      <c r="G1433" s="53">
        <f t="shared" si="116"/>
        <v>1</v>
      </c>
      <c r="H1433" s="53">
        <f t="shared" si="117"/>
        <v>-1</v>
      </c>
      <c r="I1433" s="53" t="str">
        <f t="shared" si="115"/>
        <v>dw</v>
      </c>
      <c r="J1433" s="53"/>
    </row>
    <row r="1434" spans="1:10" x14ac:dyDescent="0.25">
      <c r="A1434" s="93">
        <v>45572</v>
      </c>
      <c r="B1434" s="35">
        <f t="shared" si="113"/>
        <v>190</v>
      </c>
      <c r="C1434" s="76">
        <v>10</v>
      </c>
      <c r="D1434" s="53">
        <v>2024</v>
      </c>
      <c r="E1434" s="56">
        <v>5.9333333333333336</v>
      </c>
      <c r="F1434" s="53">
        <f t="shared" si="114"/>
        <v>1</v>
      </c>
      <c r="G1434" s="53">
        <f t="shared" si="116"/>
        <v>2</v>
      </c>
      <c r="H1434" s="53">
        <f t="shared" si="117"/>
        <v>2</v>
      </c>
      <c r="I1434" s="53" t="str">
        <f t="shared" si="115"/>
        <v>ww</v>
      </c>
      <c r="J1434" s="53"/>
    </row>
    <row r="1435" spans="1:10" x14ac:dyDescent="0.25">
      <c r="A1435" s="93">
        <v>45573</v>
      </c>
      <c r="B1435" s="35">
        <f t="shared" si="113"/>
        <v>190</v>
      </c>
      <c r="C1435" s="76">
        <v>10</v>
      </c>
      <c r="D1435" s="53">
        <v>2024</v>
      </c>
      <c r="E1435" s="56">
        <v>5.7333333333333334</v>
      </c>
      <c r="F1435" s="53">
        <f t="shared" si="114"/>
        <v>1</v>
      </c>
      <c r="G1435" s="53">
        <f t="shared" si="116"/>
        <v>2</v>
      </c>
      <c r="H1435" s="53">
        <f t="shared" si="117"/>
        <v>2</v>
      </c>
      <c r="I1435" s="53" t="str">
        <f t="shared" si="115"/>
        <v>ww</v>
      </c>
      <c r="J1435" s="53"/>
    </row>
    <row r="1436" spans="1:10" x14ac:dyDescent="0.25">
      <c r="A1436" s="93">
        <v>45574</v>
      </c>
      <c r="B1436" s="35">
        <f t="shared" si="113"/>
        <v>190</v>
      </c>
      <c r="C1436" s="76">
        <v>10</v>
      </c>
      <c r="D1436" s="53">
        <v>2024</v>
      </c>
      <c r="E1436" s="56">
        <v>43.733333333333341</v>
      </c>
      <c r="F1436" s="53">
        <f t="shared" si="114"/>
        <v>1</v>
      </c>
      <c r="G1436" s="53">
        <f t="shared" si="116"/>
        <v>2</v>
      </c>
      <c r="H1436" s="53">
        <f t="shared" si="117"/>
        <v>2</v>
      </c>
      <c r="I1436" s="53" t="str">
        <f t="shared" si="115"/>
        <v>ww</v>
      </c>
      <c r="J1436" s="53"/>
    </row>
    <row r="1437" spans="1:10" x14ac:dyDescent="0.25">
      <c r="A1437" s="93">
        <v>45575</v>
      </c>
      <c r="B1437" s="35">
        <f t="shared" si="113"/>
        <v>190</v>
      </c>
      <c r="C1437" s="76">
        <v>10</v>
      </c>
      <c r="D1437" s="53">
        <v>2024</v>
      </c>
      <c r="E1437" s="56">
        <v>5.8666666666666671</v>
      </c>
      <c r="F1437" s="53">
        <f t="shared" si="114"/>
        <v>1</v>
      </c>
      <c r="G1437" s="53">
        <f t="shared" si="116"/>
        <v>2</v>
      </c>
      <c r="H1437" s="53">
        <f t="shared" si="117"/>
        <v>2</v>
      </c>
      <c r="I1437" s="53" t="str">
        <f t="shared" si="115"/>
        <v>ww</v>
      </c>
      <c r="J1437" s="53"/>
    </row>
    <row r="1438" spans="1:10" x14ac:dyDescent="0.25">
      <c r="A1438" s="93">
        <v>45576</v>
      </c>
      <c r="B1438" s="35">
        <f t="shared" si="113"/>
        <v>190</v>
      </c>
      <c r="C1438" s="76">
        <v>10</v>
      </c>
      <c r="D1438" s="53">
        <v>2024</v>
      </c>
      <c r="E1438" s="56">
        <v>6.6666666666666666E-2</v>
      </c>
      <c r="F1438" s="53">
        <f t="shared" si="114"/>
        <v>1</v>
      </c>
      <c r="G1438" s="53">
        <f t="shared" si="116"/>
        <v>2</v>
      </c>
      <c r="H1438" s="53">
        <f t="shared" si="117"/>
        <v>2</v>
      </c>
      <c r="I1438" s="53" t="str">
        <f t="shared" si="115"/>
        <v>ww</v>
      </c>
      <c r="J1438" s="53"/>
    </row>
    <row r="1439" spans="1:10" x14ac:dyDescent="0.25">
      <c r="A1439" s="93">
        <v>45577</v>
      </c>
      <c r="B1439" s="35">
        <f t="shared" si="113"/>
        <v>190</v>
      </c>
      <c r="C1439" s="76">
        <v>10</v>
      </c>
      <c r="D1439" s="53">
        <v>2024</v>
      </c>
      <c r="E1439" s="56">
        <v>0</v>
      </c>
      <c r="F1439" s="53">
        <f t="shared" si="114"/>
        <v>0</v>
      </c>
      <c r="G1439" s="53">
        <f t="shared" si="116"/>
        <v>1</v>
      </c>
      <c r="H1439" s="53">
        <f t="shared" si="117"/>
        <v>1</v>
      </c>
      <c r="I1439" s="53" t="str">
        <f t="shared" si="115"/>
        <v>wd</v>
      </c>
      <c r="J1439" s="53"/>
    </row>
    <row r="1440" spans="1:10" x14ac:dyDescent="0.25">
      <c r="A1440" s="93">
        <v>45578</v>
      </c>
      <c r="B1440" s="35">
        <f t="shared" si="113"/>
        <v>190</v>
      </c>
      <c r="C1440" s="76">
        <v>10</v>
      </c>
      <c r="D1440" s="53">
        <v>2024</v>
      </c>
      <c r="E1440" s="56">
        <v>1.8</v>
      </c>
      <c r="F1440" s="53">
        <f t="shared" si="114"/>
        <v>1</v>
      </c>
      <c r="G1440" s="53">
        <f t="shared" si="116"/>
        <v>1</v>
      </c>
      <c r="H1440" s="53">
        <f t="shared" si="117"/>
        <v>-1</v>
      </c>
      <c r="I1440" s="53" t="str">
        <f t="shared" si="115"/>
        <v>dw</v>
      </c>
      <c r="J1440" s="53"/>
    </row>
    <row r="1441" spans="1:10" x14ac:dyDescent="0.25">
      <c r="A1441" s="93">
        <v>45579</v>
      </c>
      <c r="B1441" s="35">
        <f t="shared" si="113"/>
        <v>190</v>
      </c>
      <c r="C1441" s="76">
        <v>10</v>
      </c>
      <c r="D1441" s="53">
        <v>2024</v>
      </c>
      <c r="E1441" s="56">
        <v>0</v>
      </c>
      <c r="F1441" s="53">
        <f t="shared" si="114"/>
        <v>0</v>
      </c>
      <c r="G1441" s="53">
        <f t="shared" si="116"/>
        <v>1</v>
      </c>
      <c r="H1441" s="53">
        <f t="shared" si="117"/>
        <v>1</v>
      </c>
      <c r="I1441" s="53" t="str">
        <f t="shared" si="115"/>
        <v>wd</v>
      </c>
      <c r="J1441" s="53"/>
    </row>
    <row r="1442" spans="1:10" x14ac:dyDescent="0.25">
      <c r="A1442" s="93">
        <v>45580</v>
      </c>
      <c r="B1442" s="35">
        <f t="shared" si="113"/>
        <v>190</v>
      </c>
      <c r="C1442" s="76">
        <v>10</v>
      </c>
      <c r="D1442" s="53">
        <v>2024</v>
      </c>
      <c r="E1442" s="56">
        <v>0</v>
      </c>
      <c r="F1442" s="53">
        <f t="shared" si="114"/>
        <v>0</v>
      </c>
      <c r="G1442" s="53">
        <f t="shared" si="116"/>
        <v>0</v>
      </c>
      <c r="H1442" s="53">
        <f t="shared" si="117"/>
        <v>0</v>
      </c>
      <c r="I1442" s="53" t="str">
        <f t="shared" si="115"/>
        <v>dd</v>
      </c>
      <c r="J1442" s="53"/>
    </row>
    <row r="1443" spans="1:10" x14ac:dyDescent="0.25">
      <c r="A1443" s="93">
        <v>45581</v>
      </c>
      <c r="B1443" s="35">
        <f t="shared" si="113"/>
        <v>190</v>
      </c>
      <c r="C1443" s="76">
        <v>10</v>
      </c>
      <c r="D1443" s="53">
        <v>2024</v>
      </c>
      <c r="E1443" s="56">
        <v>1.8666666666666665</v>
      </c>
      <c r="F1443" s="53">
        <f t="shared" si="114"/>
        <v>1</v>
      </c>
      <c r="G1443" s="53">
        <f t="shared" si="116"/>
        <v>1</v>
      </c>
      <c r="H1443" s="53">
        <f t="shared" si="117"/>
        <v>-1</v>
      </c>
      <c r="I1443" s="53" t="str">
        <f t="shared" si="115"/>
        <v>dw</v>
      </c>
      <c r="J1443" s="53"/>
    </row>
    <row r="1444" spans="1:10" x14ac:dyDescent="0.25">
      <c r="A1444" s="93">
        <v>45582</v>
      </c>
      <c r="B1444" s="35">
        <f t="shared" si="113"/>
        <v>190</v>
      </c>
      <c r="C1444" s="76">
        <v>10</v>
      </c>
      <c r="D1444" s="53">
        <v>2024</v>
      </c>
      <c r="E1444" s="56">
        <v>7.5333333333333323</v>
      </c>
      <c r="F1444" s="53">
        <f t="shared" si="114"/>
        <v>1</v>
      </c>
      <c r="G1444" s="53">
        <f t="shared" si="116"/>
        <v>2</v>
      </c>
      <c r="H1444" s="53">
        <f t="shared" si="117"/>
        <v>2</v>
      </c>
      <c r="I1444" s="53" t="str">
        <f t="shared" si="115"/>
        <v>ww</v>
      </c>
      <c r="J1444" s="53"/>
    </row>
    <row r="1445" spans="1:10" x14ac:dyDescent="0.25">
      <c r="A1445" s="93">
        <v>45583</v>
      </c>
      <c r="B1445" s="35">
        <f t="shared" si="113"/>
        <v>190</v>
      </c>
      <c r="C1445" s="76">
        <v>10</v>
      </c>
      <c r="D1445" s="53">
        <v>2024</v>
      </c>
      <c r="E1445" s="56">
        <v>0</v>
      </c>
      <c r="F1445" s="53">
        <f t="shared" si="114"/>
        <v>0</v>
      </c>
      <c r="G1445" s="53">
        <f t="shared" si="116"/>
        <v>1</v>
      </c>
      <c r="H1445" s="53">
        <f t="shared" si="117"/>
        <v>1</v>
      </c>
      <c r="I1445" s="53" t="str">
        <f t="shared" si="115"/>
        <v>wd</v>
      </c>
      <c r="J1445" s="53"/>
    </row>
    <row r="1446" spans="1:10" x14ac:dyDescent="0.25">
      <c r="A1446" s="93">
        <v>45584</v>
      </c>
      <c r="B1446" s="35">
        <f t="shared" si="113"/>
        <v>190</v>
      </c>
      <c r="C1446" s="76">
        <v>10</v>
      </c>
      <c r="D1446" s="53">
        <v>2024</v>
      </c>
      <c r="E1446" s="56">
        <v>1.1333333333333333</v>
      </c>
      <c r="F1446" s="53">
        <f t="shared" si="114"/>
        <v>1</v>
      </c>
      <c r="G1446" s="53">
        <f t="shared" si="116"/>
        <v>1</v>
      </c>
      <c r="H1446" s="53">
        <f t="shared" si="117"/>
        <v>-1</v>
      </c>
      <c r="I1446" s="53" t="str">
        <f t="shared" si="115"/>
        <v>dw</v>
      </c>
      <c r="J1446" s="53"/>
    </row>
    <row r="1447" spans="1:10" x14ac:dyDescent="0.25">
      <c r="A1447" s="93">
        <v>45585</v>
      </c>
      <c r="B1447" s="35">
        <f t="shared" si="113"/>
        <v>190</v>
      </c>
      <c r="C1447" s="76">
        <v>10</v>
      </c>
      <c r="D1447" s="53">
        <v>2024</v>
      </c>
      <c r="E1447" s="56">
        <v>0.33333333333333331</v>
      </c>
      <c r="F1447" s="53">
        <f t="shared" si="114"/>
        <v>1</v>
      </c>
      <c r="G1447" s="53">
        <f t="shared" si="116"/>
        <v>2</v>
      </c>
      <c r="H1447" s="53">
        <f t="shared" si="117"/>
        <v>2</v>
      </c>
      <c r="I1447" s="53" t="str">
        <f t="shared" si="115"/>
        <v>ww</v>
      </c>
      <c r="J1447" s="53"/>
    </row>
    <row r="1448" spans="1:10" x14ac:dyDescent="0.25">
      <c r="A1448" s="93">
        <v>45586</v>
      </c>
      <c r="B1448" s="35">
        <f t="shared" si="113"/>
        <v>190</v>
      </c>
      <c r="C1448" s="76">
        <v>10</v>
      </c>
      <c r="D1448" s="53">
        <v>2024</v>
      </c>
      <c r="E1448" s="56">
        <v>2.7333333333333329</v>
      </c>
      <c r="F1448" s="53">
        <f t="shared" si="114"/>
        <v>1</v>
      </c>
      <c r="G1448" s="53">
        <f t="shared" si="116"/>
        <v>2</v>
      </c>
      <c r="H1448" s="53">
        <f t="shared" si="117"/>
        <v>2</v>
      </c>
      <c r="I1448" s="53" t="str">
        <f t="shared" si="115"/>
        <v>ww</v>
      </c>
      <c r="J1448" s="53"/>
    </row>
    <row r="1449" spans="1:10" x14ac:dyDescent="0.25">
      <c r="A1449" s="93">
        <v>45587</v>
      </c>
      <c r="B1449" s="35">
        <f t="shared" si="113"/>
        <v>190</v>
      </c>
      <c r="C1449" s="76">
        <v>10</v>
      </c>
      <c r="D1449" s="53">
        <v>2024</v>
      </c>
      <c r="E1449" s="56">
        <v>0</v>
      </c>
      <c r="F1449" s="53">
        <f t="shared" si="114"/>
        <v>0</v>
      </c>
      <c r="G1449" s="53">
        <f t="shared" si="116"/>
        <v>1</v>
      </c>
      <c r="H1449" s="53">
        <f t="shared" si="117"/>
        <v>1</v>
      </c>
      <c r="I1449" s="53" t="str">
        <f t="shared" si="115"/>
        <v>wd</v>
      </c>
      <c r="J1449" s="53"/>
    </row>
    <row r="1450" spans="1:10" x14ac:dyDescent="0.25">
      <c r="A1450" s="93">
        <v>45588</v>
      </c>
      <c r="B1450" s="35">
        <f t="shared" si="113"/>
        <v>190</v>
      </c>
      <c r="C1450" s="76">
        <v>10</v>
      </c>
      <c r="D1450" s="53">
        <v>2024</v>
      </c>
      <c r="E1450" s="56">
        <v>0</v>
      </c>
      <c r="F1450" s="53">
        <f t="shared" si="114"/>
        <v>0</v>
      </c>
      <c r="G1450" s="53">
        <f t="shared" si="116"/>
        <v>0</v>
      </c>
      <c r="H1450" s="53">
        <f t="shared" si="117"/>
        <v>0</v>
      </c>
      <c r="I1450" s="53" t="str">
        <f t="shared" si="115"/>
        <v>dd</v>
      </c>
      <c r="J1450" s="53"/>
    </row>
    <row r="1451" spans="1:10" x14ac:dyDescent="0.25">
      <c r="A1451" s="93">
        <v>45589</v>
      </c>
      <c r="B1451" s="35">
        <f t="shared" si="113"/>
        <v>190</v>
      </c>
      <c r="C1451" s="76">
        <v>10</v>
      </c>
      <c r="D1451" s="53">
        <v>2024</v>
      </c>
      <c r="E1451" s="56">
        <v>0</v>
      </c>
      <c r="F1451" s="53">
        <f t="shared" si="114"/>
        <v>0</v>
      </c>
      <c r="G1451" s="53">
        <f t="shared" si="116"/>
        <v>0</v>
      </c>
      <c r="H1451" s="53">
        <f t="shared" si="117"/>
        <v>0</v>
      </c>
      <c r="I1451" s="53" t="str">
        <f t="shared" si="115"/>
        <v>dd</v>
      </c>
      <c r="J1451" s="53"/>
    </row>
    <row r="1452" spans="1:10" x14ac:dyDescent="0.25">
      <c r="A1452" s="93">
        <v>45590</v>
      </c>
      <c r="B1452" s="35">
        <f t="shared" si="113"/>
        <v>190</v>
      </c>
      <c r="C1452" s="76">
        <v>10</v>
      </c>
      <c r="D1452" s="53">
        <v>2024</v>
      </c>
      <c r="E1452" s="56">
        <v>0</v>
      </c>
      <c r="F1452" s="53">
        <f t="shared" si="114"/>
        <v>0</v>
      </c>
      <c r="G1452" s="53">
        <f t="shared" si="116"/>
        <v>0</v>
      </c>
      <c r="H1452" s="53">
        <f t="shared" si="117"/>
        <v>0</v>
      </c>
      <c r="I1452" s="53" t="str">
        <f t="shared" si="115"/>
        <v>dd</v>
      </c>
      <c r="J1452" s="53"/>
    </row>
    <row r="1453" spans="1:10" x14ac:dyDescent="0.25">
      <c r="A1453" s="93">
        <v>45591</v>
      </c>
      <c r="B1453" s="35">
        <f t="shared" si="113"/>
        <v>190</v>
      </c>
      <c r="C1453" s="76">
        <v>10</v>
      </c>
      <c r="D1453" s="53">
        <v>2024</v>
      </c>
      <c r="E1453" s="56">
        <v>6.6666666666666666E-2</v>
      </c>
      <c r="F1453" s="53">
        <f t="shared" si="114"/>
        <v>1</v>
      </c>
      <c r="G1453" s="53">
        <f t="shared" si="116"/>
        <v>1</v>
      </c>
      <c r="H1453" s="53">
        <f t="shared" si="117"/>
        <v>-1</v>
      </c>
      <c r="I1453" s="53" t="str">
        <f t="shared" si="115"/>
        <v>dw</v>
      </c>
      <c r="J1453" s="53"/>
    </row>
    <row r="1454" spans="1:10" x14ac:dyDescent="0.25">
      <c r="A1454" s="93">
        <v>45592</v>
      </c>
      <c r="B1454" s="35">
        <f t="shared" si="113"/>
        <v>190</v>
      </c>
      <c r="C1454" s="76">
        <v>10</v>
      </c>
      <c r="D1454" s="53">
        <v>2024</v>
      </c>
      <c r="E1454" s="56">
        <v>0.13333333333333333</v>
      </c>
      <c r="F1454" s="53">
        <f t="shared" si="114"/>
        <v>1</v>
      </c>
      <c r="G1454" s="53">
        <f t="shared" si="116"/>
        <v>2</v>
      </c>
      <c r="H1454" s="53">
        <f t="shared" si="117"/>
        <v>2</v>
      </c>
      <c r="I1454" s="53" t="str">
        <f t="shared" si="115"/>
        <v>ww</v>
      </c>
      <c r="J1454" s="53"/>
    </row>
    <row r="1455" spans="1:10" x14ac:dyDescent="0.25">
      <c r="A1455" s="93">
        <v>45593</v>
      </c>
      <c r="B1455" s="35">
        <f t="shared" si="113"/>
        <v>190</v>
      </c>
      <c r="C1455" s="76">
        <v>10</v>
      </c>
      <c r="D1455" s="53">
        <v>2024</v>
      </c>
      <c r="E1455" s="56">
        <v>4.2</v>
      </c>
      <c r="F1455" s="53">
        <f t="shared" si="114"/>
        <v>1</v>
      </c>
      <c r="G1455" s="53">
        <f t="shared" si="116"/>
        <v>2</v>
      </c>
      <c r="H1455" s="53">
        <f t="shared" si="117"/>
        <v>2</v>
      </c>
      <c r="I1455" s="53" t="str">
        <f t="shared" si="115"/>
        <v>ww</v>
      </c>
      <c r="J1455" s="53"/>
    </row>
    <row r="1456" spans="1:10" x14ac:dyDescent="0.25">
      <c r="A1456" s="93">
        <v>45594</v>
      </c>
      <c r="B1456" s="35">
        <f t="shared" si="113"/>
        <v>190</v>
      </c>
      <c r="C1456" s="76">
        <v>10</v>
      </c>
      <c r="D1456" s="53">
        <v>2024</v>
      </c>
      <c r="E1456" s="56">
        <v>0</v>
      </c>
      <c r="F1456" s="53">
        <f t="shared" si="114"/>
        <v>0</v>
      </c>
      <c r="G1456" s="53">
        <f t="shared" si="116"/>
        <v>1</v>
      </c>
      <c r="H1456" s="53">
        <f t="shared" si="117"/>
        <v>1</v>
      </c>
      <c r="I1456" s="53" t="str">
        <f t="shared" si="115"/>
        <v>wd</v>
      </c>
      <c r="J1456" s="53"/>
    </row>
    <row r="1457" spans="1:10" x14ac:dyDescent="0.25">
      <c r="A1457" s="93">
        <v>45595</v>
      </c>
      <c r="B1457" s="35">
        <f t="shared" si="113"/>
        <v>190</v>
      </c>
      <c r="C1457" s="76">
        <v>10</v>
      </c>
      <c r="D1457" s="53">
        <v>2024</v>
      </c>
      <c r="E1457" s="56">
        <v>0</v>
      </c>
      <c r="F1457" s="53">
        <f t="shared" si="114"/>
        <v>0</v>
      </c>
      <c r="G1457" s="53">
        <f t="shared" si="116"/>
        <v>0</v>
      </c>
      <c r="H1457" s="53">
        <f t="shared" si="117"/>
        <v>0</v>
      </c>
      <c r="I1457" s="53" t="str">
        <f t="shared" si="115"/>
        <v>dd</v>
      </c>
      <c r="J1457" s="53"/>
    </row>
    <row r="1458" spans="1:10" x14ac:dyDescent="0.25">
      <c r="A1458" s="93">
        <v>45596</v>
      </c>
      <c r="B1458" s="35">
        <f t="shared" si="113"/>
        <v>190</v>
      </c>
      <c r="C1458" s="76">
        <v>10</v>
      </c>
      <c r="D1458" s="53">
        <v>2024</v>
      </c>
      <c r="E1458" s="56">
        <v>0</v>
      </c>
      <c r="F1458" s="53">
        <f t="shared" si="114"/>
        <v>0</v>
      </c>
      <c r="G1458" s="53">
        <f t="shared" si="116"/>
        <v>0</v>
      </c>
      <c r="H1458" s="53">
        <f t="shared" si="117"/>
        <v>0</v>
      </c>
      <c r="I1458" s="53" t="str">
        <f t="shared" si="115"/>
        <v>dd</v>
      </c>
      <c r="J1458" s="53"/>
    </row>
    <row r="1459" spans="1:10" x14ac:dyDescent="0.25">
      <c r="A1459" s="93">
        <v>39816</v>
      </c>
      <c r="B1459" s="35">
        <f t="shared" si="113"/>
        <v>1</v>
      </c>
      <c r="C1459" s="76">
        <v>1</v>
      </c>
      <c r="D1459" s="76">
        <v>2009</v>
      </c>
      <c r="E1459" s="56">
        <v>6.6666666666666666E-2</v>
      </c>
      <c r="F1459" s="53">
        <f t="shared" si="114"/>
        <v>1</v>
      </c>
      <c r="G1459" s="53">
        <f>SUM(F1459:F1459)</f>
        <v>1</v>
      </c>
      <c r="H1459" s="53" t="e">
        <f>IF(G1459=1,IF(#REF!=1,1,-1),G1459)</f>
        <v>#REF!</v>
      </c>
      <c r="I1459" s="53" t="e">
        <f t="shared" si="115"/>
        <v>#REF!</v>
      </c>
      <c r="J1459" s="53"/>
    </row>
    <row r="1460" spans="1:10" x14ac:dyDescent="0.25">
      <c r="A1460" s="93">
        <v>39817</v>
      </c>
      <c r="B1460" s="35">
        <f t="shared" si="113"/>
        <v>1</v>
      </c>
      <c r="C1460" s="76">
        <v>1</v>
      </c>
      <c r="D1460" s="76">
        <v>2009</v>
      </c>
      <c r="E1460" s="56">
        <v>1.0666666666666667</v>
      </c>
      <c r="F1460" s="53">
        <f t="shared" si="114"/>
        <v>1</v>
      </c>
      <c r="G1460" s="53">
        <f t="shared" ref="G1460:G1523" si="118">SUM(F1459:F1460)</f>
        <v>2</v>
      </c>
      <c r="H1460" s="53">
        <f t="shared" ref="H1460:H1523" si="119">IF(G1460=1,IF(F1459=1,1,-1),G1460)</f>
        <v>2</v>
      </c>
      <c r="I1460" s="53" t="str">
        <f t="shared" si="115"/>
        <v>ww</v>
      </c>
      <c r="J1460" s="53"/>
    </row>
    <row r="1461" spans="1:10" x14ac:dyDescent="0.25">
      <c r="A1461" s="93">
        <v>39818</v>
      </c>
      <c r="B1461" s="35">
        <f t="shared" si="113"/>
        <v>1</v>
      </c>
      <c r="C1461" s="76">
        <v>1</v>
      </c>
      <c r="D1461" s="76">
        <v>2009</v>
      </c>
      <c r="E1461" s="56">
        <v>2.1333333333333333</v>
      </c>
      <c r="F1461" s="53">
        <f t="shared" si="114"/>
        <v>1</v>
      </c>
      <c r="G1461" s="53">
        <f t="shared" si="118"/>
        <v>2</v>
      </c>
      <c r="H1461" s="53">
        <f t="shared" si="119"/>
        <v>2</v>
      </c>
      <c r="I1461" s="53" t="str">
        <f t="shared" si="115"/>
        <v>ww</v>
      </c>
      <c r="J1461" s="53"/>
    </row>
    <row r="1462" spans="1:10" x14ac:dyDescent="0.25">
      <c r="A1462" s="93">
        <v>39819</v>
      </c>
      <c r="B1462" s="35">
        <f t="shared" si="113"/>
        <v>1</v>
      </c>
      <c r="C1462" s="76">
        <v>1</v>
      </c>
      <c r="D1462" s="76">
        <v>2009</v>
      </c>
      <c r="E1462" s="56">
        <v>0.86666666666666659</v>
      </c>
      <c r="F1462" s="53">
        <f t="shared" si="114"/>
        <v>1</v>
      </c>
      <c r="G1462" s="53">
        <f t="shared" si="118"/>
        <v>2</v>
      </c>
      <c r="H1462" s="53">
        <f t="shared" si="119"/>
        <v>2</v>
      </c>
      <c r="I1462" s="53" t="str">
        <f t="shared" si="115"/>
        <v>ww</v>
      </c>
      <c r="J1462" s="53"/>
    </row>
    <row r="1463" spans="1:10" x14ac:dyDescent="0.25">
      <c r="A1463" s="93">
        <v>39820</v>
      </c>
      <c r="B1463" s="35">
        <f t="shared" si="113"/>
        <v>1</v>
      </c>
      <c r="C1463" s="76">
        <v>1</v>
      </c>
      <c r="D1463" s="76">
        <v>2009</v>
      </c>
      <c r="E1463" s="56">
        <v>1.2333333333333334</v>
      </c>
      <c r="F1463" s="53">
        <f t="shared" si="114"/>
        <v>1</v>
      </c>
      <c r="G1463" s="53">
        <f t="shared" si="118"/>
        <v>2</v>
      </c>
      <c r="H1463" s="53">
        <f t="shared" si="119"/>
        <v>2</v>
      </c>
      <c r="I1463" s="53" t="str">
        <f t="shared" si="115"/>
        <v>ww</v>
      </c>
      <c r="J1463" s="53"/>
    </row>
    <row r="1464" spans="1:10" x14ac:dyDescent="0.25">
      <c r="A1464" s="93">
        <v>39821</v>
      </c>
      <c r="B1464" s="35">
        <f t="shared" si="113"/>
        <v>1</v>
      </c>
      <c r="C1464" s="76">
        <v>1</v>
      </c>
      <c r="D1464" s="76">
        <v>2009</v>
      </c>
      <c r="E1464" s="56">
        <v>0.13333333333333333</v>
      </c>
      <c r="F1464" s="53">
        <f t="shared" si="114"/>
        <v>1</v>
      </c>
      <c r="G1464" s="53">
        <f t="shared" si="118"/>
        <v>2</v>
      </c>
      <c r="H1464" s="53">
        <f t="shared" si="119"/>
        <v>2</v>
      </c>
      <c r="I1464" s="53" t="str">
        <f t="shared" si="115"/>
        <v>ww</v>
      </c>
      <c r="J1464" s="53"/>
    </row>
    <row r="1465" spans="1:10" x14ac:dyDescent="0.25">
      <c r="A1465" s="93">
        <v>39822</v>
      </c>
      <c r="B1465" s="35">
        <f t="shared" si="113"/>
        <v>1</v>
      </c>
      <c r="C1465" s="76">
        <v>1</v>
      </c>
      <c r="D1465" s="76">
        <v>2009</v>
      </c>
      <c r="E1465" s="56">
        <v>6.6666666666666666E-2</v>
      </c>
      <c r="F1465" s="53">
        <f t="shared" si="114"/>
        <v>1</v>
      </c>
      <c r="G1465" s="53">
        <f t="shared" si="118"/>
        <v>2</v>
      </c>
      <c r="H1465" s="53">
        <f t="shared" si="119"/>
        <v>2</v>
      </c>
      <c r="I1465" s="53" t="str">
        <f t="shared" si="115"/>
        <v>ww</v>
      </c>
      <c r="J1465" s="53"/>
    </row>
    <row r="1466" spans="1:10" x14ac:dyDescent="0.25">
      <c r="A1466" s="93">
        <v>39823</v>
      </c>
      <c r="B1466" s="35">
        <f t="shared" si="113"/>
        <v>1</v>
      </c>
      <c r="C1466" s="76">
        <v>1</v>
      </c>
      <c r="D1466" s="76">
        <v>2009</v>
      </c>
      <c r="E1466" s="56">
        <v>0</v>
      </c>
      <c r="F1466" s="53">
        <f t="shared" si="114"/>
        <v>0</v>
      </c>
      <c r="G1466" s="53">
        <f t="shared" si="118"/>
        <v>1</v>
      </c>
      <c r="H1466" s="53">
        <f t="shared" si="119"/>
        <v>1</v>
      </c>
      <c r="I1466" s="53" t="str">
        <f t="shared" si="115"/>
        <v>wd</v>
      </c>
      <c r="J1466" s="53"/>
    </row>
    <row r="1467" spans="1:10" x14ac:dyDescent="0.25">
      <c r="A1467" s="93">
        <v>39824</v>
      </c>
      <c r="B1467" s="35">
        <f t="shared" si="113"/>
        <v>1</v>
      </c>
      <c r="C1467" s="76">
        <v>1</v>
      </c>
      <c r="D1467" s="76">
        <v>2009</v>
      </c>
      <c r="E1467" s="56">
        <v>0</v>
      </c>
      <c r="F1467" s="53">
        <f t="shared" si="114"/>
        <v>0</v>
      </c>
      <c r="G1467" s="53">
        <f t="shared" si="118"/>
        <v>0</v>
      </c>
      <c r="H1467" s="53">
        <f t="shared" si="119"/>
        <v>0</v>
      </c>
      <c r="I1467" s="53" t="str">
        <f t="shared" si="115"/>
        <v>dd</v>
      </c>
      <c r="J1467" s="53"/>
    </row>
    <row r="1468" spans="1:10" x14ac:dyDescent="0.25">
      <c r="A1468" s="93">
        <v>39825</v>
      </c>
      <c r="B1468" s="35">
        <f t="shared" si="113"/>
        <v>1</v>
      </c>
      <c r="C1468" s="76">
        <v>1</v>
      </c>
      <c r="D1468" s="76">
        <v>2009</v>
      </c>
      <c r="E1468" s="56">
        <v>0.8666666666666667</v>
      </c>
      <c r="F1468" s="53">
        <f t="shared" si="114"/>
        <v>1</v>
      </c>
      <c r="G1468" s="53">
        <f t="shared" si="118"/>
        <v>1</v>
      </c>
      <c r="H1468" s="53">
        <f t="shared" si="119"/>
        <v>-1</v>
      </c>
      <c r="I1468" s="53" t="str">
        <f t="shared" si="115"/>
        <v>dw</v>
      </c>
      <c r="J1468" s="53"/>
    </row>
    <row r="1469" spans="1:10" x14ac:dyDescent="0.25">
      <c r="A1469" s="93">
        <v>39826</v>
      </c>
      <c r="B1469" s="35">
        <f t="shared" si="113"/>
        <v>1</v>
      </c>
      <c r="C1469" s="76">
        <v>1</v>
      </c>
      <c r="D1469" s="76">
        <v>2009</v>
      </c>
      <c r="E1469" s="56">
        <v>0.3</v>
      </c>
      <c r="F1469" s="53">
        <f t="shared" si="114"/>
        <v>1</v>
      </c>
      <c r="G1469" s="53">
        <f t="shared" si="118"/>
        <v>2</v>
      </c>
      <c r="H1469" s="53">
        <f t="shared" si="119"/>
        <v>2</v>
      </c>
      <c r="I1469" s="53" t="str">
        <f t="shared" si="115"/>
        <v>ww</v>
      </c>
      <c r="J1469" s="53"/>
    </row>
    <row r="1470" spans="1:10" x14ac:dyDescent="0.25">
      <c r="A1470" s="93">
        <v>39827</v>
      </c>
      <c r="B1470" s="35">
        <f t="shared" si="113"/>
        <v>1</v>
      </c>
      <c r="C1470" s="76">
        <v>1</v>
      </c>
      <c r="D1470" s="76">
        <v>2009</v>
      </c>
      <c r="E1470" s="56">
        <v>0.33333333333333331</v>
      </c>
      <c r="F1470" s="53">
        <f t="shared" si="114"/>
        <v>1</v>
      </c>
      <c r="G1470" s="53">
        <f t="shared" si="118"/>
        <v>2</v>
      </c>
      <c r="H1470" s="53">
        <f t="shared" si="119"/>
        <v>2</v>
      </c>
      <c r="I1470" s="53" t="str">
        <f t="shared" si="115"/>
        <v>ww</v>
      </c>
      <c r="J1470" s="53"/>
    </row>
    <row r="1471" spans="1:10" x14ac:dyDescent="0.25">
      <c r="A1471" s="93">
        <v>39828</v>
      </c>
      <c r="B1471" s="35">
        <f t="shared" si="113"/>
        <v>1</v>
      </c>
      <c r="C1471" s="76">
        <v>1</v>
      </c>
      <c r="D1471" s="76">
        <v>2009</v>
      </c>
      <c r="E1471" s="56">
        <v>0.6</v>
      </c>
      <c r="F1471" s="53">
        <f t="shared" si="114"/>
        <v>1</v>
      </c>
      <c r="G1471" s="53">
        <f t="shared" si="118"/>
        <v>2</v>
      </c>
      <c r="H1471" s="53">
        <f t="shared" si="119"/>
        <v>2</v>
      </c>
      <c r="I1471" s="53" t="str">
        <f t="shared" si="115"/>
        <v>ww</v>
      </c>
      <c r="J1471" s="53"/>
    </row>
    <row r="1472" spans="1:10" x14ac:dyDescent="0.25">
      <c r="A1472" s="93">
        <v>39829</v>
      </c>
      <c r="B1472" s="35">
        <f t="shared" si="113"/>
        <v>1</v>
      </c>
      <c r="C1472" s="76">
        <v>1</v>
      </c>
      <c r="D1472" s="76">
        <v>2009</v>
      </c>
      <c r="E1472" s="56">
        <v>0.43333333333333335</v>
      </c>
      <c r="F1472" s="53">
        <f t="shared" si="114"/>
        <v>1</v>
      </c>
      <c r="G1472" s="53">
        <f t="shared" si="118"/>
        <v>2</v>
      </c>
      <c r="H1472" s="53">
        <f t="shared" si="119"/>
        <v>2</v>
      </c>
      <c r="I1472" s="53" t="str">
        <f t="shared" si="115"/>
        <v>ww</v>
      </c>
      <c r="J1472" s="53"/>
    </row>
    <row r="1473" spans="1:10" x14ac:dyDescent="0.25">
      <c r="A1473" s="93">
        <v>39830</v>
      </c>
      <c r="B1473" s="35">
        <f t="shared" si="113"/>
        <v>1</v>
      </c>
      <c r="C1473" s="76">
        <v>1</v>
      </c>
      <c r="D1473" s="76">
        <v>2009</v>
      </c>
      <c r="E1473" s="56">
        <v>2</v>
      </c>
      <c r="F1473" s="53">
        <f t="shared" si="114"/>
        <v>1</v>
      </c>
      <c r="G1473" s="53">
        <f t="shared" si="118"/>
        <v>2</v>
      </c>
      <c r="H1473" s="53">
        <f t="shared" si="119"/>
        <v>2</v>
      </c>
      <c r="I1473" s="53" t="str">
        <f t="shared" si="115"/>
        <v>ww</v>
      </c>
      <c r="J1473" s="53"/>
    </row>
    <row r="1474" spans="1:10" x14ac:dyDescent="0.25">
      <c r="A1474" s="93">
        <v>39831</v>
      </c>
      <c r="B1474" s="35">
        <f t="shared" ref="B1474:B1537" si="120">C1474+(D1474-2009)*12</f>
        <v>1</v>
      </c>
      <c r="C1474" s="76">
        <v>1</v>
      </c>
      <c r="D1474" s="76">
        <v>2009</v>
      </c>
      <c r="E1474" s="56">
        <v>1.8666666666666665</v>
      </c>
      <c r="F1474" s="53">
        <f t="shared" ref="F1474:F1537" si="121">IF(E1474&gt;0,1,0)</f>
        <v>1</v>
      </c>
      <c r="G1474" s="53">
        <f t="shared" si="118"/>
        <v>2</v>
      </c>
      <c r="H1474" s="53">
        <f t="shared" si="119"/>
        <v>2</v>
      </c>
      <c r="I1474" s="53" t="str">
        <f t="shared" ref="I1474:I1537" si="122">VLOOKUP(H1474,codes,2,)</f>
        <v>ww</v>
      </c>
      <c r="J1474" s="53"/>
    </row>
    <row r="1475" spans="1:10" x14ac:dyDescent="0.25">
      <c r="A1475" s="93">
        <v>39832</v>
      </c>
      <c r="B1475" s="35">
        <f t="shared" si="120"/>
        <v>1</v>
      </c>
      <c r="C1475" s="76">
        <v>1</v>
      </c>
      <c r="D1475" s="76">
        <v>2009</v>
      </c>
      <c r="E1475" s="56">
        <v>2.8000000000000003</v>
      </c>
      <c r="F1475" s="53">
        <f t="shared" si="121"/>
        <v>1</v>
      </c>
      <c r="G1475" s="53">
        <f t="shared" si="118"/>
        <v>2</v>
      </c>
      <c r="H1475" s="53">
        <f t="shared" si="119"/>
        <v>2</v>
      </c>
      <c r="I1475" s="53" t="str">
        <f t="shared" si="122"/>
        <v>ww</v>
      </c>
      <c r="J1475" s="53"/>
    </row>
    <row r="1476" spans="1:10" x14ac:dyDescent="0.25">
      <c r="A1476" s="93">
        <v>39833</v>
      </c>
      <c r="B1476" s="35">
        <f t="shared" si="120"/>
        <v>1</v>
      </c>
      <c r="C1476" s="76">
        <v>1</v>
      </c>
      <c r="D1476" s="76">
        <v>2009</v>
      </c>
      <c r="E1476" s="56">
        <v>0.3666666666666667</v>
      </c>
      <c r="F1476" s="53">
        <f t="shared" si="121"/>
        <v>1</v>
      </c>
      <c r="G1476" s="53">
        <f t="shared" si="118"/>
        <v>2</v>
      </c>
      <c r="H1476" s="53">
        <f t="shared" si="119"/>
        <v>2</v>
      </c>
      <c r="I1476" s="53" t="str">
        <f t="shared" si="122"/>
        <v>ww</v>
      </c>
      <c r="J1476" s="53"/>
    </row>
    <row r="1477" spans="1:10" x14ac:dyDescent="0.25">
      <c r="A1477" s="93">
        <v>39834</v>
      </c>
      <c r="B1477" s="35">
        <f t="shared" si="120"/>
        <v>1</v>
      </c>
      <c r="C1477" s="76">
        <v>1</v>
      </c>
      <c r="D1477" s="76">
        <v>2009</v>
      </c>
      <c r="E1477" s="56">
        <v>0.26666666666666666</v>
      </c>
      <c r="F1477" s="53">
        <f t="shared" si="121"/>
        <v>1</v>
      </c>
      <c r="G1477" s="53">
        <f t="shared" si="118"/>
        <v>2</v>
      </c>
      <c r="H1477" s="53">
        <f t="shared" si="119"/>
        <v>2</v>
      </c>
      <c r="I1477" s="53" t="str">
        <f t="shared" si="122"/>
        <v>ww</v>
      </c>
      <c r="J1477" s="53"/>
    </row>
    <row r="1478" spans="1:10" x14ac:dyDescent="0.25">
      <c r="A1478" s="93">
        <v>39835</v>
      </c>
      <c r="B1478" s="35">
        <f t="shared" si="120"/>
        <v>1</v>
      </c>
      <c r="C1478" s="76">
        <v>1</v>
      </c>
      <c r="D1478" s="76">
        <v>2009</v>
      </c>
      <c r="E1478" s="56">
        <v>0.79999999999999993</v>
      </c>
      <c r="F1478" s="53">
        <f t="shared" si="121"/>
        <v>1</v>
      </c>
      <c r="G1478" s="53">
        <f t="shared" si="118"/>
        <v>2</v>
      </c>
      <c r="H1478" s="53">
        <f t="shared" si="119"/>
        <v>2</v>
      </c>
      <c r="I1478" s="53" t="str">
        <f t="shared" si="122"/>
        <v>ww</v>
      </c>
      <c r="J1478" s="53"/>
    </row>
    <row r="1479" spans="1:10" x14ac:dyDescent="0.25">
      <c r="A1479" s="93">
        <v>39836</v>
      </c>
      <c r="B1479" s="35">
        <f t="shared" si="120"/>
        <v>1</v>
      </c>
      <c r="C1479" s="76">
        <v>1</v>
      </c>
      <c r="D1479" s="76">
        <v>2009</v>
      </c>
      <c r="E1479" s="56">
        <v>0.79999999999999993</v>
      </c>
      <c r="F1479" s="53">
        <f t="shared" si="121"/>
        <v>1</v>
      </c>
      <c r="G1479" s="53">
        <f t="shared" si="118"/>
        <v>2</v>
      </c>
      <c r="H1479" s="53">
        <f t="shared" si="119"/>
        <v>2</v>
      </c>
      <c r="I1479" s="53" t="str">
        <f t="shared" si="122"/>
        <v>ww</v>
      </c>
      <c r="J1479" s="53"/>
    </row>
    <row r="1480" spans="1:10" x14ac:dyDescent="0.25">
      <c r="A1480" s="93">
        <v>39837</v>
      </c>
      <c r="B1480" s="35">
        <f t="shared" si="120"/>
        <v>1</v>
      </c>
      <c r="C1480" s="76">
        <v>1</v>
      </c>
      <c r="D1480" s="76">
        <v>2009</v>
      </c>
      <c r="E1480" s="56">
        <v>1.1333333333333333</v>
      </c>
      <c r="F1480" s="53">
        <f t="shared" si="121"/>
        <v>1</v>
      </c>
      <c r="G1480" s="53">
        <f t="shared" si="118"/>
        <v>2</v>
      </c>
      <c r="H1480" s="53">
        <f t="shared" si="119"/>
        <v>2</v>
      </c>
      <c r="I1480" s="53" t="str">
        <f t="shared" si="122"/>
        <v>ww</v>
      </c>
      <c r="J1480" s="53"/>
    </row>
    <row r="1481" spans="1:10" x14ac:dyDescent="0.25">
      <c r="A1481" s="93">
        <v>39838</v>
      </c>
      <c r="B1481" s="35">
        <f t="shared" si="120"/>
        <v>1</v>
      </c>
      <c r="C1481" s="76">
        <v>1</v>
      </c>
      <c r="D1481" s="76">
        <v>2009</v>
      </c>
      <c r="E1481" s="56">
        <v>3.2333333333333329</v>
      </c>
      <c r="F1481" s="53">
        <f t="shared" si="121"/>
        <v>1</v>
      </c>
      <c r="G1481" s="53">
        <f t="shared" si="118"/>
        <v>2</v>
      </c>
      <c r="H1481" s="53">
        <f t="shared" si="119"/>
        <v>2</v>
      </c>
      <c r="I1481" s="53" t="str">
        <f t="shared" si="122"/>
        <v>ww</v>
      </c>
      <c r="J1481" s="53"/>
    </row>
    <row r="1482" spans="1:10" x14ac:dyDescent="0.25">
      <c r="A1482" s="93">
        <v>39839</v>
      </c>
      <c r="B1482" s="35">
        <f t="shared" si="120"/>
        <v>1</v>
      </c>
      <c r="C1482" s="76">
        <v>1</v>
      </c>
      <c r="D1482" s="76">
        <v>2009</v>
      </c>
      <c r="E1482" s="56">
        <v>0.20000000000000004</v>
      </c>
      <c r="F1482" s="53">
        <f t="shared" si="121"/>
        <v>1</v>
      </c>
      <c r="G1482" s="53">
        <f t="shared" si="118"/>
        <v>2</v>
      </c>
      <c r="H1482" s="53">
        <f t="shared" si="119"/>
        <v>2</v>
      </c>
      <c r="I1482" s="53" t="str">
        <f t="shared" si="122"/>
        <v>ww</v>
      </c>
      <c r="J1482" s="53"/>
    </row>
    <row r="1483" spans="1:10" x14ac:dyDescent="0.25">
      <c r="A1483" s="93">
        <v>39840</v>
      </c>
      <c r="B1483" s="35">
        <f t="shared" si="120"/>
        <v>1</v>
      </c>
      <c r="C1483" s="76">
        <v>1</v>
      </c>
      <c r="D1483" s="76">
        <v>2009</v>
      </c>
      <c r="E1483" s="56">
        <v>1.6666666666666667</v>
      </c>
      <c r="F1483" s="53">
        <f t="shared" si="121"/>
        <v>1</v>
      </c>
      <c r="G1483" s="53">
        <f t="shared" si="118"/>
        <v>2</v>
      </c>
      <c r="H1483" s="53">
        <f t="shared" si="119"/>
        <v>2</v>
      </c>
      <c r="I1483" s="53" t="str">
        <f t="shared" si="122"/>
        <v>ww</v>
      </c>
      <c r="J1483" s="53"/>
    </row>
    <row r="1484" spans="1:10" x14ac:dyDescent="0.25">
      <c r="A1484" s="93">
        <v>39841</v>
      </c>
      <c r="B1484" s="35">
        <f t="shared" si="120"/>
        <v>1</v>
      </c>
      <c r="C1484" s="76">
        <v>1</v>
      </c>
      <c r="D1484" s="76">
        <v>2009</v>
      </c>
      <c r="E1484" s="56">
        <v>2</v>
      </c>
      <c r="F1484" s="53">
        <f t="shared" si="121"/>
        <v>1</v>
      </c>
      <c r="G1484" s="53">
        <f t="shared" si="118"/>
        <v>2</v>
      </c>
      <c r="H1484" s="53">
        <f t="shared" si="119"/>
        <v>2</v>
      </c>
      <c r="I1484" s="53" t="str">
        <f t="shared" si="122"/>
        <v>ww</v>
      </c>
      <c r="J1484" s="53"/>
    </row>
    <row r="1485" spans="1:10" x14ac:dyDescent="0.25">
      <c r="A1485" s="93">
        <v>39842</v>
      </c>
      <c r="B1485" s="35">
        <f t="shared" si="120"/>
        <v>1</v>
      </c>
      <c r="C1485" s="76">
        <v>1</v>
      </c>
      <c r="D1485" s="76">
        <v>2009</v>
      </c>
      <c r="E1485" s="56">
        <v>0</v>
      </c>
      <c r="F1485" s="53">
        <f t="shared" si="121"/>
        <v>0</v>
      </c>
      <c r="G1485" s="53">
        <f t="shared" si="118"/>
        <v>1</v>
      </c>
      <c r="H1485" s="53">
        <f t="shared" si="119"/>
        <v>1</v>
      </c>
      <c r="I1485" s="53" t="str">
        <f t="shared" si="122"/>
        <v>wd</v>
      </c>
      <c r="J1485" s="53"/>
    </row>
    <row r="1486" spans="1:10" x14ac:dyDescent="0.25">
      <c r="A1486" s="93">
        <v>39843</v>
      </c>
      <c r="B1486" s="35">
        <f t="shared" si="120"/>
        <v>1</v>
      </c>
      <c r="C1486" s="76">
        <v>1</v>
      </c>
      <c r="D1486" s="76">
        <v>2009</v>
      </c>
      <c r="E1486" s="56">
        <v>6.6666666666666666E-2</v>
      </c>
      <c r="F1486" s="53">
        <f t="shared" si="121"/>
        <v>1</v>
      </c>
      <c r="G1486" s="53">
        <f t="shared" si="118"/>
        <v>1</v>
      </c>
      <c r="H1486" s="53">
        <f t="shared" si="119"/>
        <v>-1</v>
      </c>
      <c r="I1486" s="53" t="str">
        <f t="shared" si="122"/>
        <v>dw</v>
      </c>
      <c r="J1486" s="53"/>
    </row>
    <row r="1487" spans="1:10" x14ac:dyDescent="0.25">
      <c r="A1487" s="93">
        <v>39844</v>
      </c>
      <c r="B1487" s="35">
        <f t="shared" si="120"/>
        <v>1</v>
      </c>
      <c r="C1487" s="76">
        <v>1</v>
      </c>
      <c r="D1487" s="76">
        <v>2009</v>
      </c>
      <c r="E1487" s="56">
        <v>0.20000000000000004</v>
      </c>
      <c r="F1487" s="53">
        <f t="shared" si="121"/>
        <v>1</v>
      </c>
      <c r="G1487" s="53">
        <f t="shared" si="118"/>
        <v>2</v>
      </c>
      <c r="H1487" s="53">
        <f t="shared" si="119"/>
        <v>2</v>
      </c>
      <c r="I1487" s="53" t="str">
        <f t="shared" si="122"/>
        <v>ww</v>
      </c>
      <c r="J1487" s="53"/>
    </row>
    <row r="1488" spans="1:10" x14ac:dyDescent="0.25">
      <c r="A1488" s="93">
        <v>40179</v>
      </c>
      <c r="B1488" s="35">
        <f t="shared" si="120"/>
        <v>13</v>
      </c>
      <c r="C1488" s="76">
        <v>1</v>
      </c>
      <c r="D1488" s="76">
        <v>2010</v>
      </c>
      <c r="E1488" s="56">
        <v>2.6666666666666665</v>
      </c>
      <c r="F1488" s="53">
        <f t="shared" si="121"/>
        <v>1</v>
      </c>
      <c r="G1488" s="53">
        <f t="shared" si="118"/>
        <v>2</v>
      </c>
      <c r="H1488" s="53">
        <f t="shared" si="119"/>
        <v>2</v>
      </c>
      <c r="I1488" s="53" t="str">
        <f t="shared" si="122"/>
        <v>ww</v>
      </c>
      <c r="J1488" s="53"/>
    </row>
    <row r="1489" spans="1:10" x14ac:dyDescent="0.25">
      <c r="A1489" s="93">
        <v>40180</v>
      </c>
      <c r="B1489" s="35">
        <f t="shared" si="120"/>
        <v>13</v>
      </c>
      <c r="C1489" s="76">
        <v>1</v>
      </c>
      <c r="D1489" s="76">
        <v>2010</v>
      </c>
      <c r="E1489" s="56">
        <v>6</v>
      </c>
      <c r="F1489" s="53">
        <f t="shared" si="121"/>
        <v>1</v>
      </c>
      <c r="G1489" s="53">
        <f t="shared" si="118"/>
        <v>2</v>
      </c>
      <c r="H1489" s="53">
        <f t="shared" si="119"/>
        <v>2</v>
      </c>
      <c r="I1489" s="53" t="str">
        <f t="shared" si="122"/>
        <v>ww</v>
      </c>
      <c r="J1489" s="53"/>
    </row>
    <row r="1490" spans="1:10" x14ac:dyDescent="0.25">
      <c r="A1490" s="93">
        <v>40181</v>
      </c>
      <c r="B1490" s="35">
        <f t="shared" si="120"/>
        <v>13</v>
      </c>
      <c r="C1490" s="76">
        <v>1</v>
      </c>
      <c r="D1490" s="76">
        <v>2010</v>
      </c>
      <c r="E1490" s="56">
        <v>2.1999999999999997</v>
      </c>
      <c r="F1490" s="53">
        <f t="shared" si="121"/>
        <v>1</v>
      </c>
      <c r="G1490" s="53">
        <f t="shared" si="118"/>
        <v>2</v>
      </c>
      <c r="H1490" s="53">
        <f t="shared" si="119"/>
        <v>2</v>
      </c>
      <c r="I1490" s="53" t="str">
        <f t="shared" si="122"/>
        <v>ww</v>
      </c>
      <c r="J1490" s="53"/>
    </row>
    <row r="1491" spans="1:10" x14ac:dyDescent="0.25">
      <c r="A1491" s="93">
        <v>40182</v>
      </c>
      <c r="B1491" s="35">
        <f t="shared" si="120"/>
        <v>13</v>
      </c>
      <c r="C1491" s="76">
        <v>1</v>
      </c>
      <c r="D1491" s="76">
        <v>2010</v>
      </c>
      <c r="E1491" s="56">
        <v>0.3</v>
      </c>
      <c r="F1491" s="53">
        <f t="shared" si="121"/>
        <v>1</v>
      </c>
      <c r="G1491" s="53">
        <f t="shared" si="118"/>
        <v>2</v>
      </c>
      <c r="H1491" s="53">
        <f t="shared" si="119"/>
        <v>2</v>
      </c>
      <c r="I1491" s="53" t="str">
        <f t="shared" si="122"/>
        <v>ww</v>
      </c>
      <c r="J1491" s="53"/>
    </row>
    <row r="1492" spans="1:10" x14ac:dyDescent="0.25">
      <c r="A1492" s="93">
        <v>40183</v>
      </c>
      <c r="B1492" s="35">
        <f t="shared" si="120"/>
        <v>13</v>
      </c>
      <c r="C1492" s="76">
        <v>1</v>
      </c>
      <c r="D1492" s="76">
        <v>2010</v>
      </c>
      <c r="E1492" s="56">
        <v>0.33333333333333331</v>
      </c>
      <c r="F1492" s="53">
        <f t="shared" si="121"/>
        <v>1</v>
      </c>
      <c r="G1492" s="53">
        <f t="shared" si="118"/>
        <v>2</v>
      </c>
      <c r="H1492" s="53">
        <f t="shared" si="119"/>
        <v>2</v>
      </c>
      <c r="I1492" s="53" t="str">
        <f t="shared" si="122"/>
        <v>ww</v>
      </c>
      <c r="J1492" s="53"/>
    </row>
    <row r="1493" spans="1:10" x14ac:dyDescent="0.25">
      <c r="A1493" s="93">
        <v>40184</v>
      </c>
      <c r="B1493" s="35">
        <f t="shared" si="120"/>
        <v>13</v>
      </c>
      <c r="C1493" s="76">
        <v>1</v>
      </c>
      <c r="D1493" s="76">
        <v>2010</v>
      </c>
      <c r="E1493" s="56">
        <v>6.4333333333333327</v>
      </c>
      <c r="F1493" s="53">
        <f t="shared" si="121"/>
        <v>1</v>
      </c>
      <c r="G1493" s="53">
        <f t="shared" si="118"/>
        <v>2</v>
      </c>
      <c r="H1493" s="53">
        <f t="shared" si="119"/>
        <v>2</v>
      </c>
      <c r="I1493" s="53" t="str">
        <f t="shared" si="122"/>
        <v>ww</v>
      </c>
      <c r="J1493" s="53"/>
    </row>
    <row r="1494" spans="1:10" x14ac:dyDescent="0.25">
      <c r="A1494" s="93">
        <v>40185</v>
      </c>
      <c r="B1494" s="35">
        <f t="shared" si="120"/>
        <v>13</v>
      </c>
      <c r="C1494" s="76">
        <v>1</v>
      </c>
      <c r="D1494" s="76">
        <v>2010</v>
      </c>
      <c r="E1494" s="56">
        <v>0.96666666666666679</v>
      </c>
      <c r="F1494" s="53">
        <f t="shared" si="121"/>
        <v>1</v>
      </c>
      <c r="G1494" s="53">
        <f t="shared" si="118"/>
        <v>2</v>
      </c>
      <c r="H1494" s="53">
        <f t="shared" si="119"/>
        <v>2</v>
      </c>
      <c r="I1494" s="53" t="str">
        <f t="shared" si="122"/>
        <v>ww</v>
      </c>
      <c r="J1494" s="53"/>
    </row>
    <row r="1495" spans="1:10" x14ac:dyDescent="0.25">
      <c r="A1495" s="93">
        <v>40186</v>
      </c>
      <c r="B1495" s="35">
        <f t="shared" si="120"/>
        <v>13</v>
      </c>
      <c r="C1495" s="76">
        <v>1</v>
      </c>
      <c r="D1495" s="76">
        <v>2010</v>
      </c>
      <c r="E1495" s="56">
        <v>0.26666666666666666</v>
      </c>
      <c r="F1495" s="53">
        <f t="shared" si="121"/>
        <v>1</v>
      </c>
      <c r="G1495" s="53">
        <f t="shared" si="118"/>
        <v>2</v>
      </c>
      <c r="H1495" s="53">
        <f t="shared" si="119"/>
        <v>2</v>
      </c>
      <c r="I1495" s="53" t="str">
        <f t="shared" si="122"/>
        <v>ww</v>
      </c>
      <c r="J1495" s="53"/>
    </row>
    <row r="1496" spans="1:10" x14ac:dyDescent="0.25">
      <c r="A1496" s="93">
        <v>40187</v>
      </c>
      <c r="B1496" s="35">
        <f t="shared" si="120"/>
        <v>13</v>
      </c>
      <c r="C1496" s="76">
        <v>1</v>
      </c>
      <c r="D1496" s="76">
        <v>2010</v>
      </c>
      <c r="E1496" s="56">
        <v>0.43333333333333335</v>
      </c>
      <c r="F1496" s="53">
        <f t="shared" si="121"/>
        <v>1</v>
      </c>
      <c r="G1496" s="53">
        <f t="shared" si="118"/>
        <v>2</v>
      </c>
      <c r="H1496" s="53">
        <f t="shared" si="119"/>
        <v>2</v>
      </c>
      <c r="I1496" s="53" t="str">
        <f t="shared" si="122"/>
        <v>ww</v>
      </c>
      <c r="J1496" s="53"/>
    </row>
    <row r="1497" spans="1:10" x14ac:dyDescent="0.25">
      <c r="A1497" s="93">
        <v>40188</v>
      </c>
      <c r="B1497" s="35">
        <f t="shared" si="120"/>
        <v>13</v>
      </c>
      <c r="C1497" s="76">
        <v>1</v>
      </c>
      <c r="D1497" s="76">
        <v>2010</v>
      </c>
      <c r="E1497" s="56">
        <v>4.2666666666666666</v>
      </c>
      <c r="F1497" s="53">
        <f t="shared" si="121"/>
        <v>1</v>
      </c>
      <c r="G1497" s="53">
        <f t="shared" si="118"/>
        <v>2</v>
      </c>
      <c r="H1497" s="53">
        <f t="shared" si="119"/>
        <v>2</v>
      </c>
      <c r="I1497" s="53" t="str">
        <f t="shared" si="122"/>
        <v>ww</v>
      </c>
      <c r="J1497" s="53"/>
    </row>
    <row r="1498" spans="1:10" x14ac:dyDescent="0.25">
      <c r="A1498" s="93">
        <v>40189</v>
      </c>
      <c r="B1498" s="35">
        <f t="shared" si="120"/>
        <v>13</v>
      </c>
      <c r="C1498" s="76">
        <v>1</v>
      </c>
      <c r="D1498" s="76">
        <v>2010</v>
      </c>
      <c r="E1498" s="56">
        <v>0</v>
      </c>
      <c r="F1498" s="53">
        <f t="shared" si="121"/>
        <v>0</v>
      </c>
      <c r="G1498" s="53">
        <f t="shared" si="118"/>
        <v>1</v>
      </c>
      <c r="H1498" s="53">
        <f t="shared" si="119"/>
        <v>1</v>
      </c>
      <c r="I1498" s="53" t="str">
        <f t="shared" si="122"/>
        <v>wd</v>
      </c>
      <c r="J1498" s="53"/>
    </row>
    <row r="1499" spans="1:10" x14ac:dyDescent="0.25">
      <c r="A1499" s="93">
        <v>40190</v>
      </c>
      <c r="B1499" s="35">
        <f t="shared" si="120"/>
        <v>13</v>
      </c>
      <c r="C1499" s="76">
        <v>1</v>
      </c>
      <c r="D1499" s="76">
        <v>2010</v>
      </c>
      <c r="E1499" s="56">
        <v>2.1333333333333333</v>
      </c>
      <c r="F1499" s="53">
        <f t="shared" si="121"/>
        <v>1</v>
      </c>
      <c r="G1499" s="53">
        <f t="shared" si="118"/>
        <v>1</v>
      </c>
      <c r="H1499" s="53">
        <f t="shared" si="119"/>
        <v>-1</v>
      </c>
      <c r="I1499" s="53" t="str">
        <f t="shared" si="122"/>
        <v>dw</v>
      </c>
      <c r="J1499" s="53"/>
    </row>
    <row r="1500" spans="1:10" x14ac:dyDescent="0.25">
      <c r="A1500" s="93">
        <v>40191</v>
      </c>
      <c r="B1500" s="35">
        <f t="shared" si="120"/>
        <v>13</v>
      </c>
      <c r="C1500" s="76">
        <v>1</v>
      </c>
      <c r="D1500" s="76">
        <v>2010</v>
      </c>
      <c r="E1500" s="56">
        <v>1.2</v>
      </c>
      <c r="F1500" s="53">
        <f t="shared" si="121"/>
        <v>1</v>
      </c>
      <c r="G1500" s="53">
        <f t="shared" si="118"/>
        <v>2</v>
      </c>
      <c r="H1500" s="53">
        <f t="shared" si="119"/>
        <v>2</v>
      </c>
      <c r="I1500" s="53" t="str">
        <f t="shared" si="122"/>
        <v>ww</v>
      </c>
      <c r="J1500" s="53"/>
    </row>
    <row r="1501" spans="1:10" x14ac:dyDescent="0.25">
      <c r="A1501" s="93">
        <v>40192</v>
      </c>
      <c r="B1501" s="35">
        <f t="shared" si="120"/>
        <v>13</v>
      </c>
      <c r="C1501" s="76">
        <v>1</v>
      </c>
      <c r="D1501" s="76">
        <v>2010</v>
      </c>
      <c r="E1501" s="56">
        <v>1.3999999999999997</v>
      </c>
      <c r="F1501" s="53">
        <f t="shared" si="121"/>
        <v>1</v>
      </c>
      <c r="G1501" s="53">
        <f t="shared" si="118"/>
        <v>2</v>
      </c>
      <c r="H1501" s="53">
        <f t="shared" si="119"/>
        <v>2</v>
      </c>
      <c r="I1501" s="53" t="str">
        <f t="shared" si="122"/>
        <v>ww</v>
      </c>
      <c r="J1501" s="53"/>
    </row>
    <row r="1502" spans="1:10" x14ac:dyDescent="0.25">
      <c r="A1502" s="93">
        <v>40193</v>
      </c>
      <c r="B1502" s="35">
        <f t="shared" si="120"/>
        <v>13</v>
      </c>
      <c r="C1502" s="76">
        <v>1</v>
      </c>
      <c r="D1502" s="76">
        <v>2010</v>
      </c>
      <c r="E1502" s="56">
        <v>0.86666666666666659</v>
      </c>
      <c r="F1502" s="53">
        <f t="shared" si="121"/>
        <v>1</v>
      </c>
      <c r="G1502" s="53">
        <f t="shared" si="118"/>
        <v>2</v>
      </c>
      <c r="H1502" s="53">
        <f t="shared" si="119"/>
        <v>2</v>
      </c>
      <c r="I1502" s="53" t="str">
        <f t="shared" si="122"/>
        <v>ww</v>
      </c>
      <c r="J1502" s="53"/>
    </row>
    <row r="1503" spans="1:10" x14ac:dyDescent="0.25">
      <c r="A1503" s="93">
        <v>40194</v>
      </c>
      <c r="B1503" s="35">
        <f t="shared" si="120"/>
        <v>13</v>
      </c>
      <c r="C1503" s="76">
        <v>1</v>
      </c>
      <c r="D1503" s="76">
        <v>2010</v>
      </c>
      <c r="E1503" s="56">
        <v>5.9333333333333327</v>
      </c>
      <c r="F1503" s="53">
        <f t="shared" si="121"/>
        <v>1</v>
      </c>
      <c r="G1503" s="53">
        <f t="shared" si="118"/>
        <v>2</v>
      </c>
      <c r="H1503" s="53">
        <f t="shared" si="119"/>
        <v>2</v>
      </c>
      <c r="I1503" s="53" t="str">
        <f t="shared" si="122"/>
        <v>ww</v>
      </c>
      <c r="J1503" s="53"/>
    </row>
    <row r="1504" spans="1:10" x14ac:dyDescent="0.25">
      <c r="A1504" s="93">
        <v>40195</v>
      </c>
      <c r="B1504" s="35">
        <f t="shared" si="120"/>
        <v>13</v>
      </c>
      <c r="C1504" s="76">
        <v>1</v>
      </c>
      <c r="D1504" s="76">
        <v>2010</v>
      </c>
      <c r="E1504" s="56">
        <v>4.4000000000000004</v>
      </c>
      <c r="F1504" s="53">
        <f t="shared" si="121"/>
        <v>1</v>
      </c>
      <c r="G1504" s="53">
        <f t="shared" si="118"/>
        <v>2</v>
      </c>
      <c r="H1504" s="53">
        <f t="shared" si="119"/>
        <v>2</v>
      </c>
      <c r="I1504" s="53" t="str">
        <f t="shared" si="122"/>
        <v>ww</v>
      </c>
      <c r="J1504" s="53"/>
    </row>
    <row r="1505" spans="1:10" x14ac:dyDescent="0.25">
      <c r="A1505" s="93">
        <v>40196</v>
      </c>
      <c r="B1505" s="35">
        <f t="shared" si="120"/>
        <v>13</v>
      </c>
      <c r="C1505" s="76">
        <v>1</v>
      </c>
      <c r="D1505" s="76">
        <v>2010</v>
      </c>
      <c r="E1505" s="56">
        <v>0</v>
      </c>
      <c r="F1505" s="53">
        <f t="shared" si="121"/>
        <v>0</v>
      </c>
      <c r="G1505" s="53">
        <f t="shared" si="118"/>
        <v>1</v>
      </c>
      <c r="H1505" s="53">
        <f t="shared" si="119"/>
        <v>1</v>
      </c>
      <c r="I1505" s="53" t="str">
        <f t="shared" si="122"/>
        <v>wd</v>
      </c>
      <c r="J1505" s="53"/>
    </row>
    <row r="1506" spans="1:10" x14ac:dyDescent="0.25">
      <c r="A1506" s="93">
        <v>40197</v>
      </c>
      <c r="B1506" s="35">
        <f t="shared" si="120"/>
        <v>13</v>
      </c>
      <c r="C1506" s="76">
        <v>1</v>
      </c>
      <c r="D1506" s="76">
        <v>2010</v>
      </c>
      <c r="E1506" s="56">
        <v>6.6666666666666666E-2</v>
      </c>
      <c r="F1506" s="53">
        <f t="shared" si="121"/>
        <v>1</v>
      </c>
      <c r="G1506" s="53">
        <f t="shared" si="118"/>
        <v>1</v>
      </c>
      <c r="H1506" s="53">
        <f t="shared" si="119"/>
        <v>-1</v>
      </c>
      <c r="I1506" s="53" t="str">
        <f t="shared" si="122"/>
        <v>dw</v>
      </c>
      <c r="J1506" s="53"/>
    </row>
    <row r="1507" spans="1:10" x14ac:dyDescent="0.25">
      <c r="A1507" s="93">
        <v>40198</v>
      </c>
      <c r="B1507" s="35">
        <f t="shared" si="120"/>
        <v>13</v>
      </c>
      <c r="C1507" s="76">
        <v>1</v>
      </c>
      <c r="D1507" s="76">
        <v>2010</v>
      </c>
      <c r="E1507" s="56">
        <v>0.33333333333333331</v>
      </c>
      <c r="F1507" s="53">
        <f t="shared" si="121"/>
        <v>1</v>
      </c>
      <c r="G1507" s="53">
        <f t="shared" si="118"/>
        <v>2</v>
      </c>
      <c r="H1507" s="53">
        <f t="shared" si="119"/>
        <v>2</v>
      </c>
      <c r="I1507" s="53" t="str">
        <f t="shared" si="122"/>
        <v>ww</v>
      </c>
      <c r="J1507" s="53"/>
    </row>
    <row r="1508" spans="1:10" x14ac:dyDescent="0.25">
      <c r="A1508" s="93">
        <v>40199</v>
      </c>
      <c r="B1508" s="35">
        <f t="shared" si="120"/>
        <v>13</v>
      </c>
      <c r="C1508" s="76">
        <v>1</v>
      </c>
      <c r="D1508" s="76">
        <v>2010</v>
      </c>
      <c r="E1508" s="56">
        <v>1.4000000000000001</v>
      </c>
      <c r="F1508" s="53">
        <f t="shared" si="121"/>
        <v>1</v>
      </c>
      <c r="G1508" s="53">
        <f t="shared" si="118"/>
        <v>2</v>
      </c>
      <c r="H1508" s="53">
        <f t="shared" si="119"/>
        <v>2</v>
      </c>
      <c r="I1508" s="53" t="str">
        <f t="shared" si="122"/>
        <v>ww</v>
      </c>
      <c r="J1508" s="53"/>
    </row>
    <row r="1509" spans="1:10" x14ac:dyDescent="0.25">
      <c r="A1509" s="93">
        <v>40200</v>
      </c>
      <c r="B1509" s="35">
        <f t="shared" si="120"/>
        <v>13</v>
      </c>
      <c r="C1509" s="76">
        <v>1</v>
      </c>
      <c r="D1509" s="76">
        <v>2010</v>
      </c>
      <c r="E1509" s="56">
        <v>6.5333333333333341</v>
      </c>
      <c r="F1509" s="53">
        <f t="shared" si="121"/>
        <v>1</v>
      </c>
      <c r="G1509" s="53">
        <f t="shared" si="118"/>
        <v>2</v>
      </c>
      <c r="H1509" s="53">
        <f t="shared" si="119"/>
        <v>2</v>
      </c>
      <c r="I1509" s="53" t="str">
        <f t="shared" si="122"/>
        <v>ww</v>
      </c>
      <c r="J1509" s="53"/>
    </row>
    <row r="1510" spans="1:10" x14ac:dyDescent="0.25">
      <c r="A1510" s="93">
        <v>40201</v>
      </c>
      <c r="B1510" s="35">
        <f t="shared" si="120"/>
        <v>13</v>
      </c>
      <c r="C1510" s="76">
        <v>1</v>
      </c>
      <c r="D1510" s="76">
        <v>2010</v>
      </c>
      <c r="E1510" s="56">
        <v>6.6666666666666666E-2</v>
      </c>
      <c r="F1510" s="53">
        <f t="shared" si="121"/>
        <v>1</v>
      </c>
      <c r="G1510" s="53">
        <f t="shared" si="118"/>
        <v>2</v>
      </c>
      <c r="H1510" s="53">
        <f t="shared" si="119"/>
        <v>2</v>
      </c>
      <c r="I1510" s="53" t="str">
        <f t="shared" si="122"/>
        <v>ww</v>
      </c>
      <c r="J1510" s="53"/>
    </row>
    <row r="1511" spans="1:10" x14ac:dyDescent="0.25">
      <c r="A1511" s="93">
        <v>40202</v>
      </c>
      <c r="B1511" s="35">
        <f t="shared" si="120"/>
        <v>13</v>
      </c>
      <c r="C1511" s="76">
        <v>1</v>
      </c>
      <c r="D1511" s="76">
        <v>2010</v>
      </c>
      <c r="E1511" s="56">
        <v>6.6666666666666666E-2</v>
      </c>
      <c r="F1511" s="53">
        <f t="shared" si="121"/>
        <v>1</v>
      </c>
      <c r="G1511" s="53">
        <f t="shared" si="118"/>
        <v>2</v>
      </c>
      <c r="H1511" s="53">
        <f t="shared" si="119"/>
        <v>2</v>
      </c>
      <c r="I1511" s="53" t="str">
        <f t="shared" si="122"/>
        <v>ww</v>
      </c>
      <c r="J1511" s="53"/>
    </row>
    <row r="1512" spans="1:10" x14ac:dyDescent="0.25">
      <c r="A1512" s="93">
        <v>40203</v>
      </c>
      <c r="B1512" s="35">
        <f t="shared" si="120"/>
        <v>13</v>
      </c>
      <c r="C1512" s="76">
        <v>1</v>
      </c>
      <c r="D1512" s="76">
        <v>2010</v>
      </c>
      <c r="E1512" s="56">
        <v>1.2666666666666666</v>
      </c>
      <c r="F1512" s="53">
        <f t="shared" si="121"/>
        <v>1</v>
      </c>
      <c r="G1512" s="53">
        <f t="shared" si="118"/>
        <v>2</v>
      </c>
      <c r="H1512" s="53">
        <f t="shared" si="119"/>
        <v>2</v>
      </c>
      <c r="I1512" s="53" t="str">
        <f t="shared" si="122"/>
        <v>ww</v>
      </c>
      <c r="J1512" s="53"/>
    </row>
    <row r="1513" spans="1:10" x14ac:dyDescent="0.25">
      <c r="A1513" s="93">
        <v>40204</v>
      </c>
      <c r="B1513" s="35">
        <f t="shared" si="120"/>
        <v>13</v>
      </c>
      <c r="C1513" s="76">
        <v>1</v>
      </c>
      <c r="D1513" s="76">
        <v>2010</v>
      </c>
      <c r="E1513" s="56">
        <v>0</v>
      </c>
      <c r="F1513" s="53">
        <f t="shared" si="121"/>
        <v>0</v>
      </c>
      <c r="G1513" s="53">
        <f t="shared" si="118"/>
        <v>1</v>
      </c>
      <c r="H1513" s="53">
        <f t="shared" si="119"/>
        <v>1</v>
      </c>
      <c r="I1513" s="53" t="str">
        <f t="shared" si="122"/>
        <v>wd</v>
      </c>
      <c r="J1513" s="53"/>
    </row>
    <row r="1514" spans="1:10" x14ac:dyDescent="0.25">
      <c r="A1514" s="93">
        <v>40205</v>
      </c>
      <c r="B1514" s="35">
        <f t="shared" si="120"/>
        <v>13</v>
      </c>
      <c r="C1514" s="76">
        <v>1</v>
      </c>
      <c r="D1514" s="76">
        <v>2010</v>
      </c>
      <c r="E1514" s="56">
        <v>0</v>
      </c>
      <c r="F1514" s="53">
        <f t="shared" si="121"/>
        <v>0</v>
      </c>
      <c r="G1514" s="53">
        <f t="shared" si="118"/>
        <v>0</v>
      </c>
      <c r="H1514" s="53">
        <f t="shared" si="119"/>
        <v>0</v>
      </c>
      <c r="I1514" s="53" t="str">
        <f t="shared" si="122"/>
        <v>dd</v>
      </c>
      <c r="J1514" s="53"/>
    </row>
    <row r="1515" spans="1:10" x14ac:dyDescent="0.25">
      <c r="A1515" s="93">
        <v>40206</v>
      </c>
      <c r="B1515" s="35">
        <f t="shared" si="120"/>
        <v>13</v>
      </c>
      <c r="C1515" s="76">
        <v>1</v>
      </c>
      <c r="D1515" s="76">
        <v>2010</v>
      </c>
      <c r="E1515" s="56">
        <v>0.8666666666666667</v>
      </c>
      <c r="F1515" s="53">
        <f t="shared" si="121"/>
        <v>1</v>
      </c>
      <c r="G1515" s="53">
        <f t="shared" si="118"/>
        <v>1</v>
      </c>
      <c r="H1515" s="53">
        <f t="shared" si="119"/>
        <v>-1</v>
      </c>
      <c r="I1515" s="53" t="str">
        <f t="shared" si="122"/>
        <v>dw</v>
      </c>
      <c r="J1515" s="53"/>
    </row>
    <row r="1516" spans="1:10" x14ac:dyDescent="0.25">
      <c r="A1516" s="93">
        <v>40207</v>
      </c>
      <c r="B1516" s="35">
        <f t="shared" si="120"/>
        <v>13</v>
      </c>
      <c r="C1516" s="76">
        <v>1</v>
      </c>
      <c r="D1516" s="76">
        <v>2010</v>
      </c>
      <c r="E1516" s="56">
        <v>1.2666666666666668</v>
      </c>
      <c r="F1516" s="53">
        <f t="shared" si="121"/>
        <v>1</v>
      </c>
      <c r="G1516" s="53">
        <f t="shared" si="118"/>
        <v>2</v>
      </c>
      <c r="H1516" s="53">
        <f t="shared" si="119"/>
        <v>2</v>
      </c>
      <c r="I1516" s="53" t="str">
        <f t="shared" si="122"/>
        <v>ww</v>
      </c>
      <c r="J1516" s="53"/>
    </row>
    <row r="1517" spans="1:10" x14ac:dyDescent="0.25">
      <c r="A1517" s="93">
        <v>40208</v>
      </c>
      <c r="B1517" s="35">
        <f t="shared" si="120"/>
        <v>13</v>
      </c>
      <c r="C1517" s="76">
        <v>1</v>
      </c>
      <c r="D1517" s="76">
        <v>2010</v>
      </c>
      <c r="E1517" s="56">
        <v>4.666666666666667</v>
      </c>
      <c r="F1517" s="53">
        <f t="shared" si="121"/>
        <v>1</v>
      </c>
      <c r="G1517" s="53">
        <f t="shared" si="118"/>
        <v>2</v>
      </c>
      <c r="H1517" s="53">
        <f t="shared" si="119"/>
        <v>2</v>
      </c>
      <c r="I1517" s="53" t="str">
        <f t="shared" si="122"/>
        <v>ww</v>
      </c>
      <c r="J1517" s="53"/>
    </row>
    <row r="1518" spans="1:10" x14ac:dyDescent="0.25">
      <c r="A1518" s="93">
        <v>40209</v>
      </c>
      <c r="B1518" s="35">
        <f t="shared" si="120"/>
        <v>13</v>
      </c>
      <c r="C1518" s="76">
        <v>1</v>
      </c>
      <c r="D1518" s="76">
        <v>2010</v>
      </c>
      <c r="E1518" s="56">
        <v>0</v>
      </c>
      <c r="F1518" s="53">
        <f t="shared" si="121"/>
        <v>0</v>
      </c>
      <c r="G1518" s="53">
        <f t="shared" si="118"/>
        <v>1</v>
      </c>
      <c r="H1518" s="53">
        <f t="shared" si="119"/>
        <v>1</v>
      </c>
      <c r="I1518" s="53" t="str">
        <f t="shared" si="122"/>
        <v>wd</v>
      </c>
      <c r="J1518" s="53"/>
    </row>
    <row r="1519" spans="1:10" x14ac:dyDescent="0.25">
      <c r="A1519" s="93">
        <v>40544</v>
      </c>
      <c r="B1519" s="35">
        <f t="shared" si="120"/>
        <v>25</v>
      </c>
      <c r="C1519" s="76">
        <v>1</v>
      </c>
      <c r="D1519" s="76">
        <v>2011</v>
      </c>
      <c r="E1519" s="56">
        <v>12.533333333333333</v>
      </c>
      <c r="F1519" s="53">
        <f t="shared" si="121"/>
        <v>1</v>
      </c>
      <c r="G1519" s="53">
        <f t="shared" si="118"/>
        <v>1</v>
      </c>
      <c r="H1519" s="53">
        <f t="shared" si="119"/>
        <v>-1</v>
      </c>
      <c r="I1519" s="53" t="str">
        <f t="shared" si="122"/>
        <v>dw</v>
      </c>
      <c r="J1519" s="53"/>
    </row>
    <row r="1520" spans="1:10" x14ac:dyDescent="0.25">
      <c r="A1520" s="93">
        <v>40545</v>
      </c>
      <c r="B1520" s="35">
        <f t="shared" si="120"/>
        <v>25</v>
      </c>
      <c r="C1520" s="76">
        <v>1</v>
      </c>
      <c r="D1520" s="76">
        <v>2011</v>
      </c>
      <c r="E1520" s="56">
        <v>0</v>
      </c>
      <c r="F1520" s="53">
        <f t="shared" si="121"/>
        <v>0</v>
      </c>
      <c r="G1520" s="53">
        <f t="shared" si="118"/>
        <v>1</v>
      </c>
      <c r="H1520" s="53">
        <f t="shared" si="119"/>
        <v>1</v>
      </c>
      <c r="I1520" s="53" t="str">
        <f t="shared" si="122"/>
        <v>wd</v>
      </c>
      <c r="J1520" s="53"/>
    </row>
    <row r="1521" spans="1:10" x14ac:dyDescent="0.25">
      <c r="A1521" s="93">
        <v>40546</v>
      </c>
      <c r="B1521" s="35">
        <f t="shared" si="120"/>
        <v>25</v>
      </c>
      <c r="C1521" s="76">
        <v>1</v>
      </c>
      <c r="D1521" s="76">
        <v>2011</v>
      </c>
      <c r="E1521" s="56">
        <v>0</v>
      </c>
      <c r="F1521" s="53">
        <f t="shared" si="121"/>
        <v>0</v>
      </c>
      <c r="G1521" s="53">
        <f t="shared" si="118"/>
        <v>0</v>
      </c>
      <c r="H1521" s="53">
        <f t="shared" si="119"/>
        <v>0</v>
      </c>
      <c r="I1521" s="53" t="str">
        <f t="shared" si="122"/>
        <v>dd</v>
      </c>
      <c r="J1521" s="53"/>
    </row>
    <row r="1522" spans="1:10" x14ac:dyDescent="0.25">
      <c r="A1522" s="93">
        <v>40547</v>
      </c>
      <c r="B1522" s="35">
        <f t="shared" si="120"/>
        <v>25</v>
      </c>
      <c r="C1522" s="76">
        <v>1</v>
      </c>
      <c r="D1522" s="76">
        <v>2011</v>
      </c>
      <c r="E1522" s="56">
        <v>0.13333333333333333</v>
      </c>
      <c r="F1522" s="53">
        <f t="shared" si="121"/>
        <v>1</v>
      </c>
      <c r="G1522" s="53">
        <f t="shared" si="118"/>
        <v>1</v>
      </c>
      <c r="H1522" s="53">
        <f t="shared" si="119"/>
        <v>-1</v>
      </c>
      <c r="I1522" s="53" t="str">
        <f t="shared" si="122"/>
        <v>dw</v>
      </c>
      <c r="J1522" s="53"/>
    </row>
    <row r="1523" spans="1:10" x14ac:dyDescent="0.25">
      <c r="A1523" s="93">
        <v>40548</v>
      </c>
      <c r="B1523" s="35">
        <f t="shared" si="120"/>
        <v>25</v>
      </c>
      <c r="C1523" s="76">
        <v>1</v>
      </c>
      <c r="D1523" s="76">
        <v>2011</v>
      </c>
      <c r="E1523" s="56">
        <v>3.2666666666666671</v>
      </c>
      <c r="F1523" s="53">
        <f t="shared" si="121"/>
        <v>1</v>
      </c>
      <c r="G1523" s="53">
        <f t="shared" si="118"/>
        <v>2</v>
      </c>
      <c r="H1523" s="53">
        <f t="shared" si="119"/>
        <v>2</v>
      </c>
      <c r="I1523" s="53" t="str">
        <f t="shared" si="122"/>
        <v>ww</v>
      </c>
      <c r="J1523" s="53"/>
    </row>
    <row r="1524" spans="1:10" x14ac:dyDescent="0.25">
      <c r="A1524" s="93">
        <v>40549</v>
      </c>
      <c r="B1524" s="35">
        <f t="shared" si="120"/>
        <v>25</v>
      </c>
      <c r="C1524" s="76">
        <v>1</v>
      </c>
      <c r="D1524" s="76">
        <v>2011</v>
      </c>
      <c r="E1524" s="56">
        <v>0</v>
      </c>
      <c r="F1524" s="53">
        <f t="shared" si="121"/>
        <v>0</v>
      </c>
      <c r="G1524" s="53">
        <f t="shared" ref="G1524:G1587" si="123">SUM(F1523:F1524)</f>
        <v>1</v>
      </c>
      <c r="H1524" s="53">
        <f t="shared" ref="H1524:H1587" si="124">IF(G1524=1,IF(F1523=1,1,-1),G1524)</f>
        <v>1</v>
      </c>
      <c r="I1524" s="53" t="str">
        <f t="shared" si="122"/>
        <v>wd</v>
      </c>
      <c r="J1524" s="53"/>
    </row>
    <row r="1525" spans="1:10" x14ac:dyDescent="0.25">
      <c r="A1525" s="93">
        <v>40550</v>
      </c>
      <c r="B1525" s="35">
        <f t="shared" si="120"/>
        <v>25</v>
      </c>
      <c r="C1525" s="76">
        <v>1</v>
      </c>
      <c r="D1525" s="76">
        <v>2011</v>
      </c>
      <c r="E1525" s="56">
        <v>0</v>
      </c>
      <c r="F1525" s="53">
        <f t="shared" si="121"/>
        <v>0</v>
      </c>
      <c r="G1525" s="53">
        <f t="shared" si="123"/>
        <v>0</v>
      </c>
      <c r="H1525" s="53">
        <f t="shared" si="124"/>
        <v>0</v>
      </c>
      <c r="I1525" s="53" t="str">
        <f t="shared" si="122"/>
        <v>dd</v>
      </c>
      <c r="J1525" s="53"/>
    </row>
    <row r="1526" spans="1:10" x14ac:dyDescent="0.25">
      <c r="A1526" s="93">
        <v>40551</v>
      </c>
      <c r="B1526" s="35">
        <f t="shared" si="120"/>
        <v>25</v>
      </c>
      <c r="C1526" s="76">
        <v>1</v>
      </c>
      <c r="D1526" s="76">
        <v>2011</v>
      </c>
      <c r="E1526" s="56">
        <v>2.5333333333333332</v>
      </c>
      <c r="F1526" s="53">
        <f t="shared" si="121"/>
        <v>1</v>
      </c>
      <c r="G1526" s="53">
        <f t="shared" si="123"/>
        <v>1</v>
      </c>
      <c r="H1526" s="53">
        <f t="shared" si="124"/>
        <v>-1</v>
      </c>
      <c r="I1526" s="53" t="str">
        <f t="shared" si="122"/>
        <v>dw</v>
      </c>
      <c r="J1526" s="53"/>
    </row>
    <row r="1527" spans="1:10" x14ac:dyDescent="0.25">
      <c r="A1527" s="93">
        <v>40552</v>
      </c>
      <c r="B1527" s="35">
        <f t="shared" si="120"/>
        <v>25</v>
      </c>
      <c r="C1527" s="76">
        <v>1</v>
      </c>
      <c r="D1527" s="76">
        <v>2011</v>
      </c>
      <c r="E1527" s="56">
        <v>0.13333333333333333</v>
      </c>
      <c r="F1527" s="53">
        <f t="shared" si="121"/>
        <v>1</v>
      </c>
      <c r="G1527" s="53">
        <f t="shared" si="123"/>
        <v>2</v>
      </c>
      <c r="H1527" s="53">
        <f t="shared" si="124"/>
        <v>2</v>
      </c>
      <c r="I1527" s="53" t="str">
        <f t="shared" si="122"/>
        <v>ww</v>
      </c>
      <c r="J1527" s="53"/>
    </row>
    <row r="1528" spans="1:10" x14ac:dyDescent="0.25">
      <c r="A1528" s="93">
        <v>40553</v>
      </c>
      <c r="B1528" s="35">
        <f t="shared" si="120"/>
        <v>25</v>
      </c>
      <c r="C1528" s="76">
        <v>1</v>
      </c>
      <c r="D1528" s="76">
        <v>2011</v>
      </c>
      <c r="E1528" s="56">
        <v>0.46666666666666662</v>
      </c>
      <c r="F1528" s="53">
        <f t="shared" si="121"/>
        <v>1</v>
      </c>
      <c r="G1528" s="53">
        <f t="shared" si="123"/>
        <v>2</v>
      </c>
      <c r="H1528" s="53">
        <f t="shared" si="124"/>
        <v>2</v>
      </c>
      <c r="I1528" s="53" t="str">
        <f t="shared" si="122"/>
        <v>ww</v>
      </c>
      <c r="J1528" s="53"/>
    </row>
    <row r="1529" spans="1:10" x14ac:dyDescent="0.25">
      <c r="A1529" s="93">
        <v>40554</v>
      </c>
      <c r="B1529" s="35">
        <f t="shared" si="120"/>
        <v>25</v>
      </c>
      <c r="C1529" s="76">
        <v>1</v>
      </c>
      <c r="D1529" s="76">
        <v>2011</v>
      </c>
      <c r="E1529" s="56">
        <v>3.6</v>
      </c>
      <c r="F1529" s="53">
        <f t="shared" si="121"/>
        <v>1</v>
      </c>
      <c r="G1529" s="53">
        <f t="shared" si="123"/>
        <v>2</v>
      </c>
      <c r="H1529" s="53">
        <f t="shared" si="124"/>
        <v>2</v>
      </c>
      <c r="I1529" s="53" t="str">
        <f t="shared" si="122"/>
        <v>ww</v>
      </c>
      <c r="J1529" s="53"/>
    </row>
    <row r="1530" spans="1:10" x14ac:dyDescent="0.25">
      <c r="A1530" s="93">
        <v>40555</v>
      </c>
      <c r="B1530" s="35">
        <f t="shared" si="120"/>
        <v>25</v>
      </c>
      <c r="C1530" s="76">
        <v>1</v>
      </c>
      <c r="D1530" s="76">
        <v>2011</v>
      </c>
      <c r="E1530" s="56">
        <v>1.8666666666666665</v>
      </c>
      <c r="F1530" s="53">
        <f t="shared" si="121"/>
        <v>1</v>
      </c>
      <c r="G1530" s="53">
        <f t="shared" si="123"/>
        <v>2</v>
      </c>
      <c r="H1530" s="53">
        <f t="shared" si="124"/>
        <v>2</v>
      </c>
      <c r="I1530" s="53" t="str">
        <f t="shared" si="122"/>
        <v>ww</v>
      </c>
      <c r="J1530" s="53"/>
    </row>
    <row r="1531" spans="1:10" x14ac:dyDescent="0.25">
      <c r="A1531" s="93">
        <v>40556</v>
      </c>
      <c r="B1531" s="35">
        <f t="shared" si="120"/>
        <v>25</v>
      </c>
      <c r="C1531" s="76">
        <v>1</v>
      </c>
      <c r="D1531" s="76">
        <v>2011</v>
      </c>
      <c r="E1531" s="56">
        <v>4.333333333333333</v>
      </c>
      <c r="F1531" s="53">
        <f t="shared" si="121"/>
        <v>1</v>
      </c>
      <c r="G1531" s="53">
        <f t="shared" si="123"/>
        <v>2</v>
      </c>
      <c r="H1531" s="53">
        <f t="shared" si="124"/>
        <v>2</v>
      </c>
      <c r="I1531" s="53" t="str">
        <f t="shared" si="122"/>
        <v>ww</v>
      </c>
      <c r="J1531" s="53"/>
    </row>
    <row r="1532" spans="1:10" x14ac:dyDescent="0.25">
      <c r="A1532" s="93">
        <v>40557</v>
      </c>
      <c r="B1532" s="35">
        <f t="shared" si="120"/>
        <v>25</v>
      </c>
      <c r="C1532" s="76">
        <v>1</v>
      </c>
      <c r="D1532" s="76">
        <v>2011</v>
      </c>
      <c r="E1532" s="56">
        <v>0</v>
      </c>
      <c r="F1532" s="53">
        <f t="shared" si="121"/>
        <v>0</v>
      </c>
      <c r="G1532" s="53">
        <f t="shared" si="123"/>
        <v>1</v>
      </c>
      <c r="H1532" s="53">
        <f t="shared" si="124"/>
        <v>1</v>
      </c>
      <c r="I1532" s="53" t="str">
        <f t="shared" si="122"/>
        <v>wd</v>
      </c>
      <c r="J1532" s="53"/>
    </row>
    <row r="1533" spans="1:10" x14ac:dyDescent="0.25">
      <c r="A1533" s="93">
        <v>40558</v>
      </c>
      <c r="B1533" s="35">
        <f t="shared" si="120"/>
        <v>25</v>
      </c>
      <c r="C1533" s="76">
        <v>1</v>
      </c>
      <c r="D1533" s="76">
        <v>2011</v>
      </c>
      <c r="E1533" s="56">
        <v>1.2666666666666666</v>
      </c>
      <c r="F1533" s="53">
        <f t="shared" si="121"/>
        <v>1</v>
      </c>
      <c r="G1533" s="53">
        <f t="shared" si="123"/>
        <v>1</v>
      </c>
      <c r="H1533" s="53">
        <f t="shared" si="124"/>
        <v>-1</v>
      </c>
      <c r="I1533" s="53" t="str">
        <f t="shared" si="122"/>
        <v>dw</v>
      </c>
      <c r="J1533" s="53"/>
    </row>
    <row r="1534" spans="1:10" x14ac:dyDescent="0.25">
      <c r="A1534" s="93">
        <v>40559</v>
      </c>
      <c r="B1534" s="35">
        <f t="shared" si="120"/>
        <v>25</v>
      </c>
      <c r="C1534" s="76">
        <v>1</v>
      </c>
      <c r="D1534" s="76">
        <v>2011</v>
      </c>
      <c r="E1534" s="56">
        <v>0.8666666666666667</v>
      </c>
      <c r="F1534" s="53">
        <f t="shared" si="121"/>
        <v>1</v>
      </c>
      <c r="G1534" s="53">
        <f t="shared" si="123"/>
        <v>2</v>
      </c>
      <c r="H1534" s="53">
        <f t="shared" si="124"/>
        <v>2</v>
      </c>
      <c r="I1534" s="53" t="str">
        <f t="shared" si="122"/>
        <v>ww</v>
      </c>
      <c r="J1534" s="53"/>
    </row>
    <row r="1535" spans="1:10" x14ac:dyDescent="0.25">
      <c r="A1535" s="93">
        <v>40560</v>
      </c>
      <c r="B1535" s="35">
        <f t="shared" si="120"/>
        <v>25</v>
      </c>
      <c r="C1535" s="76">
        <v>1</v>
      </c>
      <c r="D1535" s="76">
        <v>2011</v>
      </c>
      <c r="E1535" s="56">
        <v>0</v>
      </c>
      <c r="F1535" s="53">
        <f t="shared" si="121"/>
        <v>0</v>
      </c>
      <c r="G1535" s="53">
        <f t="shared" si="123"/>
        <v>1</v>
      </c>
      <c r="H1535" s="53">
        <f t="shared" si="124"/>
        <v>1</v>
      </c>
      <c r="I1535" s="53" t="str">
        <f t="shared" si="122"/>
        <v>wd</v>
      </c>
      <c r="J1535" s="53"/>
    </row>
    <row r="1536" spans="1:10" x14ac:dyDescent="0.25">
      <c r="A1536" s="93">
        <v>40561</v>
      </c>
      <c r="B1536" s="35">
        <f t="shared" si="120"/>
        <v>25</v>
      </c>
      <c r="C1536" s="76">
        <v>1</v>
      </c>
      <c r="D1536" s="76">
        <v>2011</v>
      </c>
      <c r="E1536" s="56">
        <v>0</v>
      </c>
      <c r="F1536" s="53">
        <f t="shared" si="121"/>
        <v>0</v>
      </c>
      <c r="G1536" s="53">
        <f t="shared" si="123"/>
        <v>0</v>
      </c>
      <c r="H1536" s="53">
        <f t="shared" si="124"/>
        <v>0</v>
      </c>
      <c r="I1536" s="53" t="str">
        <f t="shared" si="122"/>
        <v>dd</v>
      </c>
      <c r="J1536" s="53"/>
    </row>
    <row r="1537" spans="1:10" x14ac:dyDescent="0.25">
      <c r="A1537" s="93">
        <v>40562</v>
      </c>
      <c r="B1537" s="35">
        <f t="shared" si="120"/>
        <v>25</v>
      </c>
      <c r="C1537" s="76">
        <v>1</v>
      </c>
      <c r="D1537" s="76">
        <v>2011</v>
      </c>
      <c r="E1537" s="56">
        <v>0.20000000000000004</v>
      </c>
      <c r="F1537" s="53">
        <f t="shared" si="121"/>
        <v>1</v>
      </c>
      <c r="G1537" s="53">
        <f t="shared" si="123"/>
        <v>1</v>
      </c>
      <c r="H1537" s="53">
        <f t="shared" si="124"/>
        <v>-1</v>
      </c>
      <c r="I1537" s="53" t="str">
        <f t="shared" si="122"/>
        <v>dw</v>
      </c>
      <c r="J1537" s="53"/>
    </row>
    <row r="1538" spans="1:10" x14ac:dyDescent="0.25">
      <c r="A1538" s="93">
        <v>40563</v>
      </c>
      <c r="B1538" s="35">
        <f t="shared" ref="B1538:B1601" si="125">C1538+(D1538-2009)*12</f>
        <v>25</v>
      </c>
      <c r="C1538" s="76">
        <v>1</v>
      </c>
      <c r="D1538" s="76">
        <v>2011</v>
      </c>
      <c r="E1538" s="56">
        <v>0</v>
      </c>
      <c r="F1538" s="53">
        <f t="shared" ref="F1538:F1601" si="126">IF(E1538&gt;0,1,0)</f>
        <v>0</v>
      </c>
      <c r="G1538" s="53">
        <f t="shared" si="123"/>
        <v>1</v>
      </c>
      <c r="H1538" s="53">
        <f t="shared" si="124"/>
        <v>1</v>
      </c>
      <c r="I1538" s="53" t="str">
        <f t="shared" ref="I1538:I1601" si="127">VLOOKUP(H1538,codes,2,)</f>
        <v>wd</v>
      </c>
      <c r="J1538" s="53"/>
    </row>
    <row r="1539" spans="1:10" x14ac:dyDescent="0.25">
      <c r="A1539" s="93">
        <v>40564</v>
      </c>
      <c r="B1539" s="35">
        <f t="shared" si="125"/>
        <v>25</v>
      </c>
      <c r="C1539" s="76">
        <v>1</v>
      </c>
      <c r="D1539" s="76">
        <v>2011</v>
      </c>
      <c r="E1539" s="56">
        <v>6.6666666666666666E-2</v>
      </c>
      <c r="F1539" s="53">
        <f t="shared" si="126"/>
        <v>1</v>
      </c>
      <c r="G1539" s="53">
        <f t="shared" si="123"/>
        <v>1</v>
      </c>
      <c r="H1539" s="53">
        <f t="shared" si="124"/>
        <v>-1</v>
      </c>
      <c r="I1539" s="53" t="str">
        <f t="shared" si="127"/>
        <v>dw</v>
      </c>
      <c r="J1539" s="53"/>
    </row>
    <row r="1540" spans="1:10" x14ac:dyDescent="0.25">
      <c r="A1540" s="93">
        <v>40565</v>
      </c>
      <c r="B1540" s="35">
        <f t="shared" si="125"/>
        <v>25</v>
      </c>
      <c r="C1540" s="76">
        <v>1</v>
      </c>
      <c r="D1540" s="76">
        <v>2011</v>
      </c>
      <c r="E1540" s="56">
        <v>0.26666666666666666</v>
      </c>
      <c r="F1540" s="53">
        <f t="shared" si="126"/>
        <v>1</v>
      </c>
      <c r="G1540" s="53">
        <f t="shared" si="123"/>
        <v>2</v>
      </c>
      <c r="H1540" s="53">
        <f t="shared" si="124"/>
        <v>2</v>
      </c>
      <c r="I1540" s="53" t="str">
        <f t="shared" si="127"/>
        <v>ww</v>
      </c>
      <c r="J1540" s="53"/>
    </row>
    <row r="1541" spans="1:10" x14ac:dyDescent="0.25">
      <c r="A1541" s="93">
        <v>40566</v>
      </c>
      <c r="B1541" s="35">
        <f t="shared" si="125"/>
        <v>25</v>
      </c>
      <c r="C1541" s="76">
        <v>1</v>
      </c>
      <c r="D1541" s="76">
        <v>2011</v>
      </c>
      <c r="E1541" s="56">
        <v>0.26666666666666666</v>
      </c>
      <c r="F1541" s="53">
        <f t="shared" si="126"/>
        <v>1</v>
      </c>
      <c r="G1541" s="53">
        <f t="shared" si="123"/>
        <v>2</v>
      </c>
      <c r="H1541" s="53">
        <f t="shared" si="124"/>
        <v>2</v>
      </c>
      <c r="I1541" s="53" t="str">
        <f t="shared" si="127"/>
        <v>ww</v>
      </c>
      <c r="J1541" s="53"/>
    </row>
    <row r="1542" spans="1:10" x14ac:dyDescent="0.25">
      <c r="A1542" s="93">
        <v>40567</v>
      </c>
      <c r="B1542" s="35">
        <f t="shared" si="125"/>
        <v>25</v>
      </c>
      <c r="C1542" s="76">
        <v>1</v>
      </c>
      <c r="D1542" s="76">
        <v>2011</v>
      </c>
      <c r="E1542" s="56">
        <v>0</v>
      </c>
      <c r="F1542" s="53">
        <f t="shared" si="126"/>
        <v>0</v>
      </c>
      <c r="G1542" s="53">
        <f t="shared" si="123"/>
        <v>1</v>
      </c>
      <c r="H1542" s="53">
        <f t="shared" si="124"/>
        <v>1</v>
      </c>
      <c r="I1542" s="53" t="str">
        <f t="shared" si="127"/>
        <v>wd</v>
      </c>
      <c r="J1542" s="53"/>
    </row>
    <row r="1543" spans="1:10" x14ac:dyDescent="0.25">
      <c r="A1543" s="93">
        <v>40568</v>
      </c>
      <c r="B1543" s="35">
        <f t="shared" si="125"/>
        <v>25</v>
      </c>
      <c r="C1543" s="76">
        <v>1</v>
      </c>
      <c r="D1543" s="76">
        <v>2011</v>
      </c>
      <c r="E1543" s="56">
        <v>0.20000000000000004</v>
      </c>
      <c r="F1543" s="53">
        <f t="shared" si="126"/>
        <v>1</v>
      </c>
      <c r="G1543" s="53">
        <f t="shared" si="123"/>
        <v>1</v>
      </c>
      <c r="H1543" s="53">
        <f t="shared" si="124"/>
        <v>-1</v>
      </c>
      <c r="I1543" s="53" t="str">
        <f t="shared" si="127"/>
        <v>dw</v>
      </c>
      <c r="J1543" s="53"/>
    </row>
    <row r="1544" spans="1:10" x14ac:dyDescent="0.25">
      <c r="A1544" s="93">
        <v>40569</v>
      </c>
      <c r="B1544" s="35">
        <f t="shared" si="125"/>
        <v>25</v>
      </c>
      <c r="C1544" s="76">
        <v>1</v>
      </c>
      <c r="D1544" s="76">
        <v>2011</v>
      </c>
      <c r="E1544" s="56">
        <v>0.40000000000000008</v>
      </c>
      <c r="F1544" s="53">
        <f t="shared" si="126"/>
        <v>1</v>
      </c>
      <c r="G1544" s="53">
        <f t="shared" si="123"/>
        <v>2</v>
      </c>
      <c r="H1544" s="53">
        <f t="shared" si="124"/>
        <v>2</v>
      </c>
      <c r="I1544" s="53" t="str">
        <f t="shared" si="127"/>
        <v>ww</v>
      </c>
      <c r="J1544" s="53"/>
    </row>
    <row r="1545" spans="1:10" x14ac:dyDescent="0.25">
      <c r="A1545" s="93">
        <v>40570</v>
      </c>
      <c r="B1545" s="35">
        <f t="shared" si="125"/>
        <v>25</v>
      </c>
      <c r="C1545" s="76">
        <v>1</v>
      </c>
      <c r="D1545" s="76">
        <v>2011</v>
      </c>
      <c r="E1545" s="56">
        <v>3.0666666666666664</v>
      </c>
      <c r="F1545" s="53">
        <f t="shared" si="126"/>
        <v>1</v>
      </c>
      <c r="G1545" s="53">
        <f t="shared" si="123"/>
        <v>2</v>
      </c>
      <c r="H1545" s="53">
        <f t="shared" si="124"/>
        <v>2</v>
      </c>
      <c r="I1545" s="53" t="str">
        <f t="shared" si="127"/>
        <v>ww</v>
      </c>
      <c r="J1545" s="53"/>
    </row>
    <row r="1546" spans="1:10" x14ac:dyDescent="0.25">
      <c r="A1546" s="93">
        <v>40571</v>
      </c>
      <c r="B1546" s="35">
        <f t="shared" si="125"/>
        <v>25</v>
      </c>
      <c r="C1546" s="76">
        <v>1</v>
      </c>
      <c r="D1546" s="76">
        <v>2011</v>
      </c>
      <c r="E1546" s="56">
        <v>1</v>
      </c>
      <c r="F1546" s="53">
        <f t="shared" si="126"/>
        <v>1</v>
      </c>
      <c r="G1546" s="53">
        <f t="shared" si="123"/>
        <v>2</v>
      </c>
      <c r="H1546" s="53">
        <f t="shared" si="124"/>
        <v>2</v>
      </c>
      <c r="I1546" s="53" t="str">
        <f t="shared" si="127"/>
        <v>ww</v>
      </c>
      <c r="J1546" s="53"/>
    </row>
    <row r="1547" spans="1:10" x14ac:dyDescent="0.25">
      <c r="A1547" s="93">
        <v>40572</v>
      </c>
      <c r="B1547" s="35">
        <f t="shared" si="125"/>
        <v>25</v>
      </c>
      <c r="C1547" s="76">
        <v>1</v>
      </c>
      <c r="D1547" s="76">
        <v>2011</v>
      </c>
      <c r="E1547" s="56">
        <v>0</v>
      </c>
      <c r="F1547" s="53">
        <f t="shared" si="126"/>
        <v>0</v>
      </c>
      <c r="G1547" s="53">
        <f t="shared" si="123"/>
        <v>1</v>
      </c>
      <c r="H1547" s="53">
        <f t="shared" si="124"/>
        <v>1</v>
      </c>
      <c r="I1547" s="53" t="str">
        <f t="shared" si="127"/>
        <v>wd</v>
      </c>
      <c r="J1547" s="53"/>
    </row>
    <row r="1548" spans="1:10" x14ac:dyDescent="0.25">
      <c r="A1548" s="93">
        <v>40573</v>
      </c>
      <c r="B1548" s="35">
        <f t="shared" si="125"/>
        <v>25</v>
      </c>
      <c r="C1548" s="76">
        <v>1</v>
      </c>
      <c r="D1548" s="76">
        <v>2011</v>
      </c>
      <c r="E1548" s="56">
        <v>0.53333333333333333</v>
      </c>
      <c r="F1548" s="53">
        <f t="shared" si="126"/>
        <v>1</v>
      </c>
      <c r="G1548" s="53">
        <f t="shared" si="123"/>
        <v>1</v>
      </c>
      <c r="H1548" s="53">
        <f t="shared" si="124"/>
        <v>-1</v>
      </c>
      <c r="I1548" s="53" t="str">
        <f t="shared" si="127"/>
        <v>dw</v>
      </c>
      <c r="J1548" s="53"/>
    </row>
    <row r="1549" spans="1:10" x14ac:dyDescent="0.25">
      <c r="A1549" s="93">
        <v>40574</v>
      </c>
      <c r="B1549" s="35">
        <f t="shared" si="125"/>
        <v>25</v>
      </c>
      <c r="C1549" s="76">
        <v>1</v>
      </c>
      <c r="D1549" s="76">
        <v>2011</v>
      </c>
      <c r="E1549" s="56">
        <v>0</v>
      </c>
      <c r="F1549" s="53">
        <f t="shared" si="126"/>
        <v>0</v>
      </c>
      <c r="G1549" s="53">
        <f t="shared" si="123"/>
        <v>1</v>
      </c>
      <c r="H1549" s="53">
        <f t="shared" si="124"/>
        <v>1</v>
      </c>
      <c r="I1549" s="53" t="str">
        <f t="shared" si="127"/>
        <v>wd</v>
      </c>
      <c r="J1549" s="53"/>
    </row>
    <row r="1550" spans="1:10" x14ac:dyDescent="0.25">
      <c r="A1550" s="93">
        <v>40575</v>
      </c>
      <c r="B1550" s="35">
        <f t="shared" si="125"/>
        <v>25</v>
      </c>
      <c r="C1550" s="76">
        <v>1</v>
      </c>
      <c r="D1550" s="76">
        <v>2011</v>
      </c>
      <c r="E1550" s="56">
        <v>0</v>
      </c>
      <c r="F1550" s="53">
        <f t="shared" si="126"/>
        <v>0</v>
      </c>
      <c r="G1550" s="53">
        <f t="shared" si="123"/>
        <v>0</v>
      </c>
      <c r="H1550" s="53">
        <f t="shared" si="124"/>
        <v>0</v>
      </c>
      <c r="I1550" s="53" t="str">
        <f t="shared" si="127"/>
        <v>dd</v>
      </c>
      <c r="J1550" s="53"/>
    </row>
    <row r="1551" spans="1:10" x14ac:dyDescent="0.25">
      <c r="A1551" s="93">
        <v>40909</v>
      </c>
      <c r="B1551" s="35">
        <f t="shared" si="125"/>
        <v>37</v>
      </c>
      <c r="C1551" s="76">
        <v>1</v>
      </c>
      <c r="D1551" s="76">
        <v>2012</v>
      </c>
      <c r="E1551" s="56">
        <v>3.2666666666666671</v>
      </c>
      <c r="F1551" s="53">
        <f t="shared" si="126"/>
        <v>1</v>
      </c>
      <c r="G1551" s="53">
        <f t="shared" si="123"/>
        <v>1</v>
      </c>
      <c r="H1551" s="53">
        <f t="shared" si="124"/>
        <v>-1</v>
      </c>
      <c r="I1551" s="53" t="str">
        <f t="shared" si="127"/>
        <v>dw</v>
      </c>
      <c r="J1551" s="53"/>
    </row>
    <row r="1552" spans="1:10" x14ac:dyDescent="0.25">
      <c r="A1552" s="93">
        <v>40910</v>
      </c>
      <c r="B1552" s="35">
        <f t="shared" si="125"/>
        <v>37</v>
      </c>
      <c r="C1552" s="76">
        <v>1</v>
      </c>
      <c r="D1552" s="76">
        <v>2012</v>
      </c>
      <c r="E1552" s="56">
        <v>0.46666666666666662</v>
      </c>
      <c r="F1552" s="53">
        <f t="shared" si="126"/>
        <v>1</v>
      </c>
      <c r="G1552" s="53">
        <f t="shared" si="123"/>
        <v>2</v>
      </c>
      <c r="H1552" s="53">
        <f t="shared" si="124"/>
        <v>2</v>
      </c>
      <c r="I1552" s="53" t="str">
        <f t="shared" si="127"/>
        <v>ww</v>
      </c>
      <c r="J1552" s="53"/>
    </row>
    <row r="1553" spans="1:10" x14ac:dyDescent="0.25">
      <c r="A1553" s="93">
        <v>40911</v>
      </c>
      <c r="B1553" s="35">
        <f t="shared" si="125"/>
        <v>37</v>
      </c>
      <c r="C1553" s="76">
        <v>1</v>
      </c>
      <c r="D1553" s="76">
        <v>2012</v>
      </c>
      <c r="E1553" s="56">
        <v>4</v>
      </c>
      <c r="F1553" s="53">
        <f t="shared" si="126"/>
        <v>1</v>
      </c>
      <c r="G1553" s="53">
        <f t="shared" si="123"/>
        <v>2</v>
      </c>
      <c r="H1553" s="53">
        <f t="shared" si="124"/>
        <v>2</v>
      </c>
      <c r="I1553" s="53" t="str">
        <f t="shared" si="127"/>
        <v>ww</v>
      </c>
      <c r="J1553" s="53"/>
    </row>
    <row r="1554" spans="1:10" x14ac:dyDescent="0.25">
      <c r="A1554" s="93">
        <v>40912</v>
      </c>
      <c r="B1554" s="35">
        <f t="shared" si="125"/>
        <v>37</v>
      </c>
      <c r="C1554" s="76">
        <v>1</v>
      </c>
      <c r="D1554" s="76">
        <v>2012</v>
      </c>
      <c r="E1554" s="56">
        <v>0.39999999999999997</v>
      </c>
      <c r="F1554" s="53">
        <f t="shared" si="126"/>
        <v>1</v>
      </c>
      <c r="G1554" s="53">
        <f t="shared" si="123"/>
        <v>2</v>
      </c>
      <c r="H1554" s="53">
        <f t="shared" si="124"/>
        <v>2</v>
      </c>
      <c r="I1554" s="53" t="str">
        <f t="shared" si="127"/>
        <v>ww</v>
      </c>
      <c r="J1554" s="53"/>
    </row>
    <row r="1555" spans="1:10" x14ac:dyDescent="0.25">
      <c r="A1555" s="93">
        <v>40913</v>
      </c>
      <c r="B1555" s="35">
        <f t="shared" si="125"/>
        <v>37</v>
      </c>
      <c r="C1555" s="76">
        <v>1</v>
      </c>
      <c r="D1555" s="76">
        <v>2012</v>
      </c>
      <c r="E1555" s="56">
        <v>4.1333333333333329</v>
      </c>
      <c r="F1555" s="53">
        <f t="shared" si="126"/>
        <v>1</v>
      </c>
      <c r="G1555" s="53">
        <f t="shared" si="123"/>
        <v>2</v>
      </c>
      <c r="H1555" s="53">
        <f t="shared" si="124"/>
        <v>2</v>
      </c>
      <c r="I1555" s="53" t="str">
        <f t="shared" si="127"/>
        <v>ww</v>
      </c>
      <c r="J1555" s="53"/>
    </row>
    <row r="1556" spans="1:10" x14ac:dyDescent="0.25">
      <c r="A1556" s="93">
        <v>40914</v>
      </c>
      <c r="B1556" s="35">
        <f t="shared" si="125"/>
        <v>37</v>
      </c>
      <c r="C1556" s="76">
        <v>1</v>
      </c>
      <c r="D1556" s="76">
        <v>2012</v>
      </c>
      <c r="E1556" s="56">
        <v>0.13333333333333333</v>
      </c>
      <c r="F1556" s="53">
        <f t="shared" si="126"/>
        <v>1</v>
      </c>
      <c r="G1556" s="53">
        <f t="shared" si="123"/>
        <v>2</v>
      </c>
      <c r="H1556" s="53">
        <f t="shared" si="124"/>
        <v>2</v>
      </c>
      <c r="I1556" s="53" t="str">
        <f t="shared" si="127"/>
        <v>ww</v>
      </c>
      <c r="J1556" s="53"/>
    </row>
    <row r="1557" spans="1:10" x14ac:dyDescent="0.25">
      <c r="A1557" s="93">
        <v>40915</v>
      </c>
      <c r="B1557" s="35">
        <f t="shared" si="125"/>
        <v>37</v>
      </c>
      <c r="C1557" s="76">
        <v>1</v>
      </c>
      <c r="D1557" s="76">
        <v>2012</v>
      </c>
      <c r="E1557" s="56">
        <v>6.6666666666666666E-2</v>
      </c>
      <c r="F1557" s="53">
        <f t="shared" si="126"/>
        <v>1</v>
      </c>
      <c r="G1557" s="53">
        <f t="shared" si="123"/>
        <v>2</v>
      </c>
      <c r="H1557" s="53">
        <f t="shared" si="124"/>
        <v>2</v>
      </c>
      <c r="I1557" s="53" t="str">
        <f t="shared" si="127"/>
        <v>ww</v>
      </c>
      <c r="J1557" s="53"/>
    </row>
    <row r="1558" spans="1:10" x14ac:dyDescent="0.25">
      <c r="A1558" s="93">
        <v>40916</v>
      </c>
      <c r="B1558" s="35">
        <f t="shared" si="125"/>
        <v>37</v>
      </c>
      <c r="C1558" s="76">
        <v>1</v>
      </c>
      <c r="D1558" s="76">
        <v>2012</v>
      </c>
      <c r="E1558" s="56">
        <v>0</v>
      </c>
      <c r="F1558" s="53">
        <f t="shared" si="126"/>
        <v>0</v>
      </c>
      <c r="G1558" s="53">
        <f t="shared" si="123"/>
        <v>1</v>
      </c>
      <c r="H1558" s="53">
        <f t="shared" si="124"/>
        <v>1</v>
      </c>
      <c r="I1558" s="53" t="str">
        <f t="shared" si="127"/>
        <v>wd</v>
      </c>
      <c r="J1558" s="53"/>
    </row>
    <row r="1559" spans="1:10" x14ac:dyDescent="0.25">
      <c r="A1559" s="93">
        <v>40917</v>
      </c>
      <c r="B1559" s="35">
        <f t="shared" si="125"/>
        <v>37</v>
      </c>
      <c r="C1559" s="76">
        <v>1</v>
      </c>
      <c r="D1559" s="76">
        <v>2012</v>
      </c>
      <c r="E1559" s="56">
        <v>0</v>
      </c>
      <c r="F1559" s="53">
        <f t="shared" si="126"/>
        <v>0</v>
      </c>
      <c r="G1559" s="53">
        <f t="shared" si="123"/>
        <v>0</v>
      </c>
      <c r="H1559" s="53">
        <f t="shared" si="124"/>
        <v>0</v>
      </c>
      <c r="I1559" s="53" t="str">
        <f t="shared" si="127"/>
        <v>dd</v>
      </c>
      <c r="J1559" s="53"/>
    </row>
    <row r="1560" spans="1:10" x14ac:dyDescent="0.25">
      <c r="A1560" s="93">
        <v>40918</v>
      </c>
      <c r="B1560" s="35">
        <f t="shared" si="125"/>
        <v>37</v>
      </c>
      <c r="C1560" s="76">
        <v>1</v>
      </c>
      <c r="D1560" s="76">
        <v>2012</v>
      </c>
      <c r="E1560" s="56">
        <v>0</v>
      </c>
      <c r="F1560" s="53">
        <f t="shared" si="126"/>
        <v>0</v>
      </c>
      <c r="G1560" s="53">
        <f t="shared" si="123"/>
        <v>0</v>
      </c>
      <c r="H1560" s="53">
        <f t="shared" si="124"/>
        <v>0</v>
      </c>
      <c r="I1560" s="53" t="str">
        <f t="shared" si="127"/>
        <v>dd</v>
      </c>
      <c r="J1560" s="53"/>
    </row>
    <row r="1561" spans="1:10" x14ac:dyDescent="0.25">
      <c r="A1561" s="93">
        <v>40919</v>
      </c>
      <c r="B1561" s="35">
        <f t="shared" si="125"/>
        <v>37</v>
      </c>
      <c r="C1561" s="76">
        <v>1</v>
      </c>
      <c r="D1561" s="76">
        <v>2012</v>
      </c>
      <c r="E1561" s="56">
        <v>6.6666666666666666E-2</v>
      </c>
      <c r="F1561" s="53">
        <f t="shared" si="126"/>
        <v>1</v>
      </c>
      <c r="G1561" s="53">
        <f t="shared" si="123"/>
        <v>1</v>
      </c>
      <c r="H1561" s="53">
        <f t="shared" si="124"/>
        <v>-1</v>
      </c>
      <c r="I1561" s="53" t="str">
        <f t="shared" si="127"/>
        <v>dw</v>
      </c>
      <c r="J1561" s="53"/>
    </row>
    <row r="1562" spans="1:10" x14ac:dyDescent="0.25">
      <c r="A1562" s="93">
        <v>40920</v>
      </c>
      <c r="B1562" s="35">
        <f t="shared" si="125"/>
        <v>37</v>
      </c>
      <c r="C1562" s="76">
        <v>1</v>
      </c>
      <c r="D1562" s="76">
        <v>2012</v>
      </c>
      <c r="E1562" s="56">
        <v>1.1333333333333333</v>
      </c>
      <c r="F1562" s="53">
        <f t="shared" si="126"/>
        <v>1</v>
      </c>
      <c r="G1562" s="53">
        <f t="shared" si="123"/>
        <v>2</v>
      </c>
      <c r="H1562" s="53">
        <f t="shared" si="124"/>
        <v>2</v>
      </c>
      <c r="I1562" s="53" t="str">
        <f t="shared" si="127"/>
        <v>ww</v>
      </c>
      <c r="J1562" s="53"/>
    </row>
    <row r="1563" spans="1:10" x14ac:dyDescent="0.25">
      <c r="A1563" s="93">
        <v>40921</v>
      </c>
      <c r="B1563" s="35">
        <f t="shared" si="125"/>
        <v>37</v>
      </c>
      <c r="C1563" s="76">
        <v>1</v>
      </c>
      <c r="D1563" s="76">
        <v>2012</v>
      </c>
      <c r="E1563" s="56">
        <v>0.6</v>
      </c>
      <c r="F1563" s="53">
        <f t="shared" si="126"/>
        <v>1</v>
      </c>
      <c r="G1563" s="53">
        <f t="shared" si="123"/>
        <v>2</v>
      </c>
      <c r="H1563" s="53">
        <f t="shared" si="124"/>
        <v>2</v>
      </c>
      <c r="I1563" s="53" t="str">
        <f t="shared" si="127"/>
        <v>ww</v>
      </c>
      <c r="J1563" s="53"/>
    </row>
    <row r="1564" spans="1:10" x14ac:dyDescent="0.25">
      <c r="A1564" s="93">
        <v>40922</v>
      </c>
      <c r="B1564" s="35">
        <f t="shared" si="125"/>
        <v>37</v>
      </c>
      <c r="C1564" s="76">
        <v>1</v>
      </c>
      <c r="D1564" s="76">
        <v>2012</v>
      </c>
      <c r="E1564" s="56">
        <v>6.6666666666666666E-2</v>
      </c>
      <c r="F1564" s="53">
        <f t="shared" si="126"/>
        <v>1</v>
      </c>
      <c r="G1564" s="53">
        <f t="shared" si="123"/>
        <v>2</v>
      </c>
      <c r="H1564" s="53">
        <f t="shared" si="124"/>
        <v>2</v>
      </c>
      <c r="I1564" s="53" t="str">
        <f t="shared" si="127"/>
        <v>ww</v>
      </c>
      <c r="J1564" s="53"/>
    </row>
    <row r="1565" spans="1:10" x14ac:dyDescent="0.25">
      <c r="A1565" s="93">
        <v>40923</v>
      </c>
      <c r="B1565" s="35">
        <f t="shared" si="125"/>
        <v>37</v>
      </c>
      <c r="C1565" s="76">
        <v>1</v>
      </c>
      <c r="D1565" s="76">
        <v>2012</v>
      </c>
      <c r="E1565" s="56">
        <v>6.6666666666666666E-2</v>
      </c>
      <c r="F1565" s="53">
        <f t="shared" si="126"/>
        <v>1</v>
      </c>
      <c r="G1565" s="53">
        <f t="shared" si="123"/>
        <v>2</v>
      </c>
      <c r="H1565" s="53">
        <f t="shared" si="124"/>
        <v>2</v>
      </c>
      <c r="I1565" s="53" t="str">
        <f t="shared" si="127"/>
        <v>ww</v>
      </c>
      <c r="J1565" s="53"/>
    </row>
    <row r="1566" spans="1:10" x14ac:dyDescent="0.25">
      <c r="A1566" s="93">
        <v>40924</v>
      </c>
      <c r="B1566" s="35">
        <f t="shared" si="125"/>
        <v>37</v>
      </c>
      <c r="C1566" s="76">
        <v>1</v>
      </c>
      <c r="D1566" s="76">
        <v>2012</v>
      </c>
      <c r="E1566" s="56">
        <v>6.6666666666666666E-2</v>
      </c>
      <c r="F1566" s="53">
        <f t="shared" si="126"/>
        <v>1</v>
      </c>
      <c r="G1566" s="53">
        <f t="shared" si="123"/>
        <v>2</v>
      </c>
      <c r="H1566" s="53">
        <f t="shared" si="124"/>
        <v>2</v>
      </c>
      <c r="I1566" s="53" t="str">
        <f t="shared" si="127"/>
        <v>ww</v>
      </c>
      <c r="J1566" s="53"/>
    </row>
    <row r="1567" spans="1:10" x14ac:dyDescent="0.25">
      <c r="A1567" s="93">
        <v>40925</v>
      </c>
      <c r="B1567" s="35">
        <f t="shared" si="125"/>
        <v>37</v>
      </c>
      <c r="C1567" s="76">
        <v>1</v>
      </c>
      <c r="D1567" s="76">
        <v>2012</v>
      </c>
      <c r="E1567" s="56">
        <v>0.13333333333333333</v>
      </c>
      <c r="F1567" s="53">
        <f t="shared" si="126"/>
        <v>1</v>
      </c>
      <c r="G1567" s="53">
        <f t="shared" si="123"/>
        <v>2</v>
      </c>
      <c r="H1567" s="53">
        <f t="shared" si="124"/>
        <v>2</v>
      </c>
      <c r="I1567" s="53" t="str">
        <f t="shared" si="127"/>
        <v>ww</v>
      </c>
      <c r="J1567" s="53"/>
    </row>
    <row r="1568" spans="1:10" x14ac:dyDescent="0.25">
      <c r="A1568" s="93">
        <v>40926</v>
      </c>
      <c r="B1568" s="35">
        <f t="shared" si="125"/>
        <v>37</v>
      </c>
      <c r="C1568" s="76">
        <v>1</v>
      </c>
      <c r="D1568" s="76">
        <v>2012</v>
      </c>
      <c r="E1568" s="56">
        <v>0.20000000000000004</v>
      </c>
      <c r="F1568" s="53">
        <f t="shared" si="126"/>
        <v>1</v>
      </c>
      <c r="G1568" s="53">
        <f t="shared" si="123"/>
        <v>2</v>
      </c>
      <c r="H1568" s="53">
        <f t="shared" si="124"/>
        <v>2</v>
      </c>
      <c r="I1568" s="53" t="str">
        <f t="shared" si="127"/>
        <v>ww</v>
      </c>
      <c r="J1568" s="53"/>
    </row>
    <row r="1569" spans="1:10" x14ac:dyDescent="0.25">
      <c r="A1569" s="93">
        <v>40927</v>
      </c>
      <c r="B1569" s="35">
        <f t="shared" si="125"/>
        <v>37</v>
      </c>
      <c r="C1569" s="76">
        <v>1</v>
      </c>
      <c r="D1569" s="76">
        <v>2012</v>
      </c>
      <c r="E1569" s="56">
        <v>0.13333333333333333</v>
      </c>
      <c r="F1569" s="53">
        <f t="shared" si="126"/>
        <v>1</v>
      </c>
      <c r="G1569" s="53">
        <f t="shared" si="123"/>
        <v>2</v>
      </c>
      <c r="H1569" s="53">
        <f t="shared" si="124"/>
        <v>2</v>
      </c>
      <c r="I1569" s="53" t="str">
        <f t="shared" si="127"/>
        <v>ww</v>
      </c>
      <c r="J1569" s="53"/>
    </row>
    <row r="1570" spans="1:10" x14ac:dyDescent="0.25">
      <c r="A1570" s="93">
        <v>40928</v>
      </c>
      <c r="B1570" s="35">
        <f t="shared" si="125"/>
        <v>37</v>
      </c>
      <c r="C1570" s="76">
        <v>1</v>
      </c>
      <c r="D1570" s="76">
        <v>2012</v>
      </c>
      <c r="E1570" s="56">
        <v>0.26666666666666666</v>
      </c>
      <c r="F1570" s="53">
        <f t="shared" si="126"/>
        <v>1</v>
      </c>
      <c r="G1570" s="53">
        <f t="shared" si="123"/>
        <v>2</v>
      </c>
      <c r="H1570" s="53">
        <f t="shared" si="124"/>
        <v>2</v>
      </c>
      <c r="I1570" s="53" t="str">
        <f t="shared" si="127"/>
        <v>ww</v>
      </c>
      <c r="J1570" s="53"/>
    </row>
    <row r="1571" spans="1:10" x14ac:dyDescent="0.25">
      <c r="A1571" s="93">
        <v>40929</v>
      </c>
      <c r="B1571" s="35">
        <f t="shared" si="125"/>
        <v>37</v>
      </c>
      <c r="C1571" s="76">
        <v>1</v>
      </c>
      <c r="D1571" s="76">
        <v>2012</v>
      </c>
      <c r="E1571" s="56">
        <v>2.7333333333333329</v>
      </c>
      <c r="F1571" s="53">
        <f t="shared" si="126"/>
        <v>1</v>
      </c>
      <c r="G1571" s="53">
        <f t="shared" si="123"/>
        <v>2</v>
      </c>
      <c r="H1571" s="53">
        <f t="shared" si="124"/>
        <v>2</v>
      </c>
      <c r="I1571" s="53" t="str">
        <f t="shared" si="127"/>
        <v>ww</v>
      </c>
      <c r="J1571" s="53"/>
    </row>
    <row r="1572" spans="1:10" x14ac:dyDescent="0.25">
      <c r="A1572" s="93">
        <v>40930</v>
      </c>
      <c r="B1572" s="35">
        <f t="shared" si="125"/>
        <v>37</v>
      </c>
      <c r="C1572" s="76">
        <v>1</v>
      </c>
      <c r="D1572" s="76">
        <v>2012</v>
      </c>
      <c r="E1572" s="56">
        <v>0.6</v>
      </c>
      <c r="F1572" s="53">
        <f t="shared" si="126"/>
        <v>1</v>
      </c>
      <c r="G1572" s="53">
        <f t="shared" si="123"/>
        <v>2</v>
      </c>
      <c r="H1572" s="53">
        <f t="shared" si="124"/>
        <v>2</v>
      </c>
      <c r="I1572" s="53" t="str">
        <f t="shared" si="127"/>
        <v>ww</v>
      </c>
      <c r="J1572" s="53"/>
    </row>
    <row r="1573" spans="1:10" x14ac:dyDescent="0.25">
      <c r="A1573" s="93">
        <v>40931</v>
      </c>
      <c r="B1573" s="35">
        <f t="shared" si="125"/>
        <v>37</v>
      </c>
      <c r="C1573" s="76">
        <v>1</v>
      </c>
      <c r="D1573" s="76">
        <v>2012</v>
      </c>
      <c r="E1573" s="56">
        <v>0</v>
      </c>
      <c r="F1573" s="53">
        <f t="shared" si="126"/>
        <v>0</v>
      </c>
      <c r="G1573" s="53">
        <f t="shared" si="123"/>
        <v>1</v>
      </c>
      <c r="H1573" s="53">
        <f t="shared" si="124"/>
        <v>1</v>
      </c>
      <c r="I1573" s="53" t="str">
        <f t="shared" si="127"/>
        <v>wd</v>
      </c>
      <c r="J1573" s="53"/>
    </row>
    <row r="1574" spans="1:10" x14ac:dyDescent="0.25">
      <c r="A1574" s="93">
        <v>40932</v>
      </c>
      <c r="B1574" s="35">
        <f t="shared" si="125"/>
        <v>37</v>
      </c>
      <c r="C1574" s="76">
        <v>1</v>
      </c>
      <c r="D1574" s="76">
        <v>2012</v>
      </c>
      <c r="E1574" s="56">
        <v>2.0666666666666669</v>
      </c>
      <c r="F1574" s="53">
        <f t="shared" si="126"/>
        <v>1</v>
      </c>
      <c r="G1574" s="53">
        <f t="shared" si="123"/>
        <v>1</v>
      </c>
      <c r="H1574" s="53">
        <f t="shared" si="124"/>
        <v>-1</v>
      </c>
      <c r="I1574" s="53" t="str">
        <f t="shared" si="127"/>
        <v>dw</v>
      </c>
      <c r="J1574" s="53"/>
    </row>
    <row r="1575" spans="1:10" x14ac:dyDescent="0.25">
      <c r="A1575" s="93">
        <v>40933</v>
      </c>
      <c r="B1575" s="35">
        <f t="shared" si="125"/>
        <v>37</v>
      </c>
      <c r="C1575" s="76">
        <v>1</v>
      </c>
      <c r="D1575" s="76">
        <v>2012</v>
      </c>
      <c r="E1575" s="56">
        <v>1.8666666666666665</v>
      </c>
      <c r="F1575" s="53">
        <f t="shared" si="126"/>
        <v>1</v>
      </c>
      <c r="G1575" s="53">
        <f t="shared" si="123"/>
        <v>2</v>
      </c>
      <c r="H1575" s="53">
        <f t="shared" si="124"/>
        <v>2</v>
      </c>
      <c r="I1575" s="53" t="str">
        <f t="shared" si="127"/>
        <v>ww</v>
      </c>
      <c r="J1575" s="53"/>
    </row>
    <row r="1576" spans="1:10" x14ac:dyDescent="0.25">
      <c r="A1576" s="93">
        <v>40934</v>
      </c>
      <c r="B1576" s="35">
        <f t="shared" si="125"/>
        <v>37</v>
      </c>
      <c r="C1576" s="76">
        <v>1</v>
      </c>
      <c r="D1576" s="76">
        <v>2012</v>
      </c>
      <c r="E1576" s="56">
        <v>1.0666666666666667</v>
      </c>
      <c r="F1576" s="53">
        <f t="shared" si="126"/>
        <v>1</v>
      </c>
      <c r="G1576" s="53">
        <f t="shared" si="123"/>
        <v>2</v>
      </c>
      <c r="H1576" s="53">
        <f t="shared" si="124"/>
        <v>2</v>
      </c>
      <c r="I1576" s="53" t="str">
        <f t="shared" si="127"/>
        <v>ww</v>
      </c>
      <c r="J1576" s="53"/>
    </row>
    <row r="1577" spans="1:10" x14ac:dyDescent="0.25">
      <c r="A1577" s="93">
        <v>40935</v>
      </c>
      <c r="B1577" s="35">
        <f t="shared" si="125"/>
        <v>37</v>
      </c>
      <c r="C1577" s="76">
        <v>1</v>
      </c>
      <c r="D1577" s="76">
        <v>2012</v>
      </c>
      <c r="E1577" s="56">
        <v>6.6666666666666666E-2</v>
      </c>
      <c r="F1577" s="53">
        <f t="shared" si="126"/>
        <v>1</v>
      </c>
      <c r="G1577" s="53">
        <f t="shared" si="123"/>
        <v>2</v>
      </c>
      <c r="H1577" s="53">
        <f t="shared" si="124"/>
        <v>2</v>
      </c>
      <c r="I1577" s="53" t="str">
        <f t="shared" si="127"/>
        <v>ww</v>
      </c>
      <c r="J1577" s="53"/>
    </row>
    <row r="1578" spans="1:10" x14ac:dyDescent="0.25">
      <c r="A1578" s="93">
        <v>40936</v>
      </c>
      <c r="B1578" s="35">
        <f t="shared" si="125"/>
        <v>37</v>
      </c>
      <c r="C1578" s="76">
        <v>1</v>
      </c>
      <c r="D1578" s="76">
        <v>2012</v>
      </c>
      <c r="E1578" s="56">
        <v>0.93333333333333346</v>
      </c>
      <c r="F1578" s="53">
        <f t="shared" si="126"/>
        <v>1</v>
      </c>
      <c r="G1578" s="53">
        <f t="shared" si="123"/>
        <v>2</v>
      </c>
      <c r="H1578" s="53">
        <f t="shared" si="124"/>
        <v>2</v>
      </c>
      <c r="I1578" s="53" t="str">
        <f t="shared" si="127"/>
        <v>ww</v>
      </c>
      <c r="J1578" s="53"/>
    </row>
    <row r="1579" spans="1:10" x14ac:dyDescent="0.25">
      <c r="A1579" s="93">
        <v>40937</v>
      </c>
      <c r="B1579" s="35">
        <f t="shared" si="125"/>
        <v>37</v>
      </c>
      <c r="C1579" s="76">
        <v>1</v>
      </c>
      <c r="D1579" s="76">
        <v>2012</v>
      </c>
      <c r="E1579" s="56">
        <v>6.6666666666666666E-2</v>
      </c>
      <c r="F1579" s="53">
        <f t="shared" si="126"/>
        <v>1</v>
      </c>
      <c r="G1579" s="53">
        <f t="shared" si="123"/>
        <v>2</v>
      </c>
      <c r="H1579" s="53">
        <f t="shared" si="124"/>
        <v>2</v>
      </c>
      <c r="I1579" s="53" t="str">
        <f t="shared" si="127"/>
        <v>ww</v>
      </c>
      <c r="J1579" s="53"/>
    </row>
    <row r="1580" spans="1:10" x14ac:dyDescent="0.25">
      <c r="A1580" s="93">
        <v>40938</v>
      </c>
      <c r="B1580" s="35">
        <f t="shared" si="125"/>
        <v>37</v>
      </c>
      <c r="C1580" s="76">
        <v>1</v>
      </c>
      <c r="D1580" s="76">
        <v>2012</v>
      </c>
      <c r="E1580" s="56">
        <v>6.8</v>
      </c>
      <c r="F1580" s="53">
        <f t="shared" si="126"/>
        <v>1</v>
      </c>
      <c r="G1580" s="53">
        <f t="shared" si="123"/>
        <v>2</v>
      </c>
      <c r="H1580" s="53">
        <f t="shared" si="124"/>
        <v>2</v>
      </c>
      <c r="I1580" s="53" t="str">
        <f t="shared" si="127"/>
        <v>ww</v>
      </c>
      <c r="J1580" s="53"/>
    </row>
    <row r="1581" spans="1:10" x14ac:dyDescent="0.25">
      <c r="A1581" s="93">
        <v>40939</v>
      </c>
      <c r="B1581" s="35">
        <f t="shared" si="125"/>
        <v>37</v>
      </c>
      <c r="C1581" s="76">
        <v>1</v>
      </c>
      <c r="D1581" s="76">
        <v>2012</v>
      </c>
      <c r="E1581" s="56">
        <v>0.26666666666666666</v>
      </c>
      <c r="F1581" s="53">
        <f t="shared" si="126"/>
        <v>1</v>
      </c>
      <c r="G1581" s="53">
        <f t="shared" si="123"/>
        <v>2</v>
      </c>
      <c r="H1581" s="53">
        <f t="shared" si="124"/>
        <v>2</v>
      </c>
      <c r="I1581" s="53" t="str">
        <f t="shared" si="127"/>
        <v>ww</v>
      </c>
      <c r="J1581" s="53"/>
    </row>
    <row r="1582" spans="1:10" x14ac:dyDescent="0.25">
      <c r="A1582" s="93">
        <v>40940</v>
      </c>
      <c r="B1582" s="35">
        <f t="shared" si="125"/>
        <v>37</v>
      </c>
      <c r="C1582" s="76">
        <v>1</v>
      </c>
      <c r="D1582" s="76">
        <v>2012</v>
      </c>
      <c r="E1582" s="56">
        <v>0</v>
      </c>
      <c r="F1582" s="53">
        <f t="shared" si="126"/>
        <v>0</v>
      </c>
      <c r="G1582" s="53">
        <f t="shared" si="123"/>
        <v>1</v>
      </c>
      <c r="H1582" s="53">
        <f t="shared" si="124"/>
        <v>1</v>
      </c>
      <c r="I1582" s="53" t="str">
        <f t="shared" si="127"/>
        <v>wd</v>
      </c>
      <c r="J1582" s="53"/>
    </row>
    <row r="1583" spans="1:10" x14ac:dyDescent="0.25">
      <c r="A1583" s="93">
        <v>41275</v>
      </c>
      <c r="B1583" s="35">
        <f t="shared" si="125"/>
        <v>49</v>
      </c>
      <c r="C1583" s="76">
        <v>1</v>
      </c>
      <c r="D1583" s="76">
        <v>2013</v>
      </c>
      <c r="E1583" s="56">
        <v>0</v>
      </c>
      <c r="F1583" s="53">
        <f t="shared" si="126"/>
        <v>0</v>
      </c>
      <c r="G1583" s="53">
        <f t="shared" si="123"/>
        <v>0</v>
      </c>
      <c r="H1583" s="53">
        <f t="shared" si="124"/>
        <v>0</v>
      </c>
      <c r="I1583" s="53" t="str">
        <f t="shared" si="127"/>
        <v>dd</v>
      </c>
      <c r="J1583" s="53"/>
    </row>
    <row r="1584" spans="1:10" x14ac:dyDescent="0.25">
      <c r="A1584" s="93">
        <v>41276</v>
      </c>
      <c r="B1584" s="35">
        <f t="shared" si="125"/>
        <v>49</v>
      </c>
      <c r="C1584" s="76">
        <v>1</v>
      </c>
      <c r="D1584" s="76">
        <v>2013</v>
      </c>
      <c r="E1584" s="56">
        <v>2.0666666666666669</v>
      </c>
      <c r="F1584" s="53">
        <f t="shared" si="126"/>
        <v>1</v>
      </c>
      <c r="G1584" s="53">
        <f t="shared" si="123"/>
        <v>1</v>
      </c>
      <c r="H1584" s="53">
        <f t="shared" si="124"/>
        <v>-1</v>
      </c>
      <c r="I1584" s="53" t="str">
        <f t="shared" si="127"/>
        <v>dw</v>
      </c>
      <c r="J1584" s="53"/>
    </row>
    <row r="1585" spans="1:10" x14ac:dyDescent="0.25">
      <c r="A1585" s="93">
        <v>41277</v>
      </c>
      <c r="B1585" s="35">
        <f t="shared" si="125"/>
        <v>49</v>
      </c>
      <c r="C1585" s="76">
        <v>1</v>
      </c>
      <c r="D1585" s="76">
        <v>2013</v>
      </c>
      <c r="E1585" s="56">
        <v>2.4</v>
      </c>
      <c r="F1585" s="53">
        <f t="shared" si="126"/>
        <v>1</v>
      </c>
      <c r="G1585" s="53">
        <f t="shared" si="123"/>
        <v>2</v>
      </c>
      <c r="H1585" s="53">
        <f t="shared" si="124"/>
        <v>2</v>
      </c>
      <c r="I1585" s="53" t="str">
        <f t="shared" si="127"/>
        <v>ww</v>
      </c>
      <c r="J1585" s="53"/>
    </row>
    <row r="1586" spans="1:10" x14ac:dyDescent="0.25">
      <c r="A1586" s="93">
        <v>41278</v>
      </c>
      <c r="B1586" s="35">
        <f t="shared" si="125"/>
        <v>49</v>
      </c>
      <c r="C1586" s="76">
        <v>1</v>
      </c>
      <c r="D1586" s="76">
        <v>2013</v>
      </c>
      <c r="E1586" s="56">
        <v>6.6666666666666666E-2</v>
      </c>
      <c r="F1586" s="53">
        <f t="shared" si="126"/>
        <v>1</v>
      </c>
      <c r="G1586" s="53">
        <f t="shared" si="123"/>
        <v>2</v>
      </c>
      <c r="H1586" s="53">
        <f t="shared" si="124"/>
        <v>2</v>
      </c>
      <c r="I1586" s="53" t="str">
        <f t="shared" si="127"/>
        <v>ww</v>
      </c>
      <c r="J1586" s="53"/>
    </row>
    <row r="1587" spans="1:10" x14ac:dyDescent="0.25">
      <c r="A1587" s="93">
        <v>41279</v>
      </c>
      <c r="B1587" s="35">
        <f t="shared" si="125"/>
        <v>49</v>
      </c>
      <c r="C1587" s="76">
        <v>1</v>
      </c>
      <c r="D1587" s="76">
        <v>2013</v>
      </c>
      <c r="E1587" s="56">
        <v>0</v>
      </c>
      <c r="F1587" s="53">
        <f t="shared" si="126"/>
        <v>0</v>
      </c>
      <c r="G1587" s="53">
        <f t="shared" si="123"/>
        <v>1</v>
      </c>
      <c r="H1587" s="53">
        <f t="shared" si="124"/>
        <v>1</v>
      </c>
      <c r="I1587" s="53" t="str">
        <f t="shared" si="127"/>
        <v>wd</v>
      </c>
      <c r="J1587" s="53"/>
    </row>
    <row r="1588" spans="1:10" x14ac:dyDescent="0.25">
      <c r="A1588" s="93">
        <v>41280</v>
      </c>
      <c r="B1588" s="35">
        <f t="shared" si="125"/>
        <v>49</v>
      </c>
      <c r="C1588" s="76">
        <v>1</v>
      </c>
      <c r="D1588" s="76">
        <v>2013</v>
      </c>
      <c r="E1588" s="56">
        <v>6.6666666666666666E-2</v>
      </c>
      <c r="F1588" s="53">
        <f t="shared" si="126"/>
        <v>1</v>
      </c>
      <c r="G1588" s="53">
        <f t="shared" ref="G1588:G1651" si="128">SUM(F1587:F1588)</f>
        <v>1</v>
      </c>
      <c r="H1588" s="53">
        <f t="shared" ref="H1588:H1651" si="129">IF(G1588=1,IF(F1587=1,1,-1),G1588)</f>
        <v>-1</v>
      </c>
      <c r="I1588" s="53" t="str">
        <f t="shared" si="127"/>
        <v>dw</v>
      </c>
      <c r="J1588" s="53"/>
    </row>
    <row r="1589" spans="1:10" x14ac:dyDescent="0.25">
      <c r="A1589" s="93">
        <v>41281</v>
      </c>
      <c r="B1589" s="35">
        <f t="shared" si="125"/>
        <v>49</v>
      </c>
      <c r="C1589" s="76">
        <v>1</v>
      </c>
      <c r="D1589" s="76">
        <v>2013</v>
      </c>
      <c r="E1589" s="56">
        <v>6.6666666666666666E-2</v>
      </c>
      <c r="F1589" s="53">
        <f t="shared" si="126"/>
        <v>1</v>
      </c>
      <c r="G1589" s="53">
        <f t="shared" si="128"/>
        <v>2</v>
      </c>
      <c r="H1589" s="53">
        <f t="shared" si="129"/>
        <v>2</v>
      </c>
      <c r="I1589" s="53" t="str">
        <f t="shared" si="127"/>
        <v>ww</v>
      </c>
      <c r="J1589" s="53"/>
    </row>
    <row r="1590" spans="1:10" x14ac:dyDescent="0.25">
      <c r="A1590" s="93">
        <v>41282</v>
      </c>
      <c r="B1590" s="35">
        <f t="shared" si="125"/>
        <v>49</v>
      </c>
      <c r="C1590" s="76">
        <v>1</v>
      </c>
      <c r="D1590" s="76">
        <v>2013</v>
      </c>
      <c r="E1590" s="56">
        <v>1.7333333333333334</v>
      </c>
      <c r="F1590" s="53">
        <f t="shared" si="126"/>
        <v>1</v>
      </c>
      <c r="G1590" s="53">
        <f t="shared" si="128"/>
        <v>2</v>
      </c>
      <c r="H1590" s="53">
        <f t="shared" si="129"/>
        <v>2</v>
      </c>
      <c r="I1590" s="53" t="str">
        <f t="shared" si="127"/>
        <v>ww</v>
      </c>
      <c r="J1590" s="53"/>
    </row>
    <row r="1591" spans="1:10" x14ac:dyDescent="0.25">
      <c r="A1591" s="93">
        <v>41283</v>
      </c>
      <c r="B1591" s="35">
        <f t="shared" si="125"/>
        <v>49</v>
      </c>
      <c r="C1591" s="76">
        <v>1</v>
      </c>
      <c r="D1591" s="76">
        <v>2013</v>
      </c>
      <c r="E1591" s="56">
        <v>0.20000000000000004</v>
      </c>
      <c r="F1591" s="53">
        <f t="shared" si="126"/>
        <v>1</v>
      </c>
      <c r="G1591" s="53">
        <f t="shared" si="128"/>
        <v>2</v>
      </c>
      <c r="H1591" s="53">
        <f t="shared" si="129"/>
        <v>2</v>
      </c>
      <c r="I1591" s="53" t="str">
        <f t="shared" si="127"/>
        <v>ww</v>
      </c>
      <c r="J1591" s="53"/>
    </row>
    <row r="1592" spans="1:10" x14ac:dyDescent="0.25">
      <c r="A1592" s="93">
        <v>41284</v>
      </c>
      <c r="B1592" s="35">
        <f t="shared" si="125"/>
        <v>49</v>
      </c>
      <c r="C1592" s="76">
        <v>1</v>
      </c>
      <c r="D1592" s="76">
        <v>2013</v>
      </c>
      <c r="E1592" s="56">
        <v>0.20000000000000004</v>
      </c>
      <c r="F1592" s="53">
        <f t="shared" si="126"/>
        <v>1</v>
      </c>
      <c r="G1592" s="53">
        <f t="shared" si="128"/>
        <v>2</v>
      </c>
      <c r="H1592" s="53">
        <f t="shared" si="129"/>
        <v>2</v>
      </c>
      <c r="I1592" s="53" t="str">
        <f t="shared" si="127"/>
        <v>ww</v>
      </c>
      <c r="J1592" s="53"/>
    </row>
    <row r="1593" spans="1:10" x14ac:dyDescent="0.25">
      <c r="A1593" s="93">
        <v>41285</v>
      </c>
      <c r="B1593" s="35">
        <f t="shared" si="125"/>
        <v>49</v>
      </c>
      <c r="C1593" s="76">
        <v>1</v>
      </c>
      <c r="D1593" s="76">
        <v>2013</v>
      </c>
      <c r="E1593" s="56">
        <v>4.666666666666667</v>
      </c>
      <c r="F1593" s="53">
        <f t="shared" si="126"/>
        <v>1</v>
      </c>
      <c r="G1593" s="53">
        <f t="shared" si="128"/>
        <v>2</v>
      </c>
      <c r="H1593" s="53">
        <f t="shared" si="129"/>
        <v>2</v>
      </c>
      <c r="I1593" s="53" t="str">
        <f t="shared" si="127"/>
        <v>ww</v>
      </c>
      <c r="J1593" s="53"/>
    </row>
    <row r="1594" spans="1:10" x14ac:dyDescent="0.25">
      <c r="A1594" s="93">
        <v>41286</v>
      </c>
      <c r="B1594" s="35">
        <f t="shared" si="125"/>
        <v>49</v>
      </c>
      <c r="C1594" s="76">
        <v>1</v>
      </c>
      <c r="D1594" s="76">
        <v>2013</v>
      </c>
      <c r="E1594" s="56">
        <v>0.73333333333333339</v>
      </c>
      <c r="F1594" s="53">
        <f t="shared" si="126"/>
        <v>1</v>
      </c>
      <c r="G1594" s="53">
        <f t="shared" si="128"/>
        <v>2</v>
      </c>
      <c r="H1594" s="53">
        <f t="shared" si="129"/>
        <v>2</v>
      </c>
      <c r="I1594" s="53" t="str">
        <f t="shared" si="127"/>
        <v>ww</v>
      </c>
      <c r="J1594" s="53"/>
    </row>
    <row r="1595" spans="1:10" x14ac:dyDescent="0.25">
      <c r="A1595" s="93">
        <v>41287</v>
      </c>
      <c r="B1595" s="35">
        <f t="shared" si="125"/>
        <v>49</v>
      </c>
      <c r="C1595" s="76">
        <v>1</v>
      </c>
      <c r="D1595" s="76">
        <v>2013</v>
      </c>
      <c r="E1595" s="56">
        <v>0.6</v>
      </c>
      <c r="F1595" s="53">
        <f t="shared" si="126"/>
        <v>1</v>
      </c>
      <c r="G1595" s="53">
        <f t="shared" si="128"/>
        <v>2</v>
      </c>
      <c r="H1595" s="53">
        <f t="shared" si="129"/>
        <v>2</v>
      </c>
      <c r="I1595" s="53" t="str">
        <f t="shared" si="127"/>
        <v>ww</v>
      </c>
      <c r="J1595" s="53"/>
    </row>
    <row r="1596" spans="1:10" x14ac:dyDescent="0.25">
      <c r="A1596" s="93">
        <v>41288</v>
      </c>
      <c r="B1596" s="35">
        <f t="shared" si="125"/>
        <v>49</v>
      </c>
      <c r="C1596" s="76">
        <v>1</v>
      </c>
      <c r="D1596" s="76">
        <v>2013</v>
      </c>
      <c r="E1596" s="56">
        <v>0.73333333333333339</v>
      </c>
      <c r="F1596" s="53">
        <f t="shared" si="126"/>
        <v>1</v>
      </c>
      <c r="G1596" s="53">
        <f t="shared" si="128"/>
        <v>2</v>
      </c>
      <c r="H1596" s="53">
        <f t="shared" si="129"/>
        <v>2</v>
      </c>
      <c r="I1596" s="53" t="str">
        <f t="shared" si="127"/>
        <v>ww</v>
      </c>
      <c r="J1596" s="53"/>
    </row>
    <row r="1597" spans="1:10" x14ac:dyDescent="0.25">
      <c r="A1597" s="93">
        <v>41289</v>
      </c>
      <c r="B1597" s="35">
        <f t="shared" si="125"/>
        <v>49</v>
      </c>
      <c r="C1597" s="76">
        <v>1</v>
      </c>
      <c r="D1597" s="76">
        <v>2013</v>
      </c>
      <c r="E1597" s="56">
        <v>5.3999999999999995</v>
      </c>
      <c r="F1597" s="53">
        <f t="shared" si="126"/>
        <v>1</v>
      </c>
      <c r="G1597" s="53">
        <f t="shared" si="128"/>
        <v>2</v>
      </c>
      <c r="H1597" s="53">
        <f t="shared" si="129"/>
        <v>2</v>
      </c>
      <c r="I1597" s="53" t="str">
        <f t="shared" si="127"/>
        <v>ww</v>
      </c>
      <c r="J1597" s="53"/>
    </row>
    <row r="1598" spans="1:10" x14ac:dyDescent="0.25">
      <c r="A1598" s="93">
        <v>41290</v>
      </c>
      <c r="B1598" s="35">
        <f t="shared" si="125"/>
        <v>49</v>
      </c>
      <c r="C1598" s="76">
        <v>1</v>
      </c>
      <c r="D1598" s="76">
        <v>2013</v>
      </c>
      <c r="E1598" s="56">
        <v>2.7333333333333329</v>
      </c>
      <c r="F1598" s="53">
        <f t="shared" si="126"/>
        <v>1</v>
      </c>
      <c r="G1598" s="53">
        <f t="shared" si="128"/>
        <v>2</v>
      </c>
      <c r="H1598" s="53">
        <f t="shared" si="129"/>
        <v>2</v>
      </c>
      <c r="I1598" s="53" t="str">
        <f t="shared" si="127"/>
        <v>ww</v>
      </c>
      <c r="J1598" s="53"/>
    </row>
    <row r="1599" spans="1:10" x14ac:dyDescent="0.25">
      <c r="A1599" s="93">
        <v>41291</v>
      </c>
      <c r="B1599" s="35">
        <f t="shared" si="125"/>
        <v>49</v>
      </c>
      <c r="C1599" s="76">
        <v>1</v>
      </c>
      <c r="D1599" s="76">
        <v>2013</v>
      </c>
      <c r="E1599" s="56">
        <v>0.8666666666666667</v>
      </c>
      <c r="F1599" s="53">
        <f t="shared" si="126"/>
        <v>1</v>
      </c>
      <c r="G1599" s="53">
        <f t="shared" si="128"/>
        <v>2</v>
      </c>
      <c r="H1599" s="53">
        <f t="shared" si="129"/>
        <v>2</v>
      </c>
      <c r="I1599" s="53" t="str">
        <f t="shared" si="127"/>
        <v>ww</v>
      </c>
      <c r="J1599" s="53"/>
    </row>
    <row r="1600" spans="1:10" x14ac:dyDescent="0.25">
      <c r="A1600" s="93">
        <v>41292</v>
      </c>
      <c r="B1600" s="35">
        <f t="shared" si="125"/>
        <v>49</v>
      </c>
      <c r="C1600" s="76">
        <v>1</v>
      </c>
      <c r="D1600" s="76">
        <v>2013</v>
      </c>
      <c r="E1600" s="56">
        <v>0.26666666666666666</v>
      </c>
      <c r="F1600" s="53">
        <f t="shared" si="126"/>
        <v>1</v>
      </c>
      <c r="G1600" s="53">
        <f t="shared" si="128"/>
        <v>2</v>
      </c>
      <c r="H1600" s="53">
        <f t="shared" si="129"/>
        <v>2</v>
      </c>
      <c r="I1600" s="53" t="str">
        <f t="shared" si="127"/>
        <v>ww</v>
      </c>
      <c r="J1600" s="53"/>
    </row>
    <row r="1601" spans="1:10" x14ac:dyDescent="0.25">
      <c r="A1601" s="93">
        <v>41293</v>
      </c>
      <c r="B1601" s="35">
        <f t="shared" si="125"/>
        <v>49</v>
      </c>
      <c r="C1601" s="76">
        <v>1</v>
      </c>
      <c r="D1601" s="76">
        <v>2013</v>
      </c>
      <c r="E1601" s="56">
        <v>7.1000000000000005</v>
      </c>
      <c r="F1601" s="53">
        <f t="shared" si="126"/>
        <v>1</v>
      </c>
      <c r="G1601" s="53">
        <f t="shared" si="128"/>
        <v>2</v>
      </c>
      <c r="H1601" s="53">
        <f t="shared" si="129"/>
        <v>2</v>
      </c>
      <c r="I1601" s="53" t="str">
        <f t="shared" si="127"/>
        <v>ww</v>
      </c>
      <c r="J1601" s="53"/>
    </row>
    <row r="1602" spans="1:10" x14ac:dyDescent="0.25">
      <c r="A1602" s="93">
        <v>41294</v>
      </c>
      <c r="B1602" s="35">
        <f t="shared" ref="B1602:B1665" si="130">C1602+(D1602-2009)*12</f>
        <v>49</v>
      </c>
      <c r="C1602" s="76">
        <v>1</v>
      </c>
      <c r="D1602" s="76">
        <v>2013</v>
      </c>
      <c r="E1602" s="56">
        <v>5.5</v>
      </c>
      <c r="F1602" s="53">
        <f t="shared" ref="F1602:F1665" si="131">IF(E1602&gt;0,1,0)</f>
        <v>1</v>
      </c>
      <c r="G1602" s="53">
        <f t="shared" si="128"/>
        <v>2</v>
      </c>
      <c r="H1602" s="53">
        <f t="shared" si="129"/>
        <v>2</v>
      </c>
      <c r="I1602" s="53" t="str">
        <f t="shared" ref="I1602:I1665" si="132">VLOOKUP(H1602,codes,2,)</f>
        <v>ww</v>
      </c>
      <c r="J1602" s="53"/>
    </row>
    <row r="1603" spans="1:10" x14ac:dyDescent="0.25">
      <c r="A1603" s="93">
        <v>41295</v>
      </c>
      <c r="B1603" s="35">
        <f t="shared" si="130"/>
        <v>49</v>
      </c>
      <c r="C1603" s="76">
        <v>1</v>
      </c>
      <c r="D1603" s="76">
        <v>2013</v>
      </c>
      <c r="E1603" s="56">
        <v>8.2333333333333325</v>
      </c>
      <c r="F1603" s="53">
        <f t="shared" si="131"/>
        <v>1</v>
      </c>
      <c r="G1603" s="53">
        <f t="shared" si="128"/>
        <v>2</v>
      </c>
      <c r="H1603" s="53">
        <f t="shared" si="129"/>
        <v>2</v>
      </c>
      <c r="I1603" s="53" t="str">
        <f t="shared" si="132"/>
        <v>ww</v>
      </c>
      <c r="J1603" s="53"/>
    </row>
    <row r="1604" spans="1:10" x14ac:dyDescent="0.25">
      <c r="A1604" s="93">
        <v>41296</v>
      </c>
      <c r="B1604" s="35">
        <f t="shared" si="130"/>
        <v>49</v>
      </c>
      <c r="C1604" s="76">
        <v>1</v>
      </c>
      <c r="D1604" s="76">
        <v>2013</v>
      </c>
      <c r="E1604" s="56">
        <v>6.9666666666666659</v>
      </c>
      <c r="F1604" s="53">
        <f t="shared" si="131"/>
        <v>1</v>
      </c>
      <c r="G1604" s="53">
        <f t="shared" si="128"/>
        <v>2</v>
      </c>
      <c r="H1604" s="53">
        <f t="shared" si="129"/>
        <v>2</v>
      </c>
      <c r="I1604" s="53" t="str">
        <f t="shared" si="132"/>
        <v>ww</v>
      </c>
      <c r="J1604" s="53"/>
    </row>
    <row r="1605" spans="1:10" x14ac:dyDescent="0.25">
      <c r="A1605" s="93">
        <v>41297</v>
      </c>
      <c r="B1605" s="35">
        <f t="shared" si="130"/>
        <v>49</v>
      </c>
      <c r="C1605" s="76">
        <v>1</v>
      </c>
      <c r="D1605" s="76">
        <v>2013</v>
      </c>
      <c r="E1605" s="56">
        <v>6.6333333333333329</v>
      </c>
      <c r="F1605" s="53">
        <f t="shared" si="131"/>
        <v>1</v>
      </c>
      <c r="G1605" s="53">
        <f t="shared" si="128"/>
        <v>2</v>
      </c>
      <c r="H1605" s="53">
        <f t="shared" si="129"/>
        <v>2</v>
      </c>
      <c r="I1605" s="53" t="str">
        <f t="shared" si="132"/>
        <v>ww</v>
      </c>
      <c r="J1605" s="53"/>
    </row>
    <row r="1606" spans="1:10" x14ac:dyDescent="0.25">
      <c r="A1606" s="93">
        <v>41298</v>
      </c>
      <c r="B1606" s="35">
        <f t="shared" si="130"/>
        <v>49</v>
      </c>
      <c r="C1606" s="76">
        <v>1</v>
      </c>
      <c r="D1606" s="76">
        <v>2013</v>
      </c>
      <c r="E1606" s="56">
        <v>2.8666666666666671</v>
      </c>
      <c r="F1606" s="53">
        <f t="shared" si="131"/>
        <v>1</v>
      </c>
      <c r="G1606" s="53">
        <f t="shared" si="128"/>
        <v>2</v>
      </c>
      <c r="H1606" s="53">
        <f t="shared" si="129"/>
        <v>2</v>
      </c>
      <c r="I1606" s="53" t="str">
        <f t="shared" si="132"/>
        <v>ww</v>
      </c>
      <c r="J1606" s="53"/>
    </row>
    <row r="1607" spans="1:10" x14ac:dyDescent="0.25">
      <c r="A1607" s="93">
        <v>41299</v>
      </c>
      <c r="B1607" s="35">
        <f t="shared" si="130"/>
        <v>49</v>
      </c>
      <c r="C1607" s="76">
        <v>1</v>
      </c>
      <c r="D1607" s="76">
        <v>2013</v>
      </c>
      <c r="E1607" s="56">
        <v>1.5</v>
      </c>
      <c r="F1607" s="53">
        <f t="shared" si="131"/>
        <v>1</v>
      </c>
      <c r="G1607" s="53">
        <f t="shared" si="128"/>
        <v>2</v>
      </c>
      <c r="H1607" s="53">
        <f t="shared" si="129"/>
        <v>2</v>
      </c>
      <c r="I1607" s="53" t="str">
        <f t="shared" si="132"/>
        <v>ww</v>
      </c>
      <c r="J1607" s="53"/>
    </row>
    <row r="1608" spans="1:10" x14ac:dyDescent="0.25">
      <c r="A1608" s="93">
        <v>41300</v>
      </c>
      <c r="B1608" s="35">
        <f t="shared" si="130"/>
        <v>49</v>
      </c>
      <c r="C1608" s="76">
        <v>1</v>
      </c>
      <c r="D1608" s="76">
        <v>2013</v>
      </c>
      <c r="E1608" s="56">
        <v>4.2666666666666666</v>
      </c>
      <c r="F1608" s="53">
        <f t="shared" si="131"/>
        <v>1</v>
      </c>
      <c r="G1608" s="53">
        <f t="shared" si="128"/>
        <v>2</v>
      </c>
      <c r="H1608" s="53">
        <f t="shared" si="129"/>
        <v>2</v>
      </c>
      <c r="I1608" s="53" t="str">
        <f t="shared" si="132"/>
        <v>ww</v>
      </c>
      <c r="J1608" s="53"/>
    </row>
    <row r="1609" spans="1:10" x14ac:dyDescent="0.25">
      <c r="A1609" s="93">
        <v>41301</v>
      </c>
      <c r="B1609" s="35">
        <f t="shared" si="130"/>
        <v>49</v>
      </c>
      <c r="C1609" s="76">
        <v>1</v>
      </c>
      <c r="D1609" s="76">
        <v>2013</v>
      </c>
      <c r="E1609" s="56">
        <v>5.2</v>
      </c>
      <c r="F1609" s="53">
        <f t="shared" si="131"/>
        <v>1</v>
      </c>
      <c r="G1609" s="53">
        <f t="shared" si="128"/>
        <v>2</v>
      </c>
      <c r="H1609" s="53">
        <f t="shared" si="129"/>
        <v>2</v>
      </c>
      <c r="I1609" s="53" t="str">
        <f t="shared" si="132"/>
        <v>ww</v>
      </c>
      <c r="J1609" s="53"/>
    </row>
    <row r="1610" spans="1:10" x14ac:dyDescent="0.25">
      <c r="A1610" s="93">
        <v>41302</v>
      </c>
      <c r="B1610" s="35">
        <f t="shared" si="130"/>
        <v>49</v>
      </c>
      <c r="C1610" s="76">
        <v>1</v>
      </c>
      <c r="D1610" s="76">
        <v>2013</v>
      </c>
      <c r="E1610" s="56">
        <v>0</v>
      </c>
      <c r="F1610" s="53">
        <f t="shared" si="131"/>
        <v>0</v>
      </c>
      <c r="G1610" s="53">
        <f t="shared" si="128"/>
        <v>1</v>
      </c>
      <c r="H1610" s="53">
        <f t="shared" si="129"/>
        <v>1</v>
      </c>
      <c r="I1610" s="53" t="str">
        <f t="shared" si="132"/>
        <v>wd</v>
      </c>
      <c r="J1610" s="53"/>
    </row>
    <row r="1611" spans="1:10" x14ac:dyDescent="0.25">
      <c r="A1611" s="93">
        <v>41303</v>
      </c>
      <c r="B1611" s="35">
        <f t="shared" si="130"/>
        <v>49</v>
      </c>
      <c r="C1611" s="76">
        <v>1</v>
      </c>
      <c r="D1611" s="76">
        <v>2013</v>
      </c>
      <c r="E1611" s="56">
        <v>1.8</v>
      </c>
      <c r="F1611" s="53">
        <f t="shared" si="131"/>
        <v>1</v>
      </c>
      <c r="G1611" s="53">
        <f t="shared" si="128"/>
        <v>1</v>
      </c>
      <c r="H1611" s="53">
        <f t="shared" si="129"/>
        <v>-1</v>
      </c>
      <c r="I1611" s="53" t="str">
        <f t="shared" si="132"/>
        <v>dw</v>
      </c>
      <c r="J1611" s="53"/>
    </row>
    <row r="1612" spans="1:10" x14ac:dyDescent="0.25">
      <c r="A1612" s="93">
        <v>41304</v>
      </c>
      <c r="B1612" s="35">
        <f t="shared" si="130"/>
        <v>49</v>
      </c>
      <c r="C1612" s="76">
        <v>1</v>
      </c>
      <c r="D1612" s="76">
        <v>2013</v>
      </c>
      <c r="E1612" s="56">
        <v>1.3333333333333333</v>
      </c>
      <c r="F1612" s="53">
        <f t="shared" si="131"/>
        <v>1</v>
      </c>
      <c r="G1612" s="53">
        <f t="shared" si="128"/>
        <v>2</v>
      </c>
      <c r="H1612" s="53">
        <f t="shared" si="129"/>
        <v>2</v>
      </c>
      <c r="I1612" s="53" t="str">
        <f t="shared" si="132"/>
        <v>ww</v>
      </c>
      <c r="J1612" s="53"/>
    </row>
    <row r="1613" spans="1:10" x14ac:dyDescent="0.25">
      <c r="A1613" s="93">
        <v>41305</v>
      </c>
      <c r="B1613" s="35">
        <f t="shared" si="130"/>
        <v>49</v>
      </c>
      <c r="C1613" s="76">
        <v>1</v>
      </c>
      <c r="D1613" s="76">
        <v>2013</v>
      </c>
      <c r="E1613" s="56">
        <v>0.80000000000000016</v>
      </c>
      <c r="F1613" s="53">
        <f t="shared" si="131"/>
        <v>1</v>
      </c>
      <c r="G1613" s="53">
        <f t="shared" si="128"/>
        <v>2</v>
      </c>
      <c r="H1613" s="53">
        <f t="shared" si="129"/>
        <v>2</v>
      </c>
      <c r="I1613" s="53" t="str">
        <f t="shared" si="132"/>
        <v>ww</v>
      </c>
      <c r="J1613" s="53"/>
    </row>
    <row r="1614" spans="1:10" x14ac:dyDescent="0.25">
      <c r="A1614" s="93">
        <v>41306</v>
      </c>
      <c r="B1614" s="35">
        <f t="shared" si="130"/>
        <v>49</v>
      </c>
      <c r="C1614" s="76">
        <v>1</v>
      </c>
      <c r="D1614" s="76">
        <v>2013</v>
      </c>
      <c r="E1614" s="56">
        <v>0.20000000000000004</v>
      </c>
      <c r="F1614" s="53">
        <f t="shared" si="131"/>
        <v>1</v>
      </c>
      <c r="G1614" s="53">
        <f t="shared" si="128"/>
        <v>2</v>
      </c>
      <c r="H1614" s="53">
        <f t="shared" si="129"/>
        <v>2</v>
      </c>
      <c r="I1614" s="53" t="str">
        <f t="shared" si="132"/>
        <v>ww</v>
      </c>
      <c r="J1614" s="53"/>
    </row>
    <row r="1615" spans="1:10" x14ac:dyDescent="0.25">
      <c r="A1615" s="93">
        <v>41640</v>
      </c>
      <c r="B1615" s="35">
        <f t="shared" si="130"/>
        <v>61</v>
      </c>
      <c r="C1615" s="76">
        <v>1</v>
      </c>
      <c r="D1615" s="76">
        <v>2014</v>
      </c>
      <c r="E1615" s="56">
        <v>0.20000000000000004</v>
      </c>
      <c r="F1615" s="53">
        <f t="shared" si="131"/>
        <v>1</v>
      </c>
      <c r="G1615" s="53">
        <f t="shared" si="128"/>
        <v>2</v>
      </c>
      <c r="H1615" s="53">
        <f t="shared" si="129"/>
        <v>2</v>
      </c>
      <c r="I1615" s="53" t="str">
        <f t="shared" si="132"/>
        <v>ww</v>
      </c>
      <c r="J1615" s="53"/>
    </row>
    <row r="1616" spans="1:10" x14ac:dyDescent="0.25">
      <c r="A1616" s="93">
        <v>41641</v>
      </c>
      <c r="B1616" s="35">
        <f t="shared" si="130"/>
        <v>61</v>
      </c>
      <c r="C1616" s="76">
        <v>1</v>
      </c>
      <c r="D1616" s="76">
        <v>2014</v>
      </c>
      <c r="E1616" s="56">
        <v>4.2666666666666666</v>
      </c>
      <c r="F1616" s="53">
        <f t="shared" si="131"/>
        <v>1</v>
      </c>
      <c r="G1616" s="53">
        <f t="shared" si="128"/>
        <v>2</v>
      </c>
      <c r="H1616" s="53">
        <f t="shared" si="129"/>
        <v>2</v>
      </c>
      <c r="I1616" s="53" t="str">
        <f t="shared" si="132"/>
        <v>ww</v>
      </c>
      <c r="J1616" s="53"/>
    </row>
    <row r="1617" spans="1:10" x14ac:dyDescent="0.25">
      <c r="A1617" s="93">
        <v>41642</v>
      </c>
      <c r="B1617" s="35">
        <f t="shared" si="130"/>
        <v>61</v>
      </c>
      <c r="C1617" s="76">
        <v>1</v>
      </c>
      <c r="D1617" s="76">
        <v>2014</v>
      </c>
      <c r="E1617" s="56">
        <v>3.8000000000000003</v>
      </c>
      <c r="F1617" s="53">
        <f t="shared" si="131"/>
        <v>1</v>
      </c>
      <c r="G1617" s="53">
        <f t="shared" si="128"/>
        <v>2</v>
      </c>
      <c r="H1617" s="53">
        <f t="shared" si="129"/>
        <v>2</v>
      </c>
      <c r="I1617" s="53" t="str">
        <f t="shared" si="132"/>
        <v>ww</v>
      </c>
      <c r="J1617" s="53"/>
    </row>
    <row r="1618" spans="1:10" x14ac:dyDescent="0.25">
      <c r="A1618" s="93">
        <v>41643</v>
      </c>
      <c r="B1618" s="35">
        <f t="shared" si="130"/>
        <v>61</v>
      </c>
      <c r="C1618" s="76">
        <v>1</v>
      </c>
      <c r="D1618" s="76">
        <v>2014</v>
      </c>
      <c r="E1618" s="56">
        <v>0.26666666666666666</v>
      </c>
      <c r="F1618" s="53">
        <f t="shared" si="131"/>
        <v>1</v>
      </c>
      <c r="G1618" s="53">
        <f t="shared" si="128"/>
        <v>2</v>
      </c>
      <c r="H1618" s="53">
        <f t="shared" si="129"/>
        <v>2</v>
      </c>
      <c r="I1618" s="53" t="str">
        <f t="shared" si="132"/>
        <v>ww</v>
      </c>
      <c r="J1618" s="53"/>
    </row>
    <row r="1619" spans="1:10" x14ac:dyDescent="0.25">
      <c r="A1619" s="93">
        <v>41644</v>
      </c>
      <c r="B1619" s="35">
        <f t="shared" si="130"/>
        <v>61</v>
      </c>
      <c r="C1619" s="76">
        <v>1</v>
      </c>
      <c r="D1619" s="76">
        <v>2014</v>
      </c>
      <c r="E1619" s="56">
        <v>0</v>
      </c>
      <c r="F1619" s="53">
        <f t="shared" si="131"/>
        <v>0</v>
      </c>
      <c r="G1619" s="53">
        <f t="shared" si="128"/>
        <v>1</v>
      </c>
      <c r="H1619" s="53">
        <f t="shared" si="129"/>
        <v>1</v>
      </c>
      <c r="I1619" s="53" t="str">
        <f t="shared" si="132"/>
        <v>wd</v>
      </c>
      <c r="J1619" s="53"/>
    </row>
    <row r="1620" spans="1:10" x14ac:dyDescent="0.25">
      <c r="A1620" s="93">
        <v>41645</v>
      </c>
      <c r="B1620" s="35">
        <f t="shared" si="130"/>
        <v>61</v>
      </c>
      <c r="C1620" s="76">
        <v>1</v>
      </c>
      <c r="D1620" s="76">
        <v>2014</v>
      </c>
      <c r="E1620" s="56">
        <v>6.2666666666666666</v>
      </c>
      <c r="F1620" s="53">
        <f t="shared" si="131"/>
        <v>1</v>
      </c>
      <c r="G1620" s="53">
        <f t="shared" si="128"/>
        <v>1</v>
      </c>
      <c r="H1620" s="53">
        <f t="shared" si="129"/>
        <v>-1</v>
      </c>
      <c r="I1620" s="53" t="str">
        <f t="shared" si="132"/>
        <v>dw</v>
      </c>
      <c r="J1620" s="53"/>
    </row>
    <row r="1621" spans="1:10" x14ac:dyDescent="0.25">
      <c r="A1621" s="93">
        <v>41646</v>
      </c>
      <c r="B1621" s="35">
        <f t="shared" si="130"/>
        <v>61</v>
      </c>
      <c r="C1621" s="76">
        <v>1</v>
      </c>
      <c r="D1621" s="76">
        <v>2014</v>
      </c>
      <c r="E1621" s="56">
        <v>1.3333333333333333</v>
      </c>
      <c r="F1621" s="53">
        <f t="shared" si="131"/>
        <v>1</v>
      </c>
      <c r="G1621" s="53">
        <f t="shared" si="128"/>
        <v>2</v>
      </c>
      <c r="H1621" s="53">
        <f t="shared" si="129"/>
        <v>2</v>
      </c>
      <c r="I1621" s="53" t="str">
        <f t="shared" si="132"/>
        <v>ww</v>
      </c>
      <c r="J1621" s="53"/>
    </row>
    <row r="1622" spans="1:10" x14ac:dyDescent="0.25">
      <c r="A1622" s="93">
        <v>41647</v>
      </c>
      <c r="B1622" s="35">
        <f t="shared" si="130"/>
        <v>61</v>
      </c>
      <c r="C1622" s="76">
        <v>1</v>
      </c>
      <c r="D1622" s="76">
        <v>2014</v>
      </c>
      <c r="E1622" s="56">
        <v>0.73333333333333339</v>
      </c>
      <c r="F1622" s="53">
        <f t="shared" si="131"/>
        <v>1</v>
      </c>
      <c r="G1622" s="53">
        <f t="shared" si="128"/>
        <v>2</v>
      </c>
      <c r="H1622" s="53">
        <f t="shared" si="129"/>
        <v>2</v>
      </c>
      <c r="I1622" s="53" t="str">
        <f t="shared" si="132"/>
        <v>ww</v>
      </c>
      <c r="J1622" s="53"/>
    </row>
    <row r="1623" spans="1:10" x14ac:dyDescent="0.25">
      <c r="A1623" s="93">
        <v>41648</v>
      </c>
      <c r="B1623" s="35">
        <f t="shared" si="130"/>
        <v>61</v>
      </c>
      <c r="C1623" s="76">
        <v>1</v>
      </c>
      <c r="D1623" s="76">
        <v>2014</v>
      </c>
      <c r="E1623" s="56">
        <v>6.8</v>
      </c>
      <c r="F1623" s="53">
        <f t="shared" si="131"/>
        <v>1</v>
      </c>
      <c r="G1623" s="53">
        <f t="shared" si="128"/>
        <v>2</v>
      </c>
      <c r="H1623" s="53">
        <f t="shared" si="129"/>
        <v>2</v>
      </c>
      <c r="I1623" s="53" t="str">
        <f t="shared" si="132"/>
        <v>ww</v>
      </c>
      <c r="J1623" s="53"/>
    </row>
    <row r="1624" spans="1:10" x14ac:dyDescent="0.25">
      <c r="A1624" s="93">
        <v>41649</v>
      </c>
      <c r="B1624" s="35">
        <f t="shared" si="130"/>
        <v>61</v>
      </c>
      <c r="C1624" s="76">
        <v>1</v>
      </c>
      <c r="D1624" s="76">
        <v>2014</v>
      </c>
      <c r="E1624" s="56">
        <v>0</v>
      </c>
      <c r="F1624" s="53">
        <f t="shared" si="131"/>
        <v>0</v>
      </c>
      <c r="G1624" s="53">
        <f t="shared" si="128"/>
        <v>1</v>
      </c>
      <c r="H1624" s="53">
        <f t="shared" si="129"/>
        <v>1</v>
      </c>
      <c r="I1624" s="53" t="str">
        <f t="shared" si="132"/>
        <v>wd</v>
      </c>
      <c r="J1624" s="53"/>
    </row>
    <row r="1625" spans="1:10" x14ac:dyDescent="0.25">
      <c r="A1625" s="93">
        <v>41650</v>
      </c>
      <c r="B1625" s="35">
        <f t="shared" si="130"/>
        <v>61</v>
      </c>
      <c r="C1625" s="76">
        <v>1</v>
      </c>
      <c r="D1625" s="76">
        <v>2014</v>
      </c>
      <c r="E1625" s="56">
        <v>0.39999999999999997</v>
      </c>
      <c r="F1625" s="53">
        <f t="shared" si="131"/>
        <v>1</v>
      </c>
      <c r="G1625" s="53">
        <f t="shared" si="128"/>
        <v>1</v>
      </c>
      <c r="H1625" s="53">
        <f t="shared" si="129"/>
        <v>-1</v>
      </c>
      <c r="I1625" s="53" t="str">
        <f t="shared" si="132"/>
        <v>dw</v>
      </c>
      <c r="J1625" s="53"/>
    </row>
    <row r="1626" spans="1:10" x14ac:dyDescent="0.25">
      <c r="A1626" s="93">
        <v>41651</v>
      </c>
      <c r="B1626" s="35">
        <f t="shared" si="130"/>
        <v>61</v>
      </c>
      <c r="C1626" s="76">
        <v>1</v>
      </c>
      <c r="D1626" s="76">
        <v>2014</v>
      </c>
      <c r="E1626" s="56">
        <v>0</v>
      </c>
      <c r="F1626" s="53">
        <f t="shared" si="131"/>
        <v>0</v>
      </c>
      <c r="G1626" s="53">
        <f t="shared" si="128"/>
        <v>1</v>
      </c>
      <c r="H1626" s="53">
        <f t="shared" si="129"/>
        <v>1</v>
      </c>
      <c r="I1626" s="53" t="str">
        <f t="shared" si="132"/>
        <v>wd</v>
      </c>
      <c r="J1626" s="53"/>
    </row>
    <row r="1627" spans="1:10" x14ac:dyDescent="0.25">
      <c r="A1627" s="93">
        <v>41652</v>
      </c>
      <c r="B1627" s="35">
        <f t="shared" si="130"/>
        <v>61</v>
      </c>
      <c r="C1627" s="76">
        <v>1</v>
      </c>
      <c r="D1627" s="76">
        <v>2014</v>
      </c>
      <c r="E1627" s="56">
        <v>1.8666666666666665</v>
      </c>
      <c r="F1627" s="53">
        <f t="shared" si="131"/>
        <v>1</v>
      </c>
      <c r="G1627" s="53">
        <f t="shared" si="128"/>
        <v>1</v>
      </c>
      <c r="H1627" s="53">
        <f t="shared" si="129"/>
        <v>-1</v>
      </c>
      <c r="I1627" s="53" t="str">
        <f t="shared" si="132"/>
        <v>dw</v>
      </c>
      <c r="J1627" s="53"/>
    </row>
    <row r="1628" spans="1:10" x14ac:dyDescent="0.25">
      <c r="A1628" s="93">
        <v>41653</v>
      </c>
      <c r="B1628" s="35">
        <f t="shared" si="130"/>
        <v>61</v>
      </c>
      <c r="C1628" s="76">
        <v>1</v>
      </c>
      <c r="D1628" s="76">
        <v>2014</v>
      </c>
      <c r="E1628" s="56">
        <v>1.8666666666666669</v>
      </c>
      <c r="F1628" s="53">
        <f t="shared" si="131"/>
        <v>1</v>
      </c>
      <c r="G1628" s="53">
        <f t="shared" si="128"/>
        <v>2</v>
      </c>
      <c r="H1628" s="53">
        <f t="shared" si="129"/>
        <v>2</v>
      </c>
      <c r="I1628" s="53" t="str">
        <f t="shared" si="132"/>
        <v>ww</v>
      </c>
      <c r="J1628" s="53"/>
    </row>
    <row r="1629" spans="1:10" x14ac:dyDescent="0.25">
      <c r="A1629" s="93">
        <v>41654</v>
      </c>
      <c r="B1629" s="35">
        <f t="shared" si="130"/>
        <v>61</v>
      </c>
      <c r="C1629" s="76">
        <v>1</v>
      </c>
      <c r="D1629" s="76">
        <v>2014</v>
      </c>
      <c r="E1629" s="56">
        <v>6.5333333333333341</v>
      </c>
      <c r="F1629" s="53">
        <f t="shared" si="131"/>
        <v>1</v>
      </c>
      <c r="G1629" s="53">
        <f t="shared" si="128"/>
        <v>2</v>
      </c>
      <c r="H1629" s="53">
        <f t="shared" si="129"/>
        <v>2</v>
      </c>
      <c r="I1629" s="53" t="str">
        <f t="shared" si="132"/>
        <v>ww</v>
      </c>
      <c r="J1629" s="53"/>
    </row>
    <row r="1630" spans="1:10" x14ac:dyDescent="0.25">
      <c r="A1630" s="93">
        <v>41655</v>
      </c>
      <c r="B1630" s="35">
        <f t="shared" si="130"/>
        <v>61</v>
      </c>
      <c r="C1630" s="76">
        <v>1</v>
      </c>
      <c r="D1630" s="76">
        <v>2014</v>
      </c>
      <c r="E1630" s="56">
        <v>1.2666666666666666</v>
      </c>
      <c r="F1630" s="53">
        <f t="shared" si="131"/>
        <v>1</v>
      </c>
      <c r="G1630" s="53">
        <f t="shared" si="128"/>
        <v>2</v>
      </c>
      <c r="H1630" s="53">
        <f t="shared" si="129"/>
        <v>2</v>
      </c>
      <c r="I1630" s="53" t="str">
        <f t="shared" si="132"/>
        <v>ww</v>
      </c>
      <c r="J1630" s="53"/>
    </row>
    <row r="1631" spans="1:10" x14ac:dyDescent="0.25">
      <c r="A1631" s="93">
        <v>41656</v>
      </c>
      <c r="B1631" s="35">
        <f t="shared" si="130"/>
        <v>61</v>
      </c>
      <c r="C1631" s="76">
        <v>1</v>
      </c>
      <c r="D1631" s="76">
        <v>2014</v>
      </c>
      <c r="E1631" s="56">
        <v>1</v>
      </c>
      <c r="F1631" s="53">
        <f t="shared" si="131"/>
        <v>1</v>
      </c>
      <c r="G1631" s="53">
        <f t="shared" si="128"/>
        <v>2</v>
      </c>
      <c r="H1631" s="53">
        <f t="shared" si="129"/>
        <v>2</v>
      </c>
      <c r="I1631" s="53" t="str">
        <f t="shared" si="132"/>
        <v>ww</v>
      </c>
      <c r="J1631" s="53"/>
    </row>
    <row r="1632" spans="1:10" x14ac:dyDescent="0.25">
      <c r="A1632" s="93">
        <v>41657</v>
      </c>
      <c r="B1632" s="35">
        <f t="shared" si="130"/>
        <v>61</v>
      </c>
      <c r="C1632" s="76">
        <v>1</v>
      </c>
      <c r="D1632" s="76">
        <v>2014</v>
      </c>
      <c r="E1632" s="56">
        <v>0.33333333333333331</v>
      </c>
      <c r="F1632" s="53">
        <f t="shared" si="131"/>
        <v>1</v>
      </c>
      <c r="G1632" s="53">
        <f t="shared" si="128"/>
        <v>2</v>
      </c>
      <c r="H1632" s="53">
        <f t="shared" si="129"/>
        <v>2</v>
      </c>
      <c r="I1632" s="53" t="str">
        <f t="shared" si="132"/>
        <v>ww</v>
      </c>
      <c r="J1632" s="53"/>
    </row>
    <row r="1633" spans="1:10" x14ac:dyDescent="0.25">
      <c r="A1633" s="93">
        <v>41658</v>
      </c>
      <c r="B1633" s="35">
        <f t="shared" si="130"/>
        <v>61</v>
      </c>
      <c r="C1633" s="76">
        <v>1</v>
      </c>
      <c r="D1633" s="76">
        <v>2014</v>
      </c>
      <c r="E1633" s="56">
        <v>5.333333333333333</v>
      </c>
      <c r="F1633" s="53">
        <f t="shared" si="131"/>
        <v>1</v>
      </c>
      <c r="G1633" s="53">
        <f t="shared" si="128"/>
        <v>2</v>
      </c>
      <c r="H1633" s="53">
        <f t="shared" si="129"/>
        <v>2</v>
      </c>
      <c r="I1633" s="53" t="str">
        <f t="shared" si="132"/>
        <v>ww</v>
      </c>
      <c r="J1633" s="53"/>
    </row>
    <row r="1634" spans="1:10" x14ac:dyDescent="0.25">
      <c r="A1634" s="93">
        <v>41659</v>
      </c>
      <c r="B1634" s="35">
        <f t="shared" si="130"/>
        <v>61</v>
      </c>
      <c r="C1634" s="76">
        <v>1</v>
      </c>
      <c r="D1634" s="76">
        <v>2014</v>
      </c>
      <c r="E1634" s="56">
        <v>3.7999999999999994</v>
      </c>
      <c r="F1634" s="53">
        <f t="shared" si="131"/>
        <v>1</v>
      </c>
      <c r="G1634" s="53">
        <f t="shared" si="128"/>
        <v>2</v>
      </c>
      <c r="H1634" s="53">
        <f t="shared" si="129"/>
        <v>2</v>
      </c>
      <c r="I1634" s="53" t="str">
        <f t="shared" si="132"/>
        <v>ww</v>
      </c>
      <c r="J1634" s="53"/>
    </row>
    <row r="1635" spans="1:10" x14ac:dyDescent="0.25">
      <c r="A1635" s="93">
        <v>41660</v>
      </c>
      <c r="B1635" s="35">
        <f t="shared" si="130"/>
        <v>61</v>
      </c>
      <c r="C1635" s="76">
        <v>1</v>
      </c>
      <c r="D1635" s="76">
        <v>2014</v>
      </c>
      <c r="E1635" s="56">
        <v>0</v>
      </c>
      <c r="F1635" s="53">
        <f t="shared" si="131"/>
        <v>0</v>
      </c>
      <c r="G1635" s="53">
        <f t="shared" si="128"/>
        <v>1</v>
      </c>
      <c r="H1635" s="53">
        <f t="shared" si="129"/>
        <v>1</v>
      </c>
      <c r="I1635" s="53" t="str">
        <f t="shared" si="132"/>
        <v>wd</v>
      </c>
      <c r="J1635" s="53"/>
    </row>
    <row r="1636" spans="1:10" x14ac:dyDescent="0.25">
      <c r="A1636" s="93">
        <v>41661</v>
      </c>
      <c r="B1636" s="35">
        <f t="shared" si="130"/>
        <v>61</v>
      </c>
      <c r="C1636" s="76">
        <v>1</v>
      </c>
      <c r="D1636" s="76">
        <v>2014</v>
      </c>
      <c r="E1636" s="56">
        <v>3.4666666666666663</v>
      </c>
      <c r="F1636" s="53">
        <f t="shared" si="131"/>
        <v>1</v>
      </c>
      <c r="G1636" s="53">
        <f t="shared" si="128"/>
        <v>1</v>
      </c>
      <c r="H1636" s="53">
        <f t="shared" si="129"/>
        <v>-1</v>
      </c>
      <c r="I1636" s="53" t="str">
        <f t="shared" si="132"/>
        <v>dw</v>
      </c>
      <c r="J1636" s="53"/>
    </row>
    <row r="1637" spans="1:10" x14ac:dyDescent="0.25">
      <c r="A1637" s="93">
        <v>41662</v>
      </c>
      <c r="B1637" s="35">
        <f t="shared" si="130"/>
        <v>61</v>
      </c>
      <c r="C1637" s="76">
        <v>1</v>
      </c>
      <c r="D1637" s="76">
        <v>2014</v>
      </c>
      <c r="E1637" s="56">
        <v>1.0666666666666667</v>
      </c>
      <c r="F1637" s="53">
        <f t="shared" si="131"/>
        <v>1</v>
      </c>
      <c r="G1637" s="53">
        <f t="shared" si="128"/>
        <v>2</v>
      </c>
      <c r="H1637" s="53">
        <f t="shared" si="129"/>
        <v>2</v>
      </c>
      <c r="I1637" s="53" t="str">
        <f t="shared" si="132"/>
        <v>ww</v>
      </c>
      <c r="J1637" s="53"/>
    </row>
    <row r="1638" spans="1:10" x14ac:dyDescent="0.25">
      <c r="A1638" s="93">
        <v>41663</v>
      </c>
      <c r="B1638" s="35">
        <f t="shared" si="130"/>
        <v>61</v>
      </c>
      <c r="C1638" s="76">
        <v>1</v>
      </c>
      <c r="D1638" s="76">
        <v>2014</v>
      </c>
      <c r="E1638" s="56">
        <v>0.13333333333333333</v>
      </c>
      <c r="F1638" s="53">
        <f t="shared" si="131"/>
        <v>1</v>
      </c>
      <c r="G1638" s="53">
        <f t="shared" si="128"/>
        <v>2</v>
      </c>
      <c r="H1638" s="53">
        <f t="shared" si="129"/>
        <v>2</v>
      </c>
      <c r="I1638" s="53" t="str">
        <f t="shared" si="132"/>
        <v>ww</v>
      </c>
      <c r="J1638" s="53"/>
    </row>
    <row r="1639" spans="1:10" x14ac:dyDescent="0.25">
      <c r="A1639" s="93">
        <v>41664</v>
      </c>
      <c r="B1639" s="35">
        <f t="shared" si="130"/>
        <v>61</v>
      </c>
      <c r="C1639" s="76">
        <v>1</v>
      </c>
      <c r="D1639" s="76">
        <v>2014</v>
      </c>
      <c r="E1639" s="56">
        <v>6</v>
      </c>
      <c r="F1639" s="53">
        <f t="shared" si="131"/>
        <v>1</v>
      </c>
      <c r="G1639" s="53">
        <f t="shared" si="128"/>
        <v>2</v>
      </c>
      <c r="H1639" s="53">
        <f t="shared" si="129"/>
        <v>2</v>
      </c>
      <c r="I1639" s="53" t="str">
        <f t="shared" si="132"/>
        <v>ww</v>
      </c>
      <c r="J1639" s="53"/>
    </row>
    <row r="1640" spans="1:10" x14ac:dyDescent="0.25">
      <c r="A1640" s="93">
        <v>41665</v>
      </c>
      <c r="B1640" s="35">
        <f t="shared" si="130"/>
        <v>61</v>
      </c>
      <c r="C1640" s="76">
        <v>1</v>
      </c>
      <c r="D1640" s="76">
        <v>2014</v>
      </c>
      <c r="E1640" s="56">
        <v>2.6</v>
      </c>
      <c r="F1640" s="53">
        <f t="shared" si="131"/>
        <v>1</v>
      </c>
      <c r="G1640" s="53">
        <f t="shared" si="128"/>
        <v>2</v>
      </c>
      <c r="H1640" s="53">
        <f t="shared" si="129"/>
        <v>2</v>
      </c>
      <c r="I1640" s="53" t="str">
        <f t="shared" si="132"/>
        <v>ww</v>
      </c>
      <c r="J1640" s="53"/>
    </row>
    <row r="1641" spans="1:10" x14ac:dyDescent="0.25">
      <c r="A1641" s="93">
        <v>41666</v>
      </c>
      <c r="B1641" s="35">
        <f t="shared" si="130"/>
        <v>61</v>
      </c>
      <c r="C1641" s="76">
        <v>1</v>
      </c>
      <c r="D1641" s="76">
        <v>2014</v>
      </c>
      <c r="E1641" s="56">
        <v>3.4666666666666668</v>
      </c>
      <c r="F1641" s="53">
        <f t="shared" si="131"/>
        <v>1</v>
      </c>
      <c r="G1641" s="53">
        <f t="shared" si="128"/>
        <v>2</v>
      </c>
      <c r="H1641" s="53">
        <f t="shared" si="129"/>
        <v>2</v>
      </c>
      <c r="I1641" s="53" t="str">
        <f t="shared" si="132"/>
        <v>ww</v>
      </c>
      <c r="J1641" s="53"/>
    </row>
    <row r="1642" spans="1:10" x14ac:dyDescent="0.25">
      <c r="A1642" s="93">
        <v>41667</v>
      </c>
      <c r="B1642" s="35">
        <f t="shared" si="130"/>
        <v>61</v>
      </c>
      <c r="C1642" s="76">
        <v>1</v>
      </c>
      <c r="D1642" s="76">
        <v>2014</v>
      </c>
      <c r="E1642" s="56">
        <v>0.6</v>
      </c>
      <c r="F1642" s="53">
        <f t="shared" si="131"/>
        <v>1</v>
      </c>
      <c r="G1642" s="53">
        <f t="shared" si="128"/>
        <v>2</v>
      </c>
      <c r="H1642" s="53">
        <f t="shared" si="129"/>
        <v>2</v>
      </c>
      <c r="I1642" s="53" t="str">
        <f t="shared" si="132"/>
        <v>ww</v>
      </c>
      <c r="J1642" s="53"/>
    </row>
    <row r="1643" spans="1:10" x14ac:dyDescent="0.25">
      <c r="A1643" s="93">
        <v>41668</v>
      </c>
      <c r="B1643" s="35">
        <f t="shared" si="130"/>
        <v>61</v>
      </c>
      <c r="C1643" s="76">
        <v>1</v>
      </c>
      <c r="D1643" s="76">
        <v>2014</v>
      </c>
      <c r="E1643" s="56">
        <v>8.2666666666666675</v>
      </c>
      <c r="F1643" s="53">
        <f t="shared" si="131"/>
        <v>1</v>
      </c>
      <c r="G1643" s="53">
        <f t="shared" si="128"/>
        <v>2</v>
      </c>
      <c r="H1643" s="53">
        <f t="shared" si="129"/>
        <v>2</v>
      </c>
      <c r="I1643" s="53" t="str">
        <f t="shared" si="132"/>
        <v>ww</v>
      </c>
      <c r="J1643" s="53"/>
    </row>
    <row r="1644" spans="1:10" x14ac:dyDescent="0.25">
      <c r="A1644" s="93">
        <v>41669</v>
      </c>
      <c r="B1644" s="35">
        <f t="shared" si="130"/>
        <v>61</v>
      </c>
      <c r="C1644" s="76">
        <v>1</v>
      </c>
      <c r="D1644" s="76">
        <v>2014</v>
      </c>
      <c r="E1644" s="56">
        <v>0.33333333333333331</v>
      </c>
      <c r="F1644" s="53">
        <f t="shared" si="131"/>
        <v>1</v>
      </c>
      <c r="G1644" s="53">
        <f t="shared" si="128"/>
        <v>2</v>
      </c>
      <c r="H1644" s="53">
        <f t="shared" si="129"/>
        <v>2</v>
      </c>
      <c r="I1644" s="53" t="str">
        <f t="shared" si="132"/>
        <v>ww</v>
      </c>
      <c r="J1644" s="53"/>
    </row>
    <row r="1645" spans="1:10" x14ac:dyDescent="0.25">
      <c r="A1645" s="93">
        <v>41670</v>
      </c>
      <c r="B1645" s="35">
        <f t="shared" si="130"/>
        <v>61</v>
      </c>
      <c r="C1645" s="76">
        <v>1</v>
      </c>
      <c r="D1645" s="76">
        <v>2014</v>
      </c>
      <c r="E1645" s="56">
        <v>0.33333333333333331</v>
      </c>
      <c r="F1645" s="53">
        <f t="shared" si="131"/>
        <v>1</v>
      </c>
      <c r="G1645" s="53">
        <f t="shared" si="128"/>
        <v>2</v>
      </c>
      <c r="H1645" s="53">
        <f t="shared" si="129"/>
        <v>2</v>
      </c>
      <c r="I1645" s="53" t="str">
        <f t="shared" si="132"/>
        <v>ww</v>
      </c>
      <c r="J1645" s="53"/>
    </row>
    <row r="1646" spans="1:10" x14ac:dyDescent="0.25">
      <c r="A1646" s="93">
        <v>41671</v>
      </c>
      <c r="B1646" s="35">
        <f t="shared" si="130"/>
        <v>61</v>
      </c>
      <c r="C1646" s="76">
        <v>1</v>
      </c>
      <c r="D1646" s="76">
        <v>2014</v>
      </c>
      <c r="E1646" s="56">
        <v>1.6000000000000003</v>
      </c>
      <c r="F1646" s="53">
        <f t="shared" si="131"/>
        <v>1</v>
      </c>
      <c r="G1646" s="53">
        <f t="shared" si="128"/>
        <v>2</v>
      </c>
      <c r="H1646" s="53">
        <f t="shared" si="129"/>
        <v>2</v>
      </c>
      <c r="I1646" s="53" t="str">
        <f t="shared" si="132"/>
        <v>ww</v>
      </c>
      <c r="J1646" s="53"/>
    </row>
    <row r="1647" spans="1:10" x14ac:dyDescent="0.25">
      <c r="A1647" s="93">
        <v>42005</v>
      </c>
      <c r="B1647" s="35">
        <f t="shared" si="130"/>
        <v>73</v>
      </c>
      <c r="C1647" s="76">
        <v>1</v>
      </c>
      <c r="D1647" s="76">
        <v>2015</v>
      </c>
      <c r="E1647" s="56">
        <v>0</v>
      </c>
      <c r="F1647" s="53">
        <f t="shared" si="131"/>
        <v>0</v>
      </c>
      <c r="G1647" s="53">
        <f t="shared" si="128"/>
        <v>1</v>
      </c>
      <c r="H1647" s="53">
        <f t="shared" si="129"/>
        <v>1</v>
      </c>
      <c r="I1647" s="53" t="str">
        <f t="shared" si="132"/>
        <v>wd</v>
      </c>
      <c r="J1647" s="53"/>
    </row>
    <row r="1648" spans="1:10" x14ac:dyDescent="0.25">
      <c r="A1648" s="93">
        <v>42006</v>
      </c>
      <c r="B1648" s="35">
        <f t="shared" si="130"/>
        <v>73</v>
      </c>
      <c r="C1648" s="76">
        <v>1</v>
      </c>
      <c r="D1648" s="76">
        <v>2015</v>
      </c>
      <c r="E1648" s="56">
        <v>0.8666666666666667</v>
      </c>
      <c r="F1648" s="53">
        <f t="shared" si="131"/>
        <v>1</v>
      </c>
      <c r="G1648" s="53">
        <f t="shared" si="128"/>
        <v>1</v>
      </c>
      <c r="H1648" s="53">
        <f t="shared" si="129"/>
        <v>-1</v>
      </c>
      <c r="I1648" s="53" t="str">
        <f t="shared" si="132"/>
        <v>dw</v>
      </c>
      <c r="J1648" s="53"/>
    </row>
    <row r="1649" spans="1:10" x14ac:dyDescent="0.25">
      <c r="A1649" s="93">
        <v>42007</v>
      </c>
      <c r="B1649" s="35">
        <f t="shared" si="130"/>
        <v>73</v>
      </c>
      <c r="C1649" s="76">
        <v>1</v>
      </c>
      <c r="D1649" s="76">
        <v>2015</v>
      </c>
      <c r="E1649" s="56">
        <v>0.20000000000000004</v>
      </c>
      <c r="F1649" s="53">
        <f t="shared" si="131"/>
        <v>1</v>
      </c>
      <c r="G1649" s="53">
        <f t="shared" si="128"/>
        <v>2</v>
      </c>
      <c r="H1649" s="53">
        <f t="shared" si="129"/>
        <v>2</v>
      </c>
      <c r="I1649" s="53" t="str">
        <f t="shared" si="132"/>
        <v>ww</v>
      </c>
      <c r="J1649" s="53"/>
    </row>
    <row r="1650" spans="1:10" x14ac:dyDescent="0.25">
      <c r="A1650" s="93">
        <v>42008</v>
      </c>
      <c r="B1650" s="35">
        <f t="shared" si="130"/>
        <v>73</v>
      </c>
      <c r="C1650" s="76">
        <v>1</v>
      </c>
      <c r="D1650" s="76">
        <v>2015</v>
      </c>
      <c r="E1650" s="56">
        <v>6.6666666666666666E-2</v>
      </c>
      <c r="F1650" s="53">
        <f t="shared" si="131"/>
        <v>1</v>
      </c>
      <c r="G1650" s="53">
        <f t="shared" si="128"/>
        <v>2</v>
      </c>
      <c r="H1650" s="53">
        <f t="shared" si="129"/>
        <v>2</v>
      </c>
      <c r="I1650" s="53" t="str">
        <f t="shared" si="132"/>
        <v>ww</v>
      </c>
      <c r="J1650" s="53"/>
    </row>
    <row r="1651" spans="1:10" x14ac:dyDescent="0.25">
      <c r="A1651" s="93">
        <v>42009</v>
      </c>
      <c r="B1651" s="35">
        <f t="shared" si="130"/>
        <v>73</v>
      </c>
      <c r="C1651" s="76">
        <v>1</v>
      </c>
      <c r="D1651" s="76">
        <v>2015</v>
      </c>
      <c r="E1651" s="56">
        <v>6.6666666666666666E-2</v>
      </c>
      <c r="F1651" s="53">
        <f t="shared" si="131"/>
        <v>1</v>
      </c>
      <c r="G1651" s="53">
        <f t="shared" si="128"/>
        <v>2</v>
      </c>
      <c r="H1651" s="53">
        <f t="shared" si="129"/>
        <v>2</v>
      </c>
      <c r="I1651" s="53" t="str">
        <f t="shared" si="132"/>
        <v>ww</v>
      </c>
      <c r="J1651" s="53"/>
    </row>
    <row r="1652" spans="1:10" x14ac:dyDescent="0.25">
      <c r="A1652" s="93">
        <v>42010</v>
      </c>
      <c r="B1652" s="35">
        <f t="shared" si="130"/>
        <v>73</v>
      </c>
      <c r="C1652" s="76">
        <v>1</v>
      </c>
      <c r="D1652" s="76">
        <v>2015</v>
      </c>
      <c r="E1652" s="56">
        <v>0.26666666666666666</v>
      </c>
      <c r="F1652" s="53">
        <f t="shared" si="131"/>
        <v>1</v>
      </c>
      <c r="G1652" s="53">
        <f t="shared" ref="G1652:G1715" si="133">SUM(F1651:F1652)</f>
        <v>2</v>
      </c>
      <c r="H1652" s="53">
        <f t="shared" ref="H1652:H1715" si="134">IF(G1652=1,IF(F1651=1,1,-1),G1652)</f>
        <v>2</v>
      </c>
      <c r="I1652" s="53" t="str">
        <f t="shared" si="132"/>
        <v>ww</v>
      </c>
      <c r="J1652" s="53"/>
    </row>
    <row r="1653" spans="1:10" x14ac:dyDescent="0.25">
      <c r="A1653" s="93">
        <v>42011</v>
      </c>
      <c r="B1653" s="35">
        <f t="shared" si="130"/>
        <v>73</v>
      </c>
      <c r="C1653" s="76">
        <v>1</v>
      </c>
      <c r="D1653" s="76">
        <v>2015</v>
      </c>
      <c r="E1653" s="56">
        <v>6.6666666666666666E-2</v>
      </c>
      <c r="F1653" s="53">
        <f t="shared" si="131"/>
        <v>1</v>
      </c>
      <c r="G1653" s="53">
        <f t="shared" si="133"/>
        <v>2</v>
      </c>
      <c r="H1653" s="53">
        <f t="shared" si="134"/>
        <v>2</v>
      </c>
      <c r="I1653" s="53" t="str">
        <f t="shared" si="132"/>
        <v>ww</v>
      </c>
      <c r="J1653" s="53"/>
    </row>
    <row r="1654" spans="1:10" x14ac:dyDescent="0.25">
      <c r="A1654" s="93">
        <v>42012</v>
      </c>
      <c r="B1654" s="35">
        <f t="shared" si="130"/>
        <v>73</v>
      </c>
      <c r="C1654" s="76">
        <v>1</v>
      </c>
      <c r="D1654" s="76">
        <v>2015</v>
      </c>
      <c r="E1654" s="56">
        <v>6.6666666666666666E-2</v>
      </c>
      <c r="F1654" s="53">
        <f t="shared" si="131"/>
        <v>1</v>
      </c>
      <c r="G1654" s="53">
        <f t="shared" si="133"/>
        <v>2</v>
      </c>
      <c r="H1654" s="53">
        <f t="shared" si="134"/>
        <v>2</v>
      </c>
      <c r="I1654" s="53" t="str">
        <f t="shared" si="132"/>
        <v>ww</v>
      </c>
      <c r="J1654" s="53"/>
    </row>
    <row r="1655" spans="1:10" x14ac:dyDescent="0.25">
      <c r="A1655" s="93">
        <v>42013</v>
      </c>
      <c r="B1655" s="35">
        <f t="shared" si="130"/>
        <v>73</v>
      </c>
      <c r="C1655" s="76">
        <v>1</v>
      </c>
      <c r="D1655" s="76">
        <v>2015</v>
      </c>
      <c r="E1655" s="56">
        <v>0</v>
      </c>
      <c r="F1655" s="53">
        <f t="shared" si="131"/>
        <v>0</v>
      </c>
      <c r="G1655" s="53">
        <f t="shared" si="133"/>
        <v>1</v>
      </c>
      <c r="H1655" s="53">
        <f t="shared" si="134"/>
        <v>1</v>
      </c>
      <c r="I1655" s="53" t="str">
        <f t="shared" si="132"/>
        <v>wd</v>
      </c>
      <c r="J1655" s="53"/>
    </row>
    <row r="1656" spans="1:10" x14ac:dyDescent="0.25">
      <c r="A1656" s="93">
        <v>42014</v>
      </c>
      <c r="B1656" s="35">
        <f t="shared" si="130"/>
        <v>73</v>
      </c>
      <c r="C1656" s="76">
        <v>1</v>
      </c>
      <c r="D1656" s="76">
        <v>2015</v>
      </c>
      <c r="E1656" s="56">
        <v>2.6</v>
      </c>
      <c r="F1656" s="53">
        <f t="shared" si="131"/>
        <v>1</v>
      </c>
      <c r="G1656" s="53">
        <f t="shared" si="133"/>
        <v>1</v>
      </c>
      <c r="H1656" s="53">
        <f t="shared" si="134"/>
        <v>-1</v>
      </c>
      <c r="I1656" s="53" t="str">
        <f t="shared" si="132"/>
        <v>dw</v>
      </c>
      <c r="J1656" s="53"/>
    </row>
    <row r="1657" spans="1:10" x14ac:dyDescent="0.25">
      <c r="A1657" s="93">
        <v>42015</v>
      </c>
      <c r="B1657" s="35">
        <f t="shared" si="130"/>
        <v>73</v>
      </c>
      <c r="C1657" s="76">
        <v>1</v>
      </c>
      <c r="D1657" s="76">
        <v>2015</v>
      </c>
      <c r="E1657" s="56">
        <v>0.73333333333333339</v>
      </c>
      <c r="F1657" s="53">
        <f t="shared" si="131"/>
        <v>1</v>
      </c>
      <c r="G1657" s="53">
        <f t="shared" si="133"/>
        <v>2</v>
      </c>
      <c r="H1657" s="53">
        <f t="shared" si="134"/>
        <v>2</v>
      </c>
      <c r="I1657" s="53" t="str">
        <f t="shared" si="132"/>
        <v>ww</v>
      </c>
      <c r="J1657" s="53"/>
    </row>
    <row r="1658" spans="1:10" x14ac:dyDescent="0.25">
      <c r="A1658" s="93">
        <v>42016</v>
      </c>
      <c r="B1658" s="35">
        <f t="shared" si="130"/>
        <v>73</v>
      </c>
      <c r="C1658" s="76">
        <v>1</v>
      </c>
      <c r="D1658" s="76">
        <v>2015</v>
      </c>
      <c r="E1658" s="56">
        <v>1</v>
      </c>
      <c r="F1658" s="53">
        <f t="shared" si="131"/>
        <v>1</v>
      </c>
      <c r="G1658" s="53">
        <f t="shared" si="133"/>
        <v>2</v>
      </c>
      <c r="H1658" s="53">
        <f t="shared" si="134"/>
        <v>2</v>
      </c>
      <c r="I1658" s="53" t="str">
        <f t="shared" si="132"/>
        <v>ww</v>
      </c>
      <c r="J1658" s="53"/>
    </row>
    <row r="1659" spans="1:10" x14ac:dyDescent="0.25">
      <c r="A1659" s="93">
        <v>42017</v>
      </c>
      <c r="B1659" s="35">
        <f t="shared" si="130"/>
        <v>73</v>
      </c>
      <c r="C1659" s="76">
        <v>1</v>
      </c>
      <c r="D1659" s="76">
        <v>2015</v>
      </c>
      <c r="E1659" s="56">
        <v>0.8666666666666667</v>
      </c>
      <c r="F1659" s="53">
        <f t="shared" si="131"/>
        <v>1</v>
      </c>
      <c r="G1659" s="53">
        <f t="shared" si="133"/>
        <v>2</v>
      </c>
      <c r="H1659" s="53">
        <f t="shared" si="134"/>
        <v>2</v>
      </c>
      <c r="I1659" s="53" t="str">
        <f t="shared" si="132"/>
        <v>ww</v>
      </c>
      <c r="J1659" s="53"/>
    </row>
    <row r="1660" spans="1:10" x14ac:dyDescent="0.25">
      <c r="A1660" s="93">
        <v>42018</v>
      </c>
      <c r="B1660" s="35">
        <f t="shared" si="130"/>
        <v>73</v>
      </c>
      <c r="C1660" s="76">
        <v>1</v>
      </c>
      <c r="D1660" s="76">
        <v>2015</v>
      </c>
      <c r="E1660" s="56">
        <v>6.6666666666666666E-2</v>
      </c>
      <c r="F1660" s="53">
        <f t="shared" si="131"/>
        <v>1</v>
      </c>
      <c r="G1660" s="53">
        <f t="shared" si="133"/>
        <v>2</v>
      </c>
      <c r="H1660" s="53">
        <f t="shared" si="134"/>
        <v>2</v>
      </c>
      <c r="I1660" s="53" t="str">
        <f t="shared" si="132"/>
        <v>ww</v>
      </c>
      <c r="J1660" s="53"/>
    </row>
    <row r="1661" spans="1:10" x14ac:dyDescent="0.25">
      <c r="A1661" s="93">
        <v>42019</v>
      </c>
      <c r="B1661" s="35">
        <f t="shared" si="130"/>
        <v>73</v>
      </c>
      <c r="C1661" s="76">
        <v>1</v>
      </c>
      <c r="D1661" s="76">
        <v>2015</v>
      </c>
      <c r="E1661" s="56">
        <v>4.0666666666666664</v>
      </c>
      <c r="F1661" s="53">
        <f t="shared" si="131"/>
        <v>1</v>
      </c>
      <c r="G1661" s="53">
        <f t="shared" si="133"/>
        <v>2</v>
      </c>
      <c r="H1661" s="53">
        <f t="shared" si="134"/>
        <v>2</v>
      </c>
      <c r="I1661" s="53" t="str">
        <f t="shared" si="132"/>
        <v>ww</v>
      </c>
      <c r="J1661" s="53"/>
    </row>
    <row r="1662" spans="1:10" x14ac:dyDescent="0.25">
      <c r="A1662" s="93">
        <v>42020</v>
      </c>
      <c r="B1662" s="35">
        <f t="shared" si="130"/>
        <v>73</v>
      </c>
      <c r="C1662" s="76">
        <v>1</v>
      </c>
      <c r="D1662" s="76">
        <v>2015</v>
      </c>
      <c r="E1662" s="56">
        <v>1.5333333333333332</v>
      </c>
      <c r="F1662" s="53">
        <f t="shared" si="131"/>
        <v>1</v>
      </c>
      <c r="G1662" s="53">
        <f t="shared" si="133"/>
        <v>2</v>
      </c>
      <c r="H1662" s="53">
        <f t="shared" si="134"/>
        <v>2</v>
      </c>
      <c r="I1662" s="53" t="str">
        <f t="shared" si="132"/>
        <v>ww</v>
      </c>
      <c r="J1662" s="53"/>
    </row>
    <row r="1663" spans="1:10" x14ac:dyDescent="0.25">
      <c r="A1663" s="93">
        <v>42021</v>
      </c>
      <c r="B1663" s="35">
        <f t="shared" si="130"/>
        <v>73</v>
      </c>
      <c r="C1663" s="76">
        <v>1</v>
      </c>
      <c r="D1663" s="76">
        <v>2015</v>
      </c>
      <c r="E1663" s="56">
        <v>0</v>
      </c>
      <c r="F1663" s="53">
        <f t="shared" si="131"/>
        <v>0</v>
      </c>
      <c r="G1663" s="53">
        <f t="shared" si="133"/>
        <v>1</v>
      </c>
      <c r="H1663" s="53">
        <f t="shared" si="134"/>
        <v>1</v>
      </c>
      <c r="I1663" s="53" t="str">
        <f t="shared" si="132"/>
        <v>wd</v>
      </c>
      <c r="J1663" s="53"/>
    </row>
    <row r="1664" spans="1:10" x14ac:dyDescent="0.25">
      <c r="A1664" s="93">
        <v>42022</v>
      </c>
      <c r="B1664" s="35">
        <f t="shared" si="130"/>
        <v>73</v>
      </c>
      <c r="C1664" s="76">
        <v>1</v>
      </c>
      <c r="D1664" s="76">
        <v>2015</v>
      </c>
      <c r="E1664" s="56">
        <v>0</v>
      </c>
      <c r="F1664" s="53">
        <f t="shared" si="131"/>
        <v>0</v>
      </c>
      <c r="G1664" s="53">
        <f t="shared" si="133"/>
        <v>0</v>
      </c>
      <c r="H1664" s="53">
        <f t="shared" si="134"/>
        <v>0</v>
      </c>
      <c r="I1664" s="53" t="str">
        <f t="shared" si="132"/>
        <v>dd</v>
      </c>
      <c r="J1664" s="53"/>
    </row>
    <row r="1665" spans="1:10" x14ac:dyDescent="0.25">
      <c r="A1665" s="93">
        <v>42023</v>
      </c>
      <c r="B1665" s="35">
        <f t="shared" si="130"/>
        <v>73</v>
      </c>
      <c r="C1665" s="76">
        <v>1</v>
      </c>
      <c r="D1665" s="76">
        <v>2015</v>
      </c>
      <c r="E1665" s="56">
        <v>8.0666666666666664</v>
      </c>
      <c r="F1665" s="53">
        <f t="shared" si="131"/>
        <v>1</v>
      </c>
      <c r="G1665" s="53">
        <f t="shared" si="133"/>
        <v>1</v>
      </c>
      <c r="H1665" s="53">
        <f t="shared" si="134"/>
        <v>-1</v>
      </c>
      <c r="I1665" s="53" t="str">
        <f t="shared" si="132"/>
        <v>dw</v>
      </c>
      <c r="J1665" s="53"/>
    </row>
    <row r="1666" spans="1:10" x14ac:dyDescent="0.25">
      <c r="A1666" s="93">
        <v>42024</v>
      </c>
      <c r="B1666" s="35">
        <f t="shared" ref="B1666:B1729" si="135">C1666+(D1666-2009)*12</f>
        <v>73</v>
      </c>
      <c r="C1666" s="76">
        <v>1</v>
      </c>
      <c r="D1666" s="76">
        <v>2015</v>
      </c>
      <c r="E1666" s="56">
        <v>7</v>
      </c>
      <c r="F1666" s="53">
        <f t="shared" ref="F1666:F1729" si="136">IF(E1666&gt;0,1,0)</f>
        <v>1</v>
      </c>
      <c r="G1666" s="53">
        <f t="shared" si="133"/>
        <v>2</v>
      </c>
      <c r="H1666" s="53">
        <f t="shared" si="134"/>
        <v>2</v>
      </c>
      <c r="I1666" s="53" t="str">
        <f t="shared" ref="I1666:I1729" si="137">VLOOKUP(H1666,codes,2,)</f>
        <v>ww</v>
      </c>
      <c r="J1666" s="53"/>
    </row>
    <row r="1667" spans="1:10" x14ac:dyDescent="0.25">
      <c r="A1667" s="93">
        <v>42025</v>
      </c>
      <c r="B1667" s="35">
        <f t="shared" si="135"/>
        <v>73</v>
      </c>
      <c r="C1667" s="76">
        <v>1</v>
      </c>
      <c r="D1667" s="76">
        <v>2015</v>
      </c>
      <c r="E1667" s="56">
        <v>0.33333333333333331</v>
      </c>
      <c r="F1667" s="53">
        <f t="shared" si="136"/>
        <v>1</v>
      </c>
      <c r="G1667" s="53">
        <f t="shared" si="133"/>
        <v>2</v>
      </c>
      <c r="H1667" s="53">
        <f t="shared" si="134"/>
        <v>2</v>
      </c>
      <c r="I1667" s="53" t="str">
        <f t="shared" si="137"/>
        <v>ww</v>
      </c>
      <c r="J1667" s="53"/>
    </row>
    <row r="1668" spans="1:10" x14ac:dyDescent="0.25">
      <c r="A1668" s="93">
        <v>42026</v>
      </c>
      <c r="B1668" s="35">
        <f t="shared" si="135"/>
        <v>73</v>
      </c>
      <c r="C1668" s="76">
        <v>1</v>
      </c>
      <c r="D1668" s="76">
        <v>2015</v>
      </c>
      <c r="E1668" s="56">
        <v>0.53333333333333333</v>
      </c>
      <c r="F1668" s="53">
        <f t="shared" si="136"/>
        <v>1</v>
      </c>
      <c r="G1668" s="53">
        <f t="shared" si="133"/>
        <v>2</v>
      </c>
      <c r="H1668" s="53">
        <f t="shared" si="134"/>
        <v>2</v>
      </c>
      <c r="I1668" s="53" t="str">
        <f t="shared" si="137"/>
        <v>ww</v>
      </c>
      <c r="J1668" s="53"/>
    </row>
    <row r="1669" spans="1:10" x14ac:dyDescent="0.25">
      <c r="A1669" s="93">
        <v>42027</v>
      </c>
      <c r="B1669" s="35">
        <f t="shared" si="135"/>
        <v>73</v>
      </c>
      <c r="C1669" s="76">
        <v>1</v>
      </c>
      <c r="D1669" s="76">
        <v>2015</v>
      </c>
      <c r="E1669" s="56">
        <v>0</v>
      </c>
      <c r="F1669" s="53">
        <f t="shared" si="136"/>
        <v>0</v>
      </c>
      <c r="G1669" s="53">
        <f t="shared" si="133"/>
        <v>1</v>
      </c>
      <c r="H1669" s="53">
        <f t="shared" si="134"/>
        <v>1</v>
      </c>
      <c r="I1669" s="53" t="str">
        <f t="shared" si="137"/>
        <v>wd</v>
      </c>
      <c r="J1669" s="53"/>
    </row>
    <row r="1670" spans="1:10" x14ac:dyDescent="0.25">
      <c r="A1670" s="93">
        <v>42028</v>
      </c>
      <c r="B1670" s="35">
        <f t="shared" si="135"/>
        <v>73</v>
      </c>
      <c r="C1670" s="76">
        <v>1</v>
      </c>
      <c r="D1670" s="76">
        <v>2015</v>
      </c>
      <c r="E1670" s="56">
        <v>6.6666666666666666E-2</v>
      </c>
      <c r="F1670" s="53">
        <f t="shared" si="136"/>
        <v>1</v>
      </c>
      <c r="G1670" s="53">
        <f t="shared" si="133"/>
        <v>1</v>
      </c>
      <c r="H1670" s="53">
        <f t="shared" si="134"/>
        <v>-1</v>
      </c>
      <c r="I1670" s="53" t="str">
        <f t="shared" si="137"/>
        <v>dw</v>
      </c>
      <c r="J1670" s="53"/>
    </row>
    <row r="1671" spans="1:10" x14ac:dyDescent="0.25">
      <c r="A1671" s="93">
        <v>42029</v>
      </c>
      <c r="B1671" s="35">
        <f t="shared" si="135"/>
        <v>73</v>
      </c>
      <c r="C1671" s="76">
        <v>1</v>
      </c>
      <c r="D1671" s="76">
        <v>2015</v>
      </c>
      <c r="E1671" s="56">
        <v>0.26666666666666666</v>
      </c>
      <c r="F1671" s="53">
        <f t="shared" si="136"/>
        <v>1</v>
      </c>
      <c r="G1671" s="53">
        <f t="shared" si="133"/>
        <v>2</v>
      </c>
      <c r="H1671" s="53">
        <f t="shared" si="134"/>
        <v>2</v>
      </c>
      <c r="I1671" s="53" t="str">
        <f t="shared" si="137"/>
        <v>ww</v>
      </c>
      <c r="J1671" s="53"/>
    </row>
    <row r="1672" spans="1:10" x14ac:dyDescent="0.25">
      <c r="A1672" s="93">
        <v>42030</v>
      </c>
      <c r="B1672" s="35">
        <f t="shared" si="135"/>
        <v>73</v>
      </c>
      <c r="C1672" s="76">
        <v>1</v>
      </c>
      <c r="D1672" s="76">
        <v>2015</v>
      </c>
      <c r="E1672" s="56">
        <v>0.13333333333333333</v>
      </c>
      <c r="F1672" s="53">
        <f t="shared" si="136"/>
        <v>1</v>
      </c>
      <c r="G1672" s="53">
        <f t="shared" si="133"/>
        <v>2</v>
      </c>
      <c r="H1672" s="53">
        <f t="shared" si="134"/>
        <v>2</v>
      </c>
      <c r="I1672" s="53" t="str">
        <f t="shared" si="137"/>
        <v>ww</v>
      </c>
      <c r="J1672" s="53"/>
    </row>
    <row r="1673" spans="1:10" x14ac:dyDescent="0.25">
      <c r="A1673" s="93">
        <v>42031</v>
      </c>
      <c r="B1673" s="35">
        <f t="shared" si="135"/>
        <v>73</v>
      </c>
      <c r="C1673" s="76">
        <v>1</v>
      </c>
      <c r="D1673" s="76">
        <v>2015</v>
      </c>
      <c r="E1673" s="56">
        <v>6.6666666666666666E-2</v>
      </c>
      <c r="F1673" s="53">
        <f t="shared" si="136"/>
        <v>1</v>
      </c>
      <c r="G1673" s="53">
        <f t="shared" si="133"/>
        <v>2</v>
      </c>
      <c r="H1673" s="53">
        <f t="shared" si="134"/>
        <v>2</v>
      </c>
      <c r="I1673" s="53" t="str">
        <f t="shared" si="137"/>
        <v>ww</v>
      </c>
      <c r="J1673" s="53"/>
    </row>
    <row r="1674" spans="1:10" x14ac:dyDescent="0.25">
      <c r="A1674" s="93">
        <v>42032</v>
      </c>
      <c r="B1674" s="35">
        <f t="shared" si="135"/>
        <v>73</v>
      </c>
      <c r="C1674" s="76">
        <v>1</v>
      </c>
      <c r="D1674" s="76">
        <v>2015</v>
      </c>
      <c r="E1674" s="56">
        <v>3.2666666666666671</v>
      </c>
      <c r="F1674" s="53">
        <f t="shared" si="136"/>
        <v>1</v>
      </c>
      <c r="G1674" s="53">
        <f t="shared" si="133"/>
        <v>2</v>
      </c>
      <c r="H1674" s="53">
        <f t="shared" si="134"/>
        <v>2</v>
      </c>
      <c r="I1674" s="53" t="str">
        <f t="shared" si="137"/>
        <v>ww</v>
      </c>
      <c r="J1674" s="53"/>
    </row>
    <row r="1675" spans="1:10" x14ac:dyDescent="0.25">
      <c r="A1675" s="93">
        <v>42033</v>
      </c>
      <c r="B1675" s="35">
        <f t="shared" si="135"/>
        <v>73</v>
      </c>
      <c r="C1675" s="76">
        <v>1</v>
      </c>
      <c r="D1675" s="76">
        <v>2015</v>
      </c>
      <c r="E1675" s="56">
        <v>1.1333333333333335</v>
      </c>
      <c r="F1675" s="53">
        <f t="shared" si="136"/>
        <v>1</v>
      </c>
      <c r="G1675" s="53">
        <f t="shared" si="133"/>
        <v>2</v>
      </c>
      <c r="H1675" s="53">
        <f t="shared" si="134"/>
        <v>2</v>
      </c>
      <c r="I1675" s="53" t="str">
        <f t="shared" si="137"/>
        <v>ww</v>
      </c>
      <c r="J1675" s="53"/>
    </row>
    <row r="1676" spans="1:10" x14ac:dyDescent="0.25">
      <c r="A1676" s="93">
        <v>42034</v>
      </c>
      <c r="B1676" s="35">
        <f t="shared" si="135"/>
        <v>73</v>
      </c>
      <c r="C1676" s="76">
        <v>1</v>
      </c>
      <c r="D1676" s="76">
        <v>2015</v>
      </c>
      <c r="E1676" s="56">
        <v>0.13333333333333333</v>
      </c>
      <c r="F1676" s="53">
        <f t="shared" si="136"/>
        <v>1</v>
      </c>
      <c r="G1676" s="53">
        <f t="shared" si="133"/>
        <v>2</v>
      </c>
      <c r="H1676" s="53">
        <f t="shared" si="134"/>
        <v>2</v>
      </c>
      <c r="I1676" s="53" t="str">
        <f t="shared" si="137"/>
        <v>ww</v>
      </c>
      <c r="J1676" s="53"/>
    </row>
    <row r="1677" spans="1:10" x14ac:dyDescent="0.25">
      <c r="A1677" s="93">
        <v>42035</v>
      </c>
      <c r="B1677" s="35">
        <f t="shared" si="135"/>
        <v>73</v>
      </c>
      <c r="C1677" s="76">
        <v>1</v>
      </c>
      <c r="D1677" s="76">
        <v>2015</v>
      </c>
      <c r="E1677" s="56">
        <v>9.4666666666666668</v>
      </c>
      <c r="F1677" s="53">
        <f t="shared" si="136"/>
        <v>1</v>
      </c>
      <c r="G1677" s="53">
        <f t="shared" si="133"/>
        <v>2</v>
      </c>
      <c r="H1677" s="53">
        <f t="shared" si="134"/>
        <v>2</v>
      </c>
      <c r="I1677" s="53" t="str">
        <f t="shared" si="137"/>
        <v>ww</v>
      </c>
      <c r="J1677" s="53"/>
    </row>
    <row r="1678" spans="1:10" x14ac:dyDescent="0.25">
      <c r="A1678" s="93">
        <v>42036</v>
      </c>
      <c r="B1678" s="35">
        <f t="shared" si="135"/>
        <v>73</v>
      </c>
      <c r="C1678" s="76">
        <v>1</v>
      </c>
      <c r="D1678" s="76">
        <v>2015</v>
      </c>
      <c r="E1678" s="56">
        <v>3.1333333333333333</v>
      </c>
      <c r="F1678" s="53">
        <f t="shared" si="136"/>
        <v>1</v>
      </c>
      <c r="G1678" s="53">
        <f t="shared" si="133"/>
        <v>2</v>
      </c>
      <c r="H1678" s="53">
        <f t="shared" si="134"/>
        <v>2</v>
      </c>
      <c r="I1678" s="53" t="str">
        <f t="shared" si="137"/>
        <v>ww</v>
      </c>
      <c r="J1678" s="53"/>
    </row>
    <row r="1679" spans="1:10" x14ac:dyDescent="0.25">
      <c r="A1679" s="93">
        <v>42037</v>
      </c>
      <c r="B1679" s="35">
        <f t="shared" si="135"/>
        <v>73</v>
      </c>
      <c r="C1679" s="76">
        <v>1</v>
      </c>
      <c r="D1679" s="76">
        <v>2015</v>
      </c>
      <c r="E1679" s="56">
        <v>0</v>
      </c>
      <c r="F1679" s="53">
        <f t="shared" si="136"/>
        <v>0</v>
      </c>
      <c r="G1679" s="53">
        <f t="shared" si="133"/>
        <v>1</v>
      </c>
      <c r="H1679" s="53">
        <f t="shared" si="134"/>
        <v>1</v>
      </c>
      <c r="I1679" s="53" t="str">
        <f t="shared" si="137"/>
        <v>wd</v>
      </c>
      <c r="J1679" s="53"/>
    </row>
    <row r="1680" spans="1:10" x14ac:dyDescent="0.25">
      <c r="A1680" s="93">
        <v>42370</v>
      </c>
      <c r="B1680" s="35">
        <f t="shared" si="135"/>
        <v>85</v>
      </c>
      <c r="C1680" s="76">
        <v>1</v>
      </c>
      <c r="D1680" s="76">
        <v>2016</v>
      </c>
      <c r="E1680" s="56">
        <v>0.80000000000000016</v>
      </c>
      <c r="F1680" s="53">
        <f t="shared" si="136"/>
        <v>1</v>
      </c>
      <c r="G1680" s="53">
        <f t="shared" si="133"/>
        <v>1</v>
      </c>
      <c r="H1680" s="53">
        <f t="shared" si="134"/>
        <v>-1</v>
      </c>
      <c r="I1680" s="53" t="str">
        <f t="shared" si="137"/>
        <v>dw</v>
      </c>
      <c r="J1680" s="53"/>
    </row>
    <row r="1681" spans="1:10" x14ac:dyDescent="0.25">
      <c r="A1681" s="93">
        <v>42371</v>
      </c>
      <c r="B1681" s="35">
        <f t="shared" si="135"/>
        <v>85</v>
      </c>
      <c r="C1681" s="76">
        <v>1</v>
      </c>
      <c r="D1681" s="76">
        <v>2016</v>
      </c>
      <c r="E1681" s="56">
        <v>7.7333333333333334</v>
      </c>
      <c r="F1681" s="53">
        <f t="shared" si="136"/>
        <v>1</v>
      </c>
      <c r="G1681" s="53">
        <f t="shared" si="133"/>
        <v>2</v>
      </c>
      <c r="H1681" s="53">
        <f t="shared" si="134"/>
        <v>2</v>
      </c>
      <c r="I1681" s="53" t="str">
        <f t="shared" si="137"/>
        <v>ww</v>
      </c>
      <c r="J1681" s="53"/>
    </row>
    <row r="1682" spans="1:10" x14ac:dyDescent="0.25">
      <c r="A1682" s="93">
        <v>42372</v>
      </c>
      <c r="B1682" s="35">
        <f t="shared" si="135"/>
        <v>85</v>
      </c>
      <c r="C1682" s="76">
        <v>1</v>
      </c>
      <c r="D1682" s="76">
        <v>2016</v>
      </c>
      <c r="E1682" s="56">
        <v>6</v>
      </c>
      <c r="F1682" s="53">
        <f t="shared" si="136"/>
        <v>1</v>
      </c>
      <c r="G1682" s="53">
        <f t="shared" si="133"/>
        <v>2</v>
      </c>
      <c r="H1682" s="53">
        <f t="shared" si="134"/>
        <v>2</v>
      </c>
      <c r="I1682" s="53" t="str">
        <f t="shared" si="137"/>
        <v>ww</v>
      </c>
      <c r="J1682" s="53"/>
    </row>
    <row r="1683" spans="1:10" x14ac:dyDescent="0.25">
      <c r="A1683" s="93">
        <v>42373</v>
      </c>
      <c r="B1683" s="35">
        <f t="shared" si="135"/>
        <v>85</v>
      </c>
      <c r="C1683" s="76">
        <v>1</v>
      </c>
      <c r="D1683" s="76">
        <v>2016</v>
      </c>
      <c r="E1683" s="56">
        <v>10.200000000000001</v>
      </c>
      <c r="F1683" s="53">
        <f t="shared" si="136"/>
        <v>1</v>
      </c>
      <c r="G1683" s="53">
        <f t="shared" si="133"/>
        <v>2</v>
      </c>
      <c r="H1683" s="53">
        <f t="shared" si="134"/>
        <v>2</v>
      </c>
      <c r="I1683" s="53" t="str">
        <f t="shared" si="137"/>
        <v>ww</v>
      </c>
      <c r="J1683" s="53"/>
    </row>
    <row r="1684" spans="1:10" x14ac:dyDescent="0.25">
      <c r="A1684" s="93">
        <v>42374</v>
      </c>
      <c r="B1684" s="35">
        <f t="shared" si="135"/>
        <v>85</v>
      </c>
      <c r="C1684" s="76">
        <v>1</v>
      </c>
      <c r="D1684" s="76">
        <v>2016</v>
      </c>
      <c r="E1684" s="56">
        <v>23.733333333333331</v>
      </c>
      <c r="F1684" s="53">
        <f t="shared" si="136"/>
        <v>1</v>
      </c>
      <c r="G1684" s="53">
        <f t="shared" si="133"/>
        <v>2</v>
      </c>
      <c r="H1684" s="53">
        <f t="shared" si="134"/>
        <v>2</v>
      </c>
      <c r="I1684" s="53" t="str">
        <f t="shared" si="137"/>
        <v>ww</v>
      </c>
      <c r="J1684" s="53"/>
    </row>
    <row r="1685" spans="1:10" x14ac:dyDescent="0.25">
      <c r="A1685" s="93">
        <v>42375</v>
      </c>
      <c r="B1685" s="35">
        <f t="shared" si="135"/>
        <v>85</v>
      </c>
      <c r="C1685" s="76">
        <v>1</v>
      </c>
      <c r="D1685" s="76">
        <v>2016</v>
      </c>
      <c r="E1685" s="56">
        <v>27.8</v>
      </c>
      <c r="F1685" s="53">
        <f t="shared" si="136"/>
        <v>1</v>
      </c>
      <c r="G1685" s="53">
        <f t="shared" si="133"/>
        <v>2</v>
      </c>
      <c r="H1685" s="53">
        <f t="shared" si="134"/>
        <v>2</v>
      </c>
      <c r="I1685" s="53" t="str">
        <f t="shared" si="137"/>
        <v>ww</v>
      </c>
      <c r="J1685" s="53"/>
    </row>
    <row r="1686" spans="1:10" x14ac:dyDescent="0.25">
      <c r="A1686" s="93">
        <v>42376</v>
      </c>
      <c r="B1686" s="35">
        <f t="shared" si="135"/>
        <v>85</v>
      </c>
      <c r="C1686" s="76">
        <v>1</v>
      </c>
      <c r="D1686" s="76">
        <v>2016</v>
      </c>
      <c r="E1686" s="56">
        <v>7</v>
      </c>
      <c r="F1686" s="53">
        <f t="shared" si="136"/>
        <v>1</v>
      </c>
      <c r="G1686" s="53">
        <f t="shared" si="133"/>
        <v>2</v>
      </c>
      <c r="H1686" s="53">
        <f t="shared" si="134"/>
        <v>2</v>
      </c>
      <c r="I1686" s="53" t="str">
        <f t="shared" si="137"/>
        <v>ww</v>
      </c>
      <c r="J1686" s="53"/>
    </row>
    <row r="1687" spans="1:10" x14ac:dyDescent="0.25">
      <c r="A1687" s="93">
        <v>42377</v>
      </c>
      <c r="B1687" s="35">
        <f t="shared" si="135"/>
        <v>85</v>
      </c>
      <c r="C1687" s="76">
        <v>1</v>
      </c>
      <c r="D1687" s="76">
        <v>2016</v>
      </c>
      <c r="E1687" s="56">
        <v>2.4</v>
      </c>
      <c r="F1687" s="53">
        <f t="shared" si="136"/>
        <v>1</v>
      </c>
      <c r="G1687" s="53">
        <f t="shared" si="133"/>
        <v>2</v>
      </c>
      <c r="H1687" s="53">
        <f t="shared" si="134"/>
        <v>2</v>
      </c>
      <c r="I1687" s="53" t="str">
        <f t="shared" si="137"/>
        <v>ww</v>
      </c>
      <c r="J1687" s="53"/>
    </row>
    <row r="1688" spans="1:10" x14ac:dyDescent="0.25">
      <c r="A1688" s="93">
        <v>42378</v>
      </c>
      <c r="B1688" s="35">
        <f t="shared" si="135"/>
        <v>85</v>
      </c>
      <c r="C1688" s="76">
        <v>1</v>
      </c>
      <c r="D1688" s="76">
        <v>2016</v>
      </c>
      <c r="E1688" s="56">
        <v>4.4666666666666668</v>
      </c>
      <c r="F1688" s="53">
        <f t="shared" si="136"/>
        <v>1</v>
      </c>
      <c r="G1688" s="53">
        <f t="shared" si="133"/>
        <v>2</v>
      </c>
      <c r="H1688" s="53">
        <f t="shared" si="134"/>
        <v>2</v>
      </c>
      <c r="I1688" s="53" t="str">
        <f t="shared" si="137"/>
        <v>ww</v>
      </c>
      <c r="J1688" s="53"/>
    </row>
    <row r="1689" spans="1:10" x14ac:dyDescent="0.25">
      <c r="A1689" s="93">
        <v>42379</v>
      </c>
      <c r="B1689" s="35">
        <f t="shared" si="135"/>
        <v>85</v>
      </c>
      <c r="C1689" s="76">
        <v>1</v>
      </c>
      <c r="D1689" s="76">
        <v>2016</v>
      </c>
      <c r="E1689" s="56">
        <v>7.3999999999999995</v>
      </c>
      <c r="F1689" s="53">
        <f t="shared" si="136"/>
        <v>1</v>
      </c>
      <c r="G1689" s="53">
        <f t="shared" si="133"/>
        <v>2</v>
      </c>
      <c r="H1689" s="53">
        <f t="shared" si="134"/>
        <v>2</v>
      </c>
      <c r="I1689" s="53" t="str">
        <f t="shared" si="137"/>
        <v>ww</v>
      </c>
      <c r="J1689" s="53"/>
    </row>
    <row r="1690" spans="1:10" x14ac:dyDescent="0.25">
      <c r="A1690" s="93">
        <v>42380</v>
      </c>
      <c r="B1690" s="35">
        <f t="shared" si="135"/>
        <v>85</v>
      </c>
      <c r="C1690" s="76">
        <v>1</v>
      </c>
      <c r="D1690" s="76">
        <v>2016</v>
      </c>
      <c r="E1690" s="56">
        <v>0</v>
      </c>
      <c r="F1690" s="53">
        <f t="shared" si="136"/>
        <v>0</v>
      </c>
      <c r="G1690" s="53">
        <f t="shared" si="133"/>
        <v>1</v>
      </c>
      <c r="H1690" s="53">
        <f t="shared" si="134"/>
        <v>1</v>
      </c>
      <c r="I1690" s="53" t="str">
        <f t="shared" si="137"/>
        <v>wd</v>
      </c>
      <c r="J1690" s="53"/>
    </row>
    <row r="1691" spans="1:10" x14ac:dyDescent="0.25">
      <c r="A1691" s="93">
        <v>42381</v>
      </c>
      <c r="B1691" s="35">
        <f t="shared" si="135"/>
        <v>85</v>
      </c>
      <c r="C1691" s="76">
        <v>1</v>
      </c>
      <c r="D1691" s="76">
        <v>2016</v>
      </c>
      <c r="E1691" s="56">
        <v>1.3333333333333333</v>
      </c>
      <c r="F1691" s="53">
        <f t="shared" si="136"/>
        <v>1</v>
      </c>
      <c r="G1691" s="53">
        <f t="shared" si="133"/>
        <v>1</v>
      </c>
      <c r="H1691" s="53">
        <f t="shared" si="134"/>
        <v>-1</v>
      </c>
      <c r="I1691" s="53" t="str">
        <f t="shared" si="137"/>
        <v>dw</v>
      </c>
      <c r="J1691" s="53"/>
    </row>
    <row r="1692" spans="1:10" x14ac:dyDescent="0.25">
      <c r="A1692" s="93">
        <v>42382</v>
      </c>
      <c r="B1692" s="35">
        <f t="shared" si="135"/>
        <v>85</v>
      </c>
      <c r="C1692" s="76">
        <v>1</v>
      </c>
      <c r="D1692" s="76">
        <v>2016</v>
      </c>
      <c r="E1692" s="56">
        <v>1.6666666666666667</v>
      </c>
      <c r="F1692" s="53">
        <f t="shared" si="136"/>
        <v>1</v>
      </c>
      <c r="G1692" s="53">
        <f t="shared" si="133"/>
        <v>2</v>
      </c>
      <c r="H1692" s="53">
        <f t="shared" si="134"/>
        <v>2</v>
      </c>
      <c r="I1692" s="53" t="str">
        <f t="shared" si="137"/>
        <v>ww</v>
      </c>
      <c r="J1692" s="53"/>
    </row>
    <row r="1693" spans="1:10" x14ac:dyDescent="0.25">
      <c r="A1693" s="93">
        <v>42383</v>
      </c>
      <c r="B1693" s="35">
        <f t="shared" si="135"/>
        <v>85</v>
      </c>
      <c r="C1693" s="76">
        <v>1</v>
      </c>
      <c r="D1693" s="76">
        <v>2016</v>
      </c>
      <c r="E1693" s="56">
        <v>7.666666666666667</v>
      </c>
      <c r="F1693" s="53">
        <f t="shared" si="136"/>
        <v>1</v>
      </c>
      <c r="G1693" s="53">
        <f t="shared" si="133"/>
        <v>2</v>
      </c>
      <c r="H1693" s="53">
        <f t="shared" si="134"/>
        <v>2</v>
      </c>
      <c r="I1693" s="53" t="str">
        <f t="shared" si="137"/>
        <v>ww</v>
      </c>
      <c r="J1693" s="53"/>
    </row>
    <row r="1694" spans="1:10" x14ac:dyDescent="0.25">
      <c r="A1694" s="93">
        <v>42384</v>
      </c>
      <c r="B1694" s="35">
        <f t="shared" si="135"/>
        <v>85</v>
      </c>
      <c r="C1694" s="76">
        <v>1</v>
      </c>
      <c r="D1694" s="76">
        <v>2016</v>
      </c>
      <c r="E1694" s="56">
        <v>5.0666666666666664</v>
      </c>
      <c r="F1694" s="53">
        <f t="shared" si="136"/>
        <v>1</v>
      </c>
      <c r="G1694" s="53">
        <f t="shared" si="133"/>
        <v>2</v>
      </c>
      <c r="H1694" s="53">
        <f t="shared" si="134"/>
        <v>2</v>
      </c>
      <c r="I1694" s="53" t="str">
        <f t="shared" si="137"/>
        <v>ww</v>
      </c>
      <c r="J1694" s="53"/>
    </row>
    <row r="1695" spans="1:10" x14ac:dyDescent="0.25">
      <c r="A1695" s="93">
        <v>42385</v>
      </c>
      <c r="B1695" s="35">
        <f t="shared" si="135"/>
        <v>85</v>
      </c>
      <c r="C1695" s="76">
        <v>1</v>
      </c>
      <c r="D1695" s="76">
        <v>2016</v>
      </c>
      <c r="E1695" s="56">
        <v>0.33333333333333331</v>
      </c>
      <c r="F1695" s="53">
        <f t="shared" si="136"/>
        <v>1</v>
      </c>
      <c r="G1695" s="53">
        <f t="shared" si="133"/>
        <v>2</v>
      </c>
      <c r="H1695" s="53">
        <f t="shared" si="134"/>
        <v>2</v>
      </c>
      <c r="I1695" s="53" t="str">
        <f t="shared" si="137"/>
        <v>ww</v>
      </c>
      <c r="J1695" s="53"/>
    </row>
    <row r="1696" spans="1:10" x14ac:dyDescent="0.25">
      <c r="A1696" s="93">
        <v>42386</v>
      </c>
      <c r="B1696" s="35">
        <f t="shared" si="135"/>
        <v>85</v>
      </c>
      <c r="C1696" s="76">
        <v>1</v>
      </c>
      <c r="D1696" s="76">
        <v>2016</v>
      </c>
      <c r="E1696" s="56">
        <v>0.13333333333333333</v>
      </c>
      <c r="F1696" s="53">
        <f t="shared" si="136"/>
        <v>1</v>
      </c>
      <c r="G1696" s="53">
        <f t="shared" si="133"/>
        <v>2</v>
      </c>
      <c r="H1696" s="53">
        <f t="shared" si="134"/>
        <v>2</v>
      </c>
      <c r="I1696" s="53" t="str">
        <f t="shared" si="137"/>
        <v>ww</v>
      </c>
      <c r="J1696" s="53"/>
    </row>
    <row r="1697" spans="1:10" x14ac:dyDescent="0.25">
      <c r="A1697" s="93">
        <v>42387</v>
      </c>
      <c r="B1697" s="35">
        <f t="shared" si="135"/>
        <v>85</v>
      </c>
      <c r="C1697" s="76">
        <v>1</v>
      </c>
      <c r="D1697" s="76">
        <v>2016</v>
      </c>
      <c r="E1697" s="56">
        <v>0.39999999999999997</v>
      </c>
      <c r="F1697" s="53">
        <f t="shared" si="136"/>
        <v>1</v>
      </c>
      <c r="G1697" s="53">
        <f t="shared" si="133"/>
        <v>2</v>
      </c>
      <c r="H1697" s="53">
        <f t="shared" si="134"/>
        <v>2</v>
      </c>
      <c r="I1697" s="53" t="str">
        <f t="shared" si="137"/>
        <v>ww</v>
      </c>
      <c r="J1697" s="53"/>
    </row>
    <row r="1698" spans="1:10" x14ac:dyDescent="0.25">
      <c r="A1698" s="93">
        <v>42388</v>
      </c>
      <c r="B1698" s="35">
        <f t="shared" si="135"/>
        <v>85</v>
      </c>
      <c r="C1698" s="76">
        <v>1</v>
      </c>
      <c r="D1698" s="76">
        <v>2016</v>
      </c>
      <c r="E1698" s="56">
        <v>0.73333333333333339</v>
      </c>
      <c r="F1698" s="53">
        <f t="shared" si="136"/>
        <v>1</v>
      </c>
      <c r="G1698" s="53">
        <f t="shared" si="133"/>
        <v>2</v>
      </c>
      <c r="H1698" s="53">
        <f t="shared" si="134"/>
        <v>2</v>
      </c>
      <c r="I1698" s="53" t="str">
        <f t="shared" si="137"/>
        <v>ww</v>
      </c>
      <c r="J1698" s="53"/>
    </row>
    <row r="1699" spans="1:10" x14ac:dyDescent="0.25">
      <c r="A1699" s="93">
        <v>42389</v>
      </c>
      <c r="B1699" s="35">
        <f t="shared" si="135"/>
        <v>85</v>
      </c>
      <c r="C1699" s="76">
        <v>1</v>
      </c>
      <c r="D1699" s="76">
        <v>2016</v>
      </c>
      <c r="E1699" s="56">
        <v>0</v>
      </c>
      <c r="F1699" s="53">
        <f t="shared" si="136"/>
        <v>0</v>
      </c>
      <c r="G1699" s="53">
        <f t="shared" si="133"/>
        <v>1</v>
      </c>
      <c r="H1699" s="53">
        <f t="shared" si="134"/>
        <v>1</v>
      </c>
      <c r="I1699" s="53" t="str">
        <f t="shared" si="137"/>
        <v>wd</v>
      </c>
      <c r="J1699" s="53"/>
    </row>
    <row r="1700" spans="1:10" x14ac:dyDescent="0.25">
      <c r="A1700" s="93">
        <v>42390</v>
      </c>
      <c r="B1700" s="35">
        <f t="shared" si="135"/>
        <v>85</v>
      </c>
      <c r="C1700" s="76">
        <v>1</v>
      </c>
      <c r="D1700" s="76">
        <v>2016</v>
      </c>
      <c r="E1700" s="56">
        <v>0</v>
      </c>
      <c r="F1700" s="53">
        <f t="shared" si="136"/>
        <v>0</v>
      </c>
      <c r="G1700" s="53">
        <f t="shared" si="133"/>
        <v>0</v>
      </c>
      <c r="H1700" s="53">
        <f t="shared" si="134"/>
        <v>0</v>
      </c>
      <c r="I1700" s="53" t="str">
        <f t="shared" si="137"/>
        <v>dd</v>
      </c>
      <c r="J1700" s="53"/>
    </row>
    <row r="1701" spans="1:10" x14ac:dyDescent="0.25">
      <c r="A1701" s="93">
        <v>42391</v>
      </c>
      <c r="B1701" s="35">
        <f t="shared" si="135"/>
        <v>85</v>
      </c>
      <c r="C1701" s="76">
        <v>1</v>
      </c>
      <c r="D1701" s="76">
        <v>2016</v>
      </c>
      <c r="E1701" s="56">
        <v>1.6666666666666667</v>
      </c>
      <c r="F1701" s="53">
        <f t="shared" si="136"/>
        <v>1</v>
      </c>
      <c r="G1701" s="53">
        <f t="shared" si="133"/>
        <v>1</v>
      </c>
      <c r="H1701" s="53">
        <f t="shared" si="134"/>
        <v>-1</v>
      </c>
      <c r="I1701" s="53" t="str">
        <f t="shared" si="137"/>
        <v>dw</v>
      </c>
      <c r="J1701" s="53"/>
    </row>
    <row r="1702" spans="1:10" x14ac:dyDescent="0.25">
      <c r="A1702" s="93">
        <v>42392</v>
      </c>
      <c r="B1702" s="35">
        <f t="shared" si="135"/>
        <v>85</v>
      </c>
      <c r="C1702" s="76">
        <v>1</v>
      </c>
      <c r="D1702" s="76">
        <v>2016</v>
      </c>
      <c r="E1702" s="56">
        <v>0.8666666666666667</v>
      </c>
      <c r="F1702" s="53">
        <f t="shared" si="136"/>
        <v>1</v>
      </c>
      <c r="G1702" s="53">
        <f t="shared" si="133"/>
        <v>2</v>
      </c>
      <c r="H1702" s="53">
        <f t="shared" si="134"/>
        <v>2</v>
      </c>
      <c r="I1702" s="53" t="str">
        <f t="shared" si="137"/>
        <v>ww</v>
      </c>
      <c r="J1702" s="53"/>
    </row>
    <row r="1703" spans="1:10" x14ac:dyDescent="0.25">
      <c r="A1703" s="93">
        <v>42393</v>
      </c>
      <c r="B1703" s="35">
        <f t="shared" si="135"/>
        <v>85</v>
      </c>
      <c r="C1703" s="76">
        <v>1</v>
      </c>
      <c r="D1703" s="76">
        <v>2016</v>
      </c>
      <c r="E1703" s="56">
        <v>2.8666666666666667</v>
      </c>
      <c r="F1703" s="53">
        <f t="shared" si="136"/>
        <v>1</v>
      </c>
      <c r="G1703" s="53">
        <f t="shared" si="133"/>
        <v>2</v>
      </c>
      <c r="H1703" s="53">
        <f t="shared" si="134"/>
        <v>2</v>
      </c>
      <c r="I1703" s="53" t="str">
        <f t="shared" si="137"/>
        <v>ww</v>
      </c>
      <c r="J1703" s="53"/>
    </row>
    <row r="1704" spans="1:10" x14ac:dyDescent="0.25">
      <c r="A1704" s="93">
        <v>42394</v>
      </c>
      <c r="B1704" s="35">
        <f t="shared" si="135"/>
        <v>85</v>
      </c>
      <c r="C1704" s="76">
        <v>1</v>
      </c>
      <c r="D1704" s="76">
        <v>2016</v>
      </c>
      <c r="E1704" s="56">
        <v>0</v>
      </c>
      <c r="F1704" s="53">
        <f t="shared" si="136"/>
        <v>0</v>
      </c>
      <c r="G1704" s="53">
        <f t="shared" si="133"/>
        <v>1</v>
      </c>
      <c r="H1704" s="53">
        <f t="shared" si="134"/>
        <v>1</v>
      </c>
      <c r="I1704" s="53" t="str">
        <f t="shared" si="137"/>
        <v>wd</v>
      </c>
      <c r="J1704" s="53"/>
    </row>
    <row r="1705" spans="1:10" x14ac:dyDescent="0.25">
      <c r="A1705" s="93">
        <v>42395</v>
      </c>
      <c r="B1705" s="35">
        <f t="shared" si="135"/>
        <v>85</v>
      </c>
      <c r="C1705" s="76">
        <v>1</v>
      </c>
      <c r="D1705" s="76">
        <v>2016</v>
      </c>
      <c r="E1705" s="56">
        <v>6.6666666666666666E-2</v>
      </c>
      <c r="F1705" s="53">
        <f t="shared" si="136"/>
        <v>1</v>
      </c>
      <c r="G1705" s="53">
        <f t="shared" si="133"/>
        <v>1</v>
      </c>
      <c r="H1705" s="53">
        <f t="shared" si="134"/>
        <v>-1</v>
      </c>
      <c r="I1705" s="53" t="str">
        <f t="shared" si="137"/>
        <v>dw</v>
      </c>
      <c r="J1705" s="53"/>
    </row>
    <row r="1706" spans="1:10" x14ac:dyDescent="0.25">
      <c r="A1706" s="93">
        <v>42396</v>
      </c>
      <c r="B1706" s="35">
        <f t="shared" si="135"/>
        <v>85</v>
      </c>
      <c r="C1706" s="76">
        <v>1</v>
      </c>
      <c r="D1706" s="76">
        <v>2016</v>
      </c>
      <c r="E1706" s="56">
        <v>3.6666666666666665</v>
      </c>
      <c r="F1706" s="53">
        <f t="shared" si="136"/>
        <v>1</v>
      </c>
      <c r="G1706" s="53">
        <f t="shared" si="133"/>
        <v>2</v>
      </c>
      <c r="H1706" s="53">
        <f t="shared" si="134"/>
        <v>2</v>
      </c>
      <c r="I1706" s="53" t="str">
        <f t="shared" si="137"/>
        <v>ww</v>
      </c>
      <c r="J1706" s="53"/>
    </row>
    <row r="1707" spans="1:10" x14ac:dyDescent="0.25">
      <c r="A1707" s="93">
        <v>42397</v>
      </c>
      <c r="B1707" s="35">
        <f t="shared" si="135"/>
        <v>85</v>
      </c>
      <c r="C1707" s="76">
        <v>1</v>
      </c>
      <c r="D1707" s="76">
        <v>2016</v>
      </c>
      <c r="E1707" s="56">
        <v>1.1333333333333335</v>
      </c>
      <c r="F1707" s="53">
        <f t="shared" si="136"/>
        <v>1</v>
      </c>
      <c r="G1707" s="53">
        <f t="shared" si="133"/>
        <v>2</v>
      </c>
      <c r="H1707" s="53">
        <f t="shared" si="134"/>
        <v>2</v>
      </c>
      <c r="I1707" s="53" t="str">
        <f t="shared" si="137"/>
        <v>ww</v>
      </c>
      <c r="J1707" s="53"/>
    </row>
    <row r="1708" spans="1:10" x14ac:dyDescent="0.25">
      <c r="A1708" s="93">
        <v>42398</v>
      </c>
      <c r="B1708" s="35">
        <f t="shared" si="135"/>
        <v>85</v>
      </c>
      <c r="C1708" s="76">
        <v>1</v>
      </c>
      <c r="D1708" s="76">
        <v>2016</v>
      </c>
      <c r="E1708" s="56">
        <v>0.26666666666666666</v>
      </c>
      <c r="F1708" s="53">
        <f t="shared" si="136"/>
        <v>1</v>
      </c>
      <c r="G1708" s="53">
        <f t="shared" si="133"/>
        <v>2</v>
      </c>
      <c r="H1708" s="53">
        <f t="shared" si="134"/>
        <v>2</v>
      </c>
      <c r="I1708" s="53" t="str">
        <f t="shared" si="137"/>
        <v>ww</v>
      </c>
      <c r="J1708" s="53"/>
    </row>
    <row r="1709" spans="1:10" x14ac:dyDescent="0.25">
      <c r="A1709" s="93">
        <v>42399</v>
      </c>
      <c r="B1709" s="35">
        <f t="shared" si="135"/>
        <v>85</v>
      </c>
      <c r="C1709" s="76">
        <v>1</v>
      </c>
      <c r="D1709" s="76">
        <v>2016</v>
      </c>
      <c r="E1709" s="56">
        <v>0.73333333333333339</v>
      </c>
      <c r="F1709" s="53">
        <f t="shared" si="136"/>
        <v>1</v>
      </c>
      <c r="G1709" s="53">
        <f t="shared" si="133"/>
        <v>2</v>
      </c>
      <c r="H1709" s="53">
        <f t="shared" si="134"/>
        <v>2</v>
      </c>
      <c r="I1709" s="53" t="str">
        <f t="shared" si="137"/>
        <v>ww</v>
      </c>
      <c r="J1709" s="53"/>
    </row>
    <row r="1710" spans="1:10" x14ac:dyDescent="0.25">
      <c r="A1710" s="93">
        <v>42400</v>
      </c>
      <c r="B1710" s="35">
        <f t="shared" si="135"/>
        <v>85</v>
      </c>
      <c r="C1710" s="76">
        <v>1</v>
      </c>
      <c r="D1710" s="76">
        <v>2016</v>
      </c>
      <c r="E1710" s="56">
        <v>0.19999999999999998</v>
      </c>
      <c r="F1710" s="53">
        <f t="shared" si="136"/>
        <v>1</v>
      </c>
      <c r="G1710" s="53">
        <f t="shared" si="133"/>
        <v>2</v>
      </c>
      <c r="H1710" s="53">
        <f t="shared" si="134"/>
        <v>2</v>
      </c>
      <c r="I1710" s="53" t="str">
        <f t="shared" si="137"/>
        <v>ww</v>
      </c>
      <c r="J1710" s="53"/>
    </row>
    <row r="1711" spans="1:10" x14ac:dyDescent="0.25">
      <c r="A1711" s="93">
        <v>42401</v>
      </c>
      <c r="B1711" s="35">
        <f t="shared" si="135"/>
        <v>85</v>
      </c>
      <c r="C1711" s="76">
        <v>1</v>
      </c>
      <c r="D1711" s="76">
        <v>2016</v>
      </c>
      <c r="E1711" s="56">
        <v>3.4</v>
      </c>
      <c r="F1711" s="53">
        <f t="shared" si="136"/>
        <v>1</v>
      </c>
      <c r="G1711" s="53">
        <f t="shared" si="133"/>
        <v>2</v>
      </c>
      <c r="H1711" s="53">
        <f t="shared" si="134"/>
        <v>2</v>
      </c>
      <c r="I1711" s="53" t="str">
        <f t="shared" si="137"/>
        <v>ww</v>
      </c>
      <c r="J1711" s="53"/>
    </row>
    <row r="1712" spans="1:10" x14ac:dyDescent="0.25">
      <c r="A1712" s="93">
        <v>42402</v>
      </c>
      <c r="B1712" s="35">
        <f t="shared" si="135"/>
        <v>85</v>
      </c>
      <c r="C1712" s="76">
        <v>1</v>
      </c>
      <c r="D1712" s="76">
        <v>2016</v>
      </c>
      <c r="E1712" s="56">
        <v>0.46666666666666673</v>
      </c>
      <c r="F1712" s="53">
        <f t="shared" si="136"/>
        <v>1</v>
      </c>
      <c r="G1712" s="53">
        <f t="shared" si="133"/>
        <v>2</v>
      </c>
      <c r="H1712" s="53">
        <f t="shared" si="134"/>
        <v>2</v>
      </c>
      <c r="I1712" s="53" t="str">
        <f t="shared" si="137"/>
        <v>ww</v>
      </c>
      <c r="J1712" s="53"/>
    </row>
    <row r="1713" spans="1:10" x14ac:dyDescent="0.25">
      <c r="A1713" s="93">
        <v>42736</v>
      </c>
      <c r="B1713" s="35">
        <f t="shared" si="135"/>
        <v>97</v>
      </c>
      <c r="C1713" s="76">
        <v>1</v>
      </c>
      <c r="D1713" s="76">
        <v>2017</v>
      </c>
      <c r="E1713" s="56">
        <v>9.2666666666666675</v>
      </c>
      <c r="F1713" s="53">
        <f t="shared" si="136"/>
        <v>1</v>
      </c>
      <c r="G1713" s="53">
        <f t="shared" si="133"/>
        <v>2</v>
      </c>
      <c r="H1713" s="53">
        <f t="shared" si="134"/>
        <v>2</v>
      </c>
      <c r="I1713" s="53" t="str">
        <f t="shared" si="137"/>
        <v>ww</v>
      </c>
      <c r="J1713" s="53"/>
    </row>
    <row r="1714" spans="1:10" x14ac:dyDescent="0.25">
      <c r="A1714" s="93">
        <v>42737</v>
      </c>
      <c r="B1714" s="35">
        <f t="shared" si="135"/>
        <v>97</v>
      </c>
      <c r="C1714" s="76">
        <v>1</v>
      </c>
      <c r="D1714" s="76">
        <v>2017</v>
      </c>
      <c r="E1714" s="56">
        <v>3.1333333333333333</v>
      </c>
      <c r="F1714" s="53">
        <f t="shared" si="136"/>
        <v>1</v>
      </c>
      <c r="G1714" s="53">
        <f t="shared" si="133"/>
        <v>2</v>
      </c>
      <c r="H1714" s="53">
        <f t="shared" si="134"/>
        <v>2</v>
      </c>
      <c r="I1714" s="53" t="str">
        <f t="shared" si="137"/>
        <v>ww</v>
      </c>
      <c r="J1714" s="53"/>
    </row>
    <row r="1715" spans="1:10" x14ac:dyDescent="0.25">
      <c r="A1715" s="93">
        <v>42738</v>
      </c>
      <c r="B1715" s="35">
        <f t="shared" si="135"/>
        <v>97</v>
      </c>
      <c r="C1715" s="76">
        <v>1</v>
      </c>
      <c r="D1715" s="76">
        <v>2017</v>
      </c>
      <c r="E1715" s="56">
        <v>6.6666666666666666E-2</v>
      </c>
      <c r="F1715" s="53">
        <f t="shared" si="136"/>
        <v>1</v>
      </c>
      <c r="G1715" s="53">
        <f t="shared" si="133"/>
        <v>2</v>
      </c>
      <c r="H1715" s="53">
        <f t="shared" si="134"/>
        <v>2</v>
      </c>
      <c r="I1715" s="53" t="str">
        <f t="shared" si="137"/>
        <v>ww</v>
      </c>
      <c r="J1715" s="53"/>
    </row>
    <row r="1716" spans="1:10" x14ac:dyDescent="0.25">
      <c r="A1716" s="93">
        <v>42739</v>
      </c>
      <c r="B1716" s="35">
        <f t="shared" si="135"/>
        <v>97</v>
      </c>
      <c r="C1716" s="76">
        <v>1</v>
      </c>
      <c r="D1716" s="76">
        <v>2017</v>
      </c>
      <c r="E1716" s="56">
        <v>0.19999999999999998</v>
      </c>
      <c r="F1716" s="53">
        <f t="shared" si="136"/>
        <v>1</v>
      </c>
      <c r="G1716" s="53">
        <f t="shared" ref="G1716:G1779" si="138">SUM(F1715:F1716)</f>
        <v>2</v>
      </c>
      <c r="H1716" s="53">
        <f t="shared" ref="H1716:H1779" si="139">IF(G1716=1,IF(F1715=1,1,-1),G1716)</f>
        <v>2</v>
      </c>
      <c r="I1716" s="53" t="str">
        <f t="shared" si="137"/>
        <v>ww</v>
      </c>
      <c r="J1716" s="53"/>
    </row>
    <row r="1717" spans="1:10" x14ac:dyDescent="0.25">
      <c r="A1717" s="93">
        <v>42740</v>
      </c>
      <c r="B1717" s="35">
        <f t="shared" si="135"/>
        <v>97</v>
      </c>
      <c r="C1717" s="76">
        <v>1</v>
      </c>
      <c r="D1717" s="76">
        <v>2017</v>
      </c>
      <c r="E1717" s="56">
        <v>6.6666666666666666E-2</v>
      </c>
      <c r="F1717" s="53">
        <f t="shared" si="136"/>
        <v>1</v>
      </c>
      <c r="G1717" s="53">
        <f t="shared" si="138"/>
        <v>2</v>
      </c>
      <c r="H1717" s="53">
        <f t="shared" si="139"/>
        <v>2</v>
      </c>
      <c r="I1717" s="53" t="str">
        <f t="shared" si="137"/>
        <v>ww</v>
      </c>
      <c r="J1717" s="53"/>
    </row>
    <row r="1718" spans="1:10" x14ac:dyDescent="0.25">
      <c r="A1718" s="93">
        <v>42741</v>
      </c>
      <c r="B1718" s="35">
        <f t="shared" si="135"/>
        <v>97</v>
      </c>
      <c r="C1718" s="76">
        <v>1</v>
      </c>
      <c r="D1718" s="76">
        <v>2017</v>
      </c>
      <c r="E1718" s="56">
        <v>1.1333333333333335</v>
      </c>
      <c r="F1718" s="53">
        <f t="shared" si="136"/>
        <v>1</v>
      </c>
      <c r="G1718" s="53">
        <f t="shared" si="138"/>
        <v>2</v>
      </c>
      <c r="H1718" s="53">
        <f t="shared" si="139"/>
        <v>2</v>
      </c>
      <c r="I1718" s="53" t="str">
        <f t="shared" si="137"/>
        <v>ww</v>
      </c>
      <c r="J1718" s="53"/>
    </row>
    <row r="1719" spans="1:10" x14ac:dyDescent="0.25">
      <c r="A1719" s="93">
        <v>42742</v>
      </c>
      <c r="B1719" s="35">
        <f t="shared" si="135"/>
        <v>97</v>
      </c>
      <c r="C1719" s="76">
        <v>1</v>
      </c>
      <c r="D1719" s="76">
        <v>2017</v>
      </c>
      <c r="E1719" s="56">
        <v>2.9333333333333336</v>
      </c>
      <c r="F1719" s="53">
        <f t="shared" si="136"/>
        <v>1</v>
      </c>
      <c r="G1719" s="53">
        <f t="shared" si="138"/>
        <v>2</v>
      </c>
      <c r="H1719" s="53">
        <f t="shared" si="139"/>
        <v>2</v>
      </c>
      <c r="I1719" s="53" t="str">
        <f t="shared" si="137"/>
        <v>ww</v>
      </c>
      <c r="J1719" s="53"/>
    </row>
    <row r="1720" spans="1:10" x14ac:dyDescent="0.25">
      <c r="A1720" s="93">
        <v>42743</v>
      </c>
      <c r="B1720" s="35">
        <f t="shared" si="135"/>
        <v>97</v>
      </c>
      <c r="C1720" s="76">
        <v>1</v>
      </c>
      <c r="D1720" s="76">
        <v>2017</v>
      </c>
      <c r="E1720" s="56">
        <v>0.13333333333333333</v>
      </c>
      <c r="F1720" s="53">
        <f t="shared" si="136"/>
        <v>1</v>
      </c>
      <c r="G1720" s="53">
        <f t="shared" si="138"/>
        <v>2</v>
      </c>
      <c r="H1720" s="53">
        <f t="shared" si="139"/>
        <v>2</v>
      </c>
      <c r="I1720" s="53" t="str">
        <f t="shared" si="137"/>
        <v>ww</v>
      </c>
      <c r="J1720" s="53"/>
    </row>
    <row r="1721" spans="1:10" x14ac:dyDescent="0.25">
      <c r="A1721" s="93">
        <v>42744</v>
      </c>
      <c r="B1721" s="35">
        <f t="shared" si="135"/>
        <v>97</v>
      </c>
      <c r="C1721" s="76">
        <v>1</v>
      </c>
      <c r="D1721" s="76">
        <v>2017</v>
      </c>
      <c r="E1721" s="56">
        <v>6.6666666666666666E-2</v>
      </c>
      <c r="F1721" s="53">
        <f t="shared" si="136"/>
        <v>1</v>
      </c>
      <c r="G1721" s="53">
        <f t="shared" si="138"/>
        <v>2</v>
      </c>
      <c r="H1721" s="53">
        <f t="shared" si="139"/>
        <v>2</v>
      </c>
      <c r="I1721" s="53" t="str">
        <f t="shared" si="137"/>
        <v>ww</v>
      </c>
      <c r="J1721" s="53"/>
    </row>
    <row r="1722" spans="1:10" x14ac:dyDescent="0.25">
      <c r="A1722" s="93">
        <v>42745</v>
      </c>
      <c r="B1722" s="35">
        <f t="shared" si="135"/>
        <v>97</v>
      </c>
      <c r="C1722" s="76">
        <v>1</v>
      </c>
      <c r="D1722" s="76">
        <v>2017</v>
      </c>
      <c r="E1722" s="56">
        <v>0.53333333333333333</v>
      </c>
      <c r="F1722" s="53">
        <f t="shared" si="136"/>
        <v>1</v>
      </c>
      <c r="G1722" s="53">
        <f t="shared" si="138"/>
        <v>2</v>
      </c>
      <c r="H1722" s="53">
        <f t="shared" si="139"/>
        <v>2</v>
      </c>
      <c r="I1722" s="53" t="str">
        <f t="shared" si="137"/>
        <v>ww</v>
      </c>
      <c r="J1722" s="53"/>
    </row>
    <row r="1723" spans="1:10" x14ac:dyDescent="0.25">
      <c r="A1723" s="93">
        <v>42746</v>
      </c>
      <c r="B1723" s="35">
        <f t="shared" si="135"/>
        <v>97</v>
      </c>
      <c r="C1723" s="76">
        <v>1</v>
      </c>
      <c r="D1723" s="76">
        <v>2017</v>
      </c>
      <c r="E1723" s="56">
        <v>0.26666666666666666</v>
      </c>
      <c r="F1723" s="53">
        <f t="shared" si="136"/>
        <v>1</v>
      </c>
      <c r="G1723" s="53">
        <f t="shared" si="138"/>
        <v>2</v>
      </c>
      <c r="H1723" s="53">
        <f t="shared" si="139"/>
        <v>2</v>
      </c>
      <c r="I1723" s="53" t="str">
        <f t="shared" si="137"/>
        <v>ww</v>
      </c>
      <c r="J1723" s="53"/>
    </row>
    <row r="1724" spans="1:10" x14ac:dyDescent="0.25">
      <c r="A1724" s="93">
        <v>42747</v>
      </c>
      <c r="B1724" s="35">
        <f t="shared" si="135"/>
        <v>97</v>
      </c>
      <c r="C1724" s="76">
        <v>1</v>
      </c>
      <c r="D1724" s="76">
        <v>2017</v>
      </c>
      <c r="E1724" s="56">
        <v>0.13333333333333333</v>
      </c>
      <c r="F1724" s="53">
        <f t="shared" si="136"/>
        <v>1</v>
      </c>
      <c r="G1724" s="53">
        <f t="shared" si="138"/>
        <v>2</v>
      </c>
      <c r="H1724" s="53">
        <f t="shared" si="139"/>
        <v>2</v>
      </c>
      <c r="I1724" s="53" t="str">
        <f t="shared" si="137"/>
        <v>ww</v>
      </c>
      <c r="J1724" s="53"/>
    </row>
    <row r="1725" spans="1:10" x14ac:dyDescent="0.25">
      <c r="A1725" s="93">
        <v>42748</v>
      </c>
      <c r="B1725" s="35">
        <f t="shared" si="135"/>
        <v>97</v>
      </c>
      <c r="C1725" s="76">
        <v>1</v>
      </c>
      <c r="D1725" s="76">
        <v>2017</v>
      </c>
      <c r="E1725" s="56">
        <v>2.6666666666666665</v>
      </c>
      <c r="F1725" s="53">
        <f t="shared" si="136"/>
        <v>1</v>
      </c>
      <c r="G1725" s="53">
        <f t="shared" si="138"/>
        <v>2</v>
      </c>
      <c r="H1725" s="53">
        <f t="shared" si="139"/>
        <v>2</v>
      </c>
      <c r="I1725" s="53" t="str">
        <f t="shared" si="137"/>
        <v>ww</v>
      </c>
      <c r="J1725" s="53"/>
    </row>
    <row r="1726" spans="1:10" x14ac:dyDescent="0.25">
      <c r="A1726" s="93">
        <v>42749</v>
      </c>
      <c r="B1726" s="35">
        <f t="shared" si="135"/>
        <v>97</v>
      </c>
      <c r="C1726" s="76">
        <v>1</v>
      </c>
      <c r="D1726" s="76">
        <v>2017</v>
      </c>
      <c r="E1726" s="56">
        <v>0</v>
      </c>
      <c r="F1726" s="53">
        <f t="shared" si="136"/>
        <v>0</v>
      </c>
      <c r="G1726" s="53">
        <f t="shared" si="138"/>
        <v>1</v>
      </c>
      <c r="H1726" s="53">
        <f t="shared" si="139"/>
        <v>1</v>
      </c>
      <c r="I1726" s="53" t="str">
        <f t="shared" si="137"/>
        <v>wd</v>
      </c>
      <c r="J1726" s="53"/>
    </row>
    <row r="1727" spans="1:10" x14ac:dyDescent="0.25">
      <c r="A1727" s="93">
        <v>42750</v>
      </c>
      <c r="B1727" s="35">
        <f t="shared" si="135"/>
        <v>97</v>
      </c>
      <c r="C1727" s="76">
        <v>1</v>
      </c>
      <c r="D1727" s="76">
        <v>2017</v>
      </c>
      <c r="E1727" s="56">
        <v>6.5999999999999988</v>
      </c>
      <c r="F1727" s="53">
        <f t="shared" si="136"/>
        <v>1</v>
      </c>
      <c r="G1727" s="53">
        <f t="shared" si="138"/>
        <v>1</v>
      </c>
      <c r="H1727" s="53">
        <f t="shared" si="139"/>
        <v>-1</v>
      </c>
      <c r="I1727" s="53" t="str">
        <f t="shared" si="137"/>
        <v>dw</v>
      </c>
      <c r="J1727" s="53"/>
    </row>
    <row r="1728" spans="1:10" x14ac:dyDescent="0.25">
      <c r="A1728" s="93">
        <v>42751</v>
      </c>
      <c r="B1728" s="35">
        <f t="shared" si="135"/>
        <v>97</v>
      </c>
      <c r="C1728" s="76">
        <v>1</v>
      </c>
      <c r="D1728" s="76">
        <v>2017</v>
      </c>
      <c r="E1728" s="56">
        <v>4.4666666666666668</v>
      </c>
      <c r="F1728" s="53">
        <f t="shared" si="136"/>
        <v>1</v>
      </c>
      <c r="G1728" s="53">
        <f t="shared" si="138"/>
        <v>2</v>
      </c>
      <c r="H1728" s="53">
        <f t="shared" si="139"/>
        <v>2</v>
      </c>
      <c r="I1728" s="53" t="str">
        <f t="shared" si="137"/>
        <v>ww</v>
      </c>
      <c r="J1728" s="53"/>
    </row>
    <row r="1729" spans="1:10" x14ac:dyDescent="0.25">
      <c r="A1729" s="93">
        <v>42752</v>
      </c>
      <c r="B1729" s="35">
        <f t="shared" si="135"/>
        <v>97</v>
      </c>
      <c r="C1729" s="76">
        <v>1</v>
      </c>
      <c r="D1729" s="76">
        <v>2017</v>
      </c>
      <c r="E1729" s="56">
        <v>0.8666666666666667</v>
      </c>
      <c r="F1729" s="53">
        <f t="shared" si="136"/>
        <v>1</v>
      </c>
      <c r="G1729" s="53">
        <f t="shared" si="138"/>
        <v>2</v>
      </c>
      <c r="H1729" s="53">
        <f t="shared" si="139"/>
        <v>2</v>
      </c>
      <c r="I1729" s="53" t="str">
        <f t="shared" si="137"/>
        <v>ww</v>
      </c>
      <c r="J1729" s="53"/>
    </row>
    <row r="1730" spans="1:10" x14ac:dyDescent="0.25">
      <c r="A1730" s="93">
        <v>42753</v>
      </c>
      <c r="B1730" s="35">
        <f t="shared" ref="B1730:B1793" si="140">C1730+(D1730-2009)*12</f>
        <v>97</v>
      </c>
      <c r="C1730" s="76">
        <v>1</v>
      </c>
      <c r="D1730" s="76">
        <v>2017</v>
      </c>
      <c r="E1730" s="56">
        <v>0</v>
      </c>
      <c r="F1730" s="53">
        <f t="shared" ref="F1730:F1793" si="141">IF(E1730&gt;0,1,0)</f>
        <v>0</v>
      </c>
      <c r="G1730" s="53">
        <f t="shared" si="138"/>
        <v>1</v>
      </c>
      <c r="H1730" s="53">
        <f t="shared" si="139"/>
        <v>1</v>
      </c>
      <c r="I1730" s="53" t="str">
        <f t="shared" ref="I1730:I1793" si="142">VLOOKUP(H1730,codes,2,)</f>
        <v>wd</v>
      </c>
      <c r="J1730" s="53"/>
    </row>
    <row r="1731" spans="1:10" x14ac:dyDescent="0.25">
      <c r="A1731" s="93">
        <v>42754</v>
      </c>
      <c r="B1731" s="35">
        <f t="shared" si="140"/>
        <v>97</v>
      </c>
      <c r="C1731" s="76">
        <v>1</v>
      </c>
      <c r="D1731" s="76">
        <v>2017</v>
      </c>
      <c r="E1731" s="56">
        <v>0</v>
      </c>
      <c r="F1731" s="53">
        <f t="shared" si="141"/>
        <v>0</v>
      </c>
      <c r="G1731" s="53">
        <f t="shared" si="138"/>
        <v>0</v>
      </c>
      <c r="H1731" s="53">
        <f t="shared" si="139"/>
        <v>0</v>
      </c>
      <c r="I1731" s="53" t="str">
        <f t="shared" si="142"/>
        <v>dd</v>
      </c>
      <c r="J1731" s="53"/>
    </row>
    <row r="1732" spans="1:10" x14ac:dyDescent="0.25">
      <c r="A1732" s="93">
        <v>42755</v>
      </c>
      <c r="B1732" s="35">
        <f t="shared" si="140"/>
        <v>97</v>
      </c>
      <c r="C1732" s="76">
        <v>1</v>
      </c>
      <c r="D1732" s="76">
        <v>2017</v>
      </c>
      <c r="E1732" s="56">
        <v>0</v>
      </c>
      <c r="F1732" s="53">
        <f t="shared" si="141"/>
        <v>0</v>
      </c>
      <c r="G1732" s="53">
        <f t="shared" si="138"/>
        <v>0</v>
      </c>
      <c r="H1732" s="53">
        <f t="shared" si="139"/>
        <v>0</v>
      </c>
      <c r="I1732" s="53" t="str">
        <f t="shared" si="142"/>
        <v>dd</v>
      </c>
      <c r="J1732" s="53"/>
    </row>
    <row r="1733" spans="1:10" x14ac:dyDescent="0.25">
      <c r="A1733" s="93">
        <v>42756</v>
      </c>
      <c r="B1733" s="35">
        <f t="shared" si="140"/>
        <v>97</v>
      </c>
      <c r="C1733" s="76">
        <v>1</v>
      </c>
      <c r="D1733" s="76">
        <v>2017</v>
      </c>
      <c r="E1733" s="56">
        <v>0</v>
      </c>
      <c r="F1733" s="53">
        <f t="shared" si="141"/>
        <v>0</v>
      </c>
      <c r="G1733" s="53">
        <f t="shared" si="138"/>
        <v>0</v>
      </c>
      <c r="H1733" s="53">
        <f t="shared" si="139"/>
        <v>0</v>
      </c>
      <c r="I1733" s="53" t="str">
        <f t="shared" si="142"/>
        <v>dd</v>
      </c>
      <c r="J1733" s="53"/>
    </row>
    <row r="1734" spans="1:10" x14ac:dyDescent="0.25">
      <c r="A1734" s="93">
        <v>42757</v>
      </c>
      <c r="B1734" s="35">
        <f t="shared" si="140"/>
        <v>97</v>
      </c>
      <c r="C1734" s="76">
        <v>1</v>
      </c>
      <c r="D1734" s="76">
        <v>2017</v>
      </c>
      <c r="E1734" s="56">
        <v>0.20000000000000004</v>
      </c>
      <c r="F1734" s="53">
        <f t="shared" si="141"/>
        <v>1</v>
      </c>
      <c r="G1734" s="53">
        <f t="shared" si="138"/>
        <v>1</v>
      </c>
      <c r="H1734" s="53">
        <f t="shared" si="139"/>
        <v>-1</v>
      </c>
      <c r="I1734" s="53" t="str">
        <f t="shared" si="142"/>
        <v>dw</v>
      </c>
      <c r="J1734" s="53"/>
    </row>
    <row r="1735" spans="1:10" x14ac:dyDescent="0.25">
      <c r="A1735" s="93">
        <v>42758</v>
      </c>
      <c r="B1735" s="35">
        <f t="shared" si="140"/>
        <v>97</v>
      </c>
      <c r="C1735" s="76">
        <v>1</v>
      </c>
      <c r="D1735" s="76">
        <v>2017</v>
      </c>
      <c r="E1735" s="56">
        <v>0</v>
      </c>
      <c r="F1735" s="53">
        <f t="shared" si="141"/>
        <v>0</v>
      </c>
      <c r="G1735" s="53">
        <f t="shared" si="138"/>
        <v>1</v>
      </c>
      <c r="H1735" s="53">
        <f t="shared" si="139"/>
        <v>1</v>
      </c>
      <c r="I1735" s="53" t="str">
        <f t="shared" si="142"/>
        <v>wd</v>
      </c>
      <c r="J1735" s="53"/>
    </row>
    <row r="1736" spans="1:10" x14ac:dyDescent="0.25">
      <c r="A1736" s="93">
        <v>42759</v>
      </c>
      <c r="B1736" s="35">
        <f t="shared" si="140"/>
        <v>97</v>
      </c>
      <c r="C1736" s="76">
        <v>1</v>
      </c>
      <c r="D1736" s="76">
        <v>2017</v>
      </c>
      <c r="E1736" s="56">
        <v>6.6666666666666666E-2</v>
      </c>
      <c r="F1736" s="53">
        <f t="shared" si="141"/>
        <v>1</v>
      </c>
      <c r="G1736" s="53">
        <f t="shared" si="138"/>
        <v>1</v>
      </c>
      <c r="H1736" s="53">
        <f t="shared" si="139"/>
        <v>-1</v>
      </c>
      <c r="I1736" s="53" t="str">
        <f t="shared" si="142"/>
        <v>dw</v>
      </c>
      <c r="J1736" s="53"/>
    </row>
    <row r="1737" spans="1:10" x14ac:dyDescent="0.25">
      <c r="A1737" s="93">
        <v>42760</v>
      </c>
      <c r="B1737" s="35">
        <f t="shared" si="140"/>
        <v>97</v>
      </c>
      <c r="C1737" s="76">
        <v>1</v>
      </c>
      <c r="D1737" s="76">
        <v>2017</v>
      </c>
      <c r="E1737" s="56">
        <v>0</v>
      </c>
      <c r="F1737" s="53">
        <f t="shared" si="141"/>
        <v>0</v>
      </c>
      <c r="G1737" s="53">
        <f t="shared" si="138"/>
        <v>1</v>
      </c>
      <c r="H1737" s="53">
        <f t="shared" si="139"/>
        <v>1</v>
      </c>
      <c r="I1737" s="53" t="str">
        <f t="shared" si="142"/>
        <v>wd</v>
      </c>
      <c r="J1737" s="53"/>
    </row>
    <row r="1738" spans="1:10" x14ac:dyDescent="0.25">
      <c r="A1738" s="93">
        <v>42761</v>
      </c>
      <c r="B1738" s="35">
        <f t="shared" si="140"/>
        <v>97</v>
      </c>
      <c r="C1738" s="76">
        <v>1</v>
      </c>
      <c r="D1738" s="76">
        <v>2017</v>
      </c>
      <c r="E1738" s="56">
        <v>0</v>
      </c>
      <c r="F1738" s="53">
        <f t="shared" si="141"/>
        <v>0</v>
      </c>
      <c r="G1738" s="53">
        <f t="shared" si="138"/>
        <v>0</v>
      </c>
      <c r="H1738" s="53">
        <f t="shared" si="139"/>
        <v>0</v>
      </c>
      <c r="I1738" s="53" t="str">
        <f t="shared" si="142"/>
        <v>dd</v>
      </c>
      <c r="J1738" s="53"/>
    </row>
    <row r="1739" spans="1:10" x14ac:dyDescent="0.25">
      <c r="A1739" s="93">
        <v>42762</v>
      </c>
      <c r="B1739" s="35">
        <f t="shared" si="140"/>
        <v>97</v>
      </c>
      <c r="C1739" s="76">
        <v>1</v>
      </c>
      <c r="D1739" s="76">
        <v>2017</v>
      </c>
      <c r="E1739" s="56">
        <v>0</v>
      </c>
      <c r="F1739" s="53">
        <f t="shared" si="141"/>
        <v>0</v>
      </c>
      <c r="G1739" s="53">
        <f t="shared" si="138"/>
        <v>0</v>
      </c>
      <c r="H1739" s="53">
        <f t="shared" si="139"/>
        <v>0</v>
      </c>
      <c r="I1739" s="53" t="str">
        <f t="shared" si="142"/>
        <v>dd</v>
      </c>
      <c r="J1739" s="53"/>
    </row>
    <row r="1740" spans="1:10" x14ac:dyDescent="0.25">
      <c r="A1740" s="93">
        <v>42763</v>
      </c>
      <c r="B1740" s="35">
        <f t="shared" si="140"/>
        <v>97</v>
      </c>
      <c r="C1740" s="76">
        <v>1</v>
      </c>
      <c r="D1740" s="76">
        <v>2017</v>
      </c>
      <c r="E1740" s="56">
        <v>0.73333333333333339</v>
      </c>
      <c r="F1740" s="53">
        <f t="shared" si="141"/>
        <v>1</v>
      </c>
      <c r="G1740" s="53">
        <f t="shared" si="138"/>
        <v>1</v>
      </c>
      <c r="H1740" s="53">
        <f t="shared" si="139"/>
        <v>-1</v>
      </c>
      <c r="I1740" s="53" t="str">
        <f t="shared" si="142"/>
        <v>dw</v>
      </c>
      <c r="J1740" s="53"/>
    </row>
    <row r="1741" spans="1:10" x14ac:dyDescent="0.25">
      <c r="A1741" s="93">
        <v>42764</v>
      </c>
      <c r="B1741" s="35">
        <f t="shared" si="140"/>
        <v>97</v>
      </c>
      <c r="C1741" s="76">
        <v>1</v>
      </c>
      <c r="D1741" s="76">
        <v>2017</v>
      </c>
      <c r="E1741" s="56">
        <v>0.93333333333333324</v>
      </c>
      <c r="F1741" s="53">
        <f t="shared" si="141"/>
        <v>1</v>
      </c>
      <c r="G1741" s="53">
        <f t="shared" si="138"/>
        <v>2</v>
      </c>
      <c r="H1741" s="53">
        <f t="shared" si="139"/>
        <v>2</v>
      </c>
      <c r="I1741" s="53" t="str">
        <f t="shared" si="142"/>
        <v>ww</v>
      </c>
      <c r="J1741" s="53"/>
    </row>
    <row r="1742" spans="1:10" x14ac:dyDescent="0.25">
      <c r="A1742" s="93">
        <v>42765</v>
      </c>
      <c r="B1742" s="35">
        <f t="shared" si="140"/>
        <v>97</v>
      </c>
      <c r="C1742" s="76">
        <v>1</v>
      </c>
      <c r="D1742" s="76">
        <v>2017</v>
      </c>
      <c r="E1742" s="56">
        <v>0.13333333333333333</v>
      </c>
      <c r="F1742" s="53">
        <f t="shared" si="141"/>
        <v>1</v>
      </c>
      <c r="G1742" s="53">
        <f t="shared" si="138"/>
        <v>2</v>
      </c>
      <c r="H1742" s="53">
        <f t="shared" si="139"/>
        <v>2</v>
      </c>
      <c r="I1742" s="53" t="str">
        <f t="shared" si="142"/>
        <v>ww</v>
      </c>
      <c r="J1742" s="53"/>
    </row>
    <row r="1743" spans="1:10" x14ac:dyDescent="0.25">
      <c r="A1743" s="93">
        <v>42766</v>
      </c>
      <c r="B1743" s="35">
        <f t="shared" si="140"/>
        <v>97</v>
      </c>
      <c r="C1743" s="76">
        <v>1</v>
      </c>
      <c r="D1743" s="76">
        <v>2017</v>
      </c>
      <c r="E1743" s="56">
        <v>6.6666666666666666E-2</v>
      </c>
      <c r="F1743" s="53">
        <f t="shared" si="141"/>
        <v>1</v>
      </c>
      <c r="G1743" s="53">
        <f t="shared" si="138"/>
        <v>2</v>
      </c>
      <c r="H1743" s="53">
        <f t="shared" si="139"/>
        <v>2</v>
      </c>
      <c r="I1743" s="53" t="str">
        <f t="shared" si="142"/>
        <v>ww</v>
      </c>
      <c r="J1743" s="53"/>
    </row>
    <row r="1744" spans="1:10" x14ac:dyDescent="0.25">
      <c r="A1744" s="93">
        <v>42767</v>
      </c>
      <c r="B1744" s="35">
        <f t="shared" si="140"/>
        <v>97</v>
      </c>
      <c r="C1744" s="76">
        <v>1</v>
      </c>
      <c r="D1744" s="76">
        <v>2017</v>
      </c>
      <c r="E1744" s="56">
        <v>3.7333333333333329</v>
      </c>
      <c r="F1744" s="53">
        <f t="shared" si="141"/>
        <v>1</v>
      </c>
      <c r="G1744" s="53">
        <f t="shared" si="138"/>
        <v>2</v>
      </c>
      <c r="H1744" s="53">
        <f t="shared" si="139"/>
        <v>2</v>
      </c>
      <c r="I1744" s="53" t="str">
        <f t="shared" si="142"/>
        <v>ww</v>
      </c>
      <c r="J1744" s="53"/>
    </row>
    <row r="1745" spans="1:10" x14ac:dyDescent="0.25">
      <c r="A1745" s="93">
        <v>42768</v>
      </c>
      <c r="B1745" s="35">
        <f t="shared" si="140"/>
        <v>97</v>
      </c>
      <c r="C1745" s="76">
        <v>1</v>
      </c>
      <c r="D1745" s="76">
        <v>2017</v>
      </c>
      <c r="E1745" s="56">
        <v>0</v>
      </c>
      <c r="F1745" s="53">
        <f t="shared" si="141"/>
        <v>0</v>
      </c>
      <c r="G1745" s="53">
        <f t="shared" si="138"/>
        <v>1</v>
      </c>
      <c r="H1745" s="53">
        <f t="shared" si="139"/>
        <v>1</v>
      </c>
      <c r="I1745" s="53" t="str">
        <f t="shared" si="142"/>
        <v>wd</v>
      </c>
      <c r="J1745" s="53"/>
    </row>
    <row r="1746" spans="1:10" x14ac:dyDescent="0.25">
      <c r="A1746" s="93">
        <v>43101</v>
      </c>
      <c r="B1746" s="35">
        <f t="shared" si="140"/>
        <v>109</v>
      </c>
      <c r="C1746" s="76">
        <v>1</v>
      </c>
      <c r="D1746" s="76">
        <v>2018</v>
      </c>
      <c r="E1746" s="56">
        <v>0.20000000000000004</v>
      </c>
      <c r="F1746" s="53">
        <f t="shared" si="141"/>
        <v>1</v>
      </c>
      <c r="G1746" s="53">
        <f t="shared" si="138"/>
        <v>1</v>
      </c>
      <c r="H1746" s="53">
        <f t="shared" si="139"/>
        <v>-1</v>
      </c>
      <c r="I1746" s="53" t="str">
        <f t="shared" si="142"/>
        <v>dw</v>
      </c>
      <c r="J1746" s="53"/>
    </row>
    <row r="1747" spans="1:10" x14ac:dyDescent="0.25">
      <c r="A1747" s="93">
        <v>43102</v>
      </c>
      <c r="B1747" s="35">
        <f t="shared" si="140"/>
        <v>109</v>
      </c>
      <c r="C1747" s="76">
        <v>1</v>
      </c>
      <c r="D1747" s="76">
        <v>2018</v>
      </c>
      <c r="E1747" s="56">
        <v>0.20000000000000004</v>
      </c>
      <c r="F1747" s="53">
        <f t="shared" si="141"/>
        <v>1</v>
      </c>
      <c r="G1747" s="53">
        <f t="shared" si="138"/>
        <v>2</v>
      </c>
      <c r="H1747" s="53">
        <f t="shared" si="139"/>
        <v>2</v>
      </c>
      <c r="I1747" s="53" t="str">
        <f t="shared" si="142"/>
        <v>ww</v>
      </c>
      <c r="J1747" s="53"/>
    </row>
    <row r="1748" spans="1:10" x14ac:dyDescent="0.25">
      <c r="A1748" s="93">
        <v>43103</v>
      </c>
      <c r="B1748" s="35">
        <f t="shared" si="140"/>
        <v>109</v>
      </c>
      <c r="C1748" s="76">
        <v>1</v>
      </c>
      <c r="D1748" s="76">
        <v>2018</v>
      </c>
      <c r="E1748" s="56">
        <v>4.3999999999999995</v>
      </c>
      <c r="F1748" s="53">
        <f t="shared" si="141"/>
        <v>1</v>
      </c>
      <c r="G1748" s="53">
        <f t="shared" si="138"/>
        <v>2</v>
      </c>
      <c r="H1748" s="53">
        <f t="shared" si="139"/>
        <v>2</v>
      </c>
      <c r="I1748" s="53" t="str">
        <f t="shared" si="142"/>
        <v>ww</v>
      </c>
      <c r="J1748" s="53"/>
    </row>
    <row r="1749" spans="1:10" x14ac:dyDescent="0.25">
      <c r="A1749" s="93">
        <v>43104</v>
      </c>
      <c r="B1749" s="35">
        <f t="shared" si="140"/>
        <v>109</v>
      </c>
      <c r="C1749" s="76">
        <v>1</v>
      </c>
      <c r="D1749" s="76">
        <v>2018</v>
      </c>
      <c r="E1749" s="56">
        <v>0</v>
      </c>
      <c r="F1749" s="53">
        <f t="shared" si="141"/>
        <v>0</v>
      </c>
      <c r="G1749" s="53">
        <f t="shared" si="138"/>
        <v>1</v>
      </c>
      <c r="H1749" s="53">
        <f t="shared" si="139"/>
        <v>1</v>
      </c>
      <c r="I1749" s="53" t="str">
        <f t="shared" si="142"/>
        <v>wd</v>
      </c>
      <c r="J1749" s="53"/>
    </row>
    <row r="1750" spans="1:10" x14ac:dyDescent="0.25">
      <c r="A1750" s="93">
        <v>43105</v>
      </c>
      <c r="B1750" s="35">
        <f t="shared" si="140"/>
        <v>109</v>
      </c>
      <c r="C1750" s="76">
        <v>1</v>
      </c>
      <c r="D1750" s="76">
        <v>2018</v>
      </c>
      <c r="E1750" s="56">
        <v>8.8666666666666654</v>
      </c>
      <c r="F1750" s="53">
        <f t="shared" si="141"/>
        <v>1</v>
      </c>
      <c r="G1750" s="53">
        <f t="shared" si="138"/>
        <v>1</v>
      </c>
      <c r="H1750" s="53">
        <f t="shared" si="139"/>
        <v>-1</v>
      </c>
      <c r="I1750" s="53" t="str">
        <f t="shared" si="142"/>
        <v>dw</v>
      </c>
      <c r="J1750" s="53"/>
    </row>
    <row r="1751" spans="1:10" x14ac:dyDescent="0.25">
      <c r="A1751" s="93">
        <v>43106</v>
      </c>
      <c r="B1751" s="35">
        <f t="shared" si="140"/>
        <v>109</v>
      </c>
      <c r="C1751" s="76">
        <v>1</v>
      </c>
      <c r="D1751" s="76">
        <v>2018</v>
      </c>
      <c r="E1751" s="56">
        <v>4.333333333333333</v>
      </c>
      <c r="F1751" s="53">
        <f t="shared" si="141"/>
        <v>1</v>
      </c>
      <c r="G1751" s="53">
        <f t="shared" si="138"/>
        <v>2</v>
      </c>
      <c r="H1751" s="53">
        <f t="shared" si="139"/>
        <v>2</v>
      </c>
      <c r="I1751" s="53" t="str">
        <f t="shared" si="142"/>
        <v>ww</v>
      </c>
      <c r="J1751" s="53"/>
    </row>
    <row r="1752" spans="1:10" x14ac:dyDescent="0.25">
      <c r="A1752" s="93">
        <v>43107</v>
      </c>
      <c r="B1752" s="35">
        <f t="shared" si="140"/>
        <v>109</v>
      </c>
      <c r="C1752" s="76">
        <v>1</v>
      </c>
      <c r="D1752" s="76">
        <v>2018</v>
      </c>
      <c r="E1752" s="56">
        <v>0.26666666666666666</v>
      </c>
      <c r="F1752" s="53">
        <f t="shared" si="141"/>
        <v>1</v>
      </c>
      <c r="G1752" s="53">
        <f t="shared" si="138"/>
        <v>2</v>
      </c>
      <c r="H1752" s="53">
        <f t="shared" si="139"/>
        <v>2</v>
      </c>
      <c r="I1752" s="53" t="str">
        <f t="shared" si="142"/>
        <v>ww</v>
      </c>
      <c r="J1752" s="53"/>
    </row>
    <row r="1753" spans="1:10" x14ac:dyDescent="0.25">
      <c r="A1753" s="93">
        <v>43108</v>
      </c>
      <c r="B1753" s="35">
        <f t="shared" si="140"/>
        <v>109</v>
      </c>
      <c r="C1753" s="76">
        <v>1</v>
      </c>
      <c r="D1753" s="76">
        <v>2018</v>
      </c>
      <c r="E1753" s="56">
        <v>0</v>
      </c>
      <c r="F1753" s="53">
        <f t="shared" si="141"/>
        <v>0</v>
      </c>
      <c r="G1753" s="53">
        <f t="shared" si="138"/>
        <v>1</v>
      </c>
      <c r="H1753" s="53">
        <f t="shared" si="139"/>
        <v>1</v>
      </c>
      <c r="I1753" s="53" t="str">
        <f t="shared" si="142"/>
        <v>wd</v>
      </c>
      <c r="J1753" s="53"/>
    </row>
    <row r="1754" spans="1:10" x14ac:dyDescent="0.25">
      <c r="A1754" s="93">
        <v>43109</v>
      </c>
      <c r="B1754" s="35">
        <f t="shared" si="140"/>
        <v>109</v>
      </c>
      <c r="C1754" s="76">
        <v>1</v>
      </c>
      <c r="D1754" s="76">
        <v>2018</v>
      </c>
      <c r="E1754" s="56">
        <v>0.13333333333333333</v>
      </c>
      <c r="F1754" s="53">
        <f t="shared" si="141"/>
        <v>1</v>
      </c>
      <c r="G1754" s="53">
        <f t="shared" si="138"/>
        <v>1</v>
      </c>
      <c r="H1754" s="53">
        <f t="shared" si="139"/>
        <v>-1</v>
      </c>
      <c r="I1754" s="53" t="str">
        <f t="shared" si="142"/>
        <v>dw</v>
      </c>
      <c r="J1754" s="53"/>
    </row>
    <row r="1755" spans="1:10" x14ac:dyDescent="0.25">
      <c r="A1755" s="93">
        <v>43110</v>
      </c>
      <c r="B1755" s="35">
        <f t="shared" si="140"/>
        <v>109</v>
      </c>
      <c r="C1755" s="76">
        <v>1</v>
      </c>
      <c r="D1755" s="76">
        <v>2018</v>
      </c>
      <c r="E1755" s="56">
        <v>0.13333333333333333</v>
      </c>
      <c r="F1755" s="53">
        <f t="shared" si="141"/>
        <v>1</v>
      </c>
      <c r="G1755" s="53">
        <f t="shared" si="138"/>
        <v>2</v>
      </c>
      <c r="H1755" s="53">
        <f t="shared" si="139"/>
        <v>2</v>
      </c>
      <c r="I1755" s="53" t="str">
        <f t="shared" si="142"/>
        <v>ww</v>
      </c>
      <c r="J1755" s="53"/>
    </row>
    <row r="1756" spans="1:10" x14ac:dyDescent="0.25">
      <c r="A1756" s="93">
        <v>43111</v>
      </c>
      <c r="B1756" s="35">
        <f t="shared" si="140"/>
        <v>109</v>
      </c>
      <c r="C1756" s="76">
        <v>1</v>
      </c>
      <c r="D1756" s="76">
        <v>2018</v>
      </c>
      <c r="E1756" s="56">
        <v>0.6</v>
      </c>
      <c r="F1756" s="53">
        <f t="shared" si="141"/>
        <v>1</v>
      </c>
      <c r="G1756" s="53">
        <f t="shared" si="138"/>
        <v>2</v>
      </c>
      <c r="H1756" s="53">
        <f t="shared" si="139"/>
        <v>2</v>
      </c>
      <c r="I1756" s="53" t="str">
        <f t="shared" si="142"/>
        <v>ww</v>
      </c>
      <c r="J1756" s="53"/>
    </row>
    <row r="1757" spans="1:10" x14ac:dyDescent="0.25">
      <c r="A1757" s="93">
        <v>43112</v>
      </c>
      <c r="B1757" s="35">
        <f t="shared" si="140"/>
        <v>109</v>
      </c>
      <c r="C1757" s="76">
        <v>1</v>
      </c>
      <c r="D1757" s="76">
        <v>2018</v>
      </c>
      <c r="E1757" s="56">
        <v>0.79999999999999993</v>
      </c>
      <c r="F1757" s="53">
        <f t="shared" si="141"/>
        <v>1</v>
      </c>
      <c r="G1757" s="53">
        <f t="shared" si="138"/>
        <v>2</v>
      </c>
      <c r="H1757" s="53">
        <f t="shared" si="139"/>
        <v>2</v>
      </c>
      <c r="I1757" s="53" t="str">
        <f t="shared" si="142"/>
        <v>ww</v>
      </c>
      <c r="J1757" s="53"/>
    </row>
    <row r="1758" spans="1:10" x14ac:dyDescent="0.25">
      <c r="A1758" s="93">
        <v>43113</v>
      </c>
      <c r="B1758" s="35">
        <f t="shared" si="140"/>
        <v>109</v>
      </c>
      <c r="C1758" s="76">
        <v>1</v>
      </c>
      <c r="D1758" s="76">
        <v>2018</v>
      </c>
      <c r="E1758" s="56">
        <v>0</v>
      </c>
      <c r="F1758" s="53">
        <f t="shared" si="141"/>
        <v>0</v>
      </c>
      <c r="G1758" s="53">
        <f t="shared" si="138"/>
        <v>1</v>
      </c>
      <c r="H1758" s="53">
        <f t="shared" si="139"/>
        <v>1</v>
      </c>
      <c r="I1758" s="53" t="str">
        <f t="shared" si="142"/>
        <v>wd</v>
      </c>
      <c r="J1758" s="53"/>
    </row>
    <row r="1759" spans="1:10" x14ac:dyDescent="0.25">
      <c r="A1759" s="93">
        <v>43114</v>
      </c>
      <c r="B1759" s="35">
        <f t="shared" si="140"/>
        <v>109</v>
      </c>
      <c r="C1759" s="76">
        <v>1</v>
      </c>
      <c r="D1759" s="76">
        <v>2018</v>
      </c>
      <c r="E1759" s="56">
        <v>6.6666666666666666E-2</v>
      </c>
      <c r="F1759" s="53">
        <f t="shared" si="141"/>
        <v>1</v>
      </c>
      <c r="G1759" s="53">
        <f t="shared" si="138"/>
        <v>1</v>
      </c>
      <c r="H1759" s="53">
        <f t="shared" si="139"/>
        <v>-1</v>
      </c>
      <c r="I1759" s="53" t="str">
        <f t="shared" si="142"/>
        <v>dw</v>
      </c>
      <c r="J1759" s="53"/>
    </row>
    <row r="1760" spans="1:10" x14ac:dyDescent="0.25">
      <c r="A1760" s="93">
        <v>43115</v>
      </c>
      <c r="B1760" s="35">
        <f t="shared" si="140"/>
        <v>109</v>
      </c>
      <c r="C1760" s="76">
        <v>1</v>
      </c>
      <c r="D1760" s="76">
        <v>2018</v>
      </c>
      <c r="E1760" s="56">
        <v>0.93333333333333324</v>
      </c>
      <c r="F1760" s="53">
        <f t="shared" si="141"/>
        <v>1</v>
      </c>
      <c r="G1760" s="53">
        <f t="shared" si="138"/>
        <v>2</v>
      </c>
      <c r="H1760" s="53">
        <f t="shared" si="139"/>
        <v>2</v>
      </c>
      <c r="I1760" s="53" t="str">
        <f t="shared" si="142"/>
        <v>ww</v>
      </c>
      <c r="J1760" s="53"/>
    </row>
    <row r="1761" spans="1:10" x14ac:dyDescent="0.25">
      <c r="A1761" s="93">
        <v>43116</v>
      </c>
      <c r="B1761" s="35">
        <f t="shared" si="140"/>
        <v>109</v>
      </c>
      <c r="C1761" s="76">
        <v>1</v>
      </c>
      <c r="D1761" s="76">
        <v>2018</v>
      </c>
      <c r="E1761" s="56">
        <v>2.4666666666666668</v>
      </c>
      <c r="F1761" s="53">
        <f t="shared" si="141"/>
        <v>1</v>
      </c>
      <c r="G1761" s="53">
        <f t="shared" si="138"/>
        <v>2</v>
      </c>
      <c r="H1761" s="53">
        <f t="shared" si="139"/>
        <v>2</v>
      </c>
      <c r="I1761" s="53" t="str">
        <f t="shared" si="142"/>
        <v>ww</v>
      </c>
      <c r="J1761" s="53"/>
    </row>
    <row r="1762" spans="1:10" x14ac:dyDescent="0.25">
      <c r="A1762" s="93">
        <v>43117</v>
      </c>
      <c r="B1762" s="35">
        <f t="shared" si="140"/>
        <v>109</v>
      </c>
      <c r="C1762" s="76">
        <v>1</v>
      </c>
      <c r="D1762" s="76">
        <v>2018</v>
      </c>
      <c r="E1762" s="56">
        <v>1.5333333333333332</v>
      </c>
      <c r="F1762" s="53">
        <f t="shared" si="141"/>
        <v>1</v>
      </c>
      <c r="G1762" s="53">
        <f t="shared" si="138"/>
        <v>2</v>
      </c>
      <c r="H1762" s="53">
        <f t="shared" si="139"/>
        <v>2</v>
      </c>
      <c r="I1762" s="53" t="str">
        <f t="shared" si="142"/>
        <v>ww</v>
      </c>
      <c r="J1762" s="53"/>
    </row>
    <row r="1763" spans="1:10" x14ac:dyDescent="0.25">
      <c r="A1763" s="93">
        <v>43118</v>
      </c>
      <c r="B1763" s="35">
        <f t="shared" si="140"/>
        <v>109</v>
      </c>
      <c r="C1763" s="76">
        <v>1</v>
      </c>
      <c r="D1763" s="76">
        <v>2018</v>
      </c>
      <c r="E1763" s="56">
        <v>9.5333333333333332</v>
      </c>
      <c r="F1763" s="53">
        <f t="shared" si="141"/>
        <v>1</v>
      </c>
      <c r="G1763" s="53">
        <f t="shared" si="138"/>
        <v>2</v>
      </c>
      <c r="H1763" s="53">
        <f t="shared" si="139"/>
        <v>2</v>
      </c>
      <c r="I1763" s="53" t="str">
        <f t="shared" si="142"/>
        <v>ww</v>
      </c>
      <c r="J1763" s="53"/>
    </row>
    <row r="1764" spans="1:10" x14ac:dyDescent="0.25">
      <c r="A1764" s="93">
        <v>43119</v>
      </c>
      <c r="B1764" s="35">
        <f t="shared" si="140"/>
        <v>109</v>
      </c>
      <c r="C1764" s="76">
        <v>1</v>
      </c>
      <c r="D1764" s="76">
        <v>2018</v>
      </c>
      <c r="E1764" s="56">
        <v>0</v>
      </c>
      <c r="F1764" s="53">
        <f t="shared" si="141"/>
        <v>0</v>
      </c>
      <c r="G1764" s="53">
        <f t="shared" si="138"/>
        <v>1</v>
      </c>
      <c r="H1764" s="53">
        <f t="shared" si="139"/>
        <v>1</v>
      </c>
      <c r="I1764" s="53" t="str">
        <f t="shared" si="142"/>
        <v>wd</v>
      </c>
      <c r="J1764" s="53"/>
    </row>
    <row r="1765" spans="1:10" x14ac:dyDescent="0.25">
      <c r="A1765" s="93">
        <v>43120</v>
      </c>
      <c r="B1765" s="35">
        <f t="shared" si="140"/>
        <v>109</v>
      </c>
      <c r="C1765" s="76">
        <v>1</v>
      </c>
      <c r="D1765" s="76">
        <v>2018</v>
      </c>
      <c r="E1765" s="56">
        <v>0.93333333333333346</v>
      </c>
      <c r="F1765" s="53">
        <f t="shared" si="141"/>
        <v>1</v>
      </c>
      <c r="G1765" s="53">
        <f t="shared" si="138"/>
        <v>1</v>
      </c>
      <c r="H1765" s="53">
        <f t="shared" si="139"/>
        <v>-1</v>
      </c>
      <c r="I1765" s="53" t="str">
        <f t="shared" si="142"/>
        <v>dw</v>
      </c>
      <c r="J1765" s="53"/>
    </row>
    <row r="1766" spans="1:10" x14ac:dyDescent="0.25">
      <c r="A1766" s="93">
        <v>43121</v>
      </c>
      <c r="B1766" s="35">
        <f t="shared" si="140"/>
        <v>109</v>
      </c>
      <c r="C1766" s="76">
        <v>1</v>
      </c>
      <c r="D1766" s="76">
        <v>2018</v>
      </c>
      <c r="E1766" s="56">
        <v>0</v>
      </c>
      <c r="F1766" s="53">
        <f t="shared" si="141"/>
        <v>0</v>
      </c>
      <c r="G1766" s="53">
        <f t="shared" si="138"/>
        <v>1</v>
      </c>
      <c r="H1766" s="53">
        <f t="shared" si="139"/>
        <v>1</v>
      </c>
      <c r="I1766" s="53" t="str">
        <f t="shared" si="142"/>
        <v>wd</v>
      </c>
      <c r="J1766" s="53"/>
    </row>
    <row r="1767" spans="1:10" x14ac:dyDescent="0.25">
      <c r="A1767" s="93">
        <v>43122</v>
      </c>
      <c r="B1767" s="35">
        <f t="shared" si="140"/>
        <v>109</v>
      </c>
      <c r="C1767" s="76">
        <v>1</v>
      </c>
      <c r="D1767" s="76">
        <v>2018</v>
      </c>
      <c r="E1767" s="56">
        <v>4.1333333333333329</v>
      </c>
      <c r="F1767" s="53">
        <f t="shared" si="141"/>
        <v>1</v>
      </c>
      <c r="G1767" s="53">
        <f t="shared" si="138"/>
        <v>1</v>
      </c>
      <c r="H1767" s="53">
        <f t="shared" si="139"/>
        <v>-1</v>
      </c>
      <c r="I1767" s="53" t="str">
        <f t="shared" si="142"/>
        <v>dw</v>
      </c>
      <c r="J1767" s="53"/>
    </row>
    <row r="1768" spans="1:10" x14ac:dyDescent="0.25">
      <c r="A1768" s="93">
        <v>43123</v>
      </c>
      <c r="B1768" s="35">
        <f t="shared" si="140"/>
        <v>109</v>
      </c>
      <c r="C1768" s="76">
        <v>1</v>
      </c>
      <c r="D1768" s="76">
        <v>2018</v>
      </c>
      <c r="E1768" s="56">
        <v>0.26666666666666666</v>
      </c>
      <c r="F1768" s="53">
        <f t="shared" si="141"/>
        <v>1</v>
      </c>
      <c r="G1768" s="53">
        <f t="shared" si="138"/>
        <v>2</v>
      </c>
      <c r="H1768" s="53">
        <f t="shared" si="139"/>
        <v>2</v>
      </c>
      <c r="I1768" s="53" t="str">
        <f t="shared" si="142"/>
        <v>ww</v>
      </c>
      <c r="J1768" s="53"/>
    </row>
    <row r="1769" spans="1:10" x14ac:dyDescent="0.25">
      <c r="A1769" s="93">
        <v>43124</v>
      </c>
      <c r="B1769" s="35">
        <f t="shared" si="140"/>
        <v>109</v>
      </c>
      <c r="C1769" s="76">
        <v>1</v>
      </c>
      <c r="D1769" s="76">
        <v>2018</v>
      </c>
      <c r="E1769" s="56">
        <v>3.9333333333333336</v>
      </c>
      <c r="F1769" s="53">
        <f t="shared" si="141"/>
        <v>1</v>
      </c>
      <c r="G1769" s="53">
        <f t="shared" si="138"/>
        <v>2</v>
      </c>
      <c r="H1769" s="53">
        <f t="shared" si="139"/>
        <v>2</v>
      </c>
      <c r="I1769" s="53" t="str">
        <f t="shared" si="142"/>
        <v>ww</v>
      </c>
      <c r="J1769" s="53"/>
    </row>
    <row r="1770" spans="1:10" x14ac:dyDescent="0.25">
      <c r="A1770" s="93">
        <v>43125</v>
      </c>
      <c r="B1770" s="35">
        <f t="shared" si="140"/>
        <v>109</v>
      </c>
      <c r="C1770" s="76">
        <v>1</v>
      </c>
      <c r="D1770" s="76">
        <v>2018</v>
      </c>
      <c r="E1770" s="56">
        <v>0</v>
      </c>
      <c r="F1770" s="53">
        <f t="shared" si="141"/>
        <v>0</v>
      </c>
      <c r="G1770" s="53">
        <f t="shared" si="138"/>
        <v>1</v>
      </c>
      <c r="H1770" s="53">
        <f t="shared" si="139"/>
        <v>1</v>
      </c>
      <c r="I1770" s="53" t="str">
        <f t="shared" si="142"/>
        <v>wd</v>
      </c>
      <c r="J1770" s="53"/>
    </row>
    <row r="1771" spans="1:10" x14ac:dyDescent="0.25">
      <c r="A1771" s="93">
        <v>43126</v>
      </c>
      <c r="B1771" s="35">
        <f t="shared" si="140"/>
        <v>109</v>
      </c>
      <c r="C1771" s="76">
        <v>1</v>
      </c>
      <c r="D1771" s="76">
        <v>2018</v>
      </c>
      <c r="E1771" s="56">
        <v>6.6666666666666666E-2</v>
      </c>
      <c r="F1771" s="53">
        <f t="shared" si="141"/>
        <v>1</v>
      </c>
      <c r="G1771" s="53">
        <f t="shared" si="138"/>
        <v>1</v>
      </c>
      <c r="H1771" s="53">
        <f t="shared" si="139"/>
        <v>-1</v>
      </c>
      <c r="I1771" s="53" t="str">
        <f t="shared" si="142"/>
        <v>dw</v>
      </c>
      <c r="J1771" s="53"/>
    </row>
    <row r="1772" spans="1:10" x14ac:dyDescent="0.25">
      <c r="A1772" s="93">
        <v>43127</v>
      </c>
      <c r="B1772" s="35">
        <f t="shared" si="140"/>
        <v>109</v>
      </c>
      <c r="C1772" s="76">
        <v>1</v>
      </c>
      <c r="D1772" s="76">
        <v>2018</v>
      </c>
      <c r="E1772" s="56">
        <v>6.6666666666666666E-2</v>
      </c>
      <c r="F1772" s="53">
        <f t="shared" si="141"/>
        <v>1</v>
      </c>
      <c r="G1772" s="53">
        <f t="shared" si="138"/>
        <v>2</v>
      </c>
      <c r="H1772" s="53">
        <f t="shared" si="139"/>
        <v>2</v>
      </c>
      <c r="I1772" s="53" t="str">
        <f t="shared" si="142"/>
        <v>ww</v>
      </c>
      <c r="J1772" s="53"/>
    </row>
    <row r="1773" spans="1:10" x14ac:dyDescent="0.25">
      <c r="A1773" s="93">
        <v>43128</v>
      </c>
      <c r="B1773" s="35">
        <f t="shared" si="140"/>
        <v>109</v>
      </c>
      <c r="C1773" s="76">
        <v>1</v>
      </c>
      <c r="D1773" s="76">
        <v>2018</v>
      </c>
      <c r="E1773" s="56">
        <v>1.4666666666666668</v>
      </c>
      <c r="F1773" s="53">
        <f t="shared" si="141"/>
        <v>1</v>
      </c>
      <c r="G1773" s="53">
        <f t="shared" si="138"/>
        <v>2</v>
      </c>
      <c r="H1773" s="53">
        <f t="shared" si="139"/>
        <v>2</v>
      </c>
      <c r="I1773" s="53" t="str">
        <f t="shared" si="142"/>
        <v>ww</v>
      </c>
      <c r="J1773" s="53"/>
    </row>
    <row r="1774" spans="1:10" x14ac:dyDescent="0.25">
      <c r="A1774" s="93">
        <v>43129</v>
      </c>
      <c r="B1774" s="35">
        <f t="shared" si="140"/>
        <v>109</v>
      </c>
      <c r="C1774" s="76">
        <v>1</v>
      </c>
      <c r="D1774" s="76">
        <v>2018</v>
      </c>
      <c r="E1774" s="56">
        <v>0.40000000000000008</v>
      </c>
      <c r="F1774" s="53">
        <f t="shared" si="141"/>
        <v>1</v>
      </c>
      <c r="G1774" s="53">
        <f t="shared" si="138"/>
        <v>2</v>
      </c>
      <c r="H1774" s="53">
        <f t="shared" si="139"/>
        <v>2</v>
      </c>
      <c r="I1774" s="53" t="str">
        <f t="shared" si="142"/>
        <v>ww</v>
      </c>
      <c r="J1774" s="53"/>
    </row>
    <row r="1775" spans="1:10" x14ac:dyDescent="0.25">
      <c r="A1775" s="93">
        <v>43130</v>
      </c>
      <c r="B1775" s="35">
        <f t="shared" si="140"/>
        <v>109</v>
      </c>
      <c r="C1775" s="76">
        <v>1</v>
      </c>
      <c r="D1775" s="76">
        <v>2018</v>
      </c>
      <c r="E1775" s="56">
        <v>0</v>
      </c>
      <c r="F1775" s="53">
        <f t="shared" si="141"/>
        <v>0</v>
      </c>
      <c r="G1775" s="53">
        <f t="shared" si="138"/>
        <v>1</v>
      </c>
      <c r="H1775" s="53">
        <f t="shared" si="139"/>
        <v>1</v>
      </c>
      <c r="I1775" s="53" t="str">
        <f t="shared" si="142"/>
        <v>wd</v>
      </c>
      <c r="J1775" s="53"/>
    </row>
    <row r="1776" spans="1:10" x14ac:dyDescent="0.25">
      <c r="A1776" s="93">
        <v>43131</v>
      </c>
      <c r="B1776" s="35">
        <f t="shared" si="140"/>
        <v>109</v>
      </c>
      <c r="C1776" s="76">
        <v>1</v>
      </c>
      <c r="D1776" s="76">
        <v>2018</v>
      </c>
      <c r="E1776" s="56">
        <v>0.93333333333333324</v>
      </c>
      <c r="F1776" s="53">
        <f t="shared" si="141"/>
        <v>1</v>
      </c>
      <c r="G1776" s="53">
        <f t="shared" si="138"/>
        <v>1</v>
      </c>
      <c r="H1776" s="53">
        <f t="shared" si="139"/>
        <v>-1</v>
      </c>
      <c r="I1776" s="53" t="str">
        <f t="shared" si="142"/>
        <v>dw</v>
      </c>
      <c r="J1776" s="53"/>
    </row>
    <row r="1777" spans="1:10" x14ac:dyDescent="0.25">
      <c r="A1777" s="93">
        <v>43132</v>
      </c>
      <c r="B1777" s="35">
        <f t="shared" si="140"/>
        <v>109</v>
      </c>
      <c r="C1777" s="76">
        <v>1</v>
      </c>
      <c r="D1777" s="76">
        <v>2018</v>
      </c>
      <c r="E1777" s="56">
        <v>6.6666666666666666E-2</v>
      </c>
      <c r="F1777" s="53">
        <f t="shared" si="141"/>
        <v>1</v>
      </c>
      <c r="G1777" s="53">
        <f t="shared" si="138"/>
        <v>2</v>
      </c>
      <c r="H1777" s="53">
        <f t="shared" si="139"/>
        <v>2</v>
      </c>
      <c r="I1777" s="53" t="str">
        <f t="shared" si="142"/>
        <v>ww</v>
      </c>
      <c r="J1777" s="53"/>
    </row>
    <row r="1778" spans="1:10" x14ac:dyDescent="0.25">
      <c r="A1778" s="93">
        <v>43133</v>
      </c>
      <c r="B1778" s="35">
        <f t="shared" si="140"/>
        <v>109</v>
      </c>
      <c r="C1778" s="76">
        <v>1</v>
      </c>
      <c r="D1778" s="76">
        <v>2018</v>
      </c>
      <c r="E1778" s="56">
        <v>6.6666666666666666E-2</v>
      </c>
      <c r="F1778" s="53">
        <f t="shared" si="141"/>
        <v>1</v>
      </c>
      <c r="G1778" s="53">
        <f t="shared" si="138"/>
        <v>2</v>
      </c>
      <c r="H1778" s="53">
        <f t="shared" si="139"/>
        <v>2</v>
      </c>
      <c r="I1778" s="53" t="str">
        <f t="shared" si="142"/>
        <v>ww</v>
      </c>
      <c r="J1778" s="53"/>
    </row>
    <row r="1779" spans="1:10" x14ac:dyDescent="0.25">
      <c r="A1779" s="93">
        <v>43466</v>
      </c>
      <c r="B1779" s="35">
        <f t="shared" si="140"/>
        <v>121</v>
      </c>
      <c r="C1779" s="76">
        <v>1</v>
      </c>
      <c r="D1779" s="76">
        <v>2019</v>
      </c>
      <c r="E1779" s="56">
        <v>6.6666666666666666E-2</v>
      </c>
      <c r="F1779" s="53">
        <f t="shared" si="141"/>
        <v>1</v>
      </c>
      <c r="G1779" s="53">
        <f t="shared" si="138"/>
        <v>2</v>
      </c>
      <c r="H1779" s="53">
        <f t="shared" si="139"/>
        <v>2</v>
      </c>
      <c r="I1779" s="53" t="str">
        <f t="shared" si="142"/>
        <v>ww</v>
      </c>
      <c r="J1779" s="53"/>
    </row>
    <row r="1780" spans="1:10" x14ac:dyDescent="0.25">
      <c r="A1780" s="93">
        <v>43467</v>
      </c>
      <c r="B1780" s="35">
        <f t="shared" si="140"/>
        <v>121</v>
      </c>
      <c r="C1780" s="76">
        <v>1</v>
      </c>
      <c r="D1780" s="76">
        <v>2019</v>
      </c>
      <c r="E1780" s="56">
        <v>0</v>
      </c>
      <c r="F1780" s="53">
        <f t="shared" si="141"/>
        <v>0</v>
      </c>
      <c r="G1780" s="53">
        <f t="shared" ref="G1780:G1843" si="143">SUM(F1779:F1780)</f>
        <v>1</v>
      </c>
      <c r="H1780" s="53">
        <f t="shared" ref="H1780:H1843" si="144">IF(G1780=1,IF(F1779=1,1,-1),G1780)</f>
        <v>1</v>
      </c>
      <c r="I1780" s="53" t="str">
        <f t="shared" si="142"/>
        <v>wd</v>
      </c>
      <c r="J1780" s="53"/>
    </row>
    <row r="1781" spans="1:10" x14ac:dyDescent="0.25">
      <c r="A1781" s="93">
        <v>43468</v>
      </c>
      <c r="B1781" s="35">
        <f t="shared" si="140"/>
        <v>121</v>
      </c>
      <c r="C1781" s="76">
        <v>1</v>
      </c>
      <c r="D1781" s="76">
        <v>2019</v>
      </c>
      <c r="E1781" s="56">
        <v>0</v>
      </c>
      <c r="F1781" s="53">
        <f t="shared" si="141"/>
        <v>0</v>
      </c>
      <c r="G1781" s="53">
        <f t="shared" si="143"/>
        <v>0</v>
      </c>
      <c r="H1781" s="53">
        <f t="shared" si="144"/>
        <v>0</v>
      </c>
      <c r="I1781" s="53" t="str">
        <f t="shared" si="142"/>
        <v>dd</v>
      </c>
      <c r="J1781" s="53"/>
    </row>
    <row r="1782" spans="1:10" x14ac:dyDescent="0.25">
      <c r="A1782" s="93">
        <v>43469</v>
      </c>
      <c r="B1782" s="35">
        <f t="shared" si="140"/>
        <v>121</v>
      </c>
      <c r="C1782" s="76">
        <v>1</v>
      </c>
      <c r="D1782" s="76">
        <v>2019</v>
      </c>
      <c r="E1782" s="56">
        <v>0</v>
      </c>
      <c r="F1782" s="53">
        <f t="shared" si="141"/>
        <v>0</v>
      </c>
      <c r="G1782" s="53">
        <f t="shared" si="143"/>
        <v>0</v>
      </c>
      <c r="H1782" s="53">
        <f t="shared" si="144"/>
        <v>0</v>
      </c>
      <c r="I1782" s="53" t="str">
        <f t="shared" si="142"/>
        <v>dd</v>
      </c>
      <c r="J1782" s="53"/>
    </row>
    <row r="1783" spans="1:10" x14ac:dyDescent="0.25">
      <c r="A1783" s="93">
        <v>43470</v>
      </c>
      <c r="B1783" s="35">
        <f t="shared" si="140"/>
        <v>121</v>
      </c>
      <c r="C1783" s="76">
        <v>1</v>
      </c>
      <c r="D1783" s="76">
        <v>2019</v>
      </c>
      <c r="E1783" s="56">
        <v>0</v>
      </c>
      <c r="F1783" s="53">
        <f t="shared" si="141"/>
        <v>0</v>
      </c>
      <c r="G1783" s="53">
        <f t="shared" si="143"/>
        <v>0</v>
      </c>
      <c r="H1783" s="53">
        <f t="shared" si="144"/>
        <v>0</v>
      </c>
      <c r="I1783" s="53" t="str">
        <f t="shared" si="142"/>
        <v>dd</v>
      </c>
      <c r="J1783" s="53"/>
    </row>
    <row r="1784" spans="1:10" x14ac:dyDescent="0.25">
      <c r="A1784" s="93">
        <v>43471</v>
      </c>
      <c r="B1784" s="35">
        <f t="shared" si="140"/>
        <v>121</v>
      </c>
      <c r="C1784" s="76">
        <v>1</v>
      </c>
      <c r="D1784" s="76">
        <v>2019</v>
      </c>
      <c r="E1784" s="56">
        <v>0</v>
      </c>
      <c r="F1784" s="53">
        <f t="shared" si="141"/>
        <v>0</v>
      </c>
      <c r="G1784" s="53">
        <f t="shared" si="143"/>
        <v>0</v>
      </c>
      <c r="H1784" s="53">
        <f t="shared" si="144"/>
        <v>0</v>
      </c>
      <c r="I1784" s="53" t="str">
        <f t="shared" si="142"/>
        <v>dd</v>
      </c>
      <c r="J1784" s="53"/>
    </row>
    <row r="1785" spans="1:10" x14ac:dyDescent="0.25">
      <c r="A1785" s="93">
        <v>43472</v>
      </c>
      <c r="B1785" s="35">
        <f t="shared" si="140"/>
        <v>121</v>
      </c>
      <c r="C1785" s="76">
        <v>1</v>
      </c>
      <c r="D1785" s="76">
        <v>2019</v>
      </c>
      <c r="E1785" s="56">
        <v>0.20000000000000004</v>
      </c>
      <c r="F1785" s="53">
        <f t="shared" si="141"/>
        <v>1</v>
      </c>
      <c r="G1785" s="53">
        <f t="shared" si="143"/>
        <v>1</v>
      </c>
      <c r="H1785" s="53">
        <f t="shared" si="144"/>
        <v>-1</v>
      </c>
      <c r="I1785" s="53" t="str">
        <f t="shared" si="142"/>
        <v>dw</v>
      </c>
      <c r="J1785" s="53"/>
    </row>
    <row r="1786" spans="1:10" x14ac:dyDescent="0.25">
      <c r="A1786" s="93">
        <v>43473</v>
      </c>
      <c r="B1786" s="35">
        <f t="shared" si="140"/>
        <v>121</v>
      </c>
      <c r="C1786" s="76">
        <v>1</v>
      </c>
      <c r="D1786" s="76">
        <v>2019</v>
      </c>
      <c r="E1786" s="56">
        <v>0.20000000000000004</v>
      </c>
      <c r="F1786" s="53">
        <f t="shared" si="141"/>
        <v>1</v>
      </c>
      <c r="G1786" s="53">
        <f t="shared" si="143"/>
        <v>2</v>
      </c>
      <c r="H1786" s="53">
        <f t="shared" si="144"/>
        <v>2</v>
      </c>
      <c r="I1786" s="53" t="str">
        <f t="shared" si="142"/>
        <v>ww</v>
      </c>
      <c r="J1786" s="53"/>
    </row>
    <row r="1787" spans="1:10" x14ac:dyDescent="0.25">
      <c r="A1787" s="93">
        <v>43474</v>
      </c>
      <c r="B1787" s="35">
        <f t="shared" si="140"/>
        <v>121</v>
      </c>
      <c r="C1787" s="76">
        <v>1</v>
      </c>
      <c r="D1787" s="76">
        <v>2019</v>
      </c>
      <c r="E1787" s="56">
        <v>0.69999999999999984</v>
      </c>
      <c r="F1787" s="53">
        <f t="shared" si="141"/>
        <v>1</v>
      </c>
      <c r="G1787" s="53">
        <f t="shared" si="143"/>
        <v>2</v>
      </c>
      <c r="H1787" s="53">
        <f t="shared" si="144"/>
        <v>2</v>
      </c>
      <c r="I1787" s="53" t="str">
        <f t="shared" si="142"/>
        <v>ww</v>
      </c>
      <c r="J1787" s="53"/>
    </row>
    <row r="1788" spans="1:10" x14ac:dyDescent="0.25">
      <c r="A1788" s="93">
        <v>43475</v>
      </c>
      <c r="B1788" s="35">
        <f t="shared" si="140"/>
        <v>121</v>
      </c>
      <c r="C1788" s="76">
        <v>1</v>
      </c>
      <c r="D1788" s="76">
        <v>2019</v>
      </c>
      <c r="E1788" s="56">
        <v>0.5</v>
      </c>
      <c r="F1788" s="53">
        <f t="shared" si="141"/>
        <v>1</v>
      </c>
      <c r="G1788" s="53">
        <f t="shared" si="143"/>
        <v>2</v>
      </c>
      <c r="H1788" s="53">
        <f t="shared" si="144"/>
        <v>2</v>
      </c>
      <c r="I1788" s="53" t="str">
        <f t="shared" si="142"/>
        <v>ww</v>
      </c>
      <c r="J1788" s="53"/>
    </row>
    <row r="1789" spans="1:10" x14ac:dyDescent="0.25">
      <c r="A1789" s="93">
        <v>43476</v>
      </c>
      <c r="B1789" s="35">
        <f t="shared" si="140"/>
        <v>121</v>
      </c>
      <c r="C1789" s="76">
        <v>1</v>
      </c>
      <c r="D1789" s="76">
        <v>2019</v>
      </c>
      <c r="E1789" s="56">
        <v>0.10000000000000002</v>
      </c>
      <c r="F1789" s="53">
        <f t="shared" si="141"/>
        <v>1</v>
      </c>
      <c r="G1789" s="53">
        <f t="shared" si="143"/>
        <v>2</v>
      </c>
      <c r="H1789" s="53">
        <f t="shared" si="144"/>
        <v>2</v>
      </c>
      <c r="I1789" s="53" t="str">
        <f t="shared" si="142"/>
        <v>ww</v>
      </c>
      <c r="J1789" s="53"/>
    </row>
    <row r="1790" spans="1:10" x14ac:dyDescent="0.25">
      <c r="A1790" s="93">
        <v>43477</v>
      </c>
      <c r="B1790" s="35">
        <f t="shared" si="140"/>
        <v>121</v>
      </c>
      <c r="C1790" s="76">
        <v>1</v>
      </c>
      <c r="D1790" s="76">
        <v>2019</v>
      </c>
      <c r="E1790" s="56">
        <v>0</v>
      </c>
      <c r="F1790" s="53">
        <f t="shared" si="141"/>
        <v>0</v>
      </c>
      <c r="G1790" s="53">
        <f t="shared" si="143"/>
        <v>1</v>
      </c>
      <c r="H1790" s="53">
        <f t="shared" si="144"/>
        <v>1</v>
      </c>
      <c r="I1790" s="53" t="str">
        <f t="shared" si="142"/>
        <v>wd</v>
      </c>
      <c r="J1790" s="53"/>
    </row>
    <row r="1791" spans="1:10" x14ac:dyDescent="0.25">
      <c r="A1791" s="93">
        <v>43478</v>
      </c>
      <c r="B1791" s="35">
        <f t="shared" si="140"/>
        <v>121</v>
      </c>
      <c r="C1791" s="76">
        <v>1</v>
      </c>
      <c r="D1791" s="76">
        <v>2019</v>
      </c>
      <c r="E1791" s="56">
        <v>0</v>
      </c>
      <c r="F1791" s="53">
        <f t="shared" si="141"/>
        <v>0</v>
      </c>
      <c r="G1791" s="53">
        <f t="shared" si="143"/>
        <v>0</v>
      </c>
      <c r="H1791" s="53">
        <f t="shared" si="144"/>
        <v>0</v>
      </c>
      <c r="I1791" s="53" t="str">
        <f t="shared" si="142"/>
        <v>dd</v>
      </c>
      <c r="J1791" s="53"/>
    </row>
    <row r="1792" spans="1:10" x14ac:dyDescent="0.25">
      <c r="A1792" s="93">
        <v>43479</v>
      </c>
      <c r="B1792" s="35">
        <f t="shared" si="140"/>
        <v>121</v>
      </c>
      <c r="C1792" s="76">
        <v>1</v>
      </c>
      <c r="D1792" s="76">
        <v>2019</v>
      </c>
      <c r="E1792" s="56">
        <v>0.5</v>
      </c>
      <c r="F1792" s="53">
        <f t="shared" si="141"/>
        <v>1</v>
      </c>
      <c r="G1792" s="53">
        <f t="shared" si="143"/>
        <v>1</v>
      </c>
      <c r="H1792" s="53">
        <f t="shared" si="144"/>
        <v>-1</v>
      </c>
      <c r="I1792" s="53" t="str">
        <f t="shared" si="142"/>
        <v>dw</v>
      </c>
      <c r="J1792" s="53"/>
    </row>
    <row r="1793" spans="1:10" x14ac:dyDescent="0.25">
      <c r="A1793" s="93">
        <v>43480</v>
      </c>
      <c r="B1793" s="35">
        <f t="shared" si="140"/>
        <v>121</v>
      </c>
      <c r="C1793" s="76">
        <v>1</v>
      </c>
      <c r="D1793" s="76">
        <v>2019</v>
      </c>
      <c r="E1793" s="56">
        <v>0.20000000000000004</v>
      </c>
      <c r="F1793" s="53">
        <f t="shared" si="141"/>
        <v>1</v>
      </c>
      <c r="G1793" s="53">
        <f t="shared" si="143"/>
        <v>2</v>
      </c>
      <c r="H1793" s="53">
        <f t="shared" si="144"/>
        <v>2</v>
      </c>
      <c r="I1793" s="53" t="str">
        <f t="shared" si="142"/>
        <v>ww</v>
      </c>
      <c r="J1793" s="53"/>
    </row>
    <row r="1794" spans="1:10" x14ac:dyDescent="0.25">
      <c r="A1794" s="93">
        <v>43481</v>
      </c>
      <c r="B1794" s="35">
        <f t="shared" ref="B1794:B1857" si="145">C1794+(D1794-2009)*12</f>
        <v>121</v>
      </c>
      <c r="C1794" s="76">
        <v>1</v>
      </c>
      <c r="D1794" s="76">
        <v>2019</v>
      </c>
      <c r="E1794" s="56">
        <v>0</v>
      </c>
      <c r="F1794" s="53">
        <f t="shared" ref="F1794:F1857" si="146">IF(E1794&gt;0,1,0)</f>
        <v>0</v>
      </c>
      <c r="G1794" s="53">
        <f t="shared" si="143"/>
        <v>1</v>
      </c>
      <c r="H1794" s="53">
        <f t="shared" si="144"/>
        <v>1</v>
      </c>
      <c r="I1794" s="53" t="str">
        <f t="shared" ref="I1794:I1857" si="147">VLOOKUP(H1794,codes,2,)</f>
        <v>wd</v>
      </c>
      <c r="J1794" s="53"/>
    </row>
    <row r="1795" spans="1:10" x14ac:dyDescent="0.25">
      <c r="A1795" s="93">
        <v>43482</v>
      </c>
      <c r="B1795" s="35">
        <f t="shared" si="145"/>
        <v>121</v>
      </c>
      <c r="C1795" s="76">
        <v>1</v>
      </c>
      <c r="D1795" s="76">
        <v>2019</v>
      </c>
      <c r="E1795" s="56">
        <v>0.40000000000000008</v>
      </c>
      <c r="F1795" s="53">
        <f t="shared" si="146"/>
        <v>1</v>
      </c>
      <c r="G1795" s="53">
        <f t="shared" si="143"/>
        <v>1</v>
      </c>
      <c r="H1795" s="53">
        <f t="shared" si="144"/>
        <v>-1</v>
      </c>
      <c r="I1795" s="53" t="str">
        <f t="shared" si="147"/>
        <v>dw</v>
      </c>
      <c r="J1795" s="53"/>
    </row>
    <row r="1796" spans="1:10" x14ac:dyDescent="0.25">
      <c r="A1796" s="93">
        <v>43483</v>
      </c>
      <c r="B1796" s="35">
        <f t="shared" si="145"/>
        <v>121</v>
      </c>
      <c r="C1796" s="76">
        <v>1</v>
      </c>
      <c r="D1796" s="76">
        <v>2019</v>
      </c>
      <c r="E1796" s="56">
        <v>0.79999999999999993</v>
      </c>
      <c r="F1796" s="53">
        <f t="shared" si="146"/>
        <v>1</v>
      </c>
      <c r="G1796" s="53">
        <f t="shared" si="143"/>
        <v>2</v>
      </c>
      <c r="H1796" s="53">
        <f t="shared" si="144"/>
        <v>2</v>
      </c>
      <c r="I1796" s="53" t="str">
        <f t="shared" si="147"/>
        <v>ww</v>
      </c>
      <c r="J1796" s="53"/>
    </row>
    <row r="1797" spans="1:10" x14ac:dyDescent="0.25">
      <c r="A1797" s="93">
        <v>43484</v>
      </c>
      <c r="B1797" s="35">
        <f t="shared" si="145"/>
        <v>121</v>
      </c>
      <c r="C1797" s="76">
        <v>1</v>
      </c>
      <c r="D1797" s="76">
        <v>2019</v>
      </c>
      <c r="E1797" s="56">
        <v>0.20000000000000004</v>
      </c>
      <c r="F1797" s="53">
        <f t="shared" si="146"/>
        <v>1</v>
      </c>
      <c r="G1797" s="53">
        <f t="shared" si="143"/>
        <v>2</v>
      </c>
      <c r="H1797" s="53">
        <f t="shared" si="144"/>
        <v>2</v>
      </c>
      <c r="I1797" s="53" t="str">
        <f t="shared" si="147"/>
        <v>ww</v>
      </c>
      <c r="J1797" s="53"/>
    </row>
    <row r="1798" spans="1:10" x14ac:dyDescent="0.25">
      <c r="A1798" s="93">
        <v>43485</v>
      </c>
      <c r="B1798" s="35">
        <f t="shared" si="145"/>
        <v>121</v>
      </c>
      <c r="C1798" s="76">
        <v>1</v>
      </c>
      <c r="D1798" s="76">
        <v>2019</v>
      </c>
      <c r="E1798" s="56">
        <v>0.20000000000000004</v>
      </c>
      <c r="F1798" s="53">
        <f t="shared" si="146"/>
        <v>1</v>
      </c>
      <c r="G1798" s="53">
        <f t="shared" si="143"/>
        <v>2</v>
      </c>
      <c r="H1798" s="53">
        <f t="shared" si="144"/>
        <v>2</v>
      </c>
      <c r="I1798" s="53" t="str">
        <f t="shared" si="147"/>
        <v>ww</v>
      </c>
      <c r="J1798" s="53"/>
    </row>
    <row r="1799" spans="1:10" x14ac:dyDescent="0.25">
      <c r="A1799" s="93">
        <v>43486</v>
      </c>
      <c r="B1799" s="35">
        <f t="shared" si="145"/>
        <v>121</v>
      </c>
      <c r="C1799" s="76">
        <v>1</v>
      </c>
      <c r="D1799" s="76">
        <v>2019</v>
      </c>
      <c r="E1799" s="56">
        <v>0.10000000000000002</v>
      </c>
      <c r="F1799" s="53">
        <f t="shared" si="146"/>
        <v>1</v>
      </c>
      <c r="G1799" s="53">
        <f t="shared" si="143"/>
        <v>2</v>
      </c>
      <c r="H1799" s="53">
        <f t="shared" si="144"/>
        <v>2</v>
      </c>
      <c r="I1799" s="53" t="str">
        <f t="shared" si="147"/>
        <v>ww</v>
      </c>
      <c r="J1799" s="53"/>
    </row>
    <row r="1800" spans="1:10" x14ac:dyDescent="0.25">
      <c r="A1800" s="93">
        <v>43487</v>
      </c>
      <c r="B1800" s="35">
        <f t="shared" si="145"/>
        <v>121</v>
      </c>
      <c r="C1800" s="76">
        <v>1</v>
      </c>
      <c r="D1800" s="76">
        <v>2019</v>
      </c>
      <c r="E1800" s="56">
        <v>0.20000000000000004</v>
      </c>
      <c r="F1800" s="53">
        <f t="shared" si="146"/>
        <v>1</v>
      </c>
      <c r="G1800" s="53">
        <f t="shared" si="143"/>
        <v>2</v>
      </c>
      <c r="H1800" s="53">
        <f t="shared" si="144"/>
        <v>2</v>
      </c>
      <c r="I1800" s="53" t="str">
        <f t="shared" si="147"/>
        <v>ww</v>
      </c>
      <c r="J1800" s="53"/>
    </row>
    <row r="1801" spans="1:10" x14ac:dyDescent="0.25">
      <c r="A1801" s="93">
        <v>43488</v>
      </c>
      <c r="B1801" s="35">
        <f t="shared" si="145"/>
        <v>121</v>
      </c>
      <c r="C1801" s="76">
        <v>1</v>
      </c>
      <c r="D1801" s="76">
        <v>2019</v>
      </c>
      <c r="E1801" s="56">
        <v>0.10000000000000002</v>
      </c>
      <c r="F1801" s="53">
        <f t="shared" si="146"/>
        <v>1</v>
      </c>
      <c r="G1801" s="53">
        <f t="shared" si="143"/>
        <v>2</v>
      </c>
      <c r="H1801" s="53">
        <f t="shared" si="144"/>
        <v>2</v>
      </c>
      <c r="I1801" s="53" t="str">
        <f t="shared" si="147"/>
        <v>ww</v>
      </c>
      <c r="J1801" s="53"/>
    </row>
    <row r="1802" spans="1:10" x14ac:dyDescent="0.25">
      <c r="A1802" s="93">
        <v>43489</v>
      </c>
      <c r="B1802" s="35">
        <f t="shared" si="145"/>
        <v>121</v>
      </c>
      <c r="C1802" s="76">
        <v>1</v>
      </c>
      <c r="D1802" s="76">
        <v>2019</v>
      </c>
      <c r="E1802" s="56">
        <v>0.10000000000000002</v>
      </c>
      <c r="F1802" s="53">
        <f t="shared" si="146"/>
        <v>1</v>
      </c>
      <c r="G1802" s="53">
        <f t="shared" si="143"/>
        <v>2</v>
      </c>
      <c r="H1802" s="53">
        <f t="shared" si="144"/>
        <v>2</v>
      </c>
      <c r="I1802" s="53" t="str">
        <f t="shared" si="147"/>
        <v>ww</v>
      </c>
      <c r="J1802" s="53"/>
    </row>
    <row r="1803" spans="1:10" x14ac:dyDescent="0.25">
      <c r="A1803" s="93">
        <v>43490</v>
      </c>
      <c r="B1803" s="35">
        <f t="shared" si="145"/>
        <v>121</v>
      </c>
      <c r="C1803" s="76">
        <v>1</v>
      </c>
      <c r="D1803" s="76">
        <v>2019</v>
      </c>
      <c r="E1803" s="56">
        <v>0.5</v>
      </c>
      <c r="F1803" s="53">
        <f t="shared" si="146"/>
        <v>1</v>
      </c>
      <c r="G1803" s="53">
        <f t="shared" si="143"/>
        <v>2</v>
      </c>
      <c r="H1803" s="53">
        <f t="shared" si="144"/>
        <v>2</v>
      </c>
      <c r="I1803" s="53" t="str">
        <f t="shared" si="147"/>
        <v>ww</v>
      </c>
      <c r="J1803" s="53"/>
    </row>
    <row r="1804" spans="1:10" x14ac:dyDescent="0.25">
      <c r="A1804" s="93">
        <v>43491</v>
      </c>
      <c r="B1804" s="35">
        <f t="shared" si="145"/>
        <v>121</v>
      </c>
      <c r="C1804" s="76">
        <v>1</v>
      </c>
      <c r="D1804" s="76">
        <v>2019</v>
      </c>
      <c r="E1804" s="56">
        <v>0.40000000000000008</v>
      </c>
      <c r="F1804" s="53">
        <f t="shared" si="146"/>
        <v>1</v>
      </c>
      <c r="G1804" s="53">
        <f t="shared" si="143"/>
        <v>2</v>
      </c>
      <c r="H1804" s="53">
        <f t="shared" si="144"/>
        <v>2</v>
      </c>
      <c r="I1804" s="53" t="str">
        <f t="shared" si="147"/>
        <v>ww</v>
      </c>
      <c r="J1804" s="53"/>
    </row>
    <row r="1805" spans="1:10" x14ac:dyDescent="0.25">
      <c r="A1805" s="93">
        <v>43492</v>
      </c>
      <c r="B1805" s="35">
        <f t="shared" si="145"/>
        <v>121</v>
      </c>
      <c r="C1805" s="76">
        <v>1</v>
      </c>
      <c r="D1805" s="76">
        <v>2019</v>
      </c>
      <c r="E1805" s="56">
        <v>2.5</v>
      </c>
      <c r="F1805" s="53">
        <f t="shared" si="146"/>
        <v>1</v>
      </c>
      <c r="G1805" s="53">
        <f t="shared" si="143"/>
        <v>2</v>
      </c>
      <c r="H1805" s="53">
        <f t="shared" si="144"/>
        <v>2</v>
      </c>
      <c r="I1805" s="53" t="str">
        <f t="shared" si="147"/>
        <v>ww</v>
      </c>
      <c r="J1805" s="53"/>
    </row>
    <row r="1806" spans="1:10" x14ac:dyDescent="0.25">
      <c r="A1806" s="93">
        <v>43493</v>
      </c>
      <c r="B1806" s="35">
        <f t="shared" si="145"/>
        <v>121</v>
      </c>
      <c r="C1806" s="76">
        <v>1</v>
      </c>
      <c r="D1806" s="76">
        <v>2019</v>
      </c>
      <c r="E1806" s="56">
        <v>3.1</v>
      </c>
      <c r="F1806" s="53">
        <f t="shared" si="146"/>
        <v>1</v>
      </c>
      <c r="G1806" s="53">
        <f t="shared" si="143"/>
        <v>2</v>
      </c>
      <c r="H1806" s="53">
        <f t="shared" si="144"/>
        <v>2</v>
      </c>
      <c r="I1806" s="53" t="str">
        <f t="shared" si="147"/>
        <v>ww</v>
      </c>
      <c r="J1806" s="53"/>
    </row>
    <row r="1807" spans="1:10" x14ac:dyDescent="0.25">
      <c r="A1807" s="93">
        <v>43494</v>
      </c>
      <c r="B1807" s="35">
        <f t="shared" si="145"/>
        <v>121</v>
      </c>
      <c r="C1807" s="76">
        <v>1</v>
      </c>
      <c r="D1807" s="76">
        <v>2019</v>
      </c>
      <c r="E1807" s="56">
        <v>0.20000000000000004</v>
      </c>
      <c r="F1807" s="53">
        <f t="shared" si="146"/>
        <v>1</v>
      </c>
      <c r="G1807" s="53">
        <f t="shared" si="143"/>
        <v>2</v>
      </c>
      <c r="H1807" s="53">
        <f t="shared" si="144"/>
        <v>2</v>
      </c>
      <c r="I1807" s="53" t="str">
        <f t="shared" si="147"/>
        <v>ww</v>
      </c>
      <c r="J1807" s="53"/>
    </row>
    <row r="1808" spans="1:10" x14ac:dyDescent="0.25">
      <c r="A1808" s="93">
        <v>43495</v>
      </c>
      <c r="B1808" s="35">
        <f t="shared" si="145"/>
        <v>121</v>
      </c>
      <c r="C1808" s="76">
        <v>1</v>
      </c>
      <c r="D1808" s="76">
        <v>2019</v>
      </c>
      <c r="E1808" s="56">
        <v>0.69999999999999984</v>
      </c>
      <c r="F1808" s="53">
        <f t="shared" si="146"/>
        <v>1</v>
      </c>
      <c r="G1808" s="53">
        <f t="shared" si="143"/>
        <v>2</v>
      </c>
      <c r="H1808" s="53">
        <f t="shared" si="144"/>
        <v>2</v>
      </c>
      <c r="I1808" s="53" t="str">
        <f t="shared" si="147"/>
        <v>ww</v>
      </c>
      <c r="J1808" s="53"/>
    </row>
    <row r="1809" spans="1:10" x14ac:dyDescent="0.25">
      <c r="A1809" s="93">
        <v>43496</v>
      </c>
      <c r="B1809" s="35">
        <f t="shared" si="145"/>
        <v>121</v>
      </c>
      <c r="C1809" s="76">
        <v>1</v>
      </c>
      <c r="D1809" s="76">
        <v>2019</v>
      </c>
      <c r="E1809" s="56">
        <v>0.9</v>
      </c>
      <c r="F1809" s="53">
        <f t="shared" si="146"/>
        <v>1</v>
      </c>
      <c r="G1809" s="53">
        <f t="shared" si="143"/>
        <v>2</v>
      </c>
      <c r="H1809" s="53">
        <f t="shared" si="144"/>
        <v>2</v>
      </c>
      <c r="I1809" s="53" t="str">
        <f t="shared" si="147"/>
        <v>ww</v>
      </c>
      <c r="J1809" s="53"/>
    </row>
    <row r="1810" spans="1:10" x14ac:dyDescent="0.25">
      <c r="A1810" s="93">
        <v>43831</v>
      </c>
      <c r="B1810" s="35">
        <f t="shared" si="145"/>
        <v>133</v>
      </c>
      <c r="C1810" s="76">
        <v>1</v>
      </c>
      <c r="D1810" s="53">
        <v>2020</v>
      </c>
      <c r="E1810" s="56">
        <v>0.13333333333333333</v>
      </c>
      <c r="F1810" s="53">
        <f t="shared" si="146"/>
        <v>1</v>
      </c>
      <c r="G1810" s="53">
        <f t="shared" si="143"/>
        <v>2</v>
      </c>
      <c r="H1810" s="53">
        <f t="shared" si="144"/>
        <v>2</v>
      </c>
      <c r="I1810" s="53" t="str">
        <f t="shared" si="147"/>
        <v>ww</v>
      </c>
      <c r="J1810" s="53"/>
    </row>
    <row r="1811" spans="1:10" x14ac:dyDescent="0.25">
      <c r="A1811" s="93">
        <v>43832</v>
      </c>
      <c r="B1811" s="35">
        <f t="shared" si="145"/>
        <v>133</v>
      </c>
      <c r="C1811" s="76">
        <v>1</v>
      </c>
      <c r="D1811" s="53">
        <v>2020</v>
      </c>
      <c r="E1811" s="56">
        <v>0.13333333333333333</v>
      </c>
      <c r="F1811" s="53">
        <f t="shared" si="146"/>
        <v>1</v>
      </c>
      <c r="G1811" s="53">
        <f t="shared" si="143"/>
        <v>2</v>
      </c>
      <c r="H1811" s="53">
        <f t="shared" si="144"/>
        <v>2</v>
      </c>
      <c r="I1811" s="53" t="str">
        <f t="shared" si="147"/>
        <v>ww</v>
      </c>
      <c r="J1811" s="53"/>
    </row>
    <row r="1812" spans="1:10" x14ac:dyDescent="0.25">
      <c r="A1812" s="93">
        <v>43833</v>
      </c>
      <c r="B1812" s="35">
        <f t="shared" si="145"/>
        <v>133</v>
      </c>
      <c r="C1812" s="76">
        <v>1</v>
      </c>
      <c r="D1812" s="53">
        <v>2020</v>
      </c>
      <c r="E1812" s="56">
        <v>0.20000000000000004</v>
      </c>
      <c r="F1812" s="53">
        <f t="shared" si="146"/>
        <v>1</v>
      </c>
      <c r="G1812" s="53">
        <f t="shared" si="143"/>
        <v>2</v>
      </c>
      <c r="H1812" s="53">
        <f t="shared" si="144"/>
        <v>2</v>
      </c>
      <c r="I1812" s="53" t="str">
        <f t="shared" si="147"/>
        <v>ww</v>
      </c>
      <c r="J1812" s="53"/>
    </row>
    <row r="1813" spans="1:10" x14ac:dyDescent="0.25">
      <c r="A1813" s="93">
        <v>43834</v>
      </c>
      <c r="B1813" s="35">
        <f t="shared" si="145"/>
        <v>133</v>
      </c>
      <c r="C1813" s="76">
        <v>1</v>
      </c>
      <c r="D1813" s="53">
        <v>2020</v>
      </c>
      <c r="E1813" s="56">
        <v>0</v>
      </c>
      <c r="F1813" s="53">
        <f t="shared" si="146"/>
        <v>0</v>
      </c>
      <c r="G1813" s="53">
        <f t="shared" si="143"/>
        <v>1</v>
      </c>
      <c r="H1813" s="53">
        <f t="shared" si="144"/>
        <v>1</v>
      </c>
      <c r="I1813" s="53" t="str">
        <f t="shared" si="147"/>
        <v>wd</v>
      </c>
      <c r="J1813" s="53"/>
    </row>
    <row r="1814" spans="1:10" x14ac:dyDescent="0.25">
      <c r="A1814" s="93">
        <v>43835</v>
      </c>
      <c r="B1814" s="35">
        <f t="shared" si="145"/>
        <v>133</v>
      </c>
      <c r="C1814" s="76">
        <v>1</v>
      </c>
      <c r="D1814" s="53">
        <v>2020</v>
      </c>
      <c r="E1814" s="56">
        <v>0</v>
      </c>
      <c r="F1814" s="53">
        <f t="shared" si="146"/>
        <v>0</v>
      </c>
      <c r="G1814" s="53">
        <f t="shared" si="143"/>
        <v>0</v>
      </c>
      <c r="H1814" s="53">
        <f t="shared" si="144"/>
        <v>0</v>
      </c>
      <c r="I1814" s="53" t="str">
        <f t="shared" si="147"/>
        <v>dd</v>
      </c>
      <c r="J1814" s="53"/>
    </row>
    <row r="1815" spans="1:10" x14ac:dyDescent="0.25">
      <c r="A1815" s="93">
        <v>43836</v>
      </c>
      <c r="B1815" s="35">
        <f t="shared" si="145"/>
        <v>133</v>
      </c>
      <c r="C1815" s="76">
        <v>1</v>
      </c>
      <c r="D1815" s="53">
        <v>2020</v>
      </c>
      <c r="E1815" s="56">
        <v>0</v>
      </c>
      <c r="F1815" s="53">
        <f t="shared" si="146"/>
        <v>0</v>
      </c>
      <c r="G1815" s="53">
        <f t="shared" si="143"/>
        <v>0</v>
      </c>
      <c r="H1815" s="53">
        <f t="shared" si="144"/>
        <v>0</v>
      </c>
      <c r="I1815" s="53" t="str">
        <f t="shared" si="147"/>
        <v>dd</v>
      </c>
      <c r="J1815" s="53"/>
    </row>
    <row r="1816" spans="1:10" x14ac:dyDescent="0.25">
      <c r="A1816" s="93">
        <v>43837</v>
      </c>
      <c r="B1816" s="35">
        <f t="shared" si="145"/>
        <v>133</v>
      </c>
      <c r="C1816" s="76">
        <v>1</v>
      </c>
      <c r="D1816" s="53">
        <v>2020</v>
      </c>
      <c r="E1816" s="56">
        <v>0.13333333333333333</v>
      </c>
      <c r="F1816" s="53">
        <f t="shared" si="146"/>
        <v>1</v>
      </c>
      <c r="G1816" s="53">
        <f t="shared" si="143"/>
        <v>1</v>
      </c>
      <c r="H1816" s="53">
        <f t="shared" si="144"/>
        <v>-1</v>
      </c>
      <c r="I1816" s="53" t="str">
        <f t="shared" si="147"/>
        <v>dw</v>
      </c>
      <c r="J1816" s="53"/>
    </row>
    <row r="1817" spans="1:10" x14ac:dyDescent="0.25">
      <c r="A1817" s="93">
        <v>43838</v>
      </c>
      <c r="B1817" s="35">
        <f t="shared" si="145"/>
        <v>133</v>
      </c>
      <c r="C1817" s="76">
        <v>1</v>
      </c>
      <c r="D1817" s="53">
        <v>2020</v>
      </c>
      <c r="E1817" s="56">
        <v>0.20000000000000004</v>
      </c>
      <c r="F1817" s="53">
        <f t="shared" si="146"/>
        <v>1</v>
      </c>
      <c r="G1817" s="53">
        <f t="shared" si="143"/>
        <v>2</v>
      </c>
      <c r="H1817" s="53">
        <f t="shared" si="144"/>
        <v>2</v>
      </c>
      <c r="I1817" s="53" t="str">
        <f t="shared" si="147"/>
        <v>ww</v>
      </c>
      <c r="J1817" s="53"/>
    </row>
    <row r="1818" spans="1:10" x14ac:dyDescent="0.25">
      <c r="A1818" s="93">
        <v>43839</v>
      </c>
      <c r="B1818" s="35">
        <f t="shared" si="145"/>
        <v>133</v>
      </c>
      <c r="C1818" s="76">
        <v>1</v>
      </c>
      <c r="D1818" s="53">
        <v>2020</v>
      </c>
      <c r="E1818" s="56">
        <v>12</v>
      </c>
      <c r="F1818" s="53">
        <f t="shared" si="146"/>
        <v>1</v>
      </c>
      <c r="G1818" s="53">
        <f t="shared" si="143"/>
        <v>2</v>
      </c>
      <c r="H1818" s="53">
        <f t="shared" si="144"/>
        <v>2</v>
      </c>
      <c r="I1818" s="53" t="str">
        <f t="shared" si="147"/>
        <v>ww</v>
      </c>
      <c r="J1818" s="53"/>
    </row>
    <row r="1819" spans="1:10" x14ac:dyDescent="0.25">
      <c r="A1819" s="93">
        <v>43840</v>
      </c>
      <c r="B1819" s="35">
        <f t="shared" si="145"/>
        <v>133</v>
      </c>
      <c r="C1819" s="76">
        <v>1</v>
      </c>
      <c r="D1819" s="53">
        <v>2020</v>
      </c>
      <c r="E1819" s="56">
        <v>3.4666666666666663</v>
      </c>
      <c r="F1819" s="53">
        <f t="shared" si="146"/>
        <v>1</v>
      </c>
      <c r="G1819" s="53">
        <f t="shared" si="143"/>
        <v>2</v>
      </c>
      <c r="H1819" s="53">
        <f t="shared" si="144"/>
        <v>2</v>
      </c>
      <c r="I1819" s="53" t="str">
        <f t="shared" si="147"/>
        <v>ww</v>
      </c>
      <c r="J1819" s="53"/>
    </row>
    <row r="1820" spans="1:10" x14ac:dyDescent="0.25">
      <c r="A1820" s="93">
        <v>43841</v>
      </c>
      <c r="B1820" s="35">
        <f t="shared" si="145"/>
        <v>133</v>
      </c>
      <c r="C1820" s="76">
        <v>1</v>
      </c>
      <c r="D1820" s="53">
        <v>2020</v>
      </c>
      <c r="E1820" s="56">
        <v>6.6666666666666666E-2</v>
      </c>
      <c r="F1820" s="53">
        <f t="shared" si="146"/>
        <v>1</v>
      </c>
      <c r="G1820" s="53">
        <f t="shared" si="143"/>
        <v>2</v>
      </c>
      <c r="H1820" s="53">
        <f t="shared" si="144"/>
        <v>2</v>
      </c>
      <c r="I1820" s="53" t="str">
        <f t="shared" si="147"/>
        <v>ww</v>
      </c>
      <c r="J1820" s="53"/>
    </row>
    <row r="1821" spans="1:10" x14ac:dyDescent="0.25">
      <c r="A1821" s="93">
        <v>43842</v>
      </c>
      <c r="B1821" s="35">
        <f t="shared" si="145"/>
        <v>133</v>
      </c>
      <c r="C1821" s="76">
        <v>1</v>
      </c>
      <c r="D1821" s="53">
        <v>2020</v>
      </c>
      <c r="E1821" s="56">
        <v>0.26666666666666666</v>
      </c>
      <c r="F1821" s="53">
        <f t="shared" si="146"/>
        <v>1</v>
      </c>
      <c r="G1821" s="53">
        <f t="shared" si="143"/>
        <v>2</v>
      </c>
      <c r="H1821" s="53">
        <f t="shared" si="144"/>
        <v>2</v>
      </c>
      <c r="I1821" s="53" t="str">
        <f t="shared" si="147"/>
        <v>ww</v>
      </c>
      <c r="J1821" s="53"/>
    </row>
    <row r="1822" spans="1:10" x14ac:dyDescent="0.25">
      <c r="A1822" s="93">
        <v>43843</v>
      </c>
      <c r="B1822" s="35">
        <f t="shared" si="145"/>
        <v>133</v>
      </c>
      <c r="C1822" s="76">
        <v>1</v>
      </c>
      <c r="D1822" s="53">
        <v>2020</v>
      </c>
      <c r="E1822" s="56">
        <v>6.6666666666666666E-2</v>
      </c>
      <c r="F1822" s="53">
        <f t="shared" si="146"/>
        <v>1</v>
      </c>
      <c r="G1822" s="53">
        <f t="shared" si="143"/>
        <v>2</v>
      </c>
      <c r="H1822" s="53">
        <f t="shared" si="144"/>
        <v>2</v>
      </c>
      <c r="I1822" s="53" t="str">
        <f t="shared" si="147"/>
        <v>ww</v>
      </c>
      <c r="J1822" s="53"/>
    </row>
    <row r="1823" spans="1:10" x14ac:dyDescent="0.25">
      <c r="A1823" s="93">
        <v>43844</v>
      </c>
      <c r="B1823" s="35">
        <f t="shared" si="145"/>
        <v>133</v>
      </c>
      <c r="C1823" s="76">
        <v>1</v>
      </c>
      <c r="D1823" s="53">
        <v>2020</v>
      </c>
      <c r="E1823" s="56">
        <v>3.0666666666666664</v>
      </c>
      <c r="F1823" s="53">
        <f t="shared" si="146"/>
        <v>1</v>
      </c>
      <c r="G1823" s="53">
        <f t="shared" si="143"/>
        <v>2</v>
      </c>
      <c r="H1823" s="53">
        <f t="shared" si="144"/>
        <v>2</v>
      </c>
      <c r="I1823" s="53" t="str">
        <f t="shared" si="147"/>
        <v>ww</v>
      </c>
      <c r="J1823" s="53"/>
    </row>
    <row r="1824" spans="1:10" x14ac:dyDescent="0.25">
      <c r="A1824" s="93">
        <v>43845</v>
      </c>
      <c r="B1824" s="35">
        <f t="shared" si="145"/>
        <v>133</v>
      </c>
      <c r="C1824" s="76">
        <v>1</v>
      </c>
      <c r="D1824" s="53">
        <v>2020</v>
      </c>
      <c r="E1824" s="56">
        <v>4.8666666666666663</v>
      </c>
      <c r="F1824" s="53">
        <f t="shared" si="146"/>
        <v>1</v>
      </c>
      <c r="G1824" s="53">
        <f t="shared" si="143"/>
        <v>2</v>
      </c>
      <c r="H1824" s="53">
        <f t="shared" si="144"/>
        <v>2</v>
      </c>
      <c r="I1824" s="53" t="str">
        <f t="shared" si="147"/>
        <v>ww</v>
      </c>
      <c r="J1824" s="53"/>
    </row>
    <row r="1825" spans="1:10" x14ac:dyDescent="0.25">
      <c r="A1825" s="93">
        <v>43846</v>
      </c>
      <c r="B1825" s="35">
        <f t="shared" si="145"/>
        <v>133</v>
      </c>
      <c r="C1825" s="76">
        <v>1</v>
      </c>
      <c r="D1825" s="53">
        <v>2020</v>
      </c>
      <c r="E1825" s="56">
        <v>0</v>
      </c>
      <c r="F1825" s="53">
        <f t="shared" si="146"/>
        <v>0</v>
      </c>
      <c r="G1825" s="53">
        <f t="shared" si="143"/>
        <v>1</v>
      </c>
      <c r="H1825" s="53">
        <f t="shared" si="144"/>
        <v>1</v>
      </c>
      <c r="I1825" s="53" t="str">
        <f t="shared" si="147"/>
        <v>wd</v>
      </c>
      <c r="J1825" s="53"/>
    </row>
    <row r="1826" spans="1:10" x14ac:dyDescent="0.25">
      <c r="A1826" s="93">
        <v>43847</v>
      </c>
      <c r="B1826" s="35">
        <f t="shared" si="145"/>
        <v>133</v>
      </c>
      <c r="C1826" s="76">
        <v>1</v>
      </c>
      <c r="D1826" s="53">
        <v>2020</v>
      </c>
      <c r="E1826" s="56">
        <v>0.53333333333333333</v>
      </c>
      <c r="F1826" s="53">
        <f t="shared" si="146"/>
        <v>1</v>
      </c>
      <c r="G1826" s="53">
        <f t="shared" si="143"/>
        <v>1</v>
      </c>
      <c r="H1826" s="53">
        <f t="shared" si="144"/>
        <v>-1</v>
      </c>
      <c r="I1826" s="53" t="str">
        <f t="shared" si="147"/>
        <v>dw</v>
      </c>
      <c r="J1826" s="53"/>
    </row>
    <row r="1827" spans="1:10" x14ac:dyDescent="0.25">
      <c r="A1827" s="93">
        <v>43848</v>
      </c>
      <c r="B1827" s="35">
        <f t="shared" si="145"/>
        <v>133</v>
      </c>
      <c r="C1827" s="76">
        <v>1</v>
      </c>
      <c r="D1827" s="53">
        <v>2020</v>
      </c>
      <c r="E1827" s="56">
        <v>1</v>
      </c>
      <c r="F1827" s="53">
        <f t="shared" si="146"/>
        <v>1</v>
      </c>
      <c r="G1827" s="53">
        <f t="shared" si="143"/>
        <v>2</v>
      </c>
      <c r="H1827" s="53">
        <f t="shared" si="144"/>
        <v>2</v>
      </c>
      <c r="I1827" s="53" t="str">
        <f t="shared" si="147"/>
        <v>ww</v>
      </c>
      <c r="J1827" s="53"/>
    </row>
    <row r="1828" spans="1:10" x14ac:dyDescent="0.25">
      <c r="A1828" s="93">
        <v>43849</v>
      </c>
      <c r="B1828" s="35">
        <f t="shared" si="145"/>
        <v>133</v>
      </c>
      <c r="C1828" s="76">
        <v>1</v>
      </c>
      <c r="D1828" s="53">
        <v>2020</v>
      </c>
      <c r="E1828" s="56">
        <v>0</v>
      </c>
      <c r="F1828" s="53">
        <f t="shared" si="146"/>
        <v>0</v>
      </c>
      <c r="G1828" s="53">
        <f t="shared" si="143"/>
        <v>1</v>
      </c>
      <c r="H1828" s="53">
        <f t="shared" si="144"/>
        <v>1</v>
      </c>
      <c r="I1828" s="53" t="str">
        <f t="shared" si="147"/>
        <v>wd</v>
      </c>
      <c r="J1828" s="53"/>
    </row>
    <row r="1829" spans="1:10" x14ac:dyDescent="0.25">
      <c r="A1829" s="93">
        <v>43850</v>
      </c>
      <c r="B1829" s="35">
        <f t="shared" si="145"/>
        <v>133</v>
      </c>
      <c r="C1829" s="76">
        <v>1</v>
      </c>
      <c r="D1829" s="53">
        <v>2020</v>
      </c>
      <c r="E1829" s="56">
        <v>6.6666666666666666E-2</v>
      </c>
      <c r="F1829" s="53">
        <f t="shared" si="146"/>
        <v>1</v>
      </c>
      <c r="G1829" s="53">
        <f t="shared" si="143"/>
        <v>1</v>
      </c>
      <c r="H1829" s="53">
        <f t="shared" si="144"/>
        <v>-1</v>
      </c>
      <c r="I1829" s="53" t="str">
        <f t="shared" si="147"/>
        <v>dw</v>
      </c>
      <c r="J1829" s="53"/>
    </row>
    <row r="1830" spans="1:10" x14ac:dyDescent="0.25">
      <c r="A1830" s="93">
        <v>43851</v>
      </c>
      <c r="B1830" s="35">
        <f t="shared" si="145"/>
        <v>133</v>
      </c>
      <c r="C1830" s="76">
        <v>1</v>
      </c>
      <c r="D1830" s="53">
        <v>2020</v>
      </c>
      <c r="E1830" s="56">
        <v>0</v>
      </c>
      <c r="F1830" s="53">
        <f t="shared" si="146"/>
        <v>0</v>
      </c>
      <c r="G1830" s="53">
        <f t="shared" si="143"/>
        <v>1</v>
      </c>
      <c r="H1830" s="53">
        <f t="shared" si="144"/>
        <v>1</v>
      </c>
      <c r="I1830" s="53" t="str">
        <f t="shared" si="147"/>
        <v>wd</v>
      </c>
      <c r="J1830" s="53"/>
    </row>
    <row r="1831" spans="1:10" x14ac:dyDescent="0.25">
      <c r="A1831" s="93">
        <v>43852</v>
      </c>
      <c r="B1831" s="35">
        <f t="shared" si="145"/>
        <v>133</v>
      </c>
      <c r="C1831" s="76">
        <v>1</v>
      </c>
      <c r="D1831" s="53">
        <v>2020</v>
      </c>
      <c r="E1831" s="56">
        <v>0</v>
      </c>
      <c r="F1831" s="53">
        <f t="shared" si="146"/>
        <v>0</v>
      </c>
      <c r="G1831" s="53">
        <f t="shared" si="143"/>
        <v>0</v>
      </c>
      <c r="H1831" s="53">
        <f t="shared" si="144"/>
        <v>0</v>
      </c>
      <c r="I1831" s="53" t="str">
        <f t="shared" si="147"/>
        <v>dd</v>
      </c>
      <c r="J1831" s="53"/>
    </row>
    <row r="1832" spans="1:10" x14ac:dyDescent="0.25">
      <c r="A1832" s="93">
        <v>43853</v>
      </c>
      <c r="B1832" s="35">
        <f t="shared" si="145"/>
        <v>133</v>
      </c>
      <c r="C1832" s="76">
        <v>1</v>
      </c>
      <c r="D1832" s="53">
        <v>2020</v>
      </c>
      <c r="E1832" s="56">
        <v>0</v>
      </c>
      <c r="F1832" s="53">
        <f t="shared" si="146"/>
        <v>0</v>
      </c>
      <c r="G1832" s="53">
        <f t="shared" si="143"/>
        <v>0</v>
      </c>
      <c r="H1832" s="53">
        <f t="shared" si="144"/>
        <v>0</v>
      </c>
      <c r="I1832" s="53" t="str">
        <f t="shared" si="147"/>
        <v>dd</v>
      </c>
      <c r="J1832" s="53"/>
    </row>
    <row r="1833" spans="1:10" x14ac:dyDescent="0.25">
      <c r="A1833" s="93">
        <v>43854</v>
      </c>
      <c r="B1833" s="35">
        <f t="shared" si="145"/>
        <v>133</v>
      </c>
      <c r="C1833" s="76">
        <v>1</v>
      </c>
      <c r="D1833" s="53">
        <v>2020</v>
      </c>
      <c r="E1833" s="56">
        <v>0</v>
      </c>
      <c r="F1833" s="53">
        <f t="shared" si="146"/>
        <v>0</v>
      </c>
      <c r="G1833" s="53">
        <f t="shared" si="143"/>
        <v>0</v>
      </c>
      <c r="H1833" s="53">
        <f t="shared" si="144"/>
        <v>0</v>
      </c>
      <c r="I1833" s="53" t="str">
        <f t="shared" si="147"/>
        <v>dd</v>
      </c>
      <c r="J1833" s="53"/>
    </row>
    <row r="1834" spans="1:10" x14ac:dyDescent="0.25">
      <c r="A1834" s="93">
        <v>43855</v>
      </c>
      <c r="B1834" s="35">
        <f t="shared" si="145"/>
        <v>133</v>
      </c>
      <c r="C1834" s="76">
        <v>1</v>
      </c>
      <c r="D1834" s="53">
        <v>2020</v>
      </c>
      <c r="E1834" s="56">
        <v>0</v>
      </c>
      <c r="F1834" s="53">
        <f t="shared" si="146"/>
        <v>0</v>
      </c>
      <c r="G1834" s="53">
        <f t="shared" si="143"/>
        <v>0</v>
      </c>
      <c r="H1834" s="53">
        <f t="shared" si="144"/>
        <v>0</v>
      </c>
      <c r="I1834" s="53" t="str">
        <f t="shared" si="147"/>
        <v>dd</v>
      </c>
      <c r="J1834" s="53"/>
    </row>
    <row r="1835" spans="1:10" x14ac:dyDescent="0.25">
      <c r="A1835" s="93">
        <v>43856</v>
      </c>
      <c r="B1835" s="35">
        <f t="shared" si="145"/>
        <v>133</v>
      </c>
      <c r="C1835" s="76">
        <v>1</v>
      </c>
      <c r="D1835" s="53">
        <v>2020</v>
      </c>
      <c r="E1835" s="56">
        <v>0</v>
      </c>
      <c r="F1835" s="53">
        <f t="shared" si="146"/>
        <v>0</v>
      </c>
      <c r="G1835" s="53">
        <f t="shared" si="143"/>
        <v>0</v>
      </c>
      <c r="H1835" s="53">
        <f t="shared" si="144"/>
        <v>0</v>
      </c>
      <c r="I1835" s="53" t="str">
        <f t="shared" si="147"/>
        <v>dd</v>
      </c>
      <c r="J1835" s="53"/>
    </row>
    <row r="1836" spans="1:10" x14ac:dyDescent="0.25">
      <c r="A1836" s="93">
        <v>43857</v>
      </c>
      <c r="B1836" s="35">
        <f t="shared" si="145"/>
        <v>133</v>
      </c>
      <c r="C1836" s="76">
        <v>1</v>
      </c>
      <c r="D1836" s="53">
        <v>2020</v>
      </c>
      <c r="E1836" s="56">
        <v>0.33333333333333331</v>
      </c>
      <c r="F1836" s="53">
        <f t="shared" si="146"/>
        <v>1</v>
      </c>
      <c r="G1836" s="53">
        <f t="shared" si="143"/>
        <v>1</v>
      </c>
      <c r="H1836" s="53">
        <f t="shared" si="144"/>
        <v>-1</v>
      </c>
      <c r="I1836" s="53" t="str">
        <f t="shared" si="147"/>
        <v>dw</v>
      </c>
      <c r="J1836" s="53"/>
    </row>
    <row r="1837" spans="1:10" x14ac:dyDescent="0.25">
      <c r="A1837" s="93">
        <v>43858</v>
      </c>
      <c r="B1837" s="35">
        <f t="shared" si="145"/>
        <v>133</v>
      </c>
      <c r="C1837" s="76">
        <v>1</v>
      </c>
      <c r="D1837" s="53">
        <v>2020</v>
      </c>
      <c r="E1837" s="56">
        <v>0.13333333333333333</v>
      </c>
      <c r="F1837" s="53">
        <f t="shared" si="146"/>
        <v>1</v>
      </c>
      <c r="G1837" s="53">
        <f t="shared" si="143"/>
        <v>2</v>
      </c>
      <c r="H1837" s="53">
        <f t="shared" si="144"/>
        <v>2</v>
      </c>
      <c r="I1837" s="53" t="str">
        <f t="shared" si="147"/>
        <v>ww</v>
      </c>
      <c r="J1837" s="53"/>
    </row>
    <row r="1838" spans="1:10" x14ac:dyDescent="0.25">
      <c r="A1838" s="93">
        <v>43859</v>
      </c>
      <c r="B1838" s="35">
        <f t="shared" si="145"/>
        <v>133</v>
      </c>
      <c r="C1838" s="76">
        <v>1</v>
      </c>
      <c r="D1838" s="53">
        <v>2020</v>
      </c>
      <c r="E1838" s="56">
        <v>0</v>
      </c>
      <c r="F1838" s="53">
        <f t="shared" si="146"/>
        <v>0</v>
      </c>
      <c r="G1838" s="53">
        <f t="shared" si="143"/>
        <v>1</v>
      </c>
      <c r="H1838" s="53">
        <f t="shared" si="144"/>
        <v>1</v>
      </c>
      <c r="I1838" s="53" t="str">
        <f t="shared" si="147"/>
        <v>wd</v>
      </c>
      <c r="J1838" s="53"/>
    </row>
    <row r="1839" spans="1:10" x14ac:dyDescent="0.25">
      <c r="A1839" s="93">
        <v>43860</v>
      </c>
      <c r="B1839" s="35">
        <f t="shared" si="145"/>
        <v>133</v>
      </c>
      <c r="C1839" s="76">
        <v>1</v>
      </c>
      <c r="D1839" s="53">
        <v>2020</v>
      </c>
      <c r="E1839" s="56">
        <v>0.20000000000000004</v>
      </c>
      <c r="F1839" s="53">
        <f t="shared" si="146"/>
        <v>1</v>
      </c>
      <c r="G1839" s="53">
        <f t="shared" si="143"/>
        <v>1</v>
      </c>
      <c r="H1839" s="53">
        <f t="shared" si="144"/>
        <v>-1</v>
      </c>
      <c r="I1839" s="53" t="str">
        <f t="shared" si="147"/>
        <v>dw</v>
      </c>
      <c r="J1839" s="53"/>
    </row>
    <row r="1840" spans="1:10" x14ac:dyDescent="0.25">
      <c r="A1840" s="93">
        <v>43861</v>
      </c>
      <c r="B1840" s="35">
        <f t="shared" si="145"/>
        <v>133</v>
      </c>
      <c r="C1840" s="76">
        <v>1</v>
      </c>
      <c r="D1840" s="53">
        <v>2020</v>
      </c>
      <c r="E1840" s="56">
        <v>0.6</v>
      </c>
      <c r="F1840" s="53">
        <f t="shared" si="146"/>
        <v>1</v>
      </c>
      <c r="G1840" s="53">
        <f t="shared" si="143"/>
        <v>2</v>
      </c>
      <c r="H1840" s="53">
        <f t="shared" si="144"/>
        <v>2</v>
      </c>
      <c r="I1840" s="53" t="str">
        <f t="shared" si="147"/>
        <v>ww</v>
      </c>
      <c r="J1840" s="53"/>
    </row>
    <row r="1841" spans="1:10" x14ac:dyDescent="0.25">
      <c r="A1841" s="93">
        <v>44197</v>
      </c>
      <c r="B1841" s="35">
        <f t="shared" si="145"/>
        <v>145</v>
      </c>
      <c r="C1841" s="76">
        <v>1</v>
      </c>
      <c r="D1841" s="53">
        <v>2021</v>
      </c>
      <c r="E1841" s="56">
        <v>5.333333333333333</v>
      </c>
      <c r="F1841" s="53">
        <f t="shared" si="146"/>
        <v>1</v>
      </c>
      <c r="G1841" s="53">
        <f t="shared" si="143"/>
        <v>2</v>
      </c>
      <c r="H1841" s="53">
        <f t="shared" si="144"/>
        <v>2</v>
      </c>
      <c r="I1841" s="53" t="str">
        <f t="shared" si="147"/>
        <v>ww</v>
      </c>
      <c r="J1841" s="53"/>
    </row>
    <row r="1842" spans="1:10" x14ac:dyDescent="0.25">
      <c r="A1842" s="93">
        <v>44198</v>
      </c>
      <c r="B1842" s="35">
        <f t="shared" si="145"/>
        <v>145</v>
      </c>
      <c r="C1842" s="76">
        <v>1</v>
      </c>
      <c r="D1842" s="53">
        <v>2021</v>
      </c>
      <c r="E1842" s="56">
        <v>0.8666666666666667</v>
      </c>
      <c r="F1842" s="53">
        <f t="shared" si="146"/>
        <v>1</v>
      </c>
      <c r="G1842" s="53">
        <f t="shared" si="143"/>
        <v>2</v>
      </c>
      <c r="H1842" s="53">
        <f t="shared" si="144"/>
        <v>2</v>
      </c>
      <c r="I1842" s="53" t="str">
        <f t="shared" si="147"/>
        <v>ww</v>
      </c>
      <c r="J1842" s="53"/>
    </row>
    <row r="1843" spans="1:10" x14ac:dyDescent="0.25">
      <c r="A1843" s="93">
        <v>44199</v>
      </c>
      <c r="B1843" s="35">
        <f t="shared" si="145"/>
        <v>145</v>
      </c>
      <c r="C1843" s="76">
        <v>1</v>
      </c>
      <c r="D1843" s="53">
        <v>2021</v>
      </c>
      <c r="E1843" s="56">
        <v>13.133333333333335</v>
      </c>
      <c r="F1843" s="53">
        <f t="shared" si="146"/>
        <v>1</v>
      </c>
      <c r="G1843" s="53">
        <f t="shared" si="143"/>
        <v>2</v>
      </c>
      <c r="H1843" s="53">
        <f t="shared" si="144"/>
        <v>2</v>
      </c>
      <c r="I1843" s="53" t="str">
        <f t="shared" si="147"/>
        <v>ww</v>
      </c>
      <c r="J1843" s="53"/>
    </row>
    <row r="1844" spans="1:10" x14ac:dyDescent="0.25">
      <c r="A1844" s="93">
        <v>44200</v>
      </c>
      <c r="B1844" s="35">
        <f t="shared" si="145"/>
        <v>145</v>
      </c>
      <c r="C1844" s="76">
        <v>1</v>
      </c>
      <c r="D1844" s="53">
        <v>2021</v>
      </c>
      <c r="E1844" s="56">
        <v>6.1999999999999993</v>
      </c>
      <c r="F1844" s="53">
        <f t="shared" si="146"/>
        <v>1</v>
      </c>
      <c r="G1844" s="53">
        <f t="shared" ref="G1844:G1907" si="148">SUM(F1843:F1844)</f>
        <v>2</v>
      </c>
      <c r="H1844" s="53">
        <f t="shared" ref="H1844:H1907" si="149">IF(G1844=1,IF(F1843=1,1,-1),G1844)</f>
        <v>2</v>
      </c>
      <c r="I1844" s="53" t="str">
        <f t="shared" si="147"/>
        <v>ww</v>
      </c>
      <c r="J1844" s="53"/>
    </row>
    <row r="1845" spans="1:10" x14ac:dyDescent="0.25">
      <c r="A1845" s="93">
        <v>44201</v>
      </c>
      <c r="B1845" s="35">
        <f t="shared" si="145"/>
        <v>145</v>
      </c>
      <c r="C1845" s="76">
        <v>1</v>
      </c>
      <c r="D1845" s="53">
        <v>2021</v>
      </c>
      <c r="E1845" s="56">
        <v>2</v>
      </c>
      <c r="F1845" s="53">
        <f t="shared" si="146"/>
        <v>1</v>
      </c>
      <c r="G1845" s="53">
        <f t="shared" si="148"/>
        <v>2</v>
      </c>
      <c r="H1845" s="53">
        <f t="shared" si="149"/>
        <v>2</v>
      </c>
      <c r="I1845" s="53" t="str">
        <f t="shared" si="147"/>
        <v>ww</v>
      </c>
      <c r="J1845" s="53"/>
    </row>
    <row r="1846" spans="1:10" x14ac:dyDescent="0.25">
      <c r="A1846" s="93">
        <v>44202</v>
      </c>
      <c r="B1846" s="35">
        <f t="shared" si="145"/>
        <v>145</v>
      </c>
      <c r="C1846" s="76">
        <v>1</v>
      </c>
      <c r="D1846" s="53">
        <v>2021</v>
      </c>
      <c r="E1846" s="56">
        <v>5.666666666666667</v>
      </c>
      <c r="F1846" s="53">
        <f t="shared" si="146"/>
        <v>1</v>
      </c>
      <c r="G1846" s="53">
        <f t="shared" si="148"/>
        <v>2</v>
      </c>
      <c r="H1846" s="53">
        <f t="shared" si="149"/>
        <v>2</v>
      </c>
      <c r="I1846" s="53" t="str">
        <f t="shared" si="147"/>
        <v>ww</v>
      </c>
      <c r="J1846" s="53"/>
    </row>
    <row r="1847" spans="1:10" x14ac:dyDescent="0.25">
      <c r="A1847" s="93">
        <v>44203</v>
      </c>
      <c r="B1847" s="35">
        <f t="shared" si="145"/>
        <v>145</v>
      </c>
      <c r="C1847" s="76">
        <v>1</v>
      </c>
      <c r="D1847" s="53">
        <v>2021</v>
      </c>
      <c r="E1847" s="56">
        <v>2.6</v>
      </c>
      <c r="F1847" s="53">
        <f t="shared" si="146"/>
        <v>1</v>
      </c>
      <c r="G1847" s="53">
        <f t="shared" si="148"/>
        <v>2</v>
      </c>
      <c r="H1847" s="53">
        <f t="shared" si="149"/>
        <v>2</v>
      </c>
      <c r="I1847" s="53" t="str">
        <f t="shared" si="147"/>
        <v>ww</v>
      </c>
      <c r="J1847" s="53"/>
    </row>
    <row r="1848" spans="1:10" x14ac:dyDescent="0.25">
      <c r="A1848" s="93">
        <v>44204</v>
      </c>
      <c r="B1848" s="35">
        <f t="shared" si="145"/>
        <v>145</v>
      </c>
      <c r="C1848" s="76">
        <v>1</v>
      </c>
      <c r="D1848" s="53">
        <v>2021</v>
      </c>
      <c r="E1848" s="56">
        <v>15.466666666666669</v>
      </c>
      <c r="F1848" s="53">
        <f t="shared" si="146"/>
        <v>1</v>
      </c>
      <c r="G1848" s="53">
        <f t="shared" si="148"/>
        <v>2</v>
      </c>
      <c r="H1848" s="53">
        <f t="shared" si="149"/>
        <v>2</v>
      </c>
      <c r="I1848" s="53" t="str">
        <f t="shared" si="147"/>
        <v>ww</v>
      </c>
      <c r="J1848" s="53"/>
    </row>
    <row r="1849" spans="1:10" x14ac:dyDescent="0.25">
      <c r="A1849" s="93">
        <v>44205</v>
      </c>
      <c r="B1849" s="35">
        <f t="shared" si="145"/>
        <v>145</v>
      </c>
      <c r="C1849" s="76">
        <v>1</v>
      </c>
      <c r="D1849" s="53">
        <v>2021</v>
      </c>
      <c r="E1849" s="56">
        <v>1.6666666666666667</v>
      </c>
      <c r="F1849" s="53">
        <f t="shared" si="146"/>
        <v>1</v>
      </c>
      <c r="G1849" s="53">
        <f t="shared" si="148"/>
        <v>2</v>
      </c>
      <c r="H1849" s="53">
        <f t="shared" si="149"/>
        <v>2</v>
      </c>
      <c r="I1849" s="53" t="str">
        <f t="shared" si="147"/>
        <v>ww</v>
      </c>
      <c r="J1849" s="53"/>
    </row>
    <row r="1850" spans="1:10" x14ac:dyDescent="0.25">
      <c r="A1850" s="93">
        <v>44206</v>
      </c>
      <c r="B1850" s="35">
        <f t="shared" si="145"/>
        <v>145</v>
      </c>
      <c r="C1850" s="76">
        <v>1</v>
      </c>
      <c r="D1850" s="53">
        <v>2021</v>
      </c>
      <c r="E1850" s="56">
        <v>0.66666666666666663</v>
      </c>
      <c r="F1850" s="53">
        <f t="shared" si="146"/>
        <v>1</v>
      </c>
      <c r="G1850" s="53">
        <f t="shared" si="148"/>
        <v>2</v>
      </c>
      <c r="H1850" s="53">
        <f t="shared" si="149"/>
        <v>2</v>
      </c>
      <c r="I1850" s="53" t="str">
        <f t="shared" si="147"/>
        <v>ww</v>
      </c>
      <c r="J1850" s="53"/>
    </row>
    <row r="1851" spans="1:10" x14ac:dyDescent="0.25">
      <c r="A1851" s="93">
        <v>44207</v>
      </c>
      <c r="B1851" s="35">
        <f t="shared" si="145"/>
        <v>145</v>
      </c>
      <c r="C1851" s="76">
        <v>1</v>
      </c>
      <c r="D1851" s="53">
        <v>2021</v>
      </c>
      <c r="E1851" s="56">
        <v>0.20000000000000004</v>
      </c>
      <c r="F1851" s="53">
        <f t="shared" si="146"/>
        <v>1</v>
      </c>
      <c r="G1851" s="53">
        <f t="shared" si="148"/>
        <v>2</v>
      </c>
      <c r="H1851" s="53">
        <f t="shared" si="149"/>
        <v>2</v>
      </c>
      <c r="I1851" s="53" t="str">
        <f t="shared" si="147"/>
        <v>ww</v>
      </c>
      <c r="J1851" s="53"/>
    </row>
    <row r="1852" spans="1:10" x14ac:dyDescent="0.25">
      <c r="A1852" s="93">
        <v>44208</v>
      </c>
      <c r="B1852" s="35">
        <f t="shared" si="145"/>
        <v>145</v>
      </c>
      <c r="C1852" s="76">
        <v>1</v>
      </c>
      <c r="D1852" s="53">
        <v>2021</v>
      </c>
      <c r="E1852" s="56">
        <v>5.4666666666666659</v>
      </c>
      <c r="F1852" s="53">
        <f t="shared" si="146"/>
        <v>1</v>
      </c>
      <c r="G1852" s="53">
        <f t="shared" si="148"/>
        <v>2</v>
      </c>
      <c r="H1852" s="53">
        <f t="shared" si="149"/>
        <v>2</v>
      </c>
      <c r="I1852" s="53" t="str">
        <f t="shared" si="147"/>
        <v>ww</v>
      </c>
      <c r="J1852" s="53"/>
    </row>
    <row r="1853" spans="1:10" x14ac:dyDescent="0.25">
      <c r="A1853" s="93">
        <v>44209</v>
      </c>
      <c r="B1853" s="35">
        <f t="shared" si="145"/>
        <v>145</v>
      </c>
      <c r="C1853" s="76">
        <v>1</v>
      </c>
      <c r="D1853" s="53">
        <v>2021</v>
      </c>
      <c r="E1853" s="56">
        <v>0</v>
      </c>
      <c r="F1853" s="53">
        <f t="shared" si="146"/>
        <v>0</v>
      </c>
      <c r="G1853" s="53">
        <f t="shared" si="148"/>
        <v>1</v>
      </c>
      <c r="H1853" s="53">
        <f t="shared" si="149"/>
        <v>1</v>
      </c>
      <c r="I1853" s="53" t="str">
        <f t="shared" si="147"/>
        <v>wd</v>
      </c>
      <c r="J1853" s="53"/>
    </row>
    <row r="1854" spans="1:10" x14ac:dyDescent="0.25">
      <c r="A1854" s="93">
        <v>44210</v>
      </c>
      <c r="B1854" s="35">
        <f t="shared" si="145"/>
        <v>145</v>
      </c>
      <c r="C1854" s="76">
        <v>1</v>
      </c>
      <c r="D1854" s="53">
        <v>2021</v>
      </c>
      <c r="E1854" s="56">
        <v>12.266666666666666</v>
      </c>
      <c r="F1854" s="53">
        <f t="shared" si="146"/>
        <v>1</v>
      </c>
      <c r="G1854" s="53">
        <f t="shared" si="148"/>
        <v>1</v>
      </c>
      <c r="H1854" s="53">
        <f t="shared" si="149"/>
        <v>-1</v>
      </c>
      <c r="I1854" s="53" t="str">
        <f t="shared" si="147"/>
        <v>dw</v>
      </c>
      <c r="J1854" s="53"/>
    </row>
    <row r="1855" spans="1:10" x14ac:dyDescent="0.25">
      <c r="A1855" s="93">
        <v>44211</v>
      </c>
      <c r="B1855" s="35">
        <f t="shared" si="145"/>
        <v>145</v>
      </c>
      <c r="C1855" s="76">
        <v>1</v>
      </c>
      <c r="D1855" s="53">
        <v>2021</v>
      </c>
      <c r="E1855" s="56">
        <v>5.5333333333333341</v>
      </c>
      <c r="F1855" s="53">
        <f t="shared" si="146"/>
        <v>1</v>
      </c>
      <c r="G1855" s="53">
        <f t="shared" si="148"/>
        <v>2</v>
      </c>
      <c r="H1855" s="53">
        <f t="shared" si="149"/>
        <v>2</v>
      </c>
      <c r="I1855" s="53" t="str">
        <f t="shared" si="147"/>
        <v>ww</v>
      </c>
      <c r="J1855" s="53"/>
    </row>
    <row r="1856" spans="1:10" x14ac:dyDescent="0.25">
      <c r="A1856" s="93">
        <v>44212</v>
      </c>
      <c r="B1856" s="35">
        <f t="shared" si="145"/>
        <v>145</v>
      </c>
      <c r="C1856" s="76">
        <v>1</v>
      </c>
      <c r="D1856" s="53">
        <v>2021</v>
      </c>
      <c r="E1856" s="56">
        <v>5.7</v>
      </c>
      <c r="F1856" s="53">
        <f t="shared" si="146"/>
        <v>1</v>
      </c>
      <c r="G1856" s="53">
        <f t="shared" si="148"/>
        <v>2</v>
      </c>
      <c r="H1856" s="53">
        <f t="shared" si="149"/>
        <v>2</v>
      </c>
      <c r="I1856" s="53" t="str">
        <f t="shared" si="147"/>
        <v>ww</v>
      </c>
      <c r="J1856" s="53"/>
    </row>
    <row r="1857" spans="1:10" x14ac:dyDescent="0.25">
      <c r="A1857" s="93">
        <v>44213</v>
      </c>
      <c r="B1857" s="35">
        <f t="shared" si="145"/>
        <v>145</v>
      </c>
      <c r="C1857" s="76">
        <v>1</v>
      </c>
      <c r="D1857" s="53">
        <v>2021</v>
      </c>
      <c r="E1857" s="56">
        <v>0.13333333333333333</v>
      </c>
      <c r="F1857" s="53">
        <f t="shared" si="146"/>
        <v>1</v>
      </c>
      <c r="G1857" s="53">
        <f t="shared" si="148"/>
        <v>2</v>
      </c>
      <c r="H1857" s="53">
        <f t="shared" si="149"/>
        <v>2</v>
      </c>
      <c r="I1857" s="53" t="str">
        <f t="shared" si="147"/>
        <v>ww</v>
      </c>
      <c r="J1857" s="53"/>
    </row>
    <row r="1858" spans="1:10" x14ac:dyDescent="0.25">
      <c r="A1858" s="93">
        <v>44214</v>
      </c>
      <c r="B1858" s="35">
        <f t="shared" ref="B1858:B1921" si="150">C1858+(D1858-2009)*12</f>
        <v>145</v>
      </c>
      <c r="C1858" s="76">
        <v>1</v>
      </c>
      <c r="D1858" s="53">
        <v>2021</v>
      </c>
      <c r="E1858" s="56">
        <v>0</v>
      </c>
      <c r="F1858" s="53">
        <f t="shared" ref="F1858:F1921" si="151">IF(E1858&gt;0,1,0)</f>
        <v>0</v>
      </c>
      <c r="G1858" s="53">
        <f t="shared" si="148"/>
        <v>1</v>
      </c>
      <c r="H1858" s="53">
        <f t="shared" si="149"/>
        <v>1</v>
      </c>
      <c r="I1858" s="53" t="str">
        <f t="shared" ref="I1858:I1921" si="152">VLOOKUP(H1858,codes,2,)</f>
        <v>wd</v>
      </c>
      <c r="J1858" s="53"/>
    </row>
    <row r="1859" spans="1:10" x14ac:dyDescent="0.25">
      <c r="A1859" s="93">
        <v>44215</v>
      </c>
      <c r="B1859" s="35">
        <f t="shared" si="150"/>
        <v>145</v>
      </c>
      <c r="C1859" s="76">
        <v>1</v>
      </c>
      <c r="D1859" s="53">
        <v>2021</v>
      </c>
      <c r="E1859" s="56">
        <v>2.9</v>
      </c>
      <c r="F1859" s="53">
        <f t="shared" si="151"/>
        <v>1</v>
      </c>
      <c r="G1859" s="53">
        <f t="shared" si="148"/>
        <v>1</v>
      </c>
      <c r="H1859" s="53">
        <f t="shared" si="149"/>
        <v>-1</v>
      </c>
      <c r="I1859" s="53" t="str">
        <f t="shared" si="152"/>
        <v>dw</v>
      </c>
      <c r="J1859" s="53"/>
    </row>
    <row r="1860" spans="1:10" x14ac:dyDescent="0.25">
      <c r="A1860" s="93">
        <v>44216</v>
      </c>
      <c r="B1860" s="35">
        <f t="shared" si="150"/>
        <v>145</v>
      </c>
      <c r="C1860" s="76">
        <v>1</v>
      </c>
      <c r="D1860" s="53">
        <v>2021</v>
      </c>
      <c r="E1860" s="56">
        <v>16.400000000000002</v>
      </c>
      <c r="F1860" s="53">
        <f t="shared" si="151"/>
        <v>1</v>
      </c>
      <c r="G1860" s="53">
        <f t="shared" si="148"/>
        <v>2</v>
      </c>
      <c r="H1860" s="53">
        <f t="shared" si="149"/>
        <v>2</v>
      </c>
      <c r="I1860" s="53" t="str">
        <f t="shared" si="152"/>
        <v>ww</v>
      </c>
      <c r="J1860" s="53"/>
    </row>
    <row r="1861" spans="1:10" x14ac:dyDescent="0.25">
      <c r="A1861" s="93">
        <v>44217</v>
      </c>
      <c r="B1861" s="35">
        <f t="shared" si="150"/>
        <v>145</v>
      </c>
      <c r="C1861" s="76">
        <v>1</v>
      </c>
      <c r="D1861" s="53">
        <v>2021</v>
      </c>
      <c r="E1861" s="56">
        <v>20.533333333333331</v>
      </c>
      <c r="F1861" s="53">
        <f t="shared" si="151"/>
        <v>1</v>
      </c>
      <c r="G1861" s="53">
        <f t="shared" si="148"/>
        <v>2</v>
      </c>
      <c r="H1861" s="53">
        <f t="shared" si="149"/>
        <v>2</v>
      </c>
      <c r="I1861" s="53" t="str">
        <f t="shared" si="152"/>
        <v>ww</v>
      </c>
      <c r="J1861" s="53"/>
    </row>
    <row r="1862" spans="1:10" x14ac:dyDescent="0.25">
      <c r="A1862" s="93">
        <v>44218</v>
      </c>
      <c r="B1862" s="35">
        <f t="shared" si="150"/>
        <v>145</v>
      </c>
      <c r="C1862" s="76">
        <v>1</v>
      </c>
      <c r="D1862" s="53">
        <v>2021</v>
      </c>
      <c r="E1862" s="56">
        <v>6.6666666666666666E-2</v>
      </c>
      <c r="F1862" s="53">
        <f t="shared" si="151"/>
        <v>1</v>
      </c>
      <c r="G1862" s="53">
        <f t="shared" si="148"/>
        <v>2</v>
      </c>
      <c r="H1862" s="53">
        <f t="shared" si="149"/>
        <v>2</v>
      </c>
      <c r="I1862" s="53" t="str">
        <f t="shared" si="152"/>
        <v>ww</v>
      </c>
      <c r="J1862" s="53"/>
    </row>
    <row r="1863" spans="1:10" x14ac:dyDescent="0.25">
      <c r="A1863" s="93">
        <v>44219</v>
      </c>
      <c r="B1863" s="35">
        <f t="shared" si="150"/>
        <v>145</v>
      </c>
      <c r="C1863" s="76">
        <v>1</v>
      </c>
      <c r="D1863" s="53">
        <v>2021</v>
      </c>
      <c r="E1863" s="56">
        <v>0</v>
      </c>
      <c r="F1863" s="53">
        <f t="shared" si="151"/>
        <v>0</v>
      </c>
      <c r="G1863" s="53">
        <f t="shared" si="148"/>
        <v>1</v>
      </c>
      <c r="H1863" s="53">
        <f t="shared" si="149"/>
        <v>1</v>
      </c>
      <c r="I1863" s="53" t="str">
        <f t="shared" si="152"/>
        <v>wd</v>
      </c>
      <c r="J1863" s="53"/>
    </row>
    <row r="1864" spans="1:10" x14ac:dyDescent="0.25">
      <c r="A1864" s="93">
        <v>44220</v>
      </c>
      <c r="B1864" s="35">
        <f t="shared" si="150"/>
        <v>145</v>
      </c>
      <c r="C1864" s="76">
        <v>1</v>
      </c>
      <c r="D1864" s="53">
        <v>2021</v>
      </c>
      <c r="E1864" s="56">
        <v>0.13333333333333333</v>
      </c>
      <c r="F1864" s="53">
        <f t="shared" si="151"/>
        <v>1</v>
      </c>
      <c r="G1864" s="53">
        <f t="shared" si="148"/>
        <v>1</v>
      </c>
      <c r="H1864" s="53">
        <f t="shared" si="149"/>
        <v>-1</v>
      </c>
      <c r="I1864" s="53" t="str">
        <f t="shared" si="152"/>
        <v>dw</v>
      </c>
      <c r="J1864" s="53"/>
    </row>
    <row r="1865" spans="1:10" x14ac:dyDescent="0.25">
      <c r="A1865" s="93">
        <v>44221</v>
      </c>
      <c r="B1865" s="35">
        <f t="shared" si="150"/>
        <v>145</v>
      </c>
      <c r="C1865" s="76">
        <v>1</v>
      </c>
      <c r="D1865" s="53">
        <v>2021</v>
      </c>
      <c r="E1865" s="56">
        <v>0.13333333333333333</v>
      </c>
      <c r="F1865" s="53">
        <f t="shared" si="151"/>
        <v>1</v>
      </c>
      <c r="G1865" s="53">
        <f t="shared" si="148"/>
        <v>2</v>
      </c>
      <c r="H1865" s="53">
        <f t="shared" si="149"/>
        <v>2</v>
      </c>
      <c r="I1865" s="53" t="str">
        <f t="shared" si="152"/>
        <v>ww</v>
      </c>
      <c r="J1865" s="53"/>
    </row>
    <row r="1866" spans="1:10" x14ac:dyDescent="0.25">
      <c r="A1866" s="93">
        <v>44222</v>
      </c>
      <c r="B1866" s="35">
        <f t="shared" si="150"/>
        <v>145</v>
      </c>
      <c r="C1866" s="76">
        <v>1</v>
      </c>
      <c r="D1866" s="53">
        <v>2021</v>
      </c>
      <c r="E1866" s="56">
        <v>0.19999999999999998</v>
      </c>
      <c r="F1866" s="53">
        <f t="shared" si="151"/>
        <v>1</v>
      </c>
      <c r="G1866" s="53">
        <f t="shared" si="148"/>
        <v>2</v>
      </c>
      <c r="H1866" s="53">
        <f t="shared" si="149"/>
        <v>2</v>
      </c>
      <c r="I1866" s="53" t="str">
        <f t="shared" si="152"/>
        <v>ww</v>
      </c>
      <c r="J1866" s="53"/>
    </row>
    <row r="1867" spans="1:10" x14ac:dyDescent="0.25">
      <c r="A1867" s="93">
        <v>44223</v>
      </c>
      <c r="B1867" s="35">
        <f t="shared" si="150"/>
        <v>145</v>
      </c>
      <c r="C1867" s="76">
        <v>1</v>
      </c>
      <c r="D1867" s="53">
        <v>2021</v>
      </c>
      <c r="E1867" s="56">
        <v>0.53333333333333333</v>
      </c>
      <c r="F1867" s="53">
        <f t="shared" si="151"/>
        <v>1</v>
      </c>
      <c r="G1867" s="53">
        <f t="shared" si="148"/>
        <v>2</v>
      </c>
      <c r="H1867" s="53">
        <f t="shared" si="149"/>
        <v>2</v>
      </c>
      <c r="I1867" s="53" t="str">
        <f t="shared" si="152"/>
        <v>ww</v>
      </c>
      <c r="J1867" s="53"/>
    </row>
    <row r="1868" spans="1:10" x14ac:dyDescent="0.25">
      <c r="A1868" s="93">
        <v>44224</v>
      </c>
      <c r="B1868" s="35">
        <f t="shared" si="150"/>
        <v>145</v>
      </c>
      <c r="C1868" s="76">
        <v>1</v>
      </c>
      <c r="D1868" s="53">
        <v>2021</v>
      </c>
      <c r="E1868" s="56">
        <v>11.466666666666667</v>
      </c>
      <c r="F1868" s="53">
        <f t="shared" si="151"/>
        <v>1</v>
      </c>
      <c r="G1868" s="53">
        <f t="shared" si="148"/>
        <v>2</v>
      </c>
      <c r="H1868" s="53">
        <f t="shared" si="149"/>
        <v>2</v>
      </c>
      <c r="I1868" s="53" t="str">
        <f t="shared" si="152"/>
        <v>ww</v>
      </c>
      <c r="J1868" s="53"/>
    </row>
    <row r="1869" spans="1:10" x14ac:dyDescent="0.25">
      <c r="A1869" s="93">
        <v>44225</v>
      </c>
      <c r="B1869" s="35">
        <f t="shared" si="150"/>
        <v>145</v>
      </c>
      <c r="C1869" s="76">
        <v>1</v>
      </c>
      <c r="D1869" s="53">
        <v>2021</v>
      </c>
      <c r="E1869" s="56">
        <v>8.6</v>
      </c>
      <c r="F1869" s="53">
        <f t="shared" si="151"/>
        <v>1</v>
      </c>
      <c r="G1869" s="53">
        <f t="shared" si="148"/>
        <v>2</v>
      </c>
      <c r="H1869" s="53">
        <f t="shared" si="149"/>
        <v>2</v>
      </c>
      <c r="I1869" s="53" t="str">
        <f t="shared" si="152"/>
        <v>ww</v>
      </c>
      <c r="J1869" s="53"/>
    </row>
    <row r="1870" spans="1:10" x14ac:dyDescent="0.25">
      <c r="A1870" s="93">
        <v>44226</v>
      </c>
      <c r="B1870" s="35">
        <f t="shared" si="150"/>
        <v>145</v>
      </c>
      <c r="C1870" s="76">
        <v>1</v>
      </c>
      <c r="D1870" s="53">
        <v>2021</v>
      </c>
      <c r="E1870" s="56">
        <v>1.7333333333333334</v>
      </c>
      <c r="F1870" s="53">
        <f t="shared" si="151"/>
        <v>1</v>
      </c>
      <c r="G1870" s="53">
        <f t="shared" si="148"/>
        <v>2</v>
      </c>
      <c r="H1870" s="53">
        <f t="shared" si="149"/>
        <v>2</v>
      </c>
      <c r="I1870" s="53" t="str">
        <f t="shared" si="152"/>
        <v>ww</v>
      </c>
      <c r="J1870" s="53"/>
    </row>
    <row r="1871" spans="1:10" x14ac:dyDescent="0.25">
      <c r="A1871" s="93">
        <v>44227</v>
      </c>
      <c r="B1871" s="35">
        <f t="shared" si="150"/>
        <v>145</v>
      </c>
      <c r="C1871" s="76">
        <v>1</v>
      </c>
      <c r="D1871" s="53">
        <v>2021</v>
      </c>
      <c r="E1871" s="56">
        <v>6.6666666666666666E-2</v>
      </c>
      <c r="F1871" s="53">
        <f t="shared" si="151"/>
        <v>1</v>
      </c>
      <c r="G1871" s="53">
        <f t="shared" si="148"/>
        <v>2</v>
      </c>
      <c r="H1871" s="53">
        <f t="shared" si="149"/>
        <v>2</v>
      </c>
      <c r="I1871" s="53" t="str">
        <f t="shared" si="152"/>
        <v>ww</v>
      </c>
      <c r="J1871" s="53"/>
    </row>
    <row r="1872" spans="1:10" x14ac:dyDescent="0.25">
      <c r="A1872" s="93">
        <v>44562</v>
      </c>
      <c r="B1872" s="35">
        <f t="shared" si="150"/>
        <v>157</v>
      </c>
      <c r="C1872" s="76">
        <v>1</v>
      </c>
      <c r="D1872" s="53">
        <v>2022</v>
      </c>
      <c r="E1872" s="56">
        <v>0</v>
      </c>
      <c r="F1872" s="53">
        <f t="shared" si="151"/>
        <v>0</v>
      </c>
      <c r="G1872" s="53">
        <f t="shared" si="148"/>
        <v>1</v>
      </c>
      <c r="H1872" s="53">
        <f t="shared" si="149"/>
        <v>1</v>
      </c>
      <c r="I1872" s="53" t="str">
        <f t="shared" si="152"/>
        <v>wd</v>
      </c>
      <c r="J1872" s="53"/>
    </row>
    <row r="1873" spans="1:10" x14ac:dyDescent="0.25">
      <c r="A1873" s="93">
        <v>44563</v>
      </c>
      <c r="B1873" s="35">
        <f t="shared" si="150"/>
        <v>157</v>
      </c>
      <c r="C1873" s="76">
        <v>1</v>
      </c>
      <c r="D1873" s="53">
        <v>2022</v>
      </c>
      <c r="E1873" s="56">
        <v>6.6666666666666666E-2</v>
      </c>
      <c r="F1873" s="53">
        <f t="shared" si="151"/>
        <v>1</v>
      </c>
      <c r="G1873" s="53">
        <f t="shared" si="148"/>
        <v>1</v>
      </c>
      <c r="H1873" s="53">
        <f t="shared" si="149"/>
        <v>-1</v>
      </c>
      <c r="I1873" s="53" t="str">
        <f t="shared" si="152"/>
        <v>dw</v>
      </c>
      <c r="J1873" s="53"/>
    </row>
    <row r="1874" spans="1:10" x14ac:dyDescent="0.25">
      <c r="A1874" s="93">
        <v>44564</v>
      </c>
      <c r="B1874" s="35">
        <f t="shared" si="150"/>
        <v>157</v>
      </c>
      <c r="C1874" s="76">
        <v>1</v>
      </c>
      <c r="D1874" s="53">
        <v>2022</v>
      </c>
      <c r="E1874" s="56">
        <v>0</v>
      </c>
      <c r="F1874" s="53">
        <f t="shared" si="151"/>
        <v>0</v>
      </c>
      <c r="G1874" s="53">
        <f t="shared" si="148"/>
        <v>1</v>
      </c>
      <c r="H1874" s="53">
        <f t="shared" si="149"/>
        <v>1</v>
      </c>
      <c r="I1874" s="53" t="str">
        <f t="shared" si="152"/>
        <v>wd</v>
      </c>
      <c r="J1874" s="53"/>
    </row>
    <row r="1875" spans="1:10" x14ac:dyDescent="0.25">
      <c r="A1875" s="93">
        <v>44565</v>
      </c>
      <c r="B1875" s="35">
        <f t="shared" si="150"/>
        <v>157</v>
      </c>
      <c r="C1875" s="76">
        <v>1</v>
      </c>
      <c r="D1875" s="53">
        <v>2022</v>
      </c>
      <c r="E1875" s="56">
        <v>9.8666666666666671</v>
      </c>
      <c r="F1875" s="53">
        <f t="shared" si="151"/>
        <v>1</v>
      </c>
      <c r="G1875" s="53">
        <f t="shared" si="148"/>
        <v>1</v>
      </c>
      <c r="H1875" s="53">
        <f t="shared" si="149"/>
        <v>-1</v>
      </c>
      <c r="I1875" s="53" t="str">
        <f t="shared" si="152"/>
        <v>dw</v>
      </c>
      <c r="J1875" s="53"/>
    </row>
    <row r="1876" spans="1:10" x14ac:dyDescent="0.25">
      <c r="A1876" s="93">
        <v>44566</v>
      </c>
      <c r="B1876" s="35">
        <f t="shared" si="150"/>
        <v>157</v>
      </c>
      <c r="C1876" s="76">
        <v>1</v>
      </c>
      <c r="D1876" s="53">
        <v>2022</v>
      </c>
      <c r="E1876" s="56">
        <v>6.6666666666666666E-2</v>
      </c>
      <c r="F1876" s="53">
        <f t="shared" si="151"/>
        <v>1</v>
      </c>
      <c r="G1876" s="53">
        <f t="shared" si="148"/>
        <v>2</v>
      </c>
      <c r="H1876" s="53">
        <f t="shared" si="149"/>
        <v>2</v>
      </c>
      <c r="I1876" s="53" t="str">
        <f t="shared" si="152"/>
        <v>ww</v>
      </c>
      <c r="J1876" s="53"/>
    </row>
    <row r="1877" spans="1:10" x14ac:dyDescent="0.25">
      <c r="A1877" s="93">
        <v>44567</v>
      </c>
      <c r="B1877" s="35">
        <f t="shared" si="150"/>
        <v>157</v>
      </c>
      <c r="C1877" s="76">
        <v>1</v>
      </c>
      <c r="D1877" s="53">
        <v>2022</v>
      </c>
      <c r="E1877" s="56">
        <v>0</v>
      </c>
      <c r="F1877" s="53">
        <f t="shared" si="151"/>
        <v>0</v>
      </c>
      <c r="G1877" s="53">
        <f t="shared" si="148"/>
        <v>1</v>
      </c>
      <c r="H1877" s="53">
        <f t="shared" si="149"/>
        <v>1</v>
      </c>
      <c r="I1877" s="53" t="str">
        <f t="shared" si="152"/>
        <v>wd</v>
      </c>
      <c r="J1877" s="53"/>
    </row>
    <row r="1878" spans="1:10" x14ac:dyDescent="0.25">
      <c r="A1878" s="93">
        <v>44568</v>
      </c>
      <c r="B1878" s="35">
        <f t="shared" si="150"/>
        <v>157</v>
      </c>
      <c r="C1878" s="76">
        <v>1</v>
      </c>
      <c r="D1878" s="53">
        <v>2022</v>
      </c>
      <c r="E1878" s="56">
        <v>1.8666666666666665</v>
      </c>
      <c r="F1878" s="53">
        <f t="shared" si="151"/>
        <v>1</v>
      </c>
      <c r="G1878" s="53">
        <f t="shared" si="148"/>
        <v>1</v>
      </c>
      <c r="H1878" s="53">
        <f t="shared" si="149"/>
        <v>-1</v>
      </c>
      <c r="I1878" s="53" t="str">
        <f t="shared" si="152"/>
        <v>dw</v>
      </c>
      <c r="J1878" s="53"/>
    </row>
    <row r="1879" spans="1:10" x14ac:dyDescent="0.25">
      <c r="A1879" s="93">
        <v>44569</v>
      </c>
      <c r="B1879" s="35">
        <f t="shared" si="150"/>
        <v>157</v>
      </c>
      <c r="C1879" s="76">
        <v>1</v>
      </c>
      <c r="D1879" s="53">
        <v>2022</v>
      </c>
      <c r="E1879" s="56">
        <v>2</v>
      </c>
      <c r="F1879" s="53">
        <f t="shared" si="151"/>
        <v>1</v>
      </c>
      <c r="G1879" s="53">
        <f t="shared" si="148"/>
        <v>2</v>
      </c>
      <c r="H1879" s="53">
        <f t="shared" si="149"/>
        <v>2</v>
      </c>
      <c r="I1879" s="53" t="str">
        <f t="shared" si="152"/>
        <v>ww</v>
      </c>
      <c r="J1879" s="53"/>
    </row>
    <row r="1880" spans="1:10" x14ac:dyDescent="0.25">
      <c r="A1880" s="93">
        <v>44570</v>
      </c>
      <c r="B1880" s="35">
        <f t="shared" si="150"/>
        <v>157</v>
      </c>
      <c r="C1880" s="76">
        <v>1</v>
      </c>
      <c r="D1880" s="53">
        <v>2022</v>
      </c>
      <c r="E1880" s="56">
        <v>0.20000000000000004</v>
      </c>
      <c r="F1880" s="53">
        <f t="shared" si="151"/>
        <v>1</v>
      </c>
      <c r="G1880" s="53">
        <f t="shared" si="148"/>
        <v>2</v>
      </c>
      <c r="H1880" s="53">
        <f t="shared" si="149"/>
        <v>2</v>
      </c>
      <c r="I1880" s="53" t="str">
        <f t="shared" si="152"/>
        <v>ww</v>
      </c>
      <c r="J1880" s="53"/>
    </row>
    <row r="1881" spans="1:10" x14ac:dyDescent="0.25">
      <c r="A1881" s="93">
        <v>44571</v>
      </c>
      <c r="B1881" s="35">
        <f t="shared" si="150"/>
        <v>157</v>
      </c>
      <c r="C1881" s="76">
        <v>1</v>
      </c>
      <c r="D1881" s="53">
        <v>2022</v>
      </c>
      <c r="E1881" s="56">
        <v>0.13333333333333333</v>
      </c>
      <c r="F1881" s="53">
        <f t="shared" si="151"/>
        <v>1</v>
      </c>
      <c r="G1881" s="53">
        <f t="shared" si="148"/>
        <v>2</v>
      </c>
      <c r="H1881" s="53">
        <f t="shared" si="149"/>
        <v>2</v>
      </c>
      <c r="I1881" s="53" t="str">
        <f t="shared" si="152"/>
        <v>ww</v>
      </c>
      <c r="J1881" s="53"/>
    </row>
    <row r="1882" spans="1:10" x14ac:dyDescent="0.25">
      <c r="A1882" s="93">
        <v>44572</v>
      </c>
      <c r="B1882" s="35">
        <f t="shared" si="150"/>
        <v>157</v>
      </c>
      <c r="C1882" s="76">
        <v>1</v>
      </c>
      <c r="D1882" s="53">
        <v>2022</v>
      </c>
      <c r="E1882" s="56">
        <v>0</v>
      </c>
      <c r="F1882" s="53">
        <f t="shared" si="151"/>
        <v>0</v>
      </c>
      <c r="G1882" s="53">
        <f t="shared" si="148"/>
        <v>1</v>
      </c>
      <c r="H1882" s="53">
        <f t="shared" si="149"/>
        <v>1</v>
      </c>
      <c r="I1882" s="53" t="str">
        <f t="shared" si="152"/>
        <v>wd</v>
      </c>
      <c r="J1882" s="53"/>
    </row>
    <row r="1883" spans="1:10" x14ac:dyDescent="0.25">
      <c r="A1883" s="93">
        <v>44573</v>
      </c>
      <c r="B1883" s="35">
        <f t="shared" si="150"/>
        <v>157</v>
      </c>
      <c r="C1883" s="76">
        <v>1</v>
      </c>
      <c r="D1883" s="53">
        <v>2022</v>
      </c>
      <c r="E1883" s="56">
        <v>6.6666666666666666E-2</v>
      </c>
      <c r="F1883" s="53">
        <f t="shared" si="151"/>
        <v>1</v>
      </c>
      <c r="G1883" s="53">
        <f t="shared" si="148"/>
        <v>1</v>
      </c>
      <c r="H1883" s="53">
        <f t="shared" si="149"/>
        <v>-1</v>
      </c>
      <c r="I1883" s="53" t="str">
        <f t="shared" si="152"/>
        <v>dw</v>
      </c>
      <c r="J1883" s="53"/>
    </row>
    <row r="1884" spans="1:10" x14ac:dyDescent="0.25">
      <c r="A1884" s="93">
        <v>44574</v>
      </c>
      <c r="B1884" s="35">
        <f t="shared" si="150"/>
        <v>157</v>
      </c>
      <c r="C1884" s="76">
        <v>1</v>
      </c>
      <c r="D1884" s="53">
        <v>2022</v>
      </c>
      <c r="E1884" s="56">
        <v>0</v>
      </c>
      <c r="F1884" s="53">
        <f t="shared" si="151"/>
        <v>0</v>
      </c>
      <c r="G1884" s="53">
        <f t="shared" si="148"/>
        <v>1</v>
      </c>
      <c r="H1884" s="53">
        <f t="shared" si="149"/>
        <v>1</v>
      </c>
      <c r="I1884" s="53" t="str">
        <f t="shared" si="152"/>
        <v>wd</v>
      </c>
      <c r="J1884" s="53"/>
    </row>
    <row r="1885" spans="1:10" x14ac:dyDescent="0.25">
      <c r="A1885" s="93">
        <v>44575</v>
      </c>
      <c r="B1885" s="35">
        <f t="shared" si="150"/>
        <v>157</v>
      </c>
      <c r="C1885" s="76">
        <v>1</v>
      </c>
      <c r="D1885" s="53">
        <v>2022</v>
      </c>
      <c r="E1885" s="56">
        <v>0</v>
      </c>
      <c r="F1885" s="53">
        <f t="shared" si="151"/>
        <v>0</v>
      </c>
      <c r="G1885" s="53">
        <f t="shared" si="148"/>
        <v>0</v>
      </c>
      <c r="H1885" s="53">
        <f t="shared" si="149"/>
        <v>0</v>
      </c>
      <c r="I1885" s="53" t="str">
        <f t="shared" si="152"/>
        <v>dd</v>
      </c>
      <c r="J1885" s="53"/>
    </row>
    <row r="1886" spans="1:10" x14ac:dyDescent="0.25">
      <c r="A1886" s="93">
        <v>44576</v>
      </c>
      <c r="B1886" s="35">
        <f t="shared" si="150"/>
        <v>157</v>
      </c>
      <c r="C1886" s="76">
        <v>1</v>
      </c>
      <c r="D1886" s="53">
        <v>2022</v>
      </c>
      <c r="E1886" s="56">
        <v>6.6666666666666666E-2</v>
      </c>
      <c r="F1886" s="53">
        <f t="shared" si="151"/>
        <v>1</v>
      </c>
      <c r="G1886" s="53">
        <f t="shared" si="148"/>
        <v>1</v>
      </c>
      <c r="H1886" s="53">
        <f t="shared" si="149"/>
        <v>-1</v>
      </c>
      <c r="I1886" s="53" t="str">
        <f t="shared" si="152"/>
        <v>dw</v>
      </c>
      <c r="J1886" s="53"/>
    </row>
    <row r="1887" spans="1:10" x14ac:dyDescent="0.25">
      <c r="A1887" s="93">
        <v>44577</v>
      </c>
      <c r="B1887" s="35">
        <f t="shared" si="150"/>
        <v>157</v>
      </c>
      <c r="C1887" s="76">
        <v>1</v>
      </c>
      <c r="D1887" s="53">
        <v>2022</v>
      </c>
      <c r="E1887" s="56">
        <v>0.80000000000000016</v>
      </c>
      <c r="F1887" s="53">
        <f t="shared" si="151"/>
        <v>1</v>
      </c>
      <c r="G1887" s="53">
        <f t="shared" si="148"/>
        <v>2</v>
      </c>
      <c r="H1887" s="53">
        <f t="shared" si="149"/>
        <v>2</v>
      </c>
      <c r="I1887" s="53" t="str">
        <f t="shared" si="152"/>
        <v>ww</v>
      </c>
      <c r="J1887" s="53"/>
    </row>
    <row r="1888" spans="1:10" x14ac:dyDescent="0.25">
      <c r="A1888" s="93">
        <v>44578</v>
      </c>
      <c r="B1888" s="35">
        <f t="shared" si="150"/>
        <v>157</v>
      </c>
      <c r="C1888" s="76">
        <v>1</v>
      </c>
      <c r="D1888" s="53">
        <v>2022</v>
      </c>
      <c r="E1888" s="56">
        <v>0</v>
      </c>
      <c r="F1888" s="53">
        <f t="shared" si="151"/>
        <v>0</v>
      </c>
      <c r="G1888" s="53">
        <f t="shared" si="148"/>
        <v>1</v>
      </c>
      <c r="H1888" s="53">
        <f t="shared" si="149"/>
        <v>1</v>
      </c>
      <c r="I1888" s="53" t="str">
        <f t="shared" si="152"/>
        <v>wd</v>
      </c>
      <c r="J1888" s="53"/>
    </row>
    <row r="1889" spans="1:10" x14ac:dyDescent="0.25">
      <c r="A1889" s="93">
        <v>44579</v>
      </c>
      <c r="B1889" s="35">
        <f t="shared" si="150"/>
        <v>157</v>
      </c>
      <c r="C1889" s="76">
        <v>1</v>
      </c>
      <c r="D1889" s="53">
        <v>2022</v>
      </c>
      <c r="E1889" s="56">
        <v>0.13333333333333333</v>
      </c>
      <c r="F1889" s="53">
        <f t="shared" si="151"/>
        <v>1</v>
      </c>
      <c r="G1889" s="53">
        <f t="shared" si="148"/>
        <v>1</v>
      </c>
      <c r="H1889" s="53">
        <f t="shared" si="149"/>
        <v>-1</v>
      </c>
      <c r="I1889" s="53" t="str">
        <f t="shared" si="152"/>
        <v>dw</v>
      </c>
      <c r="J1889" s="53"/>
    </row>
    <row r="1890" spans="1:10" x14ac:dyDescent="0.25">
      <c r="A1890" s="93">
        <v>44580</v>
      </c>
      <c r="B1890" s="35">
        <f t="shared" si="150"/>
        <v>157</v>
      </c>
      <c r="C1890" s="76">
        <v>1</v>
      </c>
      <c r="D1890" s="53">
        <v>2022</v>
      </c>
      <c r="E1890" s="56">
        <v>0.26666666666666666</v>
      </c>
      <c r="F1890" s="53">
        <f t="shared" si="151"/>
        <v>1</v>
      </c>
      <c r="G1890" s="53">
        <f t="shared" si="148"/>
        <v>2</v>
      </c>
      <c r="H1890" s="53">
        <f t="shared" si="149"/>
        <v>2</v>
      </c>
      <c r="I1890" s="53" t="str">
        <f t="shared" si="152"/>
        <v>ww</v>
      </c>
      <c r="J1890" s="53"/>
    </row>
    <row r="1891" spans="1:10" x14ac:dyDescent="0.25">
      <c r="A1891" s="93">
        <v>44581</v>
      </c>
      <c r="B1891" s="35">
        <f t="shared" si="150"/>
        <v>157</v>
      </c>
      <c r="C1891" s="76">
        <v>1</v>
      </c>
      <c r="D1891" s="53">
        <v>2022</v>
      </c>
      <c r="E1891" s="56">
        <v>6.6666666666666666E-2</v>
      </c>
      <c r="F1891" s="53">
        <f t="shared" si="151"/>
        <v>1</v>
      </c>
      <c r="G1891" s="53">
        <f t="shared" si="148"/>
        <v>2</v>
      </c>
      <c r="H1891" s="53">
        <f t="shared" si="149"/>
        <v>2</v>
      </c>
      <c r="I1891" s="53" t="str">
        <f t="shared" si="152"/>
        <v>ww</v>
      </c>
      <c r="J1891" s="53"/>
    </row>
    <row r="1892" spans="1:10" x14ac:dyDescent="0.25">
      <c r="A1892" s="93">
        <v>44582</v>
      </c>
      <c r="B1892" s="35">
        <f t="shared" si="150"/>
        <v>157</v>
      </c>
      <c r="C1892" s="76">
        <v>1</v>
      </c>
      <c r="D1892" s="53">
        <v>2022</v>
      </c>
      <c r="E1892" s="56">
        <v>0</v>
      </c>
      <c r="F1892" s="53">
        <f t="shared" si="151"/>
        <v>0</v>
      </c>
      <c r="G1892" s="53">
        <f t="shared" si="148"/>
        <v>1</v>
      </c>
      <c r="H1892" s="53">
        <f t="shared" si="149"/>
        <v>1</v>
      </c>
      <c r="I1892" s="53" t="str">
        <f t="shared" si="152"/>
        <v>wd</v>
      </c>
      <c r="J1892" s="53"/>
    </row>
    <row r="1893" spans="1:10" x14ac:dyDescent="0.25">
      <c r="A1893" s="93">
        <v>44583</v>
      </c>
      <c r="B1893" s="35">
        <f t="shared" si="150"/>
        <v>157</v>
      </c>
      <c r="C1893" s="76">
        <v>1</v>
      </c>
      <c r="D1893" s="53">
        <v>2022</v>
      </c>
      <c r="E1893" s="56">
        <v>0</v>
      </c>
      <c r="F1893" s="53">
        <f t="shared" si="151"/>
        <v>0</v>
      </c>
      <c r="G1893" s="53">
        <f t="shared" si="148"/>
        <v>0</v>
      </c>
      <c r="H1893" s="53">
        <f t="shared" si="149"/>
        <v>0</v>
      </c>
      <c r="I1893" s="53" t="str">
        <f t="shared" si="152"/>
        <v>dd</v>
      </c>
      <c r="J1893" s="53"/>
    </row>
    <row r="1894" spans="1:10" x14ac:dyDescent="0.25">
      <c r="A1894" s="93">
        <v>44584</v>
      </c>
      <c r="B1894" s="35">
        <f t="shared" si="150"/>
        <v>157</v>
      </c>
      <c r="C1894" s="76">
        <v>1</v>
      </c>
      <c r="D1894" s="53">
        <v>2022</v>
      </c>
      <c r="E1894" s="56">
        <v>0</v>
      </c>
      <c r="F1894" s="53">
        <f t="shared" si="151"/>
        <v>0</v>
      </c>
      <c r="G1894" s="53">
        <f t="shared" si="148"/>
        <v>0</v>
      </c>
      <c r="H1894" s="53">
        <f t="shared" si="149"/>
        <v>0</v>
      </c>
      <c r="I1894" s="53" t="str">
        <f t="shared" si="152"/>
        <v>dd</v>
      </c>
      <c r="J1894" s="53"/>
    </row>
    <row r="1895" spans="1:10" x14ac:dyDescent="0.25">
      <c r="A1895" s="93">
        <v>44585</v>
      </c>
      <c r="B1895" s="35">
        <f t="shared" si="150"/>
        <v>157</v>
      </c>
      <c r="C1895" s="76">
        <v>1</v>
      </c>
      <c r="D1895" s="53">
        <v>2022</v>
      </c>
      <c r="E1895" s="56">
        <v>0</v>
      </c>
      <c r="F1895" s="53">
        <f t="shared" si="151"/>
        <v>0</v>
      </c>
      <c r="G1895" s="53">
        <f t="shared" si="148"/>
        <v>0</v>
      </c>
      <c r="H1895" s="53">
        <f t="shared" si="149"/>
        <v>0</v>
      </c>
      <c r="I1895" s="53" t="str">
        <f t="shared" si="152"/>
        <v>dd</v>
      </c>
      <c r="J1895" s="53"/>
    </row>
    <row r="1896" spans="1:10" x14ac:dyDescent="0.25">
      <c r="A1896" s="93">
        <v>44586</v>
      </c>
      <c r="B1896" s="35">
        <f t="shared" si="150"/>
        <v>157</v>
      </c>
      <c r="C1896" s="76">
        <v>1</v>
      </c>
      <c r="D1896" s="53">
        <v>2022</v>
      </c>
      <c r="E1896" s="56">
        <v>6.6666666666666666E-2</v>
      </c>
      <c r="F1896" s="53">
        <f t="shared" si="151"/>
        <v>1</v>
      </c>
      <c r="G1896" s="53">
        <f t="shared" si="148"/>
        <v>1</v>
      </c>
      <c r="H1896" s="53">
        <f t="shared" si="149"/>
        <v>-1</v>
      </c>
      <c r="I1896" s="53" t="str">
        <f t="shared" si="152"/>
        <v>dw</v>
      </c>
      <c r="J1896" s="53"/>
    </row>
    <row r="1897" spans="1:10" x14ac:dyDescent="0.25">
      <c r="A1897" s="93">
        <v>44587</v>
      </c>
      <c r="B1897" s="35">
        <f t="shared" si="150"/>
        <v>157</v>
      </c>
      <c r="C1897" s="76">
        <v>1</v>
      </c>
      <c r="D1897" s="53">
        <v>2022</v>
      </c>
      <c r="E1897" s="56">
        <v>6.6666666666666666E-2</v>
      </c>
      <c r="F1897" s="53">
        <f t="shared" si="151"/>
        <v>1</v>
      </c>
      <c r="G1897" s="53">
        <f t="shared" si="148"/>
        <v>2</v>
      </c>
      <c r="H1897" s="53">
        <f t="shared" si="149"/>
        <v>2</v>
      </c>
      <c r="I1897" s="53" t="str">
        <f t="shared" si="152"/>
        <v>ww</v>
      </c>
      <c r="J1897" s="53"/>
    </row>
    <row r="1898" spans="1:10" x14ac:dyDescent="0.25">
      <c r="A1898" s="93">
        <v>44588</v>
      </c>
      <c r="B1898" s="35">
        <f t="shared" si="150"/>
        <v>157</v>
      </c>
      <c r="C1898" s="76">
        <v>1</v>
      </c>
      <c r="D1898" s="53">
        <v>2022</v>
      </c>
      <c r="E1898" s="56">
        <v>0.20000000000000004</v>
      </c>
      <c r="F1898" s="53">
        <f t="shared" si="151"/>
        <v>1</v>
      </c>
      <c r="G1898" s="53">
        <f t="shared" si="148"/>
        <v>2</v>
      </c>
      <c r="H1898" s="53">
        <f t="shared" si="149"/>
        <v>2</v>
      </c>
      <c r="I1898" s="53" t="str">
        <f t="shared" si="152"/>
        <v>ww</v>
      </c>
      <c r="J1898" s="53"/>
    </row>
    <row r="1899" spans="1:10" x14ac:dyDescent="0.25">
      <c r="A1899" s="93">
        <v>44589</v>
      </c>
      <c r="B1899" s="35">
        <f t="shared" si="150"/>
        <v>157</v>
      </c>
      <c r="C1899" s="76">
        <v>1</v>
      </c>
      <c r="D1899" s="53">
        <v>2022</v>
      </c>
      <c r="E1899" s="56">
        <v>0</v>
      </c>
      <c r="F1899" s="53">
        <f t="shared" si="151"/>
        <v>0</v>
      </c>
      <c r="G1899" s="53">
        <f t="shared" si="148"/>
        <v>1</v>
      </c>
      <c r="H1899" s="53">
        <f t="shared" si="149"/>
        <v>1</v>
      </c>
      <c r="I1899" s="53" t="str">
        <f t="shared" si="152"/>
        <v>wd</v>
      </c>
      <c r="J1899" s="53"/>
    </row>
    <row r="1900" spans="1:10" x14ac:dyDescent="0.25">
      <c r="A1900" s="93">
        <v>44590</v>
      </c>
      <c r="B1900" s="35">
        <f t="shared" si="150"/>
        <v>157</v>
      </c>
      <c r="C1900" s="76">
        <v>1</v>
      </c>
      <c r="D1900" s="53">
        <v>2022</v>
      </c>
      <c r="E1900" s="56">
        <v>0</v>
      </c>
      <c r="F1900" s="53">
        <f t="shared" si="151"/>
        <v>0</v>
      </c>
      <c r="G1900" s="53">
        <f t="shared" si="148"/>
        <v>0</v>
      </c>
      <c r="H1900" s="53">
        <f t="shared" si="149"/>
        <v>0</v>
      </c>
      <c r="I1900" s="53" t="str">
        <f t="shared" si="152"/>
        <v>dd</v>
      </c>
      <c r="J1900" s="53"/>
    </row>
    <row r="1901" spans="1:10" x14ac:dyDescent="0.25">
      <c r="A1901" s="93">
        <v>44591</v>
      </c>
      <c r="B1901" s="35">
        <f t="shared" si="150"/>
        <v>157</v>
      </c>
      <c r="C1901" s="76">
        <v>1</v>
      </c>
      <c r="D1901" s="53">
        <v>2022</v>
      </c>
      <c r="E1901" s="56">
        <v>0</v>
      </c>
      <c r="F1901" s="53">
        <f t="shared" si="151"/>
        <v>0</v>
      </c>
      <c r="G1901" s="53">
        <f t="shared" si="148"/>
        <v>0</v>
      </c>
      <c r="H1901" s="53">
        <f t="shared" si="149"/>
        <v>0</v>
      </c>
      <c r="I1901" s="53" t="str">
        <f t="shared" si="152"/>
        <v>dd</v>
      </c>
      <c r="J1901" s="53"/>
    </row>
    <row r="1902" spans="1:10" x14ac:dyDescent="0.25">
      <c r="A1902" s="93">
        <v>44592</v>
      </c>
      <c r="B1902" s="35">
        <f t="shared" si="150"/>
        <v>157</v>
      </c>
      <c r="C1902" s="76">
        <v>1</v>
      </c>
      <c r="D1902" s="53">
        <v>2022</v>
      </c>
      <c r="E1902" s="56">
        <v>0.80000000000000016</v>
      </c>
      <c r="F1902" s="53">
        <f t="shared" si="151"/>
        <v>1</v>
      </c>
      <c r="G1902" s="53">
        <f t="shared" si="148"/>
        <v>1</v>
      </c>
      <c r="H1902" s="53">
        <f t="shared" si="149"/>
        <v>-1</v>
      </c>
      <c r="I1902" s="53" t="str">
        <f t="shared" si="152"/>
        <v>dw</v>
      </c>
      <c r="J1902" s="53"/>
    </row>
    <row r="1903" spans="1:10" x14ac:dyDescent="0.25">
      <c r="A1903" s="93">
        <v>44927</v>
      </c>
      <c r="B1903" s="35">
        <f t="shared" si="150"/>
        <v>169</v>
      </c>
      <c r="C1903" s="76">
        <v>1</v>
      </c>
      <c r="D1903" s="53">
        <v>2023</v>
      </c>
      <c r="E1903" s="56">
        <v>15.666666666666666</v>
      </c>
      <c r="F1903" s="53">
        <f t="shared" si="151"/>
        <v>1</v>
      </c>
      <c r="G1903" s="53">
        <f t="shared" si="148"/>
        <v>2</v>
      </c>
      <c r="H1903" s="53">
        <f t="shared" si="149"/>
        <v>2</v>
      </c>
      <c r="I1903" s="53" t="str">
        <f t="shared" si="152"/>
        <v>ww</v>
      </c>
      <c r="J1903" s="53"/>
    </row>
    <row r="1904" spans="1:10" x14ac:dyDescent="0.25">
      <c r="A1904" s="93">
        <v>44928</v>
      </c>
      <c r="B1904" s="35">
        <f t="shared" si="150"/>
        <v>169</v>
      </c>
      <c r="C1904" s="76">
        <v>1</v>
      </c>
      <c r="D1904" s="53">
        <v>2023</v>
      </c>
      <c r="E1904" s="56">
        <v>0.20000000000000004</v>
      </c>
      <c r="F1904" s="53">
        <f t="shared" si="151"/>
        <v>1</v>
      </c>
      <c r="G1904" s="53">
        <f t="shared" si="148"/>
        <v>2</v>
      </c>
      <c r="H1904" s="53">
        <f t="shared" si="149"/>
        <v>2</v>
      </c>
      <c r="I1904" s="53" t="str">
        <f t="shared" si="152"/>
        <v>ww</v>
      </c>
      <c r="J1904" s="53"/>
    </row>
    <row r="1905" spans="1:10" x14ac:dyDescent="0.25">
      <c r="A1905" s="93">
        <v>44929</v>
      </c>
      <c r="B1905" s="35">
        <f t="shared" si="150"/>
        <v>169</v>
      </c>
      <c r="C1905" s="76">
        <v>1</v>
      </c>
      <c r="D1905" s="53">
        <v>2023</v>
      </c>
      <c r="E1905" s="56">
        <v>0.26666666666666666</v>
      </c>
      <c r="F1905" s="53">
        <f t="shared" si="151"/>
        <v>1</v>
      </c>
      <c r="G1905" s="53">
        <f t="shared" si="148"/>
        <v>2</v>
      </c>
      <c r="H1905" s="53">
        <f t="shared" si="149"/>
        <v>2</v>
      </c>
      <c r="I1905" s="53" t="str">
        <f t="shared" si="152"/>
        <v>ww</v>
      </c>
      <c r="J1905" s="53"/>
    </row>
    <row r="1906" spans="1:10" x14ac:dyDescent="0.25">
      <c r="A1906" s="93">
        <v>44930</v>
      </c>
      <c r="B1906" s="35">
        <f t="shared" si="150"/>
        <v>169</v>
      </c>
      <c r="C1906" s="76">
        <v>1</v>
      </c>
      <c r="D1906" s="53">
        <v>2023</v>
      </c>
      <c r="E1906" s="56">
        <v>0.53333333333333333</v>
      </c>
      <c r="F1906" s="53">
        <f t="shared" si="151"/>
        <v>1</v>
      </c>
      <c r="G1906" s="53">
        <f t="shared" si="148"/>
        <v>2</v>
      </c>
      <c r="H1906" s="53">
        <f t="shared" si="149"/>
        <v>2</v>
      </c>
      <c r="I1906" s="53" t="str">
        <f t="shared" si="152"/>
        <v>ww</v>
      </c>
      <c r="J1906" s="53"/>
    </row>
    <row r="1907" spans="1:10" x14ac:dyDescent="0.25">
      <c r="A1907" s="93">
        <v>44931</v>
      </c>
      <c r="B1907" s="35">
        <f t="shared" si="150"/>
        <v>169</v>
      </c>
      <c r="C1907" s="76">
        <v>1</v>
      </c>
      <c r="D1907" s="53">
        <v>2023</v>
      </c>
      <c r="E1907" s="56">
        <v>6.6666666666666666E-2</v>
      </c>
      <c r="F1907" s="53">
        <f t="shared" si="151"/>
        <v>1</v>
      </c>
      <c r="G1907" s="53">
        <f t="shared" si="148"/>
        <v>2</v>
      </c>
      <c r="H1907" s="53">
        <f t="shared" si="149"/>
        <v>2</v>
      </c>
      <c r="I1907" s="53" t="str">
        <f t="shared" si="152"/>
        <v>ww</v>
      </c>
      <c r="J1907" s="53"/>
    </row>
    <row r="1908" spans="1:10" x14ac:dyDescent="0.25">
      <c r="A1908" s="93">
        <v>44932</v>
      </c>
      <c r="B1908" s="35">
        <f t="shared" si="150"/>
        <v>169</v>
      </c>
      <c r="C1908" s="76">
        <v>1</v>
      </c>
      <c r="D1908" s="53">
        <v>2023</v>
      </c>
      <c r="E1908" s="56">
        <v>2.8000000000000003</v>
      </c>
      <c r="F1908" s="53">
        <f t="shared" si="151"/>
        <v>1</v>
      </c>
      <c r="G1908" s="53">
        <f t="shared" ref="G1908:G1971" si="153">SUM(F1907:F1908)</f>
        <v>2</v>
      </c>
      <c r="H1908" s="53">
        <f t="shared" ref="H1908:H1971" si="154">IF(G1908=1,IF(F1907=1,1,-1),G1908)</f>
        <v>2</v>
      </c>
      <c r="I1908" s="53" t="str">
        <f t="shared" si="152"/>
        <v>ww</v>
      </c>
      <c r="J1908" s="53"/>
    </row>
    <row r="1909" spans="1:10" x14ac:dyDescent="0.25">
      <c r="A1909" s="93">
        <v>44933</v>
      </c>
      <c r="B1909" s="35">
        <f t="shared" si="150"/>
        <v>169</v>
      </c>
      <c r="C1909" s="76">
        <v>1</v>
      </c>
      <c r="D1909" s="53">
        <v>2023</v>
      </c>
      <c r="E1909" s="56">
        <v>1.3333333333333333</v>
      </c>
      <c r="F1909" s="53">
        <f t="shared" si="151"/>
        <v>1</v>
      </c>
      <c r="G1909" s="53">
        <f t="shared" si="153"/>
        <v>2</v>
      </c>
      <c r="H1909" s="53">
        <f t="shared" si="154"/>
        <v>2</v>
      </c>
      <c r="I1909" s="53" t="str">
        <f t="shared" si="152"/>
        <v>ww</v>
      </c>
      <c r="J1909" s="53"/>
    </row>
    <row r="1910" spans="1:10" x14ac:dyDescent="0.25">
      <c r="A1910" s="93">
        <v>44934</v>
      </c>
      <c r="B1910" s="35">
        <f t="shared" si="150"/>
        <v>169</v>
      </c>
      <c r="C1910" s="76">
        <v>1</v>
      </c>
      <c r="D1910" s="53">
        <v>2023</v>
      </c>
      <c r="E1910" s="56">
        <v>0.66666666666666663</v>
      </c>
      <c r="F1910" s="53">
        <f t="shared" si="151"/>
        <v>1</v>
      </c>
      <c r="G1910" s="53">
        <f t="shared" si="153"/>
        <v>2</v>
      </c>
      <c r="H1910" s="53">
        <f t="shared" si="154"/>
        <v>2</v>
      </c>
      <c r="I1910" s="53" t="str">
        <f t="shared" si="152"/>
        <v>ww</v>
      </c>
      <c r="J1910" s="53"/>
    </row>
    <row r="1911" spans="1:10" x14ac:dyDescent="0.25">
      <c r="A1911" s="93">
        <v>44935</v>
      </c>
      <c r="B1911" s="35">
        <f t="shared" si="150"/>
        <v>169</v>
      </c>
      <c r="C1911" s="76">
        <v>1</v>
      </c>
      <c r="D1911" s="53">
        <v>2023</v>
      </c>
      <c r="E1911" s="56">
        <v>3.4666666666666668</v>
      </c>
      <c r="F1911" s="53">
        <f t="shared" si="151"/>
        <v>1</v>
      </c>
      <c r="G1911" s="53">
        <f t="shared" si="153"/>
        <v>2</v>
      </c>
      <c r="H1911" s="53">
        <f t="shared" si="154"/>
        <v>2</v>
      </c>
      <c r="I1911" s="53" t="str">
        <f t="shared" si="152"/>
        <v>ww</v>
      </c>
      <c r="J1911" s="53"/>
    </row>
    <row r="1912" spans="1:10" x14ac:dyDescent="0.25">
      <c r="A1912" s="93">
        <v>44936</v>
      </c>
      <c r="B1912" s="35">
        <f t="shared" si="150"/>
        <v>169</v>
      </c>
      <c r="C1912" s="76">
        <v>1</v>
      </c>
      <c r="D1912" s="53">
        <v>2023</v>
      </c>
      <c r="E1912" s="56">
        <v>0.73333333333333339</v>
      </c>
      <c r="F1912" s="53">
        <f t="shared" si="151"/>
        <v>1</v>
      </c>
      <c r="G1912" s="53">
        <f t="shared" si="153"/>
        <v>2</v>
      </c>
      <c r="H1912" s="53">
        <f t="shared" si="154"/>
        <v>2</v>
      </c>
      <c r="I1912" s="53" t="str">
        <f t="shared" si="152"/>
        <v>ww</v>
      </c>
      <c r="J1912" s="53"/>
    </row>
    <row r="1913" spans="1:10" x14ac:dyDescent="0.25">
      <c r="A1913" s="93">
        <v>44937</v>
      </c>
      <c r="B1913" s="35">
        <f t="shared" si="150"/>
        <v>169</v>
      </c>
      <c r="C1913" s="76">
        <v>1</v>
      </c>
      <c r="D1913" s="53">
        <v>2023</v>
      </c>
      <c r="E1913" s="56">
        <v>4.3999999999999995</v>
      </c>
      <c r="F1913" s="53">
        <f t="shared" si="151"/>
        <v>1</v>
      </c>
      <c r="G1913" s="53">
        <f t="shared" si="153"/>
        <v>2</v>
      </c>
      <c r="H1913" s="53">
        <f t="shared" si="154"/>
        <v>2</v>
      </c>
      <c r="I1913" s="53" t="str">
        <f t="shared" si="152"/>
        <v>ww</v>
      </c>
      <c r="J1913" s="53"/>
    </row>
    <row r="1914" spans="1:10" x14ac:dyDescent="0.25">
      <c r="A1914" s="93">
        <v>44938</v>
      </c>
      <c r="B1914" s="35">
        <f t="shared" si="150"/>
        <v>169</v>
      </c>
      <c r="C1914" s="76">
        <v>1</v>
      </c>
      <c r="D1914" s="53">
        <v>2023</v>
      </c>
      <c r="E1914" s="56">
        <v>0.86666666666666659</v>
      </c>
      <c r="F1914" s="53">
        <f t="shared" si="151"/>
        <v>1</v>
      </c>
      <c r="G1914" s="53">
        <f t="shared" si="153"/>
        <v>2</v>
      </c>
      <c r="H1914" s="53">
        <f t="shared" si="154"/>
        <v>2</v>
      </c>
      <c r="I1914" s="53" t="str">
        <f t="shared" si="152"/>
        <v>ww</v>
      </c>
      <c r="J1914" s="53"/>
    </row>
    <row r="1915" spans="1:10" x14ac:dyDescent="0.25">
      <c r="A1915" s="93">
        <v>44939</v>
      </c>
      <c r="B1915" s="35">
        <f t="shared" si="150"/>
        <v>169</v>
      </c>
      <c r="C1915" s="76">
        <v>1</v>
      </c>
      <c r="D1915" s="53">
        <v>2023</v>
      </c>
      <c r="E1915" s="56">
        <v>0.79999999999999993</v>
      </c>
      <c r="F1915" s="53">
        <f t="shared" si="151"/>
        <v>1</v>
      </c>
      <c r="G1915" s="53">
        <f t="shared" si="153"/>
        <v>2</v>
      </c>
      <c r="H1915" s="53">
        <f t="shared" si="154"/>
        <v>2</v>
      </c>
      <c r="I1915" s="53" t="str">
        <f t="shared" si="152"/>
        <v>ww</v>
      </c>
      <c r="J1915" s="53"/>
    </row>
    <row r="1916" spans="1:10" x14ac:dyDescent="0.25">
      <c r="A1916" s="93">
        <v>44940</v>
      </c>
      <c r="B1916" s="35">
        <f t="shared" si="150"/>
        <v>169</v>
      </c>
      <c r="C1916" s="76">
        <v>1</v>
      </c>
      <c r="D1916" s="53">
        <v>2023</v>
      </c>
      <c r="E1916" s="56">
        <v>2.0000000000000004</v>
      </c>
      <c r="F1916" s="53">
        <f t="shared" si="151"/>
        <v>1</v>
      </c>
      <c r="G1916" s="53">
        <f t="shared" si="153"/>
        <v>2</v>
      </c>
      <c r="H1916" s="53">
        <f t="shared" si="154"/>
        <v>2</v>
      </c>
      <c r="I1916" s="53" t="str">
        <f t="shared" si="152"/>
        <v>ww</v>
      </c>
      <c r="J1916" s="53"/>
    </row>
    <row r="1917" spans="1:10" x14ac:dyDescent="0.25">
      <c r="A1917" s="93">
        <v>44941</v>
      </c>
      <c r="B1917" s="35">
        <f t="shared" si="150"/>
        <v>169</v>
      </c>
      <c r="C1917" s="76">
        <v>1</v>
      </c>
      <c r="D1917" s="53">
        <v>2023</v>
      </c>
      <c r="E1917" s="56">
        <v>6.6666666666666666E-2</v>
      </c>
      <c r="F1917" s="53">
        <f t="shared" si="151"/>
        <v>1</v>
      </c>
      <c r="G1917" s="53">
        <f t="shared" si="153"/>
        <v>2</v>
      </c>
      <c r="H1917" s="53">
        <f t="shared" si="154"/>
        <v>2</v>
      </c>
      <c r="I1917" s="53" t="str">
        <f t="shared" si="152"/>
        <v>ww</v>
      </c>
      <c r="J1917" s="53"/>
    </row>
    <row r="1918" spans="1:10" x14ac:dyDescent="0.25">
      <c r="A1918" s="93">
        <v>44942</v>
      </c>
      <c r="B1918" s="35">
        <f t="shared" si="150"/>
        <v>169</v>
      </c>
      <c r="C1918" s="76">
        <v>1</v>
      </c>
      <c r="D1918" s="53">
        <v>2023</v>
      </c>
      <c r="E1918" s="56">
        <v>0.66666666666666663</v>
      </c>
      <c r="F1918" s="53">
        <f t="shared" si="151"/>
        <v>1</v>
      </c>
      <c r="G1918" s="53">
        <f t="shared" si="153"/>
        <v>2</v>
      </c>
      <c r="H1918" s="53">
        <f t="shared" si="154"/>
        <v>2</v>
      </c>
      <c r="I1918" s="53" t="str">
        <f t="shared" si="152"/>
        <v>ww</v>
      </c>
      <c r="J1918" s="53"/>
    </row>
    <row r="1919" spans="1:10" x14ac:dyDescent="0.25">
      <c r="A1919" s="93">
        <v>44943</v>
      </c>
      <c r="B1919" s="35">
        <f t="shared" si="150"/>
        <v>169</v>
      </c>
      <c r="C1919" s="76">
        <v>1</v>
      </c>
      <c r="D1919" s="53">
        <v>2023</v>
      </c>
      <c r="E1919" s="56">
        <v>6.6666666666666666E-2</v>
      </c>
      <c r="F1919" s="53">
        <f t="shared" si="151"/>
        <v>1</v>
      </c>
      <c r="G1919" s="53">
        <f t="shared" si="153"/>
        <v>2</v>
      </c>
      <c r="H1919" s="53">
        <f t="shared" si="154"/>
        <v>2</v>
      </c>
      <c r="I1919" s="53" t="str">
        <f t="shared" si="152"/>
        <v>ww</v>
      </c>
      <c r="J1919" s="53"/>
    </row>
    <row r="1920" spans="1:10" x14ac:dyDescent="0.25">
      <c r="A1920" s="93">
        <v>44944</v>
      </c>
      <c r="B1920" s="35">
        <f t="shared" si="150"/>
        <v>169</v>
      </c>
      <c r="C1920" s="76">
        <v>1</v>
      </c>
      <c r="D1920" s="53">
        <v>2023</v>
      </c>
      <c r="E1920" s="56">
        <v>0.13333333333333333</v>
      </c>
      <c r="F1920" s="53">
        <f t="shared" si="151"/>
        <v>1</v>
      </c>
      <c r="G1920" s="53">
        <f t="shared" si="153"/>
        <v>2</v>
      </c>
      <c r="H1920" s="53">
        <f t="shared" si="154"/>
        <v>2</v>
      </c>
      <c r="I1920" s="53" t="str">
        <f t="shared" si="152"/>
        <v>ww</v>
      </c>
      <c r="J1920" s="53"/>
    </row>
    <row r="1921" spans="1:10" x14ac:dyDescent="0.25">
      <c r="A1921" s="93">
        <v>44945</v>
      </c>
      <c r="B1921" s="35">
        <f t="shared" si="150"/>
        <v>169</v>
      </c>
      <c r="C1921" s="76">
        <v>1</v>
      </c>
      <c r="D1921" s="53">
        <v>2023</v>
      </c>
      <c r="E1921" s="56">
        <v>0</v>
      </c>
      <c r="F1921" s="53">
        <f t="shared" si="151"/>
        <v>0</v>
      </c>
      <c r="G1921" s="53">
        <f t="shared" si="153"/>
        <v>1</v>
      </c>
      <c r="H1921" s="53">
        <f t="shared" si="154"/>
        <v>1</v>
      </c>
      <c r="I1921" s="53" t="str">
        <f t="shared" si="152"/>
        <v>wd</v>
      </c>
      <c r="J1921" s="53"/>
    </row>
    <row r="1922" spans="1:10" x14ac:dyDescent="0.25">
      <c r="A1922" s="93">
        <v>44946</v>
      </c>
      <c r="B1922" s="35">
        <f t="shared" ref="B1922:B1985" si="155">C1922+(D1922-2009)*12</f>
        <v>169</v>
      </c>
      <c r="C1922" s="76">
        <v>1</v>
      </c>
      <c r="D1922" s="53">
        <v>2023</v>
      </c>
      <c r="E1922" s="56">
        <v>0.33333333333333331</v>
      </c>
      <c r="F1922" s="53">
        <f t="shared" ref="F1922:F1985" si="156">IF(E1922&gt;0,1,0)</f>
        <v>1</v>
      </c>
      <c r="G1922" s="53">
        <f t="shared" si="153"/>
        <v>1</v>
      </c>
      <c r="H1922" s="53">
        <f t="shared" si="154"/>
        <v>-1</v>
      </c>
      <c r="I1922" s="53" t="str">
        <f t="shared" ref="I1922:I1985" si="157">VLOOKUP(H1922,codes,2,)</f>
        <v>dw</v>
      </c>
      <c r="J1922" s="53"/>
    </row>
    <row r="1923" spans="1:10" x14ac:dyDescent="0.25">
      <c r="A1923" s="93">
        <v>44947</v>
      </c>
      <c r="B1923" s="35">
        <f t="shared" si="155"/>
        <v>169</v>
      </c>
      <c r="C1923" s="76">
        <v>1</v>
      </c>
      <c r="D1923" s="53">
        <v>2023</v>
      </c>
      <c r="E1923" s="56">
        <v>0.33333333333333331</v>
      </c>
      <c r="F1923" s="53">
        <f t="shared" si="156"/>
        <v>1</v>
      </c>
      <c r="G1923" s="53">
        <f t="shared" si="153"/>
        <v>2</v>
      </c>
      <c r="H1923" s="53">
        <f t="shared" si="154"/>
        <v>2</v>
      </c>
      <c r="I1923" s="53" t="str">
        <f t="shared" si="157"/>
        <v>ww</v>
      </c>
      <c r="J1923" s="53"/>
    </row>
    <row r="1924" spans="1:10" x14ac:dyDescent="0.25">
      <c r="A1924" s="93">
        <v>44948</v>
      </c>
      <c r="B1924" s="35">
        <f t="shared" si="155"/>
        <v>169</v>
      </c>
      <c r="C1924" s="76">
        <v>1</v>
      </c>
      <c r="D1924" s="53">
        <v>2023</v>
      </c>
      <c r="E1924" s="56">
        <v>6.6666666666666666E-2</v>
      </c>
      <c r="F1924" s="53">
        <f t="shared" si="156"/>
        <v>1</v>
      </c>
      <c r="G1924" s="53">
        <f t="shared" si="153"/>
        <v>2</v>
      </c>
      <c r="H1924" s="53">
        <f t="shared" si="154"/>
        <v>2</v>
      </c>
      <c r="I1924" s="53" t="str">
        <f t="shared" si="157"/>
        <v>ww</v>
      </c>
      <c r="J1924" s="53"/>
    </row>
    <row r="1925" spans="1:10" x14ac:dyDescent="0.25">
      <c r="A1925" s="93">
        <v>44949</v>
      </c>
      <c r="B1925" s="35">
        <f t="shared" si="155"/>
        <v>169</v>
      </c>
      <c r="C1925" s="76">
        <v>1</v>
      </c>
      <c r="D1925" s="53">
        <v>2023</v>
      </c>
      <c r="E1925" s="56">
        <v>6.6666666666666666E-2</v>
      </c>
      <c r="F1925" s="53">
        <f t="shared" si="156"/>
        <v>1</v>
      </c>
      <c r="G1925" s="53">
        <f t="shared" si="153"/>
        <v>2</v>
      </c>
      <c r="H1925" s="53">
        <f t="shared" si="154"/>
        <v>2</v>
      </c>
      <c r="I1925" s="53" t="str">
        <f t="shared" si="157"/>
        <v>ww</v>
      </c>
      <c r="J1925" s="53"/>
    </row>
    <row r="1926" spans="1:10" x14ac:dyDescent="0.25">
      <c r="A1926" s="93">
        <v>44950</v>
      </c>
      <c r="B1926" s="35">
        <f t="shared" si="155"/>
        <v>169</v>
      </c>
      <c r="C1926" s="76">
        <v>1</v>
      </c>
      <c r="D1926" s="53">
        <v>2023</v>
      </c>
      <c r="E1926" s="56">
        <v>6.6666666666666666E-2</v>
      </c>
      <c r="F1926" s="53">
        <f t="shared" si="156"/>
        <v>1</v>
      </c>
      <c r="G1926" s="53">
        <f t="shared" si="153"/>
        <v>2</v>
      </c>
      <c r="H1926" s="53">
        <f t="shared" si="154"/>
        <v>2</v>
      </c>
      <c r="I1926" s="53" t="str">
        <f t="shared" si="157"/>
        <v>ww</v>
      </c>
      <c r="J1926" s="53"/>
    </row>
    <row r="1927" spans="1:10" x14ac:dyDescent="0.25">
      <c r="A1927" s="93">
        <v>44951</v>
      </c>
      <c r="B1927" s="35">
        <f t="shared" si="155"/>
        <v>169</v>
      </c>
      <c r="C1927" s="76">
        <v>1</v>
      </c>
      <c r="D1927" s="53">
        <v>2023</v>
      </c>
      <c r="E1927" s="56">
        <v>0</v>
      </c>
      <c r="F1927" s="53">
        <f t="shared" si="156"/>
        <v>0</v>
      </c>
      <c r="G1927" s="53">
        <f t="shared" si="153"/>
        <v>1</v>
      </c>
      <c r="H1927" s="53">
        <f t="shared" si="154"/>
        <v>1</v>
      </c>
      <c r="I1927" s="53" t="str">
        <f t="shared" si="157"/>
        <v>wd</v>
      </c>
      <c r="J1927" s="53"/>
    </row>
    <row r="1928" spans="1:10" x14ac:dyDescent="0.25">
      <c r="A1928" s="93">
        <v>44952</v>
      </c>
      <c r="B1928" s="35">
        <f t="shared" si="155"/>
        <v>169</v>
      </c>
      <c r="C1928" s="76">
        <v>1</v>
      </c>
      <c r="D1928" s="53">
        <v>2023</v>
      </c>
      <c r="E1928" s="56">
        <v>0</v>
      </c>
      <c r="F1928" s="53">
        <f t="shared" si="156"/>
        <v>0</v>
      </c>
      <c r="G1928" s="53">
        <f t="shared" si="153"/>
        <v>0</v>
      </c>
      <c r="H1928" s="53">
        <f t="shared" si="154"/>
        <v>0</v>
      </c>
      <c r="I1928" s="53" t="str">
        <f t="shared" si="157"/>
        <v>dd</v>
      </c>
      <c r="J1928" s="53"/>
    </row>
    <row r="1929" spans="1:10" x14ac:dyDescent="0.25">
      <c r="A1929" s="93">
        <v>44953</v>
      </c>
      <c r="B1929" s="35">
        <f t="shared" si="155"/>
        <v>169</v>
      </c>
      <c r="C1929" s="76">
        <v>1</v>
      </c>
      <c r="D1929" s="53">
        <v>2023</v>
      </c>
      <c r="E1929" s="56">
        <v>2.2000000000000002</v>
      </c>
      <c r="F1929" s="53">
        <f t="shared" si="156"/>
        <v>1</v>
      </c>
      <c r="G1929" s="53">
        <f t="shared" si="153"/>
        <v>1</v>
      </c>
      <c r="H1929" s="53">
        <f t="shared" si="154"/>
        <v>-1</v>
      </c>
      <c r="I1929" s="53" t="str">
        <f t="shared" si="157"/>
        <v>dw</v>
      </c>
      <c r="J1929" s="53"/>
    </row>
    <row r="1930" spans="1:10" x14ac:dyDescent="0.25">
      <c r="A1930" s="93">
        <v>44954</v>
      </c>
      <c r="B1930" s="35">
        <f t="shared" si="155"/>
        <v>169</v>
      </c>
      <c r="C1930" s="76">
        <v>1</v>
      </c>
      <c r="D1930" s="53">
        <v>2023</v>
      </c>
      <c r="E1930" s="56">
        <v>0.73333333333333339</v>
      </c>
      <c r="F1930" s="53">
        <f t="shared" si="156"/>
        <v>1</v>
      </c>
      <c r="G1930" s="53">
        <f t="shared" si="153"/>
        <v>2</v>
      </c>
      <c r="H1930" s="53">
        <f t="shared" si="154"/>
        <v>2</v>
      </c>
      <c r="I1930" s="53" t="str">
        <f t="shared" si="157"/>
        <v>ww</v>
      </c>
      <c r="J1930" s="53"/>
    </row>
    <row r="1931" spans="1:10" x14ac:dyDescent="0.25">
      <c r="A1931" s="93">
        <v>44955</v>
      </c>
      <c r="B1931" s="35">
        <f t="shared" si="155"/>
        <v>169</v>
      </c>
      <c r="C1931" s="76">
        <v>1</v>
      </c>
      <c r="D1931" s="53">
        <v>2023</v>
      </c>
      <c r="E1931" s="56">
        <v>0.20000000000000004</v>
      </c>
      <c r="F1931" s="53">
        <f t="shared" si="156"/>
        <v>1</v>
      </c>
      <c r="G1931" s="53">
        <f t="shared" si="153"/>
        <v>2</v>
      </c>
      <c r="H1931" s="53">
        <f t="shared" si="154"/>
        <v>2</v>
      </c>
      <c r="I1931" s="53" t="str">
        <f t="shared" si="157"/>
        <v>ww</v>
      </c>
      <c r="J1931" s="53"/>
    </row>
    <row r="1932" spans="1:10" x14ac:dyDescent="0.25">
      <c r="A1932" s="93">
        <v>44956</v>
      </c>
      <c r="B1932" s="35">
        <f t="shared" si="155"/>
        <v>169</v>
      </c>
      <c r="C1932" s="76">
        <v>1</v>
      </c>
      <c r="D1932" s="53">
        <v>2023</v>
      </c>
      <c r="E1932" s="56">
        <v>0</v>
      </c>
      <c r="F1932" s="53">
        <f t="shared" si="156"/>
        <v>0</v>
      </c>
      <c r="G1932" s="53">
        <f t="shared" si="153"/>
        <v>1</v>
      </c>
      <c r="H1932" s="53">
        <f t="shared" si="154"/>
        <v>1</v>
      </c>
      <c r="I1932" s="53" t="str">
        <f t="shared" si="157"/>
        <v>wd</v>
      </c>
      <c r="J1932" s="53"/>
    </row>
    <row r="1933" spans="1:10" x14ac:dyDescent="0.25">
      <c r="A1933" s="93">
        <v>44957</v>
      </c>
      <c r="B1933" s="35">
        <f t="shared" si="155"/>
        <v>169</v>
      </c>
      <c r="C1933" s="76">
        <v>1</v>
      </c>
      <c r="D1933" s="53">
        <v>2023</v>
      </c>
      <c r="E1933" s="56">
        <v>0.13333333333333333</v>
      </c>
      <c r="F1933" s="53">
        <f t="shared" si="156"/>
        <v>1</v>
      </c>
      <c r="G1933" s="53">
        <f t="shared" si="153"/>
        <v>1</v>
      </c>
      <c r="H1933" s="53">
        <f t="shared" si="154"/>
        <v>-1</v>
      </c>
      <c r="I1933" s="53" t="str">
        <f t="shared" si="157"/>
        <v>dw</v>
      </c>
      <c r="J1933" s="53"/>
    </row>
    <row r="1934" spans="1:10" x14ac:dyDescent="0.25">
      <c r="A1934" s="93">
        <v>45292</v>
      </c>
      <c r="B1934" s="35">
        <f t="shared" si="155"/>
        <v>181</v>
      </c>
      <c r="C1934" s="76">
        <v>1</v>
      </c>
      <c r="D1934" s="53">
        <v>2024</v>
      </c>
      <c r="E1934" s="56">
        <v>4.1333333333333337</v>
      </c>
      <c r="F1934" s="53">
        <f t="shared" si="156"/>
        <v>1</v>
      </c>
      <c r="G1934" s="53">
        <f t="shared" si="153"/>
        <v>2</v>
      </c>
      <c r="H1934" s="53">
        <f t="shared" si="154"/>
        <v>2</v>
      </c>
      <c r="I1934" s="53" t="str">
        <f t="shared" si="157"/>
        <v>ww</v>
      </c>
      <c r="J1934" s="53"/>
    </row>
    <row r="1935" spans="1:10" x14ac:dyDescent="0.25">
      <c r="A1935" s="93">
        <v>45293</v>
      </c>
      <c r="B1935" s="35">
        <f t="shared" si="155"/>
        <v>181</v>
      </c>
      <c r="C1935" s="76">
        <v>1</v>
      </c>
      <c r="D1935" s="53">
        <v>2024</v>
      </c>
      <c r="E1935" s="56">
        <v>9.5333333333333332</v>
      </c>
      <c r="F1935" s="53">
        <f t="shared" si="156"/>
        <v>1</v>
      </c>
      <c r="G1935" s="53">
        <f t="shared" si="153"/>
        <v>2</v>
      </c>
      <c r="H1935" s="53">
        <f t="shared" si="154"/>
        <v>2</v>
      </c>
      <c r="I1935" s="53" t="str">
        <f t="shared" si="157"/>
        <v>ww</v>
      </c>
      <c r="J1935" s="53"/>
    </row>
    <row r="1936" spans="1:10" x14ac:dyDescent="0.25">
      <c r="A1936" s="93">
        <v>45294</v>
      </c>
      <c r="B1936" s="35">
        <f t="shared" si="155"/>
        <v>181</v>
      </c>
      <c r="C1936" s="76">
        <v>1</v>
      </c>
      <c r="D1936" s="53">
        <v>2024</v>
      </c>
      <c r="E1936" s="56">
        <v>7.7333333333333334</v>
      </c>
      <c r="F1936" s="53">
        <f t="shared" si="156"/>
        <v>1</v>
      </c>
      <c r="G1936" s="53">
        <f t="shared" si="153"/>
        <v>2</v>
      </c>
      <c r="H1936" s="53">
        <f t="shared" si="154"/>
        <v>2</v>
      </c>
      <c r="I1936" s="53" t="str">
        <f t="shared" si="157"/>
        <v>ww</v>
      </c>
      <c r="J1936" s="53"/>
    </row>
    <row r="1937" spans="1:10" x14ac:dyDescent="0.25">
      <c r="A1937" s="93">
        <v>45295</v>
      </c>
      <c r="B1937" s="35">
        <f t="shared" si="155"/>
        <v>181</v>
      </c>
      <c r="C1937" s="76">
        <v>1</v>
      </c>
      <c r="D1937" s="53">
        <v>2024</v>
      </c>
      <c r="E1937" s="56">
        <v>0.80000000000000016</v>
      </c>
      <c r="F1937" s="53">
        <f t="shared" si="156"/>
        <v>1</v>
      </c>
      <c r="G1937" s="53">
        <f t="shared" si="153"/>
        <v>2</v>
      </c>
      <c r="H1937" s="53">
        <f t="shared" si="154"/>
        <v>2</v>
      </c>
      <c r="I1937" s="53" t="str">
        <f t="shared" si="157"/>
        <v>ww</v>
      </c>
      <c r="J1937" s="53"/>
    </row>
    <row r="1938" spans="1:10" x14ac:dyDescent="0.25">
      <c r="A1938" s="93">
        <v>45296</v>
      </c>
      <c r="B1938" s="35">
        <f t="shared" si="155"/>
        <v>181</v>
      </c>
      <c r="C1938" s="76">
        <v>1</v>
      </c>
      <c r="D1938" s="53">
        <v>2024</v>
      </c>
      <c r="E1938" s="56">
        <v>2.1999999999999997</v>
      </c>
      <c r="F1938" s="53">
        <f t="shared" si="156"/>
        <v>1</v>
      </c>
      <c r="G1938" s="53">
        <f t="shared" si="153"/>
        <v>2</v>
      </c>
      <c r="H1938" s="53">
        <f t="shared" si="154"/>
        <v>2</v>
      </c>
      <c r="I1938" s="53" t="str">
        <f t="shared" si="157"/>
        <v>ww</v>
      </c>
      <c r="J1938" s="53"/>
    </row>
    <row r="1939" spans="1:10" x14ac:dyDescent="0.25">
      <c r="A1939" s="93">
        <v>45297</v>
      </c>
      <c r="B1939" s="35">
        <f t="shared" si="155"/>
        <v>181</v>
      </c>
      <c r="C1939" s="76">
        <v>1</v>
      </c>
      <c r="D1939" s="53">
        <v>2024</v>
      </c>
      <c r="E1939" s="56">
        <v>0.46666666666666662</v>
      </c>
      <c r="F1939" s="53">
        <f t="shared" si="156"/>
        <v>1</v>
      </c>
      <c r="G1939" s="53">
        <f t="shared" si="153"/>
        <v>2</v>
      </c>
      <c r="H1939" s="53">
        <f t="shared" si="154"/>
        <v>2</v>
      </c>
      <c r="I1939" s="53" t="str">
        <f t="shared" si="157"/>
        <v>ww</v>
      </c>
      <c r="J1939" s="53"/>
    </row>
    <row r="1940" spans="1:10" x14ac:dyDescent="0.25">
      <c r="A1940" s="93">
        <v>45298</v>
      </c>
      <c r="B1940" s="35">
        <f t="shared" si="155"/>
        <v>181</v>
      </c>
      <c r="C1940" s="76">
        <v>1</v>
      </c>
      <c r="D1940" s="53">
        <v>2024</v>
      </c>
      <c r="E1940" s="56">
        <v>0.79999999999999993</v>
      </c>
      <c r="F1940" s="53">
        <f t="shared" si="156"/>
        <v>1</v>
      </c>
      <c r="G1940" s="53">
        <f t="shared" si="153"/>
        <v>2</v>
      </c>
      <c r="H1940" s="53">
        <f t="shared" si="154"/>
        <v>2</v>
      </c>
      <c r="I1940" s="53" t="str">
        <f t="shared" si="157"/>
        <v>ww</v>
      </c>
      <c r="J1940" s="53"/>
    </row>
    <row r="1941" spans="1:10" x14ac:dyDescent="0.25">
      <c r="A1941" s="93">
        <v>45299</v>
      </c>
      <c r="B1941" s="35">
        <f t="shared" si="155"/>
        <v>181</v>
      </c>
      <c r="C1941" s="76">
        <v>1</v>
      </c>
      <c r="D1941" s="53">
        <v>2024</v>
      </c>
      <c r="E1941" s="56">
        <v>2.8666666666666671</v>
      </c>
      <c r="F1941" s="53">
        <f t="shared" si="156"/>
        <v>1</v>
      </c>
      <c r="G1941" s="53">
        <f t="shared" si="153"/>
        <v>2</v>
      </c>
      <c r="H1941" s="53">
        <f t="shared" si="154"/>
        <v>2</v>
      </c>
      <c r="I1941" s="53" t="str">
        <f t="shared" si="157"/>
        <v>ww</v>
      </c>
      <c r="J1941" s="53"/>
    </row>
    <row r="1942" spans="1:10" x14ac:dyDescent="0.25">
      <c r="A1942" s="93">
        <v>45300</v>
      </c>
      <c r="B1942" s="35">
        <f t="shared" si="155"/>
        <v>181</v>
      </c>
      <c r="C1942" s="76">
        <v>1</v>
      </c>
      <c r="D1942" s="53">
        <v>2024</v>
      </c>
      <c r="E1942" s="56">
        <v>0.13333333333333333</v>
      </c>
      <c r="F1942" s="53">
        <f t="shared" si="156"/>
        <v>1</v>
      </c>
      <c r="G1942" s="53">
        <f t="shared" si="153"/>
        <v>2</v>
      </c>
      <c r="H1942" s="53">
        <f t="shared" si="154"/>
        <v>2</v>
      </c>
      <c r="I1942" s="53" t="str">
        <f t="shared" si="157"/>
        <v>ww</v>
      </c>
      <c r="J1942" s="53"/>
    </row>
    <row r="1943" spans="1:10" x14ac:dyDescent="0.25">
      <c r="A1943" s="93">
        <v>45301</v>
      </c>
      <c r="B1943" s="35">
        <f t="shared" si="155"/>
        <v>181</v>
      </c>
      <c r="C1943" s="76">
        <v>1</v>
      </c>
      <c r="D1943" s="53">
        <v>2024</v>
      </c>
      <c r="E1943" s="56">
        <v>2.6</v>
      </c>
      <c r="F1943" s="53">
        <f t="shared" si="156"/>
        <v>1</v>
      </c>
      <c r="G1943" s="53">
        <f t="shared" si="153"/>
        <v>2</v>
      </c>
      <c r="H1943" s="53">
        <f t="shared" si="154"/>
        <v>2</v>
      </c>
      <c r="I1943" s="53" t="str">
        <f t="shared" si="157"/>
        <v>ww</v>
      </c>
      <c r="J1943" s="53"/>
    </row>
    <row r="1944" spans="1:10" x14ac:dyDescent="0.25">
      <c r="A1944" s="93">
        <v>45302</v>
      </c>
      <c r="B1944" s="35">
        <f t="shared" si="155"/>
        <v>181</v>
      </c>
      <c r="C1944" s="76">
        <v>1</v>
      </c>
      <c r="D1944" s="53">
        <v>2024</v>
      </c>
      <c r="E1944" s="56">
        <v>1.4000000000000001</v>
      </c>
      <c r="F1944" s="53">
        <f t="shared" si="156"/>
        <v>1</v>
      </c>
      <c r="G1944" s="53">
        <f t="shared" si="153"/>
        <v>2</v>
      </c>
      <c r="H1944" s="53">
        <f t="shared" si="154"/>
        <v>2</v>
      </c>
      <c r="I1944" s="53" t="str">
        <f t="shared" si="157"/>
        <v>ww</v>
      </c>
      <c r="J1944" s="53"/>
    </row>
    <row r="1945" spans="1:10" x14ac:dyDescent="0.25">
      <c r="A1945" s="93">
        <v>45303</v>
      </c>
      <c r="B1945" s="35">
        <f t="shared" si="155"/>
        <v>181</v>
      </c>
      <c r="C1945" s="76">
        <v>1</v>
      </c>
      <c r="D1945" s="53">
        <v>2024</v>
      </c>
      <c r="E1945" s="56">
        <v>0.80000000000000016</v>
      </c>
      <c r="F1945" s="53">
        <f t="shared" si="156"/>
        <v>1</v>
      </c>
      <c r="G1945" s="53">
        <f t="shared" si="153"/>
        <v>2</v>
      </c>
      <c r="H1945" s="53">
        <f t="shared" si="154"/>
        <v>2</v>
      </c>
      <c r="I1945" s="53" t="str">
        <f t="shared" si="157"/>
        <v>ww</v>
      </c>
      <c r="J1945" s="53"/>
    </row>
    <row r="1946" spans="1:10" x14ac:dyDescent="0.25">
      <c r="A1946" s="93">
        <v>45304</v>
      </c>
      <c r="B1946" s="35">
        <f t="shared" si="155"/>
        <v>181</v>
      </c>
      <c r="C1946" s="76">
        <v>1</v>
      </c>
      <c r="D1946" s="53">
        <v>2024</v>
      </c>
      <c r="E1946" s="56">
        <v>0</v>
      </c>
      <c r="F1946" s="53">
        <f t="shared" si="156"/>
        <v>0</v>
      </c>
      <c r="G1946" s="53">
        <f t="shared" si="153"/>
        <v>1</v>
      </c>
      <c r="H1946" s="53">
        <f t="shared" si="154"/>
        <v>1</v>
      </c>
      <c r="I1946" s="53" t="str">
        <f t="shared" si="157"/>
        <v>wd</v>
      </c>
      <c r="J1946" s="53"/>
    </row>
    <row r="1947" spans="1:10" x14ac:dyDescent="0.25">
      <c r="A1947" s="93">
        <v>45305</v>
      </c>
      <c r="B1947" s="35">
        <f t="shared" si="155"/>
        <v>181</v>
      </c>
      <c r="C1947" s="76">
        <v>1</v>
      </c>
      <c r="D1947" s="53">
        <v>2024</v>
      </c>
      <c r="E1947" s="56">
        <v>0</v>
      </c>
      <c r="F1947" s="53">
        <f t="shared" si="156"/>
        <v>0</v>
      </c>
      <c r="G1947" s="53">
        <f t="shared" si="153"/>
        <v>0</v>
      </c>
      <c r="H1947" s="53">
        <f t="shared" si="154"/>
        <v>0</v>
      </c>
      <c r="I1947" s="53" t="str">
        <f t="shared" si="157"/>
        <v>dd</v>
      </c>
      <c r="J1947" s="53"/>
    </row>
    <row r="1948" spans="1:10" x14ac:dyDescent="0.25">
      <c r="A1948" s="93">
        <v>45306</v>
      </c>
      <c r="B1948" s="35">
        <f t="shared" si="155"/>
        <v>181</v>
      </c>
      <c r="C1948" s="76">
        <v>1</v>
      </c>
      <c r="D1948" s="53">
        <v>2024</v>
      </c>
      <c r="E1948" s="56">
        <v>6.6666666666666666E-2</v>
      </c>
      <c r="F1948" s="53">
        <f t="shared" si="156"/>
        <v>1</v>
      </c>
      <c r="G1948" s="53">
        <f t="shared" si="153"/>
        <v>1</v>
      </c>
      <c r="H1948" s="53">
        <f t="shared" si="154"/>
        <v>-1</v>
      </c>
      <c r="I1948" s="53" t="str">
        <f t="shared" si="157"/>
        <v>dw</v>
      </c>
      <c r="J1948" s="53"/>
    </row>
    <row r="1949" spans="1:10" x14ac:dyDescent="0.25">
      <c r="A1949" s="93">
        <v>45307</v>
      </c>
      <c r="B1949" s="35">
        <f t="shared" si="155"/>
        <v>181</v>
      </c>
      <c r="C1949" s="76">
        <v>1</v>
      </c>
      <c r="D1949" s="53">
        <v>2024</v>
      </c>
      <c r="E1949" s="56">
        <v>0</v>
      </c>
      <c r="F1949" s="53">
        <f t="shared" si="156"/>
        <v>0</v>
      </c>
      <c r="G1949" s="53">
        <f t="shared" si="153"/>
        <v>1</v>
      </c>
      <c r="H1949" s="53">
        <f t="shared" si="154"/>
        <v>1</v>
      </c>
      <c r="I1949" s="53" t="str">
        <f t="shared" si="157"/>
        <v>wd</v>
      </c>
      <c r="J1949" s="53"/>
    </row>
    <row r="1950" spans="1:10" x14ac:dyDescent="0.25">
      <c r="A1950" s="93">
        <v>45308</v>
      </c>
      <c r="B1950" s="35">
        <f t="shared" si="155"/>
        <v>181</v>
      </c>
      <c r="C1950" s="76">
        <v>1</v>
      </c>
      <c r="D1950" s="53">
        <v>2024</v>
      </c>
      <c r="E1950" s="56">
        <v>0.33333333333333331</v>
      </c>
      <c r="F1950" s="53">
        <f t="shared" si="156"/>
        <v>1</v>
      </c>
      <c r="G1950" s="53">
        <f t="shared" si="153"/>
        <v>1</v>
      </c>
      <c r="H1950" s="53">
        <f t="shared" si="154"/>
        <v>-1</v>
      </c>
      <c r="I1950" s="53" t="str">
        <f t="shared" si="157"/>
        <v>dw</v>
      </c>
      <c r="J1950" s="53"/>
    </row>
    <row r="1951" spans="1:10" x14ac:dyDescent="0.25">
      <c r="A1951" s="93">
        <v>45309</v>
      </c>
      <c r="B1951" s="35">
        <f t="shared" si="155"/>
        <v>181</v>
      </c>
      <c r="C1951" s="76">
        <v>1</v>
      </c>
      <c r="D1951" s="53">
        <v>2024</v>
      </c>
      <c r="E1951" s="56">
        <v>0</v>
      </c>
      <c r="F1951" s="53">
        <f t="shared" si="156"/>
        <v>0</v>
      </c>
      <c r="G1951" s="53">
        <f t="shared" si="153"/>
        <v>1</v>
      </c>
      <c r="H1951" s="53">
        <f t="shared" si="154"/>
        <v>1</v>
      </c>
      <c r="I1951" s="53" t="str">
        <f t="shared" si="157"/>
        <v>wd</v>
      </c>
      <c r="J1951" s="53"/>
    </row>
    <row r="1952" spans="1:10" x14ac:dyDescent="0.25">
      <c r="A1952" s="93">
        <v>45310</v>
      </c>
      <c r="B1952" s="35">
        <f t="shared" si="155"/>
        <v>181</v>
      </c>
      <c r="C1952" s="76">
        <v>1</v>
      </c>
      <c r="D1952" s="53">
        <v>2024</v>
      </c>
      <c r="E1952" s="56">
        <v>0</v>
      </c>
      <c r="F1952" s="53">
        <f t="shared" si="156"/>
        <v>0</v>
      </c>
      <c r="G1952" s="53">
        <f t="shared" si="153"/>
        <v>0</v>
      </c>
      <c r="H1952" s="53">
        <f t="shared" si="154"/>
        <v>0</v>
      </c>
      <c r="I1952" s="53" t="str">
        <f t="shared" si="157"/>
        <v>dd</v>
      </c>
      <c r="J1952" s="53"/>
    </row>
    <row r="1953" spans="1:10" x14ac:dyDescent="0.25">
      <c r="A1953" s="93">
        <v>45311</v>
      </c>
      <c r="B1953" s="35">
        <f t="shared" si="155"/>
        <v>181</v>
      </c>
      <c r="C1953" s="76">
        <v>1</v>
      </c>
      <c r="D1953" s="53">
        <v>2024</v>
      </c>
      <c r="E1953" s="56">
        <v>6.6666666666666666E-2</v>
      </c>
      <c r="F1953" s="53">
        <f t="shared" si="156"/>
        <v>1</v>
      </c>
      <c r="G1953" s="53">
        <f t="shared" si="153"/>
        <v>1</v>
      </c>
      <c r="H1953" s="53">
        <f t="shared" si="154"/>
        <v>-1</v>
      </c>
      <c r="I1953" s="53" t="str">
        <f t="shared" si="157"/>
        <v>dw</v>
      </c>
      <c r="J1953" s="53"/>
    </row>
    <row r="1954" spans="1:10" x14ac:dyDescent="0.25">
      <c r="A1954" s="93">
        <v>45312</v>
      </c>
      <c r="B1954" s="35">
        <f t="shared" si="155"/>
        <v>181</v>
      </c>
      <c r="C1954" s="76">
        <v>1</v>
      </c>
      <c r="D1954" s="53">
        <v>2024</v>
      </c>
      <c r="E1954" s="56">
        <v>0</v>
      </c>
      <c r="F1954" s="53">
        <f t="shared" si="156"/>
        <v>0</v>
      </c>
      <c r="G1954" s="53">
        <f t="shared" si="153"/>
        <v>1</v>
      </c>
      <c r="H1954" s="53">
        <f t="shared" si="154"/>
        <v>1</v>
      </c>
      <c r="I1954" s="53" t="str">
        <f t="shared" si="157"/>
        <v>wd</v>
      </c>
      <c r="J1954" s="53"/>
    </row>
    <row r="1955" spans="1:10" x14ac:dyDescent="0.25">
      <c r="A1955" s="93">
        <v>45313</v>
      </c>
      <c r="B1955" s="35">
        <f t="shared" si="155"/>
        <v>181</v>
      </c>
      <c r="C1955" s="76">
        <v>1</v>
      </c>
      <c r="D1955" s="53">
        <v>2024</v>
      </c>
      <c r="E1955" s="56">
        <v>0.80000000000000016</v>
      </c>
      <c r="F1955" s="53">
        <f t="shared" si="156"/>
        <v>1</v>
      </c>
      <c r="G1955" s="53">
        <f t="shared" si="153"/>
        <v>1</v>
      </c>
      <c r="H1955" s="53">
        <f t="shared" si="154"/>
        <v>-1</v>
      </c>
      <c r="I1955" s="53" t="str">
        <f t="shared" si="157"/>
        <v>dw</v>
      </c>
      <c r="J1955" s="53"/>
    </row>
    <row r="1956" spans="1:10" x14ac:dyDescent="0.25">
      <c r="A1956" s="93">
        <v>45314</v>
      </c>
      <c r="B1956" s="35">
        <f t="shared" si="155"/>
        <v>181</v>
      </c>
      <c r="C1956" s="76">
        <v>1</v>
      </c>
      <c r="D1956" s="53">
        <v>2024</v>
      </c>
      <c r="E1956" s="56">
        <v>0</v>
      </c>
      <c r="F1956" s="53">
        <f t="shared" si="156"/>
        <v>0</v>
      </c>
      <c r="G1956" s="53">
        <f t="shared" si="153"/>
        <v>1</v>
      </c>
      <c r="H1956" s="53">
        <f t="shared" si="154"/>
        <v>1</v>
      </c>
      <c r="I1956" s="53" t="str">
        <f t="shared" si="157"/>
        <v>wd</v>
      </c>
      <c r="J1956" s="53"/>
    </row>
    <row r="1957" spans="1:10" x14ac:dyDescent="0.25">
      <c r="A1957" s="93">
        <v>45315</v>
      </c>
      <c r="B1957" s="35">
        <f t="shared" si="155"/>
        <v>181</v>
      </c>
      <c r="C1957" s="76">
        <v>1</v>
      </c>
      <c r="D1957" s="53">
        <v>2024</v>
      </c>
      <c r="E1957" s="56">
        <v>7.2666666666666666</v>
      </c>
      <c r="F1957" s="53">
        <f t="shared" si="156"/>
        <v>1</v>
      </c>
      <c r="G1957" s="53">
        <f t="shared" si="153"/>
        <v>1</v>
      </c>
      <c r="H1957" s="53">
        <f t="shared" si="154"/>
        <v>-1</v>
      </c>
      <c r="I1957" s="53" t="str">
        <f t="shared" si="157"/>
        <v>dw</v>
      </c>
      <c r="J1957" s="53"/>
    </row>
    <row r="1958" spans="1:10" x14ac:dyDescent="0.25">
      <c r="A1958" s="93">
        <v>45316</v>
      </c>
      <c r="B1958" s="35">
        <f t="shared" si="155"/>
        <v>181</v>
      </c>
      <c r="C1958" s="76">
        <v>1</v>
      </c>
      <c r="D1958" s="53">
        <v>2024</v>
      </c>
      <c r="E1958" s="56">
        <v>0.66666666666666663</v>
      </c>
      <c r="F1958" s="53">
        <f t="shared" si="156"/>
        <v>1</v>
      </c>
      <c r="G1958" s="53">
        <f t="shared" si="153"/>
        <v>2</v>
      </c>
      <c r="H1958" s="53">
        <f t="shared" si="154"/>
        <v>2</v>
      </c>
      <c r="I1958" s="53" t="str">
        <f t="shared" si="157"/>
        <v>ww</v>
      </c>
      <c r="J1958" s="53"/>
    </row>
    <row r="1959" spans="1:10" x14ac:dyDescent="0.25">
      <c r="A1959" s="93">
        <v>45317</v>
      </c>
      <c r="B1959" s="35">
        <f t="shared" si="155"/>
        <v>181</v>
      </c>
      <c r="C1959" s="76">
        <v>1</v>
      </c>
      <c r="D1959" s="53">
        <v>2024</v>
      </c>
      <c r="E1959" s="56">
        <v>3.6666666666666665</v>
      </c>
      <c r="F1959" s="53">
        <f t="shared" si="156"/>
        <v>1</v>
      </c>
      <c r="G1959" s="53">
        <f t="shared" si="153"/>
        <v>2</v>
      </c>
      <c r="H1959" s="53">
        <f t="shared" si="154"/>
        <v>2</v>
      </c>
      <c r="I1959" s="53" t="str">
        <f t="shared" si="157"/>
        <v>ww</v>
      </c>
      <c r="J1959" s="53"/>
    </row>
    <row r="1960" spans="1:10" x14ac:dyDescent="0.25">
      <c r="A1960" s="93">
        <v>45318</v>
      </c>
      <c r="B1960" s="35">
        <f t="shared" si="155"/>
        <v>181</v>
      </c>
      <c r="C1960" s="76">
        <v>1</v>
      </c>
      <c r="D1960" s="53">
        <v>2024</v>
      </c>
      <c r="E1960" s="56">
        <v>6.6666666666666666E-2</v>
      </c>
      <c r="F1960" s="53">
        <f t="shared" si="156"/>
        <v>1</v>
      </c>
      <c r="G1960" s="53">
        <f t="shared" si="153"/>
        <v>2</v>
      </c>
      <c r="H1960" s="53">
        <f t="shared" si="154"/>
        <v>2</v>
      </c>
      <c r="I1960" s="53" t="str">
        <f t="shared" si="157"/>
        <v>ww</v>
      </c>
      <c r="J1960" s="53"/>
    </row>
    <row r="1961" spans="1:10" x14ac:dyDescent="0.25">
      <c r="A1961" s="93">
        <v>45319</v>
      </c>
      <c r="B1961" s="35">
        <f t="shared" si="155"/>
        <v>181</v>
      </c>
      <c r="C1961" s="76">
        <v>1</v>
      </c>
      <c r="D1961" s="53">
        <v>2024</v>
      </c>
      <c r="E1961" s="56">
        <v>0</v>
      </c>
      <c r="F1961" s="53">
        <f t="shared" si="156"/>
        <v>0</v>
      </c>
      <c r="G1961" s="53">
        <f t="shared" si="153"/>
        <v>1</v>
      </c>
      <c r="H1961" s="53">
        <f t="shared" si="154"/>
        <v>1</v>
      </c>
      <c r="I1961" s="53" t="str">
        <f t="shared" si="157"/>
        <v>wd</v>
      </c>
      <c r="J1961" s="53"/>
    </row>
    <row r="1962" spans="1:10" x14ac:dyDescent="0.25">
      <c r="A1962" s="93">
        <v>45320</v>
      </c>
      <c r="B1962" s="35">
        <f t="shared" si="155"/>
        <v>181</v>
      </c>
      <c r="C1962" s="76">
        <v>1</v>
      </c>
      <c r="D1962" s="53">
        <v>2024</v>
      </c>
      <c r="E1962" s="56">
        <v>5.8</v>
      </c>
      <c r="F1962" s="53">
        <f t="shared" si="156"/>
        <v>1</v>
      </c>
      <c r="G1962" s="53">
        <f t="shared" si="153"/>
        <v>1</v>
      </c>
      <c r="H1962" s="53">
        <f t="shared" si="154"/>
        <v>-1</v>
      </c>
      <c r="I1962" s="53" t="str">
        <f t="shared" si="157"/>
        <v>dw</v>
      </c>
      <c r="J1962" s="53"/>
    </row>
    <row r="1963" spans="1:10" x14ac:dyDescent="0.25">
      <c r="A1963" s="93">
        <v>45321</v>
      </c>
      <c r="B1963" s="35">
        <f t="shared" si="155"/>
        <v>181</v>
      </c>
      <c r="C1963" s="76">
        <v>1</v>
      </c>
      <c r="D1963" s="53">
        <v>2024</v>
      </c>
      <c r="E1963" s="56">
        <v>17.933333333333334</v>
      </c>
      <c r="F1963" s="53">
        <f t="shared" si="156"/>
        <v>1</v>
      </c>
      <c r="G1963" s="53">
        <f t="shared" si="153"/>
        <v>2</v>
      </c>
      <c r="H1963" s="53">
        <f t="shared" si="154"/>
        <v>2</v>
      </c>
      <c r="I1963" s="53" t="str">
        <f t="shared" si="157"/>
        <v>ww</v>
      </c>
      <c r="J1963" s="53"/>
    </row>
    <row r="1964" spans="1:10" x14ac:dyDescent="0.25">
      <c r="A1964" s="93">
        <v>45322</v>
      </c>
      <c r="B1964" s="35">
        <f t="shared" si="155"/>
        <v>181</v>
      </c>
      <c r="C1964" s="76">
        <v>1</v>
      </c>
      <c r="D1964" s="53">
        <v>2024</v>
      </c>
      <c r="E1964" s="56">
        <v>0</v>
      </c>
      <c r="F1964" s="53">
        <f t="shared" si="156"/>
        <v>0</v>
      </c>
      <c r="G1964" s="53">
        <f t="shared" si="153"/>
        <v>1</v>
      </c>
      <c r="H1964" s="53">
        <f t="shared" si="154"/>
        <v>1</v>
      </c>
      <c r="I1964" s="53" t="str">
        <f t="shared" si="157"/>
        <v>wd</v>
      </c>
      <c r="J1964" s="53"/>
    </row>
    <row r="1965" spans="1:10" x14ac:dyDescent="0.25">
      <c r="B1965" s="35"/>
      <c r="C1965" s="76"/>
      <c r="J1965" s="53"/>
    </row>
    <row r="1966" spans="1:10" x14ac:dyDescent="0.25">
      <c r="B1966" s="35"/>
      <c r="C1966" s="76"/>
      <c r="J1966" s="53"/>
    </row>
    <row r="1967" spans="1:10" x14ac:dyDescent="0.25">
      <c r="B1967" s="35"/>
      <c r="C1967" s="76"/>
      <c r="J1967" s="53"/>
    </row>
    <row r="1968" spans="1:10" x14ac:dyDescent="0.25">
      <c r="B1968" s="35"/>
      <c r="C1968" s="76"/>
      <c r="J1968" s="53"/>
    </row>
    <row r="1969" spans="2:10" x14ac:dyDescent="0.25">
      <c r="B1969" s="35"/>
      <c r="C1969" s="76"/>
      <c r="J1969" s="53"/>
    </row>
    <row r="1970" spans="2:10" x14ac:dyDescent="0.25">
      <c r="B1970" s="35"/>
      <c r="C1970" s="76"/>
      <c r="J1970" s="53"/>
    </row>
    <row r="1971" spans="2:10" x14ac:dyDescent="0.25">
      <c r="B1971" s="35"/>
      <c r="C1971" s="76"/>
      <c r="J1971" s="53"/>
    </row>
    <row r="1972" spans="2:10" x14ac:dyDescent="0.25">
      <c r="B1972" s="35"/>
      <c r="C1972" s="76"/>
      <c r="J1972" s="53"/>
    </row>
    <row r="1973" spans="2:10" x14ac:dyDescent="0.25">
      <c r="B1973" s="35"/>
      <c r="C1973" s="76"/>
      <c r="J1973" s="53"/>
    </row>
    <row r="1974" spans="2:10" x14ac:dyDescent="0.25">
      <c r="B1974" s="35"/>
      <c r="C1974" s="76"/>
      <c r="J1974" s="53"/>
    </row>
    <row r="1975" spans="2:10" x14ac:dyDescent="0.25">
      <c r="B1975" s="35"/>
      <c r="C1975" s="76"/>
      <c r="J1975" s="53"/>
    </row>
    <row r="1976" spans="2:10" x14ac:dyDescent="0.25">
      <c r="B1976" s="35"/>
      <c r="C1976" s="76"/>
      <c r="J1976" s="53"/>
    </row>
    <row r="1977" spans="2:10" x14ac:dyDescent="0.25">
      <c r="B1977" s="35"/>
      <c r="C1977" s="76"/>
      <c r="J1977" s="53"/>
    </row>
    <row r="1978" spans="2:10" x14ac:dyDescent="0.25">
      <c r="B1978" s="35"/>
      <c r="C1978" s="76"/>
      <c r="J1978" s="53"/>
    </row>
    <row r="1979" spans="2:10" x14ac:dyDescent="0.25">
      <c r="B1979" s="35"/>
      <c r="C1979" s="76"/>
      <c r="J1979" s="53"/>
    </row>
    <row r="1980" spans="2:10" x14ac:dyDescent="0.25">
      <c r="B1980" s="35"/>
      <c r="C1980" s="76"/>
      <c r="J1980" s="53"/>
    </row>
    <row r="1981" spans="2:10" x14ac:dyDescent="0.25">
      <c r="B1981" s="35"/>
      <c r="C1981" s="76"/>
      <c r="J1981" s="53"/>
    </row>
    <row r="1982" spans="2:10" x14ac:dyDescent="0.25">
      <c r="B1982" s="35"/>
      <c r="C1982" s="76"/>
      <c r="J1982" s="53"/>
    </row>
    <row r="1983" spans="2:10" x14ac:dyDescent="0.25">
      <c r="B1983" s="35"/>
      <c r="C1983" s="76"/>
      <c r="J1983" s="53"/>
    </row>
    <row r="1984" spans="2:10" x14ac:dyDescent="0.25">
      <c r="B1984" s="35"/>
      <c r="C1984" s="76"/>
      <c r="J1984" s="53"/>
    </row>
    <row r="1985" spans="2:10" x14ac:dyDescent="0.25">
      <c r="B1985" s="35"/>
      <c r="C1985" s="76"/>
      <c r="J1985" s="53"/>
    </row>
    <row r="1986" spans="2:10" x14ac:dyDescent="0.25">
      <c r="B1986" s="35"/>
      <c r="C1986" s="76"/>
      <c r="J1986" s="53"/>
    </row>
    <row r="1987" spans="2:10" x14ac:dyDescent="0.25">
      <c r="B1987" s="35"/>
      <c r="C1987" s="76"/>
      <c r="J1987" s="53"/>
    </row>
    <row r="1988" spans="2:10" x14ac:dyDescent="0.25">
      <c r="B1988" s="35"/>
      <c r="C1988" s="76"/>
      <c r="J1988" s="53"/>
    </row>
    <row r="1989" spans="2:10" x14ac:dyDescent="0.25">
      <c r="B1989" s="35"/>
      <c r="C1989" s="76"/>
      <c r="J1989" s="53"/>
    </row>
    <row r="1990" spans="2:10" x14ac:dyDescent="0.25">
      <c r="B1990" s="35"/>
      <c r="C1990" s="76"/>
      <c r="J1990" s="53"/>
    </row>
    <row r="1991" spans="2:10" x14ac:dyDescent="0.25">
      <c r="B1991" s="35"/>
      <c r="C1991" s="76"/>
      <c r="J1991" s="53"/>
    </row>
    <row r="1992" spans="2:10" x14ac:dyDescent="0.25">
      <c r="B1992" s="35"/>
      <c r="C1992" s="76"/>
      <c r="J1992" s="53"/>
    </row>
    <row r="1993" spans="2:10" x14ac:dyDescent="0.25">
      <c r="B1993" s="35"/>
      <c r="C1993" s="76"/>
      <c r="J1993" s="53"/>
    </row>
    <row r="1994" spans="2:10" x14ac:dyDescent="0.25">
      <c r="B1994" s="35"/>
      <c r="C1994" s="76"/>
      <c r="J1994" s="53"/>
    </row>
    <row r="1995" spans="2:10" x14ac:dyDescent="0.25">
      <c r="B1995" s="35"/>
      <c r="C1995" s="76"/>
      <c r="J1995" s="53"/>
    </row>
    <row r="1996" spans="2:10" x14ac:dyDescent="0.25">
      <c r="B1996" s="35"/>
      <c r="C1996" s="76"/>
      <c r="J1996" s="53"/>
    </row>
    <row r="1997" spans="2:10" x14ac:dyDescent="0.25">
      <c r="B1997" s="35"/>
      <c r="C1997" s="76"/>
      <c r="J1997" s="53"/>
    </row>
    <row r="1998" spans="2:10" x14ac:dyDescent="0.25">
      <c r="B1998" s="35"/>
      <c r="C1998" s="76"/>
      <c r="J1998" s="53"/>
    </row>
    <row r="1999" spans="2:10" x14ac:dyDescent="0.25">
      <c r="B1999" s="35"/>
      <c r="C1999" s="76"/>
      <c r="J1999" s="53"/>
    </row>
    <row r="2000" spans="2:10" x14ac:dyDescent="0.25">
      <c r="B2000" s="35"/>
      <c r="C2000" s="76"/>
      <c r="J2000" s="53"/>
    </row>
    <row r="2001" spans="2:10" x14ac:dyDescent="0.25">
      <c r="B2001" s="35"/>
      <c r="C2001" s="76"/>
      <c r="J2001" s="53"/>
    </row>
    <row r="2002" spans="2:10" x14ac:dyDescent="0.25">
      <c r="B2002" s="35"/>
      <c r="C2002" s="76"/>
      <c r="J2002" s="53"/>
    </row>
    <row r="2003" spans="2:10" x14ac:dyDescent="0.25">
      <c r="B2003" s="35"/>
      <c r="C2003" s="76"/>
      <c r="J2003" s="53"/>
    </row>
    <row r="2004" spans="2:10" x14ac:dyDescent="0.25">
      <c r="B2004" s="35"/>
      <c r="C2004" s="76"/>
      <c r="J2004" s="53"/>
    </row>
    <row r="2005" spans="2:10" x14ac:dyDescent="0.25">
      <c r="B2005" s="35"/>
      <c r="C2005" s="76"/>
      <c r="J2005" s="53"/>
    </row>
    <row r="2006" spans="2:10" x14ac:dyDescent="0.25">
      <c r="B2006" s="35"/>
      <c r="C2006" s="76"/>
      <c r="J2006" s="53"/>
    </row>
    <row r="2007" spans="2:10" x14ac:dyDescent="0.25">
      <c r="B2007" s="35"/>
      <c r="C2007" s="76"/>
      <c r="J2007" s="53"/>
    </row>
    <row r="2008" spans="2:10" x14ac:dyDescent="0.25">
      <c r="B2008" s="35"/>
      <c r="C2008" s="76"/>
      <c r="J2008" s="53"/>
    </row>
    <row r="2009" spans="2:10" x14ac:dyDescent="0.25">
      <c r="B2009" s="35"/>
      <c r="C2009" s="76"/>
      <c r="J2009" s="53"/>
    </row>
    <row r="2010" spans="2:10" x14ac:dyDescent="0.25">
      <c r="B2010" s="35"/>
      <c r="C2010" s="76"/>
      <c r="J2010" s="53"/>
    </row>
    <row r="2011" spans="2:10" x14ac:dyDescent="0.25">
      <c r="B2011" s="35"/>
      <c r="C2011" s="76"/>
      <c r="J2011" s="53"/>
    </row>
    <row r="2012" spans="2:10" x14ac:dyDescent="0.25">
      <c r="B2012" s="35"/>
      <c r="C2012" s="76"/>
      <c r="J2012" s="53"/>
    </row>
    <row r="2013" spans="2:10" x14ac:dyDescent="0.25">
      <c r="B2013" s="35"/>
      <c r="C2013" s="76"/>
      <c r="J2013" s="53"/>
    </row>
    <row r="2014" spans="2:10" x14ac:dyDescent="0.25">
      <c r="B2014" s="35"/>
      <c r="C2014" s="76"/>
      <c r="J2014" s="53"/>
    </row>
    <row r="2015" spans="2:10" x14ac:dyDescent="0.25">
      <c r="B2015" s="35"/>
      <c r="C2015" s="76"/>
      <c r="J2015" s="53"/>
    </row>
    <row r="2016" spans="2:10" x14ac:dyDescent="0.25">
      <c r="B2016" s="35"/>
      <c r="C2016" s="76"/>
      <c r="J2016" s="53"/>
    </row>
    <row r="2017" spans="2:10" x14ac:dyDescent="0.25">
      <c r="B2017" s="35"/>
      <c r="C2017" s="76"/>
      <c r="J2017" s="53"/>
    </row>
    <row r="2018" spans="2:10" x14ac:dyDescent="0.25">
      <c r="B2018" s="35"/>
      <c r="C2018" s="76"/>
      <c r="J2018" s="53"/>
    </row>
    <row r="2019" spans="2:10" x14ac:dyDescent="0.25">
      <c r="B2019" s="35"/>
      <c r="C2019" s="76"/>
      <c r="J2019" s="53"/>
    </row>
    <row r="2020" spans="2:10" x14ac:dyDescent="0.25">
      <c r="B2020" s="35"/>
      <c r="C2020" s="76"/>
      <c r="J2020" s="53"/>
    </row>
    <row r="2021" spans="2:10" x14ac:dyDescent="0.25">
      <c r="B2021" s="35"/>
      <c r="C2021" s="76"/>
      <c r="J2021" s="53"/>
    </row>
    <row r="2022" spans="2:10" x14ac:dyDescent="0.25">
      <c r="B2022" s="35"/>
      <c r="C2022" s="76"/>
      <c r="J2022" s="53"/>
    </row>
    <row r="2023" spans="2:10" x14ac:dyDescent="0.25">
      <c r="B2023" s="35"/>
      <c r="C2023" s="76"/>
      <c r="J2023" s="53"/>
    </row>
    <row r="2024" spans="2:10" x14ac:dyDescent="0.25">
      <c r="B2024" s="35"/>
      <c r="C2024" s="76"/>
      <c r="J2024" s="53"/>
    </row>
    <row r="2025" spans="2:10" x14ac:dyDescent="0.25">
      <c r="B2025" s="35"/>
      <c r="C2025" s="76"/>
      <c r="J2025" s="53"/>
    </row>
    <row r="2026" spans="2:10" x14ac:dyDescent="0.25">
      <c r="B2026" s="35"/>
      <c r="C2026" s="76"/>
      <c r="J2026" s="53"/>
    </row>
    <row r="2027" spans="2:10" x14ac:dyDescent="0.25">
      <c r="B2027" s="35"/>
      <c r="C2027" s="76"/>
      <c r="J2027" s="53"/>
    </row>
    <row r="2028" spans="2:10" x14ac:dyDescent="0.25">
      <c r="B2028" s="35"/>
      <c r="C2028" s="76"/>
      <c r="J2028" s="53"/>
    </row>
    <row r="2029" spans="2:10" x14ac:dyDescent="0.25">
      <c r="C2029" s="76"/>
      <c r="J2029" s="53"/>
    </row>
    <row r="2030" spans="2:10" x14ac:dyDescent="0.25">
      <c r="C2030" s="76"/>
      <c r="J2030" s="53"/>
    </row>
    <row r="2031" spans="2:10" x14ac:dyDescent="0.25">
      <c r="C2031" s="76"/>
      <c r="J2031" s="53"/>
    </row>
    <row r="2032" spans="2:10" x14ac:dyDescent="0.25">
      <c r="C2032" s="76"/>
      <c r="J2032" s="53"/>
    </row>
    <row r="2033" spans="3:10" x14ac:dyDescent="0.25">
      <c r="C2033" s="76"/>
      <c r="J2033" s="53"/>
    </row>
    <row r="2034" spans="3:10" x14ac:dyDescent="0.25">
      <c r="C2034" s="76"/>
      <c r="J2034" s="53"/>
    </row>
    <row r="2035" spans="3:10" x14ac:dyDescent="0.25">
      <c r="C2035" s="76"/>
      <c r="J2035" s="53"/>
    </row>
    <row r="2036" spans="3:10" x14ac:dyDescent="0.25">
      <c r="C2036" s="76"/>
      <c r="J2036" s="53"/>
    </row>
    <row r="2037" spans="3:10" x14ac:dyDescent="0.25">
      <c r="C2037" s="76"/>
      <c r="J2037" s="53"/>
    </row>
    <row r="2038" spans="3:10" x14ac:dyDescent="0.25">
      <c r="C2038" s="76"/>
      <c r="J2038" s="53"/>
    </row>
    <row r="2039" spans="3:10" x14ac:dyDescent="0.25">
      <c r="C2039" s="76"/>
      <c r="J2039" s="53"/>
    </row>
    <row r="2040" spans="3:10" x14ac:dyDescent="0.25">
      <c r="C2040" s="76"/>
      <c r="J2040" s="53"/>
    </row>
    <row r="2041" spans="3:10" x14ac:dyDescent="0.25">
      <c r="C2041" s="76"/>
      <c r="J2041" s="53"/>
    </row>
    <row r="2042" spans="3:10" x14ac:dyDescent="0.25">
      <c r="C2042" s="76"/>
      <c r="J2042" s="53"/>
    </row>
    <row r="2043" spans="3:10" x14ac:dyDescent="0.25">
      <c r="C2043" s="76"/>
      <c r="J2043" s="53"/>
    </row>
    <row r="2044" spans="3:10" x14ac:dyDescent="0.25">
      <c r="C2044" s="76"/>
      <c r="J2044" s="53"/>
    </row>
    <row r="2045" spans="3:10" x14ac:dyDescent="0.25">
      <c r="C2045" s="76"/>
      <c r="J2045" s="53"/>
    </row>
    <row r="2046" spans="3:10" x14ac:dyDescent="0.25">
      <c r="C2046" s="76"/>
      <c r="J2046" s="53"/>
    </row>
    <row r="2047" spans="3:10" x14ac:dyDescent="0.25">
      <c r="C2047" s="76"/>
      <c r="J2047" s="53"/>
    </row>
    <row r="2048" spans="3:10" x14ac:dyDescent="0.25">
      <c r="C2048" s="76"/>
      <c r="J2048" s="53"/>
    </row>
    <row r="2049" spans="3:10" x14ac:dyDescent="0.25">
      <c r="C2049" s="76"/>
      <c r="J2049" s="53"/>
    </row>
    <row r="2050" spans="3:10" x14ac:dyDescent="0.25">
      <c r="C2050" s="76"/>
      <c r="J2050" s="53"/>
    </row>
    <row r="2051" spans="3:10" x14ac:dyDescent="0.25">
      <c r="C2051" s="76"/>
      <c r="J2051" s="53"/>
    </row>
    <row r="2052" spans="3:10" x14ac:dyDescent="0.25">
      <c r="C2052" s="76"/>
      <c r="J2052" s="53"/>
    </row>
    <row r="2053" spans="3:10" x14ac:dyDescent="0.25">
      <c r="C2053" s="76"/>
      <c r="J2053" s="53"/>
    </row>
    <row r="2054" spans="3:10" x14ac:dyDescent="0.25">
      <c r="C2054" s="76"/>
      <c r="J2054" s="53"/>
    </row>
    <row r="2055" spans="3:10" x14ac:dyDescent="0.25">
      <c r="C2055" s="76"/>
      <c r="J2055" s="53"/>
    </row>
    <row r="2056" spans="3:10" x14ac:dyDescent="0.25">
      <c r="C2056" s="76"/>
      <c r="J2056" s="53"/>
    </row>
    <row r="2057" spans="3:10" x14ac:dyDescent="0.25">
      <c r="C2057" s="76"/>
      <c r="J2057" s="53"/>
    </row>
    <row r="2058" spans="3:10" x14ac:dyDescent="0.25">
      <c r="C2058" s="76"/>
      <c r="J2058" s="53"/>
    </row>
    <row r="2059" spans="3:10" x14ac:dyDescent="0.25">
      <c r="C2059" s="76"/>
      <c r="J2059" s="53"/>
    </row>
    <row r="2060" spans="3:10" x14ac:dyDescent="0.25">
      <c r="C2060" s="76"/>
      <c r="J2060" s="53"/>
    </row>
    <row r="2061" spans="3:10" x14ac:dyDescent="0.25">
      <c r="C2061" s="76"/>
      <c r="J2061" s="53"/>
    </row>
    <row r="2062" spans="3:10" x14ac:dyDescent="0.25">
      <c r="C2062" s="76"/>
      <c r="J2062" s="53"/>
    </row>
    <row r="2063" spans="3:10" x14ac:dyDescent="0.25">
      <c r="C2063" s="76"/>
      <c r="J2063" s="53"/>
    </row>
    <row r="2064" spans="3:10" x14ac:dyDescent="0.25">
      <c r="C2064" s="76"/>
      <c r="J2064" s="53"/>
    </row>
    <row r="2065" spans="3:10" x14ac:dyDescent="0.25">
      <c r="C2065" s="76"/>
      <c r="J2065" s="53"/>
    </row>
    <row r="2066" spans="3:10" x14ac:dyDescent="0.25">
      <c r="C2066" s="76"/>
      <c r="J2066" s="53"/>
    </row>
    <row r="2067" spans="3:10" x14ac:dyDescent="0.25">
      <c r="C2067" s="76"/>
      <c r="J2067" s="53"/>
    </row>
    <row r="2068" spans="3:10" x14ac:dyDescent="0.25">
      <c r="C2068" s="76"/>
      <c r="J2068" s="53"/>
    </row>
    <row r="2069" spans="3:10" x14ac:dyDescent="0.25">
      <c r="C2069" s="76"/>
      <c r="J2069" s="53"/>
    </row>
    <row r="2070" spans="3:10" x14ac:dyDescent="0.25">
      <c r="C2070" s="76"/>
      <c r="J2070" s="53"/>
    </row>
    <row r="2071" spans="3:10" x14ac:dyDescent="0.25">
      <c r="C2071" s="76"/>
      <c r="J2071" s="53"/>
    </row>
    <row r="2072" spans="3:10" x14ac:dyDescent="0.25">
      <c r="C2072" s="76"/>
      <c r="J2072" s="53"/>
    </row>
    <row r="2073" spans="3:10" x14ac:dyDescent="0.25">
      <c r="C2073" s="76"/>
      <c r="J2073" s="53"/>
    </row>
    <row r="2074" spans="3:10" x14ac:dyDescent="0.25">
      <c r="C2074" s="76"/>
      <c r="J2074" s="53"/>
    </row>
    <row r="2075" spans="3:10" x14ac:dyDescent="0.25">
      <c r="C2075" s="76"/>
      <c r="J2075" s="53"/>
    </row>
    <row r="2076" spans="3:10" x14ac:dyDescent="0.25">
      <c r="C2076" s="76"/>
      <c r="J2076" s="53"/>
    </row>
    <row r="2077" spans="3:10" x14ac:dyDescent="0.25">
      <c r="C2077" s="76"/>
      <c r="J2077" s="53"/>
    </row>
    <row r="2078" spans="3:10" x14ac:dyDescent="0.25">
      <c r="C2078" s="76"/>
      <c r="J2078" s="53"/>
    </row>
    <row r="2079" spans="3:10" x14ac:dyDescent="0.25">
      <c r="C2079" s="76"/>
      <c r="J2079" s="53"/>
    </row>
    <row r="2080" spans="3:10" x14ac:dyDescent="0.25">
      <c r="C2080" s="76"/>
      <c r="J2080" s="53"/>
    </row>
    <row r="2081" spans="3:10" x14ac:dyDescent="0.25">
      <c r="C2081" s="76"/>
      <c r="J2081" s="53"/>
    </row>
    <row r="2082" spans="3:10" x14ac:dyDescent="0.25">
      <c r="C2082" s="76"/>
      <c r="J2082" s="53"/>
    </row>
    <row r="2083" spans="3:10" x14ac:dyDescent="0.25">
      <c r="C2083" s="76"/>
      <c r="J2083" s="53"/>
    </row>
    <row r="2084" spans="3:10" x14ac:dyDescent="0.25">
      <c r="C2084" s="76"/>
      <c r="J2084" s="53"/>
    </row>
    <row r="2085" spans="3:10" x14ac:dyDescent="0.25">
      <c r="C2085" s="76"/>
      <c r="J2085" s="53"/>
    </row>
    <row r="2086" spans="3:10" x14ac:dyDescent="0.25">
      <c r="C2086" s="76"/>
      <c r="J2086" s="53"/>
    </row>
    <row r="2087" spans="3:10" x14ac:dyDescent="0.25">
      <c r="C2087" s="76"/>
      <c r="J2087" s="53"/>
    </row>
    <row r="2088" spans="3:10" x14ac:dyDescent="0.25">
      <c r="C2088" s="76"/>
      <c r="J2088" s="53"/>
    </row>
    <row r="2089" spans="3:10" x14ac:dyDescent="0.25">
      <c r="C2089" s="76"/>
      <c r="J2089" s="53"/>
    </row>
    <row r="2090" spans="3:10" x14ac:dyDescent="0.25">
      <c r="C2090" s="76"/>
      <c r="J2090" s="53"/>
    </row>
    <row r="2091" spans="3:10" x14ac:dyDescent="0.25">
      <c r="C2091" s="76"/>
      <c r="J2091" s="53"/>
    </row>
    <row r="2092" spans="3:10" x14ac:dyDescent="0.25">
      <c r="C2092" s="76"/>
      <c r="J2092" s="53"/>
    </row>
    <row r="2093" spans="3:10" x14ac:dyDescent="0.25">
      <c r="C2093" s="76"/>
      <c r="J2093" s="53"/>
    </row>
    <row r="2094" spans="3:10" x14ac:dyDescent="0.25">
      <c r="C2094" s="76"/>
      <c r="J2094" s="53"/>
    </row>
    <row r="2095" spans="3:10" x14ac:dyDescent="0.25">
      <c r="C2095" s="76"/>
      <c r="J2095" s="53"/>
    </row>
    <row r="2096" spans="3:10" x14ac:dyDescent="0.25">
      <c r="C2096" s="76"/>
      <c r="J2096" s="53"/>
    </row>
    <row r="2097" spans="3:10" x14ac:dyDescent="0.25">
      <c r="C2097" s="76"/>
      <c r="J2097" s="53"/>
    </row>
    <row r="2098" spans="3:10" x14ac:dyDescent="0.25">
      <c r="J2098" s="53"/>
    </row>
    <row r="2099" spans="3:10" x14ac:dyDescent="0.25">
      <c r="J2099" s="53"/>
    </row>
    <row r="2100" spans="3:10" x14ac:dyDescent="0.25">
      <c r="J2100" s="53"/>
    </row>
    <row r="2101" spans="3:10" x14ac:dyDescent="0.25">
      <c r="J2101" s="53"/>
    </row>
    <row r="2102" spans="3:10" x14ac:dyDescent="0.25">
      <c r="J2102" s="53"/>
    </row>
    <row r="2103" spans="3:10" x14ac:dyDescent="0.25">
      <c r="J2103" s="53"/>
    </row>
    <row r="2104" spans="3:10" x14ac:dyDescent="0.25">
      <c r="J2104" s="53"/>
    </row>
    <row r="2105" spans="3:10" x14ac:dyDescent="0.25">
      <c r="J2105" s="53"/>
    </row>
    <row r="2106" spans="3:10" x14ac:dyDescent="0.25">
      <c r="J2106" s="53"/>
    </row>
    <row r="2107" spans="3:10" x14ac:dyDescent="0.25">
      <c r="J2107" s="53"/>
    </row>
    <row r="2108" spans="3:10" x14ac:dyDescent="0.25">
      <c r="J2108" s="53"/>
    </row>
    <row r="2109" spans="3:10" x14ac:dyDescent="0.25">
      <c r="J2109" s="53"/>
    </row>
    <row r="2110" spans="3:10" x14ac:dyDescent="0.25">
      <c r="J2110" s="53"/>
    </row>
    <row r="2111" spans="3:10" x14ac:dyDescent="0.25">
      <c r="J2111" s="53"/>
    </row>
    <row r="2112" spans="3:10" x14ac:dyDescent="0.25">
      <c r="J2112" s="53"/>
    </row>
    <row r="2113" spans="10:10" x14ac:dyDescent="0.25">
      <c r="J2113" s="53"/>
    </row>
    <row r="2114" spans="10:10" x14ac:dyDescent="0.25">
      <c r="J2114" s="53"/>
    </row>
    <row r="2115" spans="10:10" x14ac:dyDescent="0.25">
      <c r="J2115" s="53"/>
    </row>
    <row r="2116" spans="10:10" x14ac:dyDescent="0.25">
      <c r="J2116" s="53"/>
    </row>
    <row r="2117" spans="10:10" x14ac:dyDescent="0.25">
      <c r="J2117" s="53"/>
    </row>
    <row r="2118" spans="10:10" x14ac:dyDescent="0.25">
      <c r="J2118" s="53"/>
    </row>
    <row r="2119" spans="10:10" x14ac:dyDescent="0.25">
      <c r="J2119" s="53"/>
    </row>
    <row r="2120" spans="10:10" x14ac:dyDescent="0.25">
      <c r="J2120" s="53"/>
    </row>
    <row r="2121" spans="10:10" x14ac:dyDescent="0.25">
      <c r="J2121" s="53"/>
    </row>
    <row r="2122" spans="10:10" x14ac:dyDescent="0.25">
      <c r="J2122" s="53"/>
    </row>
    <row r="2123" spans="10:10" x14ac:dyDescent="0.25">
      <c r="J2123" s="53"/>
    </row>
    <row r="2124" spans="10:10" x14ac:dyDescent="0.25">
      <c r="J2124" s="53"/>
    </row>
    <row r="2125" spans="10:10" x14ac:dyDescent="0.25">
      <c r="J2125" s="53"/>
    </row>
    <row r="2126" spans="10:10" x14ac:dyDescent="0.25">
      <c r="J2126" s="53"/>
    </row>
    <row r="2127" spans="10:10" x14ac:dyDescent="0.25">
      <c r="J2127" s="53"/>
    </row>
    <row r="2128" spans="10:10" x14ac:dyDescent="0.25">
      <c r="J2128" s="53"/>
    </row>
    <row r="2129" spans="10:10" x14ac:dyDescent="0.25">
      <c r="J2129" s="53"/>
    </row>
    <row r="2130" spans="10:10" x14ac:dyDescent="0.25">
      <c r="J2130" s="53"/>
    </row>
    <row r="2131" spans="10:10" x14ac:dyDescent="0.25">
      <c r="J2131" s="53"/>
    </row>
    <row r="2132" spans="10:10" x14ac:dyDescent="0.25">
      <c r="J2132" s="53"/>
    </row>
    <row r="2133" spans="10:10" x14ac:dyDescent="0.25">
      <c r="J2133" s="53"/>
    </row>
    <row r="2134" spans="10:10" x14ac:dyDescent="0.25">
      <c r="J2134" s="53"/>
    </row>
    <row r="2135" spans="10:10" x14ac:dyDescent="0.25">
      <c r="J2135" s="53"/>
    </row>
    <row r="2136" spans="10:10" x14ac:dyDescent="0.25">
      <c r="J2136" s="53"/>
    </row>
    <row r="2137" spans="10:10" x14ac:dyDescent="0.25">
      <c r="J2137" s="53"/>
    </row>
    <row r="2138" spans="10:10" x14ac:dyDescent="0.25">
      <c r="J2138" s="53"/>
    </row>
    <row r="2139" spans="10:10" x14ac:dyDescent="0.25">
      <c r="J2139" s="53"/>
    </row>
    <row r="2140" spans="10:10" x14ac:dyDescent="0.25">
      <c r="J2140" s="53"/>
    </row>
    <row r="2141" spans="10:10" x14ac:dyDescent="0.25">
      <c r="J2141" s="53"/>
    </row>
    <row r="2142" spans="10:10" x14ac:dyDescent="0.25">
      <c r="J2142" s="53"/>
    </row>
    <row r="2143" spans="10:10" x14ac:dyDescent="0.25">
      <c r="J2143" s="53"/>
    </row>
    <row r="2144" spans="10:10" x14ac:dyDescent="0.25">
      <c r="J2144" s="53"/>
    </row>
    <row r="2145" spans="10:10" x14ac:dyDescent="0.25">
      <c r="J2145" s="53"/>
    </row>
    <row r="2146" spans="10:10" x14ac:dyDescent="0.25">
      <c r="J2146" s="53"/>
    </row>
    <row r="2147" spans="10:10" x14ac:dyDescent="0.25">
      <c r="J2147" s="53"/>
    </row>
    <row r="2148" spans="10:10" x14ac:dyDescent="0.25">
      <c r="J2148" s="53"/>
    </row>
    <row r="2149" spans="10:10" x14ac:dyDescent="0.25">
      <c r="J2149" s="53"/>
    </row>
    <row r="2150" spans="10:10" x14ac:dyDescent="0.25">
      <c r="J2150" s="53"/>
    </row>
    <row r="2151" spans="10:10" x14ac:dyDescent="0.25">
      <c r="J2151" s="53"/>
    </row>
    <row r="2152" spans="10:10" x14ac:dyDescent="0.25">
      <c r="J2152" s="53"/>
    </row>
    <row r="2153" spans="10:10" x14ac:dyDescent="0.25">
      <c r="J2153" s="53"/>
    </row>
    <row r="2154" spans="10:10" x14ac:dyDescent="0.25">
      <c r="J2154" s="53"/>
    </row>
    <row r="2155" spans="10:10" x14ac:dyDescent="0.25">
      <c r="J2155" s="53"/>
    </row>
    <row r="2156" spans="10:10" x14ac:dyDescent="0.25">
      <c r="J2156" s="53"/>
    </row>
    <row r="2157" spans="10:10" x14ac:dyDescent="0.25">
      <c r="J2157" s="53"/>
    </row>
    <row r="2158" spans="10:10" x14ac:dyDescent="0.25">
      <c r="J2158" s="53"/>
    </row>
    <row r="2159" spans="10:10" x14ac:dyDescent="0.25">
      <c r="J2159" s="53"/>
    </row>
    <row r="2160" spans="10:10" x14ac:dyDescent="0.25">
      <c r="J2160" s="53"/>
    </row>
    <row r="2161" spans="10:10" x14ac:dyDescent="0.25">
      <c r="J2161" s="53"/>
    </row>
    <row r="2162" spans="10:10" x14ac:dyDescent="0.25">
      <c r="J2162" s="53"/>
    </row>
    <row r="2163" spans="10:10" x14ac:dyDescent="0.25">
      <c r="J2163" s="53"/>
    </row>
    <row r="2164" spans="10:10" x14ac:dyDescent="0.25">
      <c r="J2164" s="53"/>
    </row>
    <row r="2165" spans="10:10" x14ac:dyDescent="0.25">
      <c r="J2165" s="53"/>
    </row>
    <row r="2166" spans="10:10" x14ac:dyDescent="0.25">
      <c r="J2166" s="53"/>
    </row>
    <row r="2167" spans="10:10" x14ac:dyDescent="0.25">
      <c r="J2167" s="53"/>
    </row>
    <row r="2168" spans="10:10" x14ac:dyDescent="0.25">
      <c r="J2168" s="53"/>
    </row>
    <row r="2169" spans="10:10" x14ac:dyDescent="0.25">
      <c r="J2169" s="53"/>
    </row>
    <row r="2170" spans="10:10" x14ac:dyDescent="0.25">
      <c r="J2170" s="53"/>
    </row>
    <row r="2171" spans="10:10" x14ac:dyDescent="0.25">
      <c r="J2171" s="53"/>
    </row>
    <row r="2172" spans="10:10" x14ac:dyDescent="0.25">
      <c r="J2172" s="53"/>
    </row>
    <row r="2173" spans="10:10" x14ac:dyDescent="0.25">
      <c r="J2173" s="53"/>
    </row>
    <row r="2174" spans="10:10" x14ac:dyDescent="0.25">
      <c r="J2174" s="53"/>
    </row>
    <row r="2175" spans="10:10" x14ac:dyDescent="0.25">
      <c r="J2175" s="53"/>
    </row>
    <row r="2176" spans="10:10" x14ac:dyDescent="0.25">
      <c r="J2176" s="53"/>
    </row>
    <row r="2177" spans="10:10" x14ac:dyDescent="0.25">
      <c r="J2177" s="53"/>
    </row>
    <row r="2178" spans="10:10" x14ac:dyDescent="0.25">
      <c r="J2178" s="53"/>
    </row>
    <row r="2179" spans="10:10" x14ac:dyDescent="0.25">
      <c r="J2179" s="53"/>
    </row>
    <row r="2180" spans="10:10" x14ac:dyDescent="0.25">
      <c r="J2180" s="53"/>
    </row>
    <row r="2181" spans="10:10" x14ac:dyDescent="0.25">
      <c r="J2181" s="53"/>
    </row>
    <row r="2182" spans="10:10" x14ac:dyDescent="0.25">
      <c r="J2182" s="53"/>
    </row>
    <row r="2183" spans="10:10" x14ac:dyDescent="0.25">
      <c r="J2183" s="53"/>
    </row>
    <row r="2184" spans="10:10" x14ac:dyDescent="0.25">
      <c r="J2184" s="53"/>
    </row>
    <row r="2185" spans="10:10" x14ac:dyDescent="0.25">
      <c r="J2185" s="53"/>
    </row>
    <row r="2186" spans="10:10" x14ac:dyDescent="0.25">
      <c r="J2186" s="53"/>
    </row>
    <row r="2187" spans="10:10" x14ac:dyDescent="0.25">
      <c r="J2187" s="53"/>
    </row>
    <row r="2188" spans="10:10" x14ac:dyDescent="0.25">
      <c r="J2188" s="53"/>
    </row>
    <row r="2189" spans="10:10" x14ac:dyDescent="0.25">
      <c r="J2189" s="53"/>
    </row>
    <row r="2190" spans="10:10" x14ac:dyDescent="0.25">
      <c r="J2190" s="53"/>
    </row>
    <row r="2191" spans="10:10" x14ac:dyDescent="0.25">
      <c r="J2191" s="53"/>
    </row>
    <row r="2192" spans="10:10" x14ac:dyDescent="0.25">
      <c r="J2192" s="53"/>
    </row>
    <row r="2193" spans="10:10" x14ac:dyDescent="0.25">
      <c r="J2193" s="53"/>
    </row>
    <row r="2194" spans="10:10" x14ac:dyDescent="0.25">
      <c r="J2194" s="53"/>
    </row>
    <row r="2195" spans="10:10" x14ac:dyDescent="0.25">
      <c r="J2195" s="53"/>
    </row>
    <row r="2196" spans="10:10" x14ac:dyDescent="0.25">
      <c r="J2196" s="53"/>
    </row>
    <row r="2197" spans="10:10" x14ac:dyDescent="0.25">
      <c r="J2197" s="53"/>
    </row>
    <row r="2198" spans="10:10" x14ac:dyDescent="0.25">
      <c r="J2198" s="53"/>
    </row>
    <row r="2199" spans="10:10" x14ac:dyDescent="0.25">
      <c r="J2199" s="53"/>
    </row>
    <row r="2200" spans="10:10" x14ac:dyDescent="0.25">
      <c r="J2200" s="53"/>
    </row>
    <row r="2201" spans="10:10" x14ac:dyDescent="0.25">
      <c r="J2201" s="53"/>
    </row>
    <row r="2202" spans="10:10" x14ac:dyDescent="0.25">
      <c r="J2202" s="53"/>
    </row>
    <row r="2203" spans="10:10" x14ac:dyDescent="0.25">
      <c r="J2203" s="53"/>
    </row>
    <row r="2204" spans="10:10" x14ac:dyDescent="0.25">
      <c r="J2204" s="53"/>
    </row>
    <row r="2205" spans="10:10" x14ac:dyDescent="0.25">
      <c r="J2205" s="53"/>
    </row>
    <row r="2206" spans="10:10" x14ac:dyDescent="0.25">
      <c r="J2206" s="53"/>
    </row>
    <row r="2207" spans="10:10" x14ac:dyDescent="0.25">
      <c r="J2207" s="53"/>
    </row>
    <row r="2208" spans="10:10" x14ac:dyDescent="0.25">
      <c r="J2208" s="53"/>
    </row>
    <row r="2209" spans="10:10" x14ac:dyDescent="0.25">
      <c r="J2209" s="53"/>
    </row>
    <row r="2210" spans="10:10" x14ac:dyDescent="0.25">
      <c r="J2210" s="53"/>
    </row>
    <row r="2211" spans="10:10" x14ac:dyDescent="0.25">
      <c r="J2211" s="53"/>
    </row>
    <row r="2212" spans="10:10" x14ac:dyDescent="0.25">
      <c r="J2212" s="53"/>
    </row>
    <row r="2213" spans="10:10" x14ac:dyDescent="0.25">
      <c r="J2213" s="53"/>
    </row>
    <row r="2214" spans="10:10" x14ac:dyDescent="0.25">
      <c r="J2214" s="53"/>
    </row>
    <row r="2215" spans="10:10" x14ac:dyDescent="0.25">
      <c r="J2215" s="53"/>
    </row>
    <row r="2216" spans="10:10" x14ac:dyDescent="0.25">
      <c r="J2216" s="53"/>
    </row>
    <row r="2217" spans="10:10" x14ac:dyDescent="0.25">
      <c r="J2217" s="53"/>
    </row>
    <row r="2218" spans="10:10" x14ac:dyDescent="0.25">
      <c r="J2218" s="53"/>
    </row>
    <row r="2219" spans="10:10" x14ac:dyDescent="0.25">
      <c r="J2219" s="53"/>
    </row>
    <row r="2220" spans="10:10" x14ac:dyDescent="0.25">
      <c r="J2220" s="53"/>
    </row>
    <row r="2221" spans="10:10" x14ac:dyDescent="0.25">
      <c r="J2221" s="53"/>
    </row>
    <row r="2222" spans="10:10" x14ac:dyDescent="0.25">
      <c r="J2222" s="53"/>
    </row>
    <row r="2223" spans="10:10" x14ac:dyDescent="0.25">
      <c r="J2223" s="53"/>
    </row>
    <row r="2224" spans="10:10" x14ac:dyDescent="0.25">
      <c r="J2224" s="53"/>
    </row>
    <row r="2225" spans="10:10" x14ac:dyDescent="0.25">
      <c r="J2225" s="53"/>
    </row>
    <row r="2226" spans="10:10" x14ac:dyDescent="0.25">
      <c r="J2226" s="53"/>
    </row>
    <row r="2227" spans="10:10" x14ac:dyDescent="0.25">
      <c r="J2227" s="53"/>
    </row>
    <row r="2228" spans="10:10" x14ac:dyDescent="0.25">
      <c r="J2228" s="53"/>
    </row>
    <row r="2229" spans="10:10" x14ac:dyDescent="0.25">
      <c r="J2229" s="53"/>
    </row>
    <row r="2230" spans="10:10" x14ac:dyDescent="0.25">
      <c r="J2230" s="53"/>
    </row>
    <row r="2231" spans="10:10" x14ac:dyDescent="0.25">
      <c r="J2231" s="53"/>
    </row>
    <row r="2232" spans="10:10" x14ac:dyDescent="0.25">
      <c r="J2232" s="53"/>
    </row>
    <row r="2233" spans="10:10" x14ac:dyDescent="0.25">
      <c r="J2233" s="53"/>
    </row>
    <row r="2234" spans="10:10" x14ac:dyDescent="0.25">
      <c r="J2234" s="53"/>
    </row>
    <row r="2235" spans="10:10" x14ac:dyDescent="0.25">
      <c r="J2235" s="53"/>
    </row>
    <row r="2236" spans="10:10" x14ac:dyDescent="0.25">
      <c r="J2236" s="53"/>
    </row>
    <row r="2237" spans="10:10" x14ac:dyDescent="0.25">
      <c r="J2237" s="53"/>
    </row>
    <row r="2238" spans="10:10" x14ac:dyDescent="0.25">
      <c r="J2238" s="53"/>
    </row>
    <row r="2239" spans="10:10" x14ac:dyDescent="0.25">
      <c r="J2239" s="53"/>
    </row>
    <row r="2240" spans="10:10" x14ac:dyDescent="0.25">
      <c r="J2240" s="53"/>
    </row>
    <row r="2241" spans="10:10" x14ac:dyDescent="0.25">
      <c r="J2241" s="53"/>
    </row>
    <row r="2242" spans="10:10" x14ac:dyDescent="0.25">
      <c r="J2242" s="53"/>
    </row>
    <row r="2243" spans="10:10" x14ac:dyDescent="0.25">
      <c r="J2243" s="53"/>
    </row>
    <row r="2244" spans="10:10" x14ac:dyDescent="0.25">
      <c r="J2244" s="53"/>
    </row>
    <row r="2245" spans="10:10" x14ac:dyDescent="0.25">
      <c r="J2245" s="53"/>
    </row>
    <row r="2246" spans="10:10" x14ac:dyDescent="0.25">
      <c r="J2246" s="53"/>
    </row>
    <row r="2247" spans="10:10" x14ac:dyDescent="0.25">
      <c r="J2247" s="53"/>
    </row>
    <row r="2248" spans="10:10" x14ac:dyDescent="0.25">
      <c r="J2248" s="53"/>
    </row>
    <row r="2249" spans="10:10" x14ac:dyDescent="0.25">
      <c r="J2249" s="53"/>
    </row>
    <row r="2250" spans="10:10" x14ac:dyDescent="0.25">
      <c r="J2250" s="53"/>
    </row>
    <row r="2251" spans="10:10" x14ac:dyDescent="0.25">
      <c r="J2251" s="53"/>
    </row>
    <row r="2252" spans="10:10" x14ac:dyDescent="0.25">
      <c r="J2252" s="53"/>
    </row>
    <row r="2253" spans="10:10" x14ac:dyDescent="0.25">
      <c r="J2253" s="53"/>
    </row>
    <row r="2254" spans="10:10" x14ac:dyDescent="0.25">
      <c r="J2254" s="53"/>
    </row>
    <row r="2255" spans="10:10" x14ac:dyDescent="0.25">
      <c r="J2255" s="53"/>
    </row>
    <row r="2256" spans="10:10" x14ac:dyDescent="0.25">
      <c r="J2256" s="53"/>
    </row>
    <row r="2257" spans="10:10" x14ac:dyDescent="0.25">
      <c r="J2257" s="53"/>
    </row>
    <row r="2258" spans="10:10" x14ac:dyDescent="0.25">
      <c r="J2258" s="53"/>
    </row>
    <row r="2259" spans="10:10" x14ac:dyDescent="0.25">
      <c r="J2259" s="53"/>
    </row>
    <row r="2260" spans="10:10" x14ac:dyDescent="0.25">
      <c r="J2260" s="53"/>
    </row>
    <row r="2261" spans="10:10" x14ac:dyDescent="0.25">
      <c r="J2261" s="53"/>
    </row>
    <row r="2262" spans="10:10" x14ac:dyDescent="0.25">
      <c r="J2262" s="53"/>
    </row>
    <row r="2263" spans="10:10" x14ac:dyDescent="0.25">
      <c r="J2263" s="53"/>
    </row>
    <row r="2264" spans="10:10" x14ac:dyDescent="0.25">
      <c r="J2264" s="53"/>
    </row>
    <row r="2265" spans="10:10" x14ac:dyDescent="0.25">
      <c r="J2265" s="53"/>
    </row>
    <row r="2266" spans="10:10" x14ac:dyDescent="0.25">
      <c r="J2266" s="53"/>
    </row>
    <row r="2267" spans="10:10" x14ac:dyDescent="0.25">
      <c r="J2267" s="53"/>
    </row>
    <row r="2268" spans="10:10" x14ac:dyDescent="0.25">
      <c r="J2268" s="53"/>
    </row>
    <row r="2269" spans="10:10" x14ac:dyDescent="0.25">
      <c r="J2269" s="53"/>
    </row>
    <row r="2270" spans="10:10" x14ac:dyDescent="0.25">
      <c r="J2270" s="53"/>
    </row>
    <row r="2271" spans="10:10" x14ac:dyDescent="0.25">
      <c r="J2271" s="53"/>
    </row>
    <row r="2272" spans="10:10" x14ac:dyDescent="0.25">
      <c r="J2272" s="53"/>
    </row>
    <row r="2273" spans="10:10" x14ac:dyDescent="0.25">
      <c r="J2273" s="53"/>
    </row>
    <row r="2274" spans="10:10" x14ac:dyDescent="0.25">
      <c r="J2274" s="53"/>
    </row>
    <row r="2275" spans="10:10" x14ac:dyDescent="0.25">
      <c r="J2275" s="53"/>
    </row>
    <row r="2276" spans="10:10" x14ac:dyDescent="0.25">
      <c r="J2276" s="53"/>
    </row>
    <row r="2277" spans="10:10" x14ac:dyDescent="0.25">
      <c r="J2277" s="53"/>
    </row>
    <row r="2278" spans="10:10" x14ac:dyDescent="0.25">
      <c r="J2278" s="53"/>
    </row>
    <row r="2279" spans="10:10" x14ac:dyDescent="0.25">
      <c r="J2279" s="53"/>
    </row>
    <row r="2280" spans="10:10" x14ac:dyDescent="0.25">
      <c r="J2280" s="53"/>
    </row>
    <row r="2281" spans="10:10" x14ac:dyDescent="0.25">
      <c r="J2281" s="53"/>
    </row>
    <row r="2282" spans="10:10" x14ac:dyDescent="0.25">
      <c r="J2282" s="53"/>
    </row>
    <row r="2283" spans="10:10" x14ac:dyDescent="0.25">
      <c r="J2283" s="53"/>
    </row>
    <row r="2284" spans="10:10" x14ac:dyDescent="0.25">
      <c r="J2284" s="53"/>
    </row>
    <row r="2285" spans="10:10" x14ac:dyDescent="0.25">
      <c r="J2285" s="53"/>
    </row>
    <row r="2286" spans="10:10" x14ac:dyDescent="0.25">
      <c r="J2286" s="53"/>
    </row>
    <row r="2287" spans="10:10" x14ac:dyDescent="0.25">
      <c r="J2287" s="53"/>
    </row>
    <row r="2288" spans="10:10" x14ac:dyDescent="0.25">
      <c r="J2288" s="53"/>
    </row>
    <row r="2289" spans="10:10" x14ac:dyDescent="0.25">
      <c r="J2289" s="53"/>
    </row>
    <row r="2290" spans="10:10" x14ac:dyDescent="0.25">
      <c r="J2290" s="53"/>
    </row>
    <row r="2291" spans="10:10" x14ac:dyDescent="0.25">
      <c r="J2291" s="53"/>
    </row>
    <row r="2292" spans="10:10" x14ac:dyDescent="0.25">
      <c r="J2292" s="53"/>
    </row>
    <row r="2293" spans="10:10" x14ac:dyDescent="0.25">
      <c r="J2293" s="53"/>
    </row>
    <row r="2294" spans="10:10" x14ac:dyDescent="0.25">
      <c r="J2294" s="53"/>
    </row>
    <row r="2295" spans="10:10" x14ac:dyDescent="0.25">
      <c r="J2295" s="53"/>
    </row>
    <row r="2296" spans="10:10" x14ac:dyDescent="0.25">
      <c r="J2296" s="53"/>
    </row>
    <row r="2297" spans="10:10" x14ac:dyDescent="0.25">
      <c r="J2297" s="53"/>
    </row>
    <row r="2298" spans="10:10" x14ac:dyDescent="0.25">
      <c r="J2298" s="53"/>
    </row>
    <row r="2299" spans="10:10" x14ac:dyDescent="0.25">
      <c r="J2299" s="53"/>
    </row>
    <row r="2300" spans="10:10" x14ac:dyDescent="0.25">
      <c r="J2300" s="53"/>
    </row>
    <row r="2301" spans="10:10" x14ac:dyDescent="0.25">
      <c r="J2301" s="53"/>
    </row>
    <row r="2302" spans="10:10" x14ac:dyDescent="0.25">
      <c r="J2302" s="53"/>
    </row>
    <row r="2303" spans="10:10" x14ac:dyDescent="0.25">
      <c r="J2303" s="53"/>
    </row>
    <row r="2304" spans="10:10" x14ac:dyDescent="0.25">
      <c r="J2304" s="53"/>
    </row>
    <row r="2305" spans="10:10" x14ac:dyDescent="0.25">
      <c r="J2305" s="53"/>
    </row>
    <row r="2306" spans="10:10" x14ac:dyDescent="0.25">
      <c r="J2306" s="53"/>
    </row>
    <row r="2307" spans="10:10" x14ac:dyDescent="0.25">
      <c r="J2307" s="53"/>
    </row>
    <row r="2308" spans="10:10" x14ac:dyDescent="0.25">
      <c r="J2308" s="53"/>
    </row>
    <row r="2309" spans="10:10" x14ac:dyDescent="0.25">
      <c r="J2309" s="53"/>
    </row>
    <row r="2310" spans="10:10" x14ac:dyDescent="0.25">
      <c r="J2310" s="53"/>
    </row>
    <row r="2311" spans="10:10" x14ac:dyDescent="0.25">
      <c r="J2311" s="53"/>
    </row>
    <row r="2312" spans="10:10" x14ac:dyDescent="0.25">
      <c r="J2312" s="53"/>
    </row>
    <row r="2313" spans="10:10" x14ac:dyDescent="0.25">
      <c r="J2313" s="53"/>
    </row>
    <row r="2314" spans="10:10" x14ac:dyDescent="0.25">
      <c r="J2314" s="53"/>
    </row>
    <row r="2315" spans="10:10" x14ac:dyDescent="0.25">
      <c r="J2315" s="53"/>
    </row>
    <row r="2316" spans="10:10" x14ac:dyDescent="0.25">
      <c r="J2316" s="53"/>
    </row>
    <row r="2317" spans="10:10" x14ac:dyDescent="0.25">
      <c r="J2317" s="53"/>
    </row>
    <row r="2318" spans="10:10" x14ac:dyDescent="0.25">
      <c r="J2318" s="53"/>
    </row>
    <row r="2319" spans="10:10" x14ac:dyDescent="0.25">
      <c r="J2319" s="53"/>
    </row>
    <row r="2320" spans="10:10" x14ac:dyDescent="0.25">
      <c r="J2320" s="53"/>
    </row>
    <row r="2321" spans="10:10" x14ac:dyDescent="0.25">
      <c r="J2321" s="53"/>
    </row>
    <row r="2322" spans="10:10" x14ac:dyDescent="0.25">
      <c r="J2322" s="53"/>
    </row>
    <row r="2323" spans="10:10" x14ac:dyDescent="0.25">
      <c r="J2323" s="53"/>
    </row>
    <row r="2324" spans="10:10" x14ac:dyDescent="0.25">
      <c r="J2324" s="53"/>
    </row>
    <row r="2325" spans="10:10" x14ac:dyDescent="0.25">
      <c r="J2325" s="53"/>
    </row>
    <row r="2326" spans="10:10" x14ac:dyDescent="0.25">
      <c r="J2326" s="53"/>
    </row>
    <row r="2327" spans="10:10" x14ac:dyDescent="0.25">
      <c r="J2327" s="53"/>
    </row>
    <row r="2328" spans="10:10" x14ac:dyDescent="0.25">
      <c r="J2328" s="53"/>
    </row>
    <row r="2329" spans="10:10" x14ac:dyDescent="0.25">
      <c r="J2329" s="53"/>
    </row>
    <row r="2330" spans="10:10" x14ac:dyDescent="0.25">
      <c r="J2330" s="53"/>
    </row>
    <row r="2331" spans="10:10" x14ac:dyDescent="0.25">
      <c r="J2331" s="53"/>
    </row>
    <row r="2332" spans="10:10" x14ac:dyDescent="0.25">
      <c r="J2332" s="53"/>
    </row>
    <row r="2333" spans="10:10" x14ac:dyDescent="0.25">
      <c r="J2333" s="53"/>
    </row>
    <row r="2334" spans="10:10" x14ac:dyDescent="0.25">
      <c r="J2334" s="53"/>
    </row>
    <row r="2335" spans="10:10" x14ac:dyDescent="0.25">
      <c r="J2335" s="53"/>
    </row>
    <row r="2336" spans="10:10" x14ac:dyDescent="0.25">
      <c r="J2336" s="53"/>
    </row>
    <row r="2337" spans="10:10" x14ac:dyDescent="0.25">
      <c r="J2337" s="53"/>
    </row>
    <row r="2338" spans="10:10" x14ac:dyDescent="0.25">
      <c r="J2338" s="53"/>
    </row>
    <row r="2339" spans="10:10" x14ac:dyDescent="0.25">
      <c r="J2339" s="53"/>
    </row>
    <row r="2340" spans="10:10" x14ac:dyDescent="0.25">
      <c r="J2340" s="53"/>
    </row>
    <row r="2341" spans="10:10" x14ac:dyDescent="0.25">
      <c r="J2341" s="53"/>
    </row>
    <row r="2342" spans="10:10" x14ac:dyDescent="0.25">
      <c r="J2342" s="53"/>
    </row>
    <row r="2343" spans="10:10" x14ac:dyDescent="0.25">
      <c r="J2343" s="53"/>
    </row>
    <row r="2344" spans="10:10" x14ac:dyDescent="0.25">
      <c r="J2344" s="53"/>
    </row>
    <row r="2345" spans="10:10" x14ac:dyDescent="0.25">
      <c r="J2345" s="53"/>
    </row>
    <row r="2346" spans="10:10" x14ac:dyDescent="0.25">
      <c r="J2346" s="53"/>
    </row>
    <row r="2347" spans="10:10" x14ac:dyDescent="0.25">
      <c r="J2347" s="53"/>
    </row>
    <row r="2348" spans="10:10" x14ac:dyDescent="0.25">
      <c r="J2348" s="53"/>
    </row>
    <row r="2349" spans="10:10" x14ac:dyDescent="0.25">
      <c r="J2349" s="53"/>
    </row>
    <row r="2350" spans="10:10" x14ac:dyDescent="0.25">
      <c r="J2350" s="53"/>
    </row>
    <row r="2351" spans="10:10" x14ac:dyDescent="0.25">
      <c r="J2351" s="53"/>
    </row>
    <row r="2352" spans="10:10" x14ac:dyDescent="0.25">
      <c r="J2352" s="53"/>
    </row>
    <row r="2353" spans="10:10" x14ac:dyDescent="0.25">
      <c r="J2353" s="53"/>
    </row>
    <row r="2354" spans="10:10" x14ac:dyDescent="0.25">
      <c r="J2354" s="53"/>
    </row>
    <row r="2355" spans="10:10" x14ac:dyDescent="0.25">
      <c r="J2355" s="53"/>
    </row>
    <row r="2356" spans="10:10" x14ac:dyDescent="0.25">
      <c r="J2356" s="53"/>
    </row>
    <row r="2357" spans="10:10" x14ac:dyDescent="0.25">
      <c r="J2357" s="53"/>
    </row>
    <row r="2358" spans="10:10" x14ac:dyDescent="0.25">
      <c r="J2358" s="53"/>
    </row>
    <row r="2359" spans="10:10" x14ac:dyDescent="0.25">
      <c r="J2359" s="53"/>
    </row>
    <row r="2360" spans="10:10" x14ac:dyDescent="0.25">
      <c r="J2360" s="53"/>
    </row>
    <row r="2361" spans="10:10" x14ac:dyDescent="0.25">
      <c r="J2361" s="53"/>
    </row>
    <row r="2362" spans="10:10" x14ac:dyDescent="0.25">
      <c r="J2362" s="53"/>
    </row>
    <row r="2363" spans="10:10" x14ac:dyDescent="0.25">
      <c r="J2363" s="53"/>
    </row>
    <row r="2364" spans="10:10" x14ac:dyDescent="0.25">
      <c r="J2364" s="53"/>
    </row>
    <row r="2365" spans="10:10" x14ac:dyDescent="0.25">
      <c r="J2365" s="53"/>
    </row>
    <row r="2366" spans="10:10" x14ac:dyDescent="0.25">
      <c r="J2366" s="53"/>
    </row>
    <row r="2367" spans="10:10" x14ac:dyDescent="0.25">
      <c r="J2367" s="53"/>
    </row>
    <row r="2368" spans="10:10" x14ac:dyDescent="0.25">
      <c r="J2368" s="53"/>
    </row>
    <row r="2369" spans="10:10" x14ac:dyDescent="0.25">
      <c r="J2369" s="53"/>
    </row>
    <row r="2370" spans="10:10" x14ac:dyDescent="0.25">
      <c r="J2370" s="53"/>
    </row>
    <row r="2371" spans="10:10" x14ac:dyDescent="0.25">
      <c r="J2371" s="53"/>
    </row>
    <row r="2372" spans="10:10" x14ac:dyDescent="0.25">
      <c r="J2372" s="53"/>
    </row>
    <row r="2373" spans="10:10" x14ac:dyDescent="0.25">
      <c r="J2373" s="53"/>
    </row>
    <row r="2374" spans="10:10" x14ac:dyDescent="0.25">
      <c r="J2374" s="53"/>
    </row>
    <row r="2375" spans="10:10" x14ac:dyDescent="0.25">
      <c r="J2375" s="53"/>
    </row>
    <row r="2376" spans="10:10" x14ac:dyDescent="0.25">
      <c r="J2376" s="53"/>
    </row>
    <row r="2377" spans="10:10" x14ac:dyDescent="0.25">
      <c r="J2377" s="53"/>
    </row>
    <row r="2378" spans="10:10" x14ac:dyDescent="0.25">
      <c r="J2378" s="53"/>
    </row>
    <row r="2379" spans="10:10" x14ac:dyDescent="0.25">
      <c r="J2379" s="53"/>
    </row>
    <row r="2380" spans="10:10" x14ac:dyDescent="0.25">
      <c r="J2380" s="53"/>
    </row>
    <row r="2381" spans="10:10" x14ac:dyDescent="0.25">
      <c r="J2381" s="53"/>
    </row>
    <row r="2382" spans="10:10" x14ac:dyDescent="0.25">
      <c r="J2382" s="53"/>
    </row>
    <row r="2383" spans="10:10" x14ac:dyDescent="0.25">
      <c r="J2383" s="53"/>
    </row>
    <row r="2384" spans="10:10" x14ac:dyDescent="0.25">
      <c r="J2384" s="53"/>
    </row>
    <row r="2385" spans="10:10" x14ac:dyDescent="0.25">
      <c r="J2385" s="53"/>
    </row>
    <row r="2386" spans="10:10" x14ac:dyDescent="0.25">
      <c r="J2386" s="53"/>
    </row>
    <row r="2387" spans="10:10" x14ac:dyDescent="0.25">
      <c r="J2387" s="53"/>
    </row>
    <row r="2388" spans="10:10" x14ac:dyDescent="0.25">
      <c r="J2388" s="53"/>
    </row>
    <row r="2389" spans="10:10" x14ac:dyDescent="0.25">
      <c r="J2389" s="53"/>
    </row>
    <row r="2390" spans="10:10" x14ac:dyDescent="0.25">
      <c r="J2390" s="53"/>
    </row>
    <row r="2391" spans="10:10" x14ac:dyDescent="0.25">
      <c r="J2391" s="53"/>
    </row>
    <row r="2392" spans="10:10" x14ac:dyDescent="0.25">
      <c r="J2392" s="53"/>
    </row>
    <row r="2393" spans="10:10" x14ac:dyDescent="0.25">
      <c r="J2393" s="53"/>
    </row>
    <row r="2394" spans="10:10" x14ac:dyDescent="0.25">
      <c r="J2394" s="53"/>
    </row>
    <row r="2395" spans="10:10" x14ac:dyDescent="0.25">
      <c r="J2395" s="53"/>
    </row>
    <row r="2396" spans="10:10" x14ac:dyDescent="0.25">
      <c r="J2396" s="53"/>
    </row>
    <row r="2397" spans="10:10" x14ac:dyDescent="0.25">
      <c r="J2397" s="53"/>
    </row>
    <row r="2398" spans="10:10" x14ac:dyDescent="0.25">
      <c r="J2398" s="53"/>
    </row>
    <row r="2399" spans="10:10" x14ac:dyDescent="0.25">
      <c r="J2399" s="53"/>
    </row>
    <row r="2400" spans="10:10" x14ac:dyDescent="0.25">
      <c r="J2400" s="53"/>
    </row>
    <row r="2401" spans="10:10" x14ac:dyDescent="0.25">
      <c r="J2401" s="53"/>
    </row>
    <row r="2402" spans="10:10" x14ac:dyDescent="0.25">
      <c r="J2402" s="53"/>
    </row>
    <row r="2403" spans="10:10" x14ac:dyDescent="0.25">
      <c r="J2403" s="53"/>
    </row>
    <row r="2404" spans="10:10" x14ac:dyDescent="0.25">
      <c r="J2404" s="53"/>
    </row>
    <row r="2405" spans="10:10" x14ac:dyDescent="0.25">
      <c r="J2405" s="53"/>
    </row>
    <row r="2406" spans="10:10" x14ac:dyDescent="0.25">
      <c r="J2406" s="53"/>
    </row>
    <row r="2407" spans="10:10" x14ac:dyDescent="0.25">
      <c r="J2407" s="53"/>
    </row>
    <row r="2408" spans="10:10" x14ac:dyDescent="0.25">
      <c r="J2408" s="53"/>
    </row>
    <row r="2409" spans="10:10" x14ac:dyDescent="0.25">
      <c r="J2409" s="53"/>
    </row>
    <row r="2410" spans="10:10" x14ac:dyDescent="0.25">
      <c r="J2410" s="53"/>
    </row>
    <row r="2411" spans="10:10" x14ac:dyDescent="0.25">
      <c r="J2411" s="53"/>
    </row>
    <row r="2412" spans="10:10" x14ac:dyDescent="0.25">
      <c r="J2412" s="53"/>
    </row>
    <row r="2413" spans="10:10" x14ac:dyDescent="0.25">
      <c r="J2413" s="53"/>
    </row>
    <row r="2414" spans="10:10" x14ac:dyDescent="0.25">
      <c r="J2414" s="53"/>
    </row>
    <row r="2415" spans="10:10" x14ac:dyDescent="0.25">
      <c r="J2415" s="53"/>
    </row>
    <row r="2416" spans="10:10" x14ac:dyDescent="0.25">
      <c r="J2416" s="53"/>
    </row>
    <row r="2417" spans="10:10" x14ac:dyDescent="0.25">
      <c r="J2417" s="53"/>
    </row>
    <row r="2418" spans="10:10" x14ac:dyDescent="0.25">
      <c r="J2418" s="53"/>
    </row>
    <row r="2419" spans="10:10" x14ac:dyDescent="0.25">
      <c r="J2419" s="53"/>
    </row>
    <row r="2420" spans="10:10" x14ac:dyDescent="0.25">
      <c r="J2420" s="53"/>
    </row>
    <row r="2421" spans="10:10" x14ac:dyDescent="0.25">
      <c r="J2421" s="53"/>
    </row>
    <row r="2422" spans="10:10" x14ac:dyDescent="0.25">
      <c r="J2422" s="53"/>
    </row>
    <row r="2423" spans="10:10" x14ac:dyDescent="0.25">
      <c r="J2423" s="53"/>
    </row>
    <row r="2424" spans="10:10" x14ac:dyDescent="0.25">
      <c r="J2424" s="53"/>
    </row>
    <row r="2425" spans="10:10" x14ac:dyDescent="0.25">
      <c r="J2425" s="53"/>
    </row>
    <row r="2426" spans="10:10" x14ac:dyDescent="0.25">
      <c r="J2426" s="53"/>
    </row>
    <row r="2427" spans="10:10" x14ac:dyDescent="0.25">
      <c r="J2427" s="53"/>
    </row>
    <row r="2428" spans="10:10" x14ac:dyDescent="0.25">
      <c r="J2428" s="53"/>
    </row>
    <row r="2429" spans="10:10" x14ac:dyDescent="0.25">
      <c r="J2429" s="53"/>
    </row>
    <row r="2430" spans="10:10" x14ac:dyDescent="0.25">
      <c r="J2430" s="53"/>
    </row>
    <row r="2431" spans="10:10" x14ac:dyDescent="0.25">
      <c r="J2431" s="53"/>
    </row>
    <row r="2432" spans="10:10" x14ac:dyDescent="0.25">
      <c r="J2432" s="53"/>
    </row>
    <row r="2433" spans="10:10" x14ac:dyDescent="0.25">
      <c r="J2433" s="53"/>
    </row>
    <row r="2434" spans="10:10" x14ac:dyDescent="0.25">
      <c r="J2434" s="53"/>
    </row>
    <row r="2435" spans="10:10" x14ac:dyDescent="0.25">
      <c r="J2435" s="53"/>
    </row>
    <row r="2436" spans="10:10" x14ac:dyDescent="0.25">
      <c r="J2436" s="53"/>
    </row>
    <row r="2437" spans="10:10" x14ac:dyDescent="0.25">
      <c r="J2437" s="53"/>
    </row>
    <row r="2438" spans="10:10" x14ac:dyDescent="0.25">
      <c r="J2438" s="53"/>
    </row>
    <row r="2439" spans="10:10" x14ac:dyDescent="0.25">
      <c r="J2439" s="53"/>
    </row>
    <row r="2440" spans="10:10" x14ac:dyDescent="0.25">
      <c r="J2440" s="53"/>
    </row>
    <row r="2441" spans="10:10" x14ac:dyDescent="0.25">
      <c r="J2441" s="53"/>
    </row>
    <row r="2442" spans="10:10" x14ac:dyDescent="0.25">
      <c r="J2442" s="53"/>
    </row>
    <row r="2443" spans="10:10" x14ac:dyDescent="0.25">
      <c r="J2443" s="53"/>
    </row>
    <row r="2444" spans="10:10" x14ac:dyDescent="0.25">
      <c r="J2444" s="53"/>
    </row>
    <row r="2445" spans="10:10" x14ac:dyDescent="0.25">
      <c r="J2445" s="53"/>
    </row>
    <row r="2446" spans="10:10" x14ac:dyDescent="0.25">
      <c r="J2446" s="53"/>
    </row>
    <row r="2447" spans="10:10" x14ac:dyDescent="0.25">
      <c r="J2447" s="53"/>
    </row>
    <row r="2448" spans="10:10" x14ac:dyDescent="0.25">
      <c r="J2448" s="53"/>
    </row>
    <row r="2449" spans="10:10" x14ac:dyDescent="0.25">
      <c r="J2449" s="53"/>
    </row>
    <row r="2450" spans="10:10" x14ac:dyDescent="0.25">
      <c r="J2450" s="53"/>
    </row>
    <row r="2451" spans="10:10" x14ac:dyDescent="0.25">
      <c r="J2451" s="53"/>
    </row>
    <row r="2452" spans="10:10" x14ac:dyDescent="0.25">
      <c r="J2452" s="53"/>
    </row>
    <row r="2453" spans="10:10" x14ac:dyDescent="0.25">
      <c r="J2453" s="53"/>
    </row>
    <row r="2454" spans="10:10" x14ac:dyDescent="0.25">
      <c r="J2454" s="53"/>
    </row>
    <row r="2455" spans="10:10" x14ac:dyDescent="0.25">
      <c r="J2455" s="53"/>
    </row>
    <row r="2456" spans="10:10" x14ac:dyDescent="0.25">
      <c r="J2456" s="53"/>
    </row>
    <row r="2457" spans="10:10" x14ac:dyDescent="0.25">
      <c r="J2457" s="53"/>
    </row>
    <row r="2458" spans="10:10" x14ac:dyDescent="0.25">
      <c r="J2458" s="53"/>
    </row>
    <row r="2459" spans="10:10" x14ac:dyDescent="0.25">
      <c r="J2459" s="53"/>
    </row>
    <row r="2460" spans="10:10" x14ac:dyDescent="0.25">
      <c r="J2460" s="53"/>
    </row>
    <row r="2461" spans="10:10" x14ac:dyDescent="0.25">
      <c r="J2461" s="53"/>
    </row>
    <row r="2462" spans="10:10" x14ac:dyDescent="0.25">
      <c r="J2462" s="53"/>
    </row>
    <row r="2463" spans="10:10" x14ac:dyDescent="0.25">
      <c r="J2463" s="53"/>
    </row>
    <row r="2464" spans="10:10" x14ac:dyDescent="0.25">
      <c r="J2464" s="53"/>
    </row>
    <row r="2465" spans="10:10" x14ac:dyDescent="0.25">
      <c r="J2465" s="53"/>
    </row>
    <row r="2466" spans="10:10" x14ac:dyDescent="0.25">
      <c r="J2466" s="53"/>
    </row>
    <row r="2467" spans="10:10" x14ac:dyDescent="0.25">
      <c r="J2467" s="53"/>
    </row>
    <row r="2468" spans="10:10" x14ac:dyDescent="0.25">
      <c r="J2468" s="53"/>
    </row>
    <row r="2469" spans="10:10" x14ac:dyDescent="0.25">
      <c r="J2469" s="53"/>
    </row>
    <row r="2470" spans="10:10" x14ac:dyDescent="0.25">
      <c r="J2470" s="53"/>
    </row>
    <row r="2471" spans="10:10" x14ac:dyDescent="0.25">
      <c r="J2471" s="53"/>
    </row>
    <row r="2472" spans="10:10" x14ac:dyDescent="0.25">
      <c r="J2472" s="53"/>
    </row>
    <row r="2473" spans="10:10" x14ac:dyDescent="0.25">
      <c r="J2473" s="53"/>
    </row>
    <row r="2474" spans="10:10" x14ac:dyDescent="0.25">
      <c r="J2474" s="53"/>
    </row>
    <row r="2475" spans="10:10" x14ac:dyDescent="0.25">
      <c r="J2475" s="53"/>
    </row>
    <row r="2476" spans="10:10" x14ac:dyDescent="0.25">
      <c r="J2476" s="53"/>
    </row>
    <row r="2477" spans="10:10" x14ac:dyDescent="0.25">
      <c r="J2477" s="53"/>
    </row>
    <row r="2478" spans="10:10" x14ac:dyDescent="0.25">
      <c r="J2478" s="53"/>
    </row>
    <row r="2479" spans="10:10" x14ac:dyDescent="0.25">
      <c r="J2479" s="53"/>
    </row>
    <row r="2480" spans="10:10" x14ac:dyDescent="0.25">
      <c r="J2480" s="53"/>
    </row>
    <row r="2481" spans="10:10" x14ac:dyDescent="0.25">
      <c r="J2481" s="53"/>
    </row>
    <row r="2482" spans="10:10" x14ac:dyDescent="0.25">
      <c r="J2482" s="53"/>
    </row>
    <row r="2483" spans="10:10" x14ac:dyDescent="0.25">
      <c r="J2483" s="53"/>
    </row>
    <row r="2484" spans="10:10" x14ac:dyDescent="0.25">
      <c r="J2484" s="53"/>
    </row>
    <row r="2485" spans="10:10" x14ac:dyDescent="0.25">
      <c r="J2485" s="53"/>
    </row>
    <row r="2486" spans="10:10" x14ac:dyDescent="0.25">
      <c r="J2486" s="53"/>
    </row>
    <row r="2487" spans="10:10" x14ac:dyDescent="0.25">
      <c r="J2487" s="53"/>
    </row>
    <row r="2488" spans="10:10" x14ac:dyDescent="0.25">
      <c r="J2488" s="53"/>
    </row>
    <row r="2489" spans="10:10" x14ac:dyDescent="0.25">
      <c r="J2489" s="53"/>
    </row>
    <row r="2490" spans="10:10" x14ac:dyDescent="0.25">
      <c r="J2490" s="53"/>
    </row>
    <row r="2491" spans="10:10" x14ac:dyDescent="0.25">
      <c r="J2491" s="53"/>
    </row>
    <row r="2492" spans="10:10" x14ac:dyDescent="0.25">
      <c r="J2492" s="53"/>
    </row>
    <row r="2493" spans="10:10" x14ac:dyDescent="0.25">
      <c r="J2493" s="53"/>
    </row>
    <row r="2494" spans="10:10" x14ac:dyDescent="0.25">
      <c r="J2494" s="53"/>
    </row>
    <row r="2495" spans="10:10" x14ac:dyDescent="0.25">
      <c r="J2495" s="53"/>
    </row>
    <row r="2496" spans="10:10" x14ac:dyDescent="0.25">
      <c r="J2496" s="53"/>
    </row>
    <row r="2497" spans="10:10" x14ac:dyDescent="0.25">
      <c r="J2497" s="53"/>
    </row>
    <row r="2498" spans="10:10" x14ac:dyDescent="0.25">
      <c r="J2498" s="53"/>
    </row>
    <row r="2499" spans="10:10" x14ac:dyDescent="0.25">
      <c r="J2499" s="53"/>
    </row>
    <row r="2500" spans="10:10" x14ac:dyDescent="0.25">
      <c r="J2500" s="53"/>
    </row>
    <row r="2501" spans="10:10" x14ac:dyDescent="0.25">
      <c r="J2501" s="53"/>
    </row>
    <row r="2502" spans="10:10" x14ac:dyDescent="0.25">
      <c r="J2502" s="53"/>
    </row>
    <row r="2503" spans="10:10" x14ac:dyDescent="0.25">
      <c r="J2503" s="53"/>
    </row>
    <row r="2504" spans="10:10" x14ac:dyDescent="0.25">
      <c r="J2504" s="53"/>
    </row>
    <row r="2505" spans="10:10" x14ac:dyDescent="0.25">
      <c r="J2505" s="53"/>
    </row>
    <row r="2506" spans="10:10" x14ac:dyDescent="0.25">
      <c r="J2506" s="53"/>
    </row>
    <row r="2507" spans="10:10" x14ac:dyDescent="0.25">
      <c r="J2507" s="53"/>
    </row>
    <row r="2508" spans="10:10" x14ac:dyDescent="0.25">
      <c r="J2508" s="53"/>
    </row>
    <row r="2509" spans="10:10" x14ac:dyDescent="0.25">
      <c r="J2509" s="53"/>
    </row>
    <row r="2510" spans="10:10" x14ac:dyDescent="0.25">
      <c r="J2510" s="53"/>
    </row>
    <row r="2511" spans="10:10" x14ac:dyDescent="0.25">
      <c r="J2511" s="53"/>
    </row>
    <row r="2512" spans="10:10" x14ac:dyDescent="0.25">
      <c r="J2512" s="53"/>
    </row>
    <row r="2513" spans="10:10" x14ac:dyDescent="0.25">
      <c r="J2513" s="53"/>
    </row>
    <row r="2514" spans="10:10" x14ac:dyDescent="0.25">
      <c r="J2514" s="53"/>
    </row>
    <row r="2515" spans="10:10" x14ac:dyDescent="0.25">
      <c r="J2515" s="53"/>
    </row>
    <row r="2516" spans="10:10" x14ac:dyDescent="0.25">
      <c r="J2516" s="53"/>
    </row>
    <row r="2517" spans="10:10" x14ac:dyDescent="0.25">
      <c r="J2517" s="53"/>
    </row>
    <row r="2518" spans="10:10" x14ac:dyDescent="0.25">
      <c r="J2518" s="53"/>
    </row>
    <row r="2519" spans="10:10" x14ac:dyDescent="0.25">
      <c r="J2519" s="53"/>
    </row>
    <row r="2520" spans="10:10" x14ac:dyDescent="0.25">
      <c r="J2520" s="53"/>
    </row>
    <row r="2521" spans="10:10" x14ac:dyDescent="0.25">
      <c r="J2521" s="53"/>
    </row>
    <row r="2522" spans="10:10" x14ac:dyDescent="0.25">
      <c r="J2522" s="53"/>
    </row>
    <row r="2523" spans="10:10" x14ac:dyDescent="0.25">
      <c r="J2523" s="53"/>
    </row>
    <row r="2524" spans="10:10" x14ac:dyDescent="0.25">
      <c r="J2524" s="53"/>
    </row>
    <row r="2525" spans="10:10" x14ac:dyDescent="0.25">
      <c r="J2525" s="53"/>
    </row>
    <row r="2526" spans="10:10" x14ac:dyDescent="0.25">
      <c r="J2526" s="53"/>
    </row>
    <row r="2527" spans="10:10" x14ac:dyDescent="0.25">
      <c r="J2527" s="53"/>
    </row>
    <row r="2528" spans="10:10" x14ac:dyDescent="0.25">
      <c r="J2528" s="53"/>
    </row>
    <row r="2529" spans="10:10" x14ac:dyDescent="0.25">
      <c r="J2529" s="53"/>
    </row>
    <row r="2530" spans="10:10" x14ac:dyDescent="0.25">
      <c r="J2530" s="53"/>
    </row>
    <row r="2531" spans="10:10" x14ac:dyDescent="0.25">
      <c r="J2531" s="53"/>
    </row>
    <row r="2532" spans="10:10" x14ac:dyDescent="0.25">
      <c r="J2532" s="53"/>
    </row>
    <row r="2533" spans="10:10" x14ac:dyDescent="0.25">
      <c r="J2533" s="53"/>
    </row>
    <row r="2534" spans="10:10" x14ac:dyDescent="0.25">
      <c r="J2534" s="53"/>
    </row>
    <row r="2535" spans="10:10" x14ac:dyDescent="0.25">
      <c r="J2535" s="53"/>
    </row>
    <row r="2536" spans="10:10" x14ac:dyDescent="0.25">
      <c r="J2536" s="53"/>
    </row>
    <row r="2537" spans="10:10" x14ac:dyDescent="0.25">
      <c r="J2537" s="53"/>
    </row>
    <row r="2538" spans="10:10" x14ac:dyDescent="0.25">
      <c r="J2538" s="53"/>
    </row>
    <row r="2539" spans="10:10" x14ac:dyDescent="0.25">
      <c r="J2539" s="53"/>
    </row>
    <row r="2540" spans="10:10" x14ac:dyDescent="0.25">
      <c r="J2540" s="53"/>
    </row>
    <row r="2541" spans="10:10" x14ac:dyDescent="0.25">
      <c r="J2541" s="53"/>
    </row>
    <row r="2542" spans="10:10" x14ac:dyDescent="0.25">
      <c r="J2542" s="53"/>
    </row>
    <row r="2543" spans="10:10" x14ac:dyDescent="0.25">
      <c r="J2543" s="53"/>
    </row>
    <row r="2544" spans="10:10" x14ac:dyDescent="0.25">
      <c r="J2544" s="53"/>
    </row>
    <row r="2545" spans="10:10" x14ac:dyDescent="0.25">
      <c r="J2545" s="53"/>
    </row>
    <row r="2546" spans="10:10" x14ac:dyDescent="0.25">
      <c r="J2546" s="53"/>
    </row>
    <row r="2547" spans="10:10" x14ac:dyDescent="0.25">
      <c r="J2547" s="53"/>
    </row>
    <row r="2548" spans="10:10" x14ac:dyDescent="0.25">
      <c r="J2548" s="53"/>
    </row>
    <row r="2549" spans="10:10" x14ac:dyDescent="0.25">
      <c r="J2549" s="53"/>
    </row>
    <row r="2550" spans="10:10" x14ac:dyDescent="0.25">
      <c r="J2550" s="53"/>
    </row>
    <row r="2551" spans="10:10" x14ac:dyDescent="0.25">
      <c r="J2551" s="53"/>
    </row>
    <row r="2552" spans="10:10" x14ac:dyDescent="0.25">
      <c r="J2552" s="53"/>
    </row>
    <row r="2553" spans="10:10" x14ac:dyDescent="0.25">
      <c r="J2553" s="53"/>
    </row>
    <row r="2554" spans="10:10" x14ac:dyDescent="0.25">
      <c r="J2554" s="53"/>
    </row>
    <row r="2555" spans="10:10" x14ac:dyDescent="0.25">
      <c r="J2555" s="53"/>
    </row>
    <row r="2556" spans="10:10" x14ac:dyDescent="0.25">
      <c r="J2556" s="53"/>
    </row>
    <row r="2557" spans="10:10" x14ac:dyDescent="0.25">
      <c r="J2557" s="53"/>
    </row>
    <row r="2558" spans="10:10" x14ac:dyDescent="0.25">
      <c r="J2558" s="53"/>
    </row>
    <row r="2559" spans="10:10" x14ac:dyDescent="0.25">
      <c r="J2559" s="53"/>
    </row>
    <row r="2560" spans="10:10" x14ac:dyDescent="0.25">
      <c r="J2560" s="53"/>
    </row>
    <row r="2561" spans="10:10" x14ac:dyDescent="0.25">
      <c r="J2561" s="53"/>
    </row>
    <row r="2562" spans="10:10" x14ac:dyDescent="0.25">
      <c r="J2562" s="53"/>
    </row>
    <row r="2563" spans="10:10" x14ac:dyDescent="0.25">
      <c r="J2563" s="53"/>
    </row>
    <row r="2564" spans="10:10" x14ac:dyDescent="0.25">
      <c r="J2564" s="53"/>
    </row>
    <row r="2565" spans="10:10" x14ac:dyDescent="0.25">
      <c r="J2565" s="53"/>
    </row>
    <row r="2566" spans="10:10" x14ac:dyDescent="0.25">
      <c r="J2566" s="53"/>
    </row>
    <row r="2567" spans="10:10" x14ac:dyDescent="0.25">
      <c r="J2567" s="53"/>
    </row>
    <row r="2568" spans="10:10" x14ac:dyDescent="0.25">
      <c r="J2568" s="53"/>
    </row>
    <row r="2569" spans="10:10" x14ac:dyDescent="0.25">
      <c r="J2569" s="53"/>
    </row>
    <row r="2570" spans="10:10" x14ac:dyDescent="0.25">
      <c r="J2570" s="53"/>
    </row>
    <row r="2571" spans="10:10" x14ac:dyDescent="0.25">
      <c r="J2571" s="53"/>
    </row>
    <row r="2572" spans="10:10" x14ac:dyDescent="0.25">
      <c r="J2572" s="53"/>
    </row>
    <row r="2573" spans="10:10" x14ac:dyDescent="0.25">
      <c r="J2573" s="53"/>
    </row>
    <row r="2574" spans="10:10" x14ac:dyDescent="0.25">
      <c r="J2574" s="53"/>
    </row>
    <row r="2575" spans="10:10" x14ac:dyDescent="0.25">
      <c r="J2575" s="53"/>
    </row>
    <row r="2576" spans="10:10" x14ac:dyDescent="0.25">
      <c r="J2576" s="53"/>
    </row>
    <row r="2577" spans="10:10" x14ac:dyDescent="0.25">
      <c r="J2577" s="53"/>
    </row>
    <row r="2578" spans="10:10" x14ac:dyDescent="0.25">
      <c r="J2578" s="53"/>
    </row>
    <row r="2579" spans="10:10" x14ac:dyDescent="0.25">
      <c r="J2579" s="53"/>
    </row>
    <row r="2580" spans="10:10" x14ac:dyDescent="0.25">
      <c r="J2580" s="53"/>
    </row>
    <row r="2581" spans="10:10" x14ac:dyDescent="0.25">
      <c r="J2581" s="53"/>
    </row>
    <row r="2582" spans="10:10" x14ac:dyDescent="0.25">
      <c r="J2582" s="53"/>
    </row>
    <row r="2583" spans="10:10" x14ac:dyDescent="0.25">
      <c r="J2583" s="53"/>
    </row>
    <row r="2584" spans="10:10" x14ac:dyDescent="0.25">
      <c r="J2584" s="53"/>
    </row>
    <row r="2585" spans="10:10" x14ac:dyDescent="0.25">
      <c r="J2585" s="53"/>
    </row>
    <row r="2586" spans="10:10" x14ac:dyDescent="0.25">
      <c r="J2586" s="53"/>
    </row>
    <row r="2587" spans="10:10" x14ac:dyDescent="0.25">
      <c r="J2587" s="53"/>
    </row>
    <row r="2588" spans="10:10" x14ac:dyDescent="0.25">
      <c r="J2588" s="53"/>
    </row>
    <row r="2589" spans="10:10" x14ac:dyDescent="0.25">
      <c r="J2589" s="53"/>
    </row>
    <row r="2590" spans="10:10" x14ac:dyDescent="0.25">
      <c r="J2590" s="53"/>
    </row>
    <row r="2591" spans="10:10" x14ac:dyDescent="0.25">
      <c r="J2591" s="53"/>
    </row>
    <row r="2592" spans="10:10" x14ac:dyDescent="0.25">
      <c r="J2592" s="53"/>
    </row>
    <row r="2593" spans="10:10" x14ac:dyDescent="0.25">
      <c r="J2593" s="53"/>
    </row>
    <row r="2594" spans="10:10" x14ac:dyDescent="0.25">
      <c r="J2594" s="53"/>
    </row>
    <row r="2595" spans="10:10" x14ac:dyDescent="0.25">
      <c r="J2595" s="53"/>
    </row>
    <row r="2596" spans="10:10" x14ac:dyDescent="0.25">
      <c r="J2596" s="53"/>
    </row>
    <row r="2597" spans="10:10" x14ac:dyDescent="0.25">
      <c r="J2597" s="53"/>
    </row>
    <row r="2598" spans="10:10" x14ac:dyDescent="0.25">
      <c r="J2598" s="53"/>
    </row>
    <row r="2599" spans="10:10" x14ac:dyDescent="0.25">
      <c r="J2599" s="53"/>
    </row>
    <row r="2600" spans="10:10" x14ac:dyDescent="0.25">
      <c r="J2600" s="53"/>
    </row>
    <row r="2601" spans="10:10" x14ac:dyDescent="0.25">
      <c r="J2601" s="53"/>
    </row>
    <row r="2602" spans="10:10" x14ac:dyDescent="0.25">
      <c r="J2602" s="53"/>
    </row>
    <row r="2603" spans="10:10" x14ac:dyDescent="0.25">
      <c r="J2603" s="53"/>
    </row>
    <row r="2604" spans="10:10" x14ac:dyDescent="0.25">
      <c r="J2604" s="53"/>
    </row>
    <row r="2605" spans="10:10" x14ac:dyDescent="0.25">
      <c r="J2605" s="53"/>
    </row>
    <row r="2606" spans="10:10" x14ac:dyDescent="0.25">
      <c r="J2606" s="53"/>
    </row>
    <row r="2607" spans="10:10" x14ac:dyDescent="0.25">
      <c r="J2607" s="53"/>
    </row>
    <row r="2608" spans="10:10" x14ac:dyDescent="0.25">
      <c r="J2608" s="53"/>
    </row>
    <row r="2609" spans="10:10" x14ac:dyDescent="0.25">
      <c r="J2609" s="53"/>
    </row>
    <row r="2610" spans="10:10" x14ac:dyDescent="0.25">
      <c r="J2610" s="53"/>
    </row>
    <row r="2611" spans="10:10" x14ac:dyDescent="0.25">
      <c r="J2611" s="53"/>
    </row>
    <row r="2612" spans="10:10" x14ac:dyDescent="0.25">
      <c r="J2612" s="53"/>
    </row>
    <row r="2613" spans="10:10" x14ac:dyDescent="0.25">
      <c r="J2613" s="53"/>
    </row>
    <row r="2614" spans="10:10" x14ac:dyDescent="0.25">
      <c r="J2614" s="53"/>
    </row>
    <row r="2615" spans="10:10" x14ac:dyDescent="0.25">
      <c r="J2615" s="53"/>
    </row>
    <row r="2616" spans="10:10" x14ac:dyDescent="0.25">
      <c r="J2616" s="53"/>
    </row>
    <row r="2617" spans="10:10" x14ac:dyDescent="0.25">
      <c r="J2617" s="53"/>
    </row>
    <row r="2618" spans="10:10" x14ac:dyDescent="0.25">
      <c r="J2618" s="53"/>
    </row>
    <row r="2619" spans="10:10" x14ac:dyDescent="0.25">
      <c r="J2619" s="53"/>
    </row>
    <row r="2620" spans="10:10" x14ac:dyDescent="0.25">
      <c r="J2620" s="53"/>
    </row>
    <row r="2621" spans="10:10" x14ac:dyDescent="0.25">
      <c r="J2621" s="53"/>
    </row>
    <row r="2622" spans="10:10" x14ac:dyDescent="0.25">
      <c r="J2622" s="53"/>
    </row>
    <row r="2623" spans="10:10" x14ac:dyDescent="0.25">
      <c r="J2623" s="53"/>
    </row>
    <row r="2624" spans="10:10" x14ac:dyDescent="0.25">
      <c r="J2624" s="53"/>
    </row>
    <row r="2625" spans="10:10" x14ac:dyDescent="0.25">
      <c r="J2625" s="53"/>
    </row>
    <row r="2626" spans="10:10" x14ac:dyDescent="0.25">
      <c r="J2626" s="53"/>
    </row>
    <row r="2627" spans="10:10" x14ac:dyDescent="0.25">
      <c r="J2627" s="53"/>
    </row>
    <row r="2628" spans="10:10" x14ac:dyDescent="0.25">
      <c r="J2628" s="53"/>
    </row>
    <row r="2629" spans="10:10" x14ac:dyDescent="0.25">
      <c r="J2629" s="53"/>
    </row>
    <row r="2630" spans="10:10" x14ac:dyDescent="0.25">
      <c r="J2630" s="53"/>
    </row>
    <row r="2631" spans="10:10" x14ac:dyDescent="0.25">
      <c r="J2631" s="53"/>
    </row>
    <row r="2632" spans="10:10" x14ac:dyDescent="0.25">
      <c r="J2632" s="53"/>
    </row>
    <row r="2633" spans="10:10" x14ac:dyDescent="0.25">
      <c r="J2633" s="53"/>
    </row>
    <row r="2634" spans="10:10" x14ac:dyDescent="0.25">
      <c r="J2634" s="53"/>
    </row>
    <row r="2635" spans="10:10" x14ac:dyDescent="0.25">
      <c r="J2635" s="53"/>
    </row>
    <row r="2636" spans="10:10" x14ac:dyDescent="0.25">
      <c r="J2636" s="53"/>
    </row>
    <row r="2637" spans="10:10" x14ac:dyDescent="0.25">
      <c r="J2637" s="53"/>
    </row>
    <row r="2638" spans="10:10" x14ac:dyDescent="0.25">
      <c r="J2638" s="53"/>
    </row>
    <row r="2639" spans="10:10" x14ac:dyDescent="0.25">
      <c r="J2639" s="53"/>
    </row>
    <row r="2640" spans="10:10" x14ac:dyDescent="0.25">
      <c r="J2640" s="53"/>
    </row>
    <row r="2641" spans="10:10" x14ac:dyDescent="0.25">
      <c r="J2641" s="53"/>
    </row>
    <row r="2642" spans="10:10" x14ac:dyDescent="0.25">
      <c r="J2642" s="53"/>
    </row>
    <row r="2643" spans="10:10" x14ac:dyDescent="0.25">
      <c r="J2643" s="53"/>
    </row>
    <row r="2644" spans="10:10" x14ac:dyDescent="0.25">
      <c r="J2644" s="53"/>
    </row>
    <row r="2645" spans="10:10" x14ac:dyDescent="0.25">
      <c r="J2645" s="53"/>
    </row>
    <row r="2646" spans="10:10" x14ac:dyDescent="0.25">
      <c r="J2646" s="53"/>
    </row>
    <row r="2647" spans="10:10" x14ac:dyDescent="0.25">
      <c r="J2647" s="53"/>
    </row>
    <row r="2648" spans="10:10" x14ac:dyDescent="0.25">
      <c r="J2648" s="53"/>
    </row>
    <row r="2649" spans="10:10" x14ac:dyDescent="0.25">
      <c r="J2649" s="53"/>
    </row>
    <row r="2650" spans="10:10" x14ac:dyDescent="0.25">
      <c r="J2650" s="53"/>
    </row>
    <row r="2651" spans="10:10" x14ac:dyDescent="0.25">
      <c r="J2651" s="53"/>
    </row>
    <row r="2652" spans="10:10" x14ac:dyDescent="0.25">
      <c r="J2652" s="53"/>
    </row>
    <row r="2653" spans="10:10" x14ac:dyDescent="0.25">
      <c r="J2653" s="53"/>
    </row>
    <row r="2654" spans="10:10" x14ac:dyDescent="0.25">
      <c r="J2654" s="53"/>
    </row>
    <row r="2655" spans="10:10" x14ac:dyDescent="0.25">
      <c r="J2655" s="53"/>
    </row>
    <row r="2656" spans="10:10" x14ac:dyDescent="0.25">
      <c r="J2656" s="53"/>
    </row>
    <row r="2657" spans="10:10" x14ac:dyDescent="0.25">
      <c r="J2657" s="53"/>
    </row>
    <row r="2658" spans="10:10" x14ac:dyDescent="0.25">
      <c r="J2658" s="53"/>
    </row>
    <row r="2659" spans="10:10" x14ac:dyDescent="0.25">
      <c r="J2659" s="53"/>
    </row>
    <row r="2660" spans="10:10" x14ac:dyDescent="0.25">
      <c r="J2660" s="53"/>
    </row>
    <row r="2661" spans="10:10" x14ac:dyDescent="0.25">
      <c r="J2661" s="53"/>
    </row>
    <row r="2662" spans="10:10" x14ac:dyDescent="0.25">
      <c r="J2662" s="53"/>
    </row>
    <row r="2663" spans="10:10" x14ac:dyDescent="0.25">
      <c r="J2663" s="53"/>
    </row>
    <row r="2664" spans="10:10" x14ac:dyDescent="0.25">
      <c r="J2664" s="53"/>
    </row>
    <row r="2665" spans="10:10" x14ac:dyDescent="0.25">
      <c r="J2665" s="53"/>
    </row>
    <row r="2666" spans="10:10" x14ac:dyDescent="0.25">
      <c r="J2666" s="53"/>
    </row>
    <row r="2667" spans="10:10" x14ac:dyDescent="0.25">
      <c r="J2667" s="53"/>
    </row>
    <row r="2668" spans="10:10" x14ac:dyDescent="0.25">
      <c r="J2668" s="53"/>
    </row>
    <row r="2669" spans="10:10" x14ac:dyDescent="0.25">
      <c r="J2669" s="53"/>
    </row>
    <row r="2670" spans="10:10" x14ac:dyDescent="0.25">
      <c r="J2670" s="53"/>
    </row>
    <row r="2671" spans="10:10" x14ac:dyDescent="0.25">
      <c r="J2671" s="53"/>
    </row>
    <row r="2672" spans="10:10" x14ac:dyDescent="0.25">
      <c r="J2672" s="53"/>
    </row>
    <row r="2673" spans="10:10" x14ac:dyDescent="0.25">
      <c r="J2673" s="53"/>
    </row>
    <row r="2674" spans="10:10" x14ac:dyDescent="0.25">
      <c r="J2674" s="53"/>
    </row>
    <row r="2675" spans="10:10" x14ac:dyDescent="0.25">
      <c r="J2675" s="53"/>
    </row>
    <row r="2676" spans="10:10" x14ac:dyDescent="0.25">
      <c r="J2676" s="53"/>
    </row>
    <row r="2677" spans="10:10" x14ac:dyDescent="0.25">
      <c r="J2677" s="53"/>
    </row>
    <row r="2678" spans="10:10" x14ac:dyDescent="0.25">
      <c r="J2678" s="53"/>
    </row>
    <row r="2679" spans="10:10" x14ac:dyDescent="0.25">
      <c r="J2679" s="53"/>
    </row>
    <row r="2680" spans="10:10" x14ac:dyDescent="0.25">
      <c r="J2680" s="53"/>
    </row>
    <row r="2681" spans="10:10" x14ac:dyDescent="0.25">
      <c r="J2681" s="53"/>
    </row>
    <row r="2682" spans="10:10" x14ac:dyDescent="0.25">
      <c r="J2682" s="53"/>
    </row>
    <row r="2683" spans="10:10" x14ac:dyDescent="0.25">
      <c r="J2683" s="53"/>
    </row>
    <row r="2684" spans="10:10" x14ac:dyDescent="0.25">
      <c r="J2684" s="53"/>
    </row>
    <row r="2685" spans="10:10" x14ac:dyDescent="0.25">
      <c r="J2685" s="53"/>
    </row>
    <row r="2686" spans="10:10" x14ac:dyDescent="0.25">
      <c r="J2686" s="53"/>
    </row>
    <row r="2687" spans="10:10" x14ac:dyDescent="0.25">
      <c r="J2687" s="53"/>
    </row>
    <row r="2688" spans="10:10" x14ac:dyDescent="0.25">
      <c r="J2688" s="53"/>
    </row>
    <row r="2689" spans="10:10" x14ac:dyDescent="0.25">
      <c r="J2689" s="53"/>
    </row>
    <row r="2690" spans="10:10" x14ac:dyDescent="0.25">
      <c r="J2690" s="53"/>
    </row>
    <row r="2691" spans="10:10" x14ac:dyDescent="0.25">
      <c r="J2691" s="53"/>
    </row>
    <row r="2692" spans="10:10" x14ac:dyDescent="0.25">
      <c r="J2692" s="53"/>
    </row>
    <row r="2693" spans="10:10" x14ac:dyDescent="0.25">
      <c r="J2693" s="53"/>
    </row>
    <row r="2694" spans="10:10" x14ac:dyDescent="0.25">
      <c r="J2694" s="53"/>
    </row>
    <row r="2695" spans="10:10" x14ac:dyDescent="0.25">
      <c r="J2695" s="53"/>
    </row>
    <row r="2696" spans="10:10" x14ac:dyDescent="0.25">
      <c r="J2696" s="53"/>
    </row>
    <row r="2697" spans="10:10" x14ac:dyDescent="0.25">
      <c r="J2697" s="53"/>
    </row>
    <row r="2698" spans="10:10" x14ac:dyDescent="0.25">
      <c r="J2698" s="53"/>
    </row>
    <row r="2699" spans="10:10" x14ac:dyDescent="0.25">
      <c r="J2699" s="53"/>
    </row>
    <row r="2700" spans="10:10" x14ac:dyDescent="0.25">
      <c r="J2700" s="53"/>
    </row>
    <row r="2701" spans="10:10" x14ac:dyDescent="0.25">
      <c r="J2701" s="53"/>
    </row>
    <row r="2702" spans="10:10" x14ac:dyDescent="0.25">
      <c r="J2702" s="53"/>
    </row>
    <row r="2703" spans="10:10" x14ac:dyDescent="0.25">
      <c r="J2703" s="53"/>
    </row>
    <row r="2704" spans="10:10" x14ac:dyDescent="0.25">
      <c r="J2704" s="53"/>
    </row>
    <row r="2705" spans="10:10" x14ac:dyDescent="0.25">
      <c r="J2705" s="53"/>
    </row>
    <row r="2706" spans="10:10" x14ac:dyDescent="0.25">
      <c r="J2706" s="53"/>
    </row>
    <row r="2707" spans="10:10" x14ac:dyDescent="0.25">
      <c r="J2707" s="53"/>
    </row>
    <row r="2708" spans="10:10" x14ac:dyDescent="0.25">
      <c r="J2708" s="53"/>
    </row>
    <row r="2709" spans="10:10" x14ac:dyDescent="0.25">
      <c r="J2709" s="53"/>
    </row>
    <row r="2710" spans="10:10" x14ac:dyDescent="0.25">
      <c r="J2710" s="53"/>
    </row>
    <row r="2711" spans="10:10" x14ac:dyDescent="0.25">
      <c r="J2711" s="53"/>
    </row>
    <row r="2712" spans="10:10" x14ac:dyDescent="0.25">
      <c r="J2712" s="53"/>
    </row>
    <row r="2713" spans="10:10" x14ac:dyDescent="0.25">
      <c r="J2713" s="53"/>
    </row>
    <row r="2714" spans="10:10" x14ac:dyDescent="0.25">
      <c r="J2714" s="53"/>
    </row>
    <row r="2715" spans="10:10" x14ac:dyDescent="0.25">
      <c r="J2715" s="53"/>
    </row>
    <row r="2716" spans="10:10" x14ac:dyDescent="0.25">
      <c r="J2716" s="53"/>
    </row>
    <row r="2717" spans="10:10" x14ac:dyDescent="0.25">
      <c r="J2717" s="53"/>
    </row>
    <row r="2718" spans="10:10" x14ac:dyDescent="0.25">
      <c r="J2718" s="53"/>
    </row>
    <row r="2719" spans="10:10" x14ac:dyDescent="0.25">
      <c r="J2719" s="53"/>
    </row>
    <row r="2720" spans="10:10" x14ac:dyDescent="0.25">
      <c r="J2720" s="53"/>
    </row>
    <row r="2721" spans="10:10" x14ac:dyDescent="0.25">
      <c r="J2721" s="53"/>
    </row>
    <row r="2722" spans="10:10" x14ac:dyDescent="0.25">
      <c r="J2722" s="53"/>
    </row>
    <row r="2723" spans="10:10" x14ac:dyDescent="0.25">
      <c r="J2723" s="53"/>
    </row>
    <row r="2724" spans="10:10" x14ac:dyDescent="0.25">
      <c r="J2724" s="53"/>
    </row>
    <row r="2725" spans="10:10" x14ac:dyDescent="0.25">
      <c r="J2725" s="53"/>
    </row>
    <row r="2726" spans="10:10" x14ac:dyDescent="0.25">
      <c r="J2726" s="53"/>
    </row>
    <row r="2727" spans="10:10" x14ac:dyDescent="0.25">
      <c r="J2727" s="53"/>
    </row>
    <row r="2728" spans="10:10" x14ac:dyDescent="0.25">
      <c r="J2728" s="53"/>
    </row>
    <row r="2729" spans="10:10" x14ac:dyDescent="0.25">
      <c r="J2729" s="53"/>
    </row>
    <row r="2730" spans="10:10" x14ac:dyDescent="0.25">
      <c r="J2730" s="53"/>
    </row>
    <row r="2731" spans="10:10" x14ac:dyDescent="0.25">
      <c r="J2731" s="53"/>
    </row>
    <row r="2732" spans="10:10" x14ac:dyDescent="0.25">
      <c r="J2732" s="53"/>
    </row>
    <row r="2733" spans="10:10" x14ac:dyDescent="0.25">
      <c r="J2733" s="53"/>
    </row>
    <row r="2734" spans="10:10" x14ac:dyDescent="0.25">
      <c r="J2734" s="53"/>
    </row>
    <row r="2735" spans="10:10" x14ac:dyDescent="0.25">
      <c r="J2735" s="53"/>
    </row>
    <row r="2736" spans="10:10" x14ac:dyDescent="0.25">
      <c r="J2736" s="53"/>
    </row>
    <row r="2737" spans="10:10" x14ac:dyDescent="0.25">
      <c r="J2737" s="53"/>
    </row>
    <row r="2738" spans="10:10" x14ac:dyDescent="0.25">
      <c r="J2738" s="53"/>
    </row>
    <row r="2739" spans="10:10" x14ac:dyDescent="0.25">
      <c r="J2739" s="53"/>
    </row>
    <row r="2740" spans="10:10" x14ac:dyDescent="0.25">
      <c r="J2740" s="53"/>
    </row>
    <row r="2741" spans="10:10" x14ac:dyDescent="0.25">
      <c r="J2741" s="53"/>
    </row>
    <row r="2742" spans="10:10" x14ac:dyDescent="0.25">
      <c r="J2742" s="53"/>
    </row>
    <row r="2743" spans="10:10" x14ac:dyDescent="0.25">
      <c r="J2743" s="53"/>
    </row>
    <row r="2744" spans="10:10" x14ac:dyDescent="0.25">
      <c r="J2744" s="53"/>
    </row>
    <row r="2745" spans="10:10" x14ac:dyDescent="0.25">
      <c r="J2745" s="53"/>
    </row>
    <row r="2746" spans="10:10" x14ac:dyDescent="0.25">
      <c r="J2746" s="53"/>
    </row>
    <row r="2747" spans="10:10" x14ac:dyDescent="0.25">
      <c r="J2747" s="53"/>
    </row>
    <row r="2748" spans="10:10" x14ac:dyDescent="0.25">
      <c r="J2748" s="53"/>
    </row>
    <row r="2749" spans="10:10" x14ac:dyDescent="0.25">
      <c r="J2749" s="53"/>
    </row>
    <row r="2750" spans="10:10" x14ac:dyDescent="0.25">
      <c r="J2750" s="53"/>
    </row>
    <row r="2751" spans="10:10" x14ac:dyDescent="0.25">
      <c r="J2751" s="53"/>
    </row>
    <row r="2752" spans="10:10" x14ac:dyDescent="0.25">
      <c r="J2752" s="53"/>
    </row>
    <row r="2753" spans="10:10" x14ac:dyDescent="0.25">
      <c r="J2753" s="53"/>
    </row>
    <row r="2754" spans="10:10" x14ac:dyDescent="0.25">
      <c r="J2754" s="53"/>
    </row>
    <row r="2755" spans="10:10" x14ac:dyDescent="0.25">
      <c r="J2755" s="53"/>
    </row>
    <row r="2756" spans="10:10" x14ac:dyDescent="0.25">
      <c r="J2756" s="53"/>
    </row>
    <row r="2757" spans="10:10" x14ac:dyDescent="0.25">
      <c r="J2757" s="53"/>
    </row>
    <row r="2758" spans="10:10" x14ac:dyDescent="0.25">
      <c r="J2758" s="53"/>
    </row>
    <row r="2759" spans="10:10" x14ac:dyDescent="0.25">
      <c r="J2759" s="53"/>
    </row>
    <row r="2760" spans="10:10" x14ac:dyDescent="0.25">
      <c r="J2760" s="53"/>
    </row>
    <row r="2761" spans="10:10" x14ac:dyDescent="0.25">
      <c r="J2761" s="53"/>
    </row>
    <row r="2762" spans="10:10" x14ac:dyDescent="0.25">
      <c r="J2762" s="53"/>
    </row>
    <row r="2763" spans="10:10" x14ac:dyDescent="0.25">
      <c r="J2763" s="53"/>
    </row>
    <row r="2764" spans="10:10" x14ac:dyDescent="0.25">
      <c r="J2764" s="53"/>
    </row>
    <row r="2765" spans="10:10" x14ac:dyDescent="0.25">
      <c r="J2765" s="53"/>
    </row>
    <row r="2766" spans="10:10" x14ac:dyDescent="0.25">
      <c r="J2766" s="53"/>
    </row>
    <row r="2767" spans="10:10" x14ac:dyDescent="0.25">
      <c r="J2767" s="53"/>
    </row>
    <row r="2768" spans="10:10" x14ac:dyDescent="0.25">
      <c r="J2768" s="53"/>
    </row>
    <row r="2769" spans="10:10" x14ac:dyDescent="0.25">
      <c r="J2769" s="53"/>
    </row>
    <row r="2770" spans="10:10" x14ac:dyDescent="0.25">
      <c r="J2770" s="53"/>
    </row>
    <row r="2771" spans="10:10" x14ac:dyDescent="0.25">
      <c r="J2771" s="53"/>
    </row>
    <row r="2772" spans="10:10" x14ac:dyDescent="0.25">
      <c r="J2772" s="53"/>
    </row>
    <row r="2773" spans="10:10" x14ac:dyDescent="0.25">
      <c r="J2773" s="53"/>
    </row>
    <row r="2774" spans="10:10" x14ac:dyDescent="0.25">
      <c r="J2774" s="53"/>
    </row>
    <row r="2775" spans="10:10" x14ac:dyDescent="0.25">
      <c r="J2775" s="53"/>
    </row>
    <row r="2776" spans="10:10" x14ac:dyDescent="0.25">
      <c r="J2776" s="53"/>
    </row>
    <row r="2777" spans="10:10" x14ac:dyDescent="0.25">
      <c r="J2777" s="53"/>
    </row>
    <row r="2778" spans="10:10" x14ac:dyDescent="0.25">
      <c r="J2778" s="53"/>
    </row>
    <row r="2779" spans="10:10" x14ac:dyDescent="0.25">
      <c r="J2779" s="53"/>
    </row>
    <row r="2780" spans="10:10" x14ac:dyDescent="0.25">
      <c r="J2780" s="53"/>
    </row>
    <row r="2781" spans="10:10" x14ac:dyDescent="0.25">
      <c r="J2781" s="53"/>
    </row>
    <row r="2782" spans="10:10" x14ac:dyDescent="0.25">
      <c r="J2782" s="53"/>
    </row>
    <row r="2783" spans="10:10" x14ac:dyDescent="0.25">
      <c r="J2783" s="53"/>
    </row>
    <row r="2784" spans="10:10" x14ac:dyDescent="0.25">
      <c r="J2784" s="53"/>
    </row>
    <row r="2785" spans="10:10" x14ac:dyDescent="0.25">
      <c r="J2785" s="53"/>
    </row>
    <row r="2786" spans="10:10" x14ac:dyDescent="0.25">
      <c r="J2786" s="53"/>
    </row>
    <row r="2787" spans="10:10" x14ac:dyDescent="0.25">
      <c r="J2787" s="53"/>
    </row>
    <row r="2788" spans="10:10" x14ac:dyDescent="0.25">
      <c r="J2788" s="53"/>
    </row>
    <row r="2789" spans="10:10" x14ac:dyDescent="0.25">
      <c r="J2789" s="53"/>
    </row>
    <row r="2790" spans="10:10" x14ac:dyDescent="0.25">
      <c r="J2790" s="53"/>
    </row>
    <row r="2791" spans="10:10" x14ac:dyDescent="0.25">
      <c r="J2791" s="53"/>
    </row>
    <row r="2792" spans="10:10" x14ac:dyDescent="0.25">
      <c r="J2792" s="53"/>
    </row>
    <row r="2793" spans="10:10" x14ac:dyDescent="0.25">
      <c r="J2793" s="53"/>
    </row>
    <row r="2794" spans="10:10" x14ac:dyDescent="0.25">
      <c r="J2794" s="53"/>
    </row>
    <row r="2795" spans="10:10" x14ac:dyDescent="0.25">
      <c r="J2795" s="53"/>
    </row>
    <row r="2796" spans="10:10" x14ac:dyDescent="0.25">
      <c r="J2796" s="53"/>
    </row>
    <row r="2797" spans="10:10" x14ac:dyDescent="0.25">
      <c r="J2797" s="53"/>
    </row>
    <row r="2798" spans="10:10" x14ac:dyDescent="0.25">
      <c r="J2798" s="53"/>
    </row>
    <row r="2799" spans="10:10" x14ac:dyDescent="0.25">
      <c r="J2799" s="53"/>
    </row>
    <row r="2800" spans="10:10" x14ac:dyDescent="0.25">
      <c r="J2800" s="53"/>
    </row>
    <row r="2801" spans="10:10" x14ac:dyDescent="0.25">
      <c r="J2801" s="53"/>
    </row>
    <row r="2802" spans="10:10" x14ac:dyDescent="0.25">
      <c r="J2802" s="53"/>
    </row>
    <row r="2803" spans="10:10" x14ac:dyDescent="0.25">
      <c r="J2803" s="53"/>
    </row>
    <row r="2804" spans="10:10" x14ac:dyDescent="0.25">
      <c r="J2804" s="53"/>
    </row>
    <row r="2805" spans="10:10" x14ac:dyDescent="0.25">
      <c r="J2805" s="53"/>
    </row>
    <row r="2806" spans="10:10" x14ac:dyDescent="0.25">
      <c r="J2806" s="53"/>
    </row>
    <row r="2807" spans="10:10" x14ac:dyDescent="0.25">
      <c r="J2807" s="53"/>
    </row>
    <row r="2808" spans="10:10" x14ac:dyDescent="0.25">
      <c r="J2808" s="53"/>
    </row>
    <row r="2809" spans="10:10" x14ac:dyDescent="0.25">
      <c r="J2809" s="53"/>
    </row>
    <row r="2810" spans="10:10" x14ac:dyDescent="0.25">
      <c r="J2810" s="53"/>
    </row>
    <row r="2811" spans="10:10" x14ac:dyDescent="0.25">
      <c r="J2811" s="53"/>
    </row>
    <row r="2812" spans="10:10" x14ac:dyDescent="0.25">
      <c r="J2812" s="53"/>
    </row>
    <row r="2813" spans="10:10" x14ac:dyDescent="0.25">
      <c r="J2813" s="53"/>
    </row>
    <row r="2814" spans="10:10" x14ac:dyDescent="0.25">
      <c r="J2814" s="53"/>
    </row>
    <row r="2815" spans="10:10" x14ac:dyDescent="0.25">
      <c r="J2815" s="53"/>
    </row>
    <row r="2816" spans="10:10" x14ac:dyDescent="0.25">
      <c r="J2816" s="53"/>
    </row>
    <row r="2817" spans="10:10" x14ac:dyDescent="0.25">
      <c r="J2817" s="53"/>
    </row>
    <row r="2818" spans="10:10" x14ac:dyDescent="0.25">
      <c r="J2818" s="53"/>
    </row>
    <row r="2819" spans="10:10" x14ac:dyDescent="0.25">
      <c r="J2819" s="53"/>
    </row>
    <row r="2820" spans="10:10" x14ac:dyDescent="0.25">
      <c r="J2820" s="53"/>
    </row>
    <row r="2821" spans="10:10" x14ac:dyDescent="0.25">
      <c r="J2821" s="53"/>
    </row>
    <row r="2822" spans="10:10" x14ac:dyDescent="0.25">
      <c r="J2822" s="53"/>
    </row>
    <row r="2823" spans="10:10" x14ac:dyDescent="0.25">
      <c r="J2823" s="53"/>
    </row>
    <row r="2824" spans="10:10" x14ac:dyDescent="0.25">
      <c r="J2824" s="53"/>
    </row>
    <row r="2825" spans="10:10" x14ac:dyDescent="0.25">
      <c r="J2825" s="53"/>
    </row>
    <row r="2826" spans="10:10" x14ac:dyDescent="0.25">
      <c r="J2826" s="53"/>
    </row>
    <row r="2827" spans="10:10" x14ac:dyDescent="0.25">
      <c r="J2827" s="53"/>
    </row>
    <row r="2828" spans="10:10" x14ac:dyDescent="0.25">
      <c r="J2828" s="53"/>
    </row>
    <row r="2829" spans="10:10" x14ac:dyDescent="0.25">
      <c r="J2829" s="53"/>
    </row>
    <row r="2830" spans="10:10" x14ac:dyDescent="0.25">
      <c r="J2830" s="53"/>
    </row>
    <row r="2831" spans="10:10" x14ac:dyDescent="0.25">
      <c r="J2831" s="53"/>
    </row>
    <row r="2832" spans="10:10" x14ac:dyDescent="0.25">
      <c r="J2832" s="53"/>
    </row>
    <row r="2833" spans="10:10" x14ac:dyDescent="0.25">
      <c r="J2833" s="53"/>
    </row>
    <row r="2834" spans="10:10" x14ac:dyDescent="0.25">
      <c r="J2834" s="53"/>
    </row>
    <row r="2835" spans="10:10" x14ac:dyDescent="0.25">
      <c r="J2835" s="53"/>
    </row>
    <row r="2836" spans="10:10" x14ac:dyDescent="0.25">
      <c r="J2836" s="53"/>
    </row>
    <row r="2837" spans="10:10" x14ac:dyDescent="0.25">
      <c r="J2837" s="53"/>
    </row>
    <row r="2838" spans="10:10" x14ac:dyDescent="0.25">
      <c r="J2838" s="53"/>
    </row>
    <row r="2839" spans="10:10" x14ac:dyDescent="0.25">
      <c r="J2839" s="53"/>
    </row>
    <row r="2840" spans="10:10" x14ac:dyDescent="0.25">
      <c r="J2840" s="53"/>
    </row>
    <row r="2841" spans="10:10" x14ac:dyDescent="0.25">
      <c r="J2841" s="53"/>
    </row>
    <row r="2842" spans="10:10" x14ac:dyDescent="0.25">
      <c r="J2842" s="53"/>
    </row>
    <row r="2843" spans="10:10" x14ac:dyDescent="0.25">
      <c r="J2843" s="53"/>
    </row>
    <row r="2844" spans="10:10" x14ac:dyDescent="0.25">
      <c r="J2844" s="53"/>
    </row>
    <row r="2845" spans="10:10" x14ac:dyDescent="0.25">
      <c r="J2845" s="53"/>
    </row>
    <row r="2846" spans="10:10" x14ac:dyDescent="0.25">
      <c r="J2846" s="53"/>
    </row>
    <row r="2847" spans="10:10" x14ac:dyDescent="0.25">
      <c r="J2847" s="53"/>
    </row>
    <row r="2848" spans="10:10" x14ac:dyDescent="0.25">
      <c r="J2848" s="53"/>
    </row>
    <row r="2849" spans="10:10" x14ac:dyDescent="0.25">
      <c r="J2849" s="53"/>
    </row>
    <row r="2850" spans="10:10" x14ac:dyDescent="0.25">
      <c r="J2850" s="53"/>
    </row>
    <row r="2851" spans="10:10" x14ac:dyDescent="0.25">
      <c r="J2851" s="53"/>
    </row>
    <row r="2852" spans="10:10" x14ac:dyDescent="0.25">
      <c r="J2852" s="53"/>
    </row>
    <row r="2853" spans="10:10" x14ac:dyDescent="0.25">
      <c r="J2853" s="53"/>
    </row>
    <row r="2854" spans="10:10" x14ac:dyDescent="0.25">
      <c r="J2854" s="53"/>
    </row>
    <row r="2855" spans="10:10" x14ac:dyDescent="0.25">
      <c r="J2855" s="53"/>
    </row>
    <row r="2856" spans="10:10" x14ac:dyDescent="0.25">
      <c r="J2856" s="53"/>
    </row>
    <row r="2857" spans="10:10" x14ac:dyDescent="0.25">
      <c r="J2857" s="53"/>
    </row>
    <row r="2858" spans="10:10" x14ac:dyDescent="0.25">
      <c r="J2858" s="53"/>
    </row>
    <row r="2859" spans="10:10" x14ac:dyDescent="0.25">
      <c r="J2859" s="53"/>
    </row>
    <row r="2860" spans="10:10" x14ac:dyDescent="0.25">
      <c r="J2860" s="53"/>
    </row>
    <row r="2861" spans="10:10" x14ac:dyDescent="0.25">
      <c r="J2861" s="53"/>
    </row>
    <row r="2862" spans="10:10" x14ac:dyDescent="0.25">
      <c r="J2862" s="53"/>
    </row>
    <row r="2863" spans="10:10" x14ac:dyDescent="0.25">
      <c r="J2863" s="53"/>
    </row>
    <row r="2864" spans="10:10" x14ac:dyDescent="0.25">
      <c r="J2864" s="53"/>
    </row>
    <row r="2865" spans="10:10" x14ac:dyDescent="0.25">
      <c r="J2865" s="53"/>
    </row>
    <row r="2866" spans="10:10" x14ac:dyDescent="0.25">
      <c r="J2866" s="53"/>
    </row>
    <row r="2867" spans="10:10" x14ac:dyDescent="0.25">
      <c r="J2867" s="53"/>
    </row>
    <row r="2868" spans="10:10" x14ac:dyDescent="0.25">
      <c r="J2868" s="53"/>
    </row>
    <row r="2869" spans="10:10" x14ac:dyDescent="0.25">
      <c r="J2869" s="53"/>
    </row>
    <row r="2870" spans="10:10" x14ac:dyDescent="0.25">
      <c r="J2870" s="53"/>
    </row>
    <row r="2871" spans="10:10" x14ac:dyDescent="0.25">
      <c r="J2871" s="53"/>
    </row>
    <row r="2872" spans="10:10" x14ac:dyDescent="0.25">
      <c r="J2872" s="53"/>
    </row>
    <row r="2873" spans="10:10" x14ac:dyDescent="0.25">
      <c r="J2873" s="53"/>
    </row>
    <row r="2874" spans="10:10" x14ac:dyDescent="0.25">
      <c r="J2874" s="53"/>
    </row>
    <row r="2875" spans="10:10" x14ac:dyDescent="0.25">
      <c r="J2875" s="53"/>
    </row>
    <row r="2876" spans="10:10" x14ac:dyDescent="0.25">
      <c r="J2876" s="53"/>
    </row>
    <row r="2877" spans="10:10" x14ac:dyDescent="0.25">
      <c r="J2877" s="53"/>
    </row>
    <row r="2878" spans="10:10" x14ac:dyDescent="0.25">
      <c r="J2878" s="53"/>
    </row>
    <row r="2879" spans="10:10" x14ac:dyDescent="0.25">
      <c r="J2879" s="53"/>
    </row>
    <row r="2880" spans="10:10" x14ac:dyDescent="0.25">
      <c r="J2880" s="53"/>
    </row>
    <row r="2881" spans="10:10" x14ac:dyDescent="0.25">
      <c r="J2881" s="53"/>
    </row>
    <row r="2882" spans="10:10" x14ac:dyDescent="0.25">
      <c r="J2882" s="53"/>
    </row>
    <row r="2883" spans="10:10" x14ac:dyDescent="0.25">
      <c r="J2883" s="53"/>
    </row>
    <row r="2884" spans="10:10" x14ac:dyDescent="0.25">
      <c r="J2884" s="53"/>
    </row>
    <row r="2885" spans="10:10" x14ac:dyDescent="0.25">
      <c r="J2885" s="53"/>
    </row>
    <row r="2886" spans="10:10" x14ac:dyDescent="0.25">
      <c r="J2886" s="53"/>
    </row>
    <row r="2887" spans="10:10" x14ac:dyDescent="0.25">
      <c r="J2887" s="53"/>
    </row>
    <row r="2888" spans="10:10" x14ac:dyDescent="0.25">
      <c r="J2888" s="53"/>
    </row>
    <row r="2889" spans="10:10" x14ac:dyDescent="0.25">
      <c r="J2889" s="53"/>
    </row>
    <row r="2890" spans="10:10" x14ac:dyDescent="0.25">
      <c r="J2890" s="53"/>
    </row>
    <row r="2891" spans="10:10" x14ac:dyDescent="0.25">
      <c r="J2891" s="53"/>
    </row>
    <row r="2892" spans="10:10" x14ac:dyDescent="0.25">
      <c r="J2892" s="53"/>
    </row>
    <row r="2893" spans="10:10" x14ac:dyDescent="0.25">
      <c r="J2893" s="53"/>
    </row>
    <row r="2894" spans="10:10" x14ac:dyDescent="0.25">
      <c r="J2894" s="53"/>
    </row>
    <row r="2895" spans="10:10" x14ac:dyDescent="0.25">
      <c r="J2895" s="53"/>
    </row>
    <row r="2896" spans="10:10" x14ac:dyDescent="0.25">
      <c r="J2896" s="53"/>
    </row>
    <row r="2897" spans="10:10" x14ac:dyDescent="0.25">
      <c r="J2897" s="53"/>
    </row>
    <row r="2898" spans="10:10" x14ac:dyDescent="0.25">
      <c r="J2898" s="53"/>
    </row>
    <row r="2899" spans="10:10" x14ac:dyDescent="0.25">
      <c r="J2899" s="53"/>
    </row>
    <row r="2900" spans="10:10" x14ac:dyDescent="0.25">
      <c r="J2900" s="53"/>
    </row>
    <row r="2901" spans="10:10" x14ac:dyDescent="0.25">
      <c r="J2901" s="53"/>
    </row>
    <row r="2902" spans="10:10" x14ac:dyDescent="0.25">
      <c r="J2902" s="53"/>
    </row>
    <row r="2903" spans="10:10" x14ac:dyDescent="0.25">
      <c r="J2903" s="53"/>
    </row>
    <row r="2904" spans="10:10" x14ac:dyDescent="0.25">
      <c r="J2904" s="53"/>
    </row>
    <row r="2905" spans="10:10" x14ac:dyDescent="0.25">
      <c r="J2905" s="53"/>
    </row>
    <row r="2906" spans="10:10" x14ac:dyDescent="0.25">
      <c r="J2906" s="53"/>
    </row>
    <row r="2907" spans="10:10" x14ac:dyDescent="0.25">
      <c r="J2907" s="53"/>
    </row>
    <row r="2908" spans="10:10" x14ac:dyDescent="0.25">
      <c r="J2908" s="53"/>
    </row>
    <row r="2909" spans="10:10" x14ac:dyDescent="0.25">
      <c r="J2909" s="53"/>
    </row>
    <row r="2910" spans="10:10" x14ac:dyDescent="0.25">
      <c r="J2910" s="53"/>
    </row>
    <row r="2911" spans="10:10" x14ac:dyDescent="0.25">
      <c r="J2911" s="53"/>
    </row>
    <row r="2912" spans="10:10" x14ac:dyDescent="0.25">
      <c r="J2912" s="53"/>
    </row>
    <row r="2913" spans="10:10" x14ac:dyDescent="0.25">
      <c r="J2913" s="53"/>
    </row>
    <row r="2914" spans="10:10" x14ac:dyDescent="0.25">
      <c r="J2914" s="53"/>
    </row>
    <row r="2915" spans="10:10" x14ac:dyDescent="0.25">
      <c r="J2915" s="53"/>
    </row>
    <row r="2916" spans="10:10" x14ac:dyDescent="0.25">
      <c r="J2916" s="53"/>
    </row>
    <row r="2917" spans="10:10" x14ac:dyDescent="0.25">
      <c r="J2917" s="53"/>
    </row>
    <row r="2918" spans="10:10" x14ac:dyDescent="0.25">
      <c r="J2918" s="53"/>
    </row>
    <row r="2919" spans="10:10" x14ac:dyDescent="0.25">
      <c r="J2919" s="53"/>
    </row>
    <row r="2920" spans="10:10" x14ac:dyDescent="0.25">
      <c r="J2920" s="53"/>
    </row>
    <row r="2921" spans="10:10" x14ac:dyDescent="0.25">
      <c r="J2921" s="53"/>
    </row>
    <row r="2922" spans="10:10" x14ac:dyDescent="0.25">
      <c r="J2922" s="53"/>
    </row>
    <row r="2923" spans="10:10" x14ac:dyDescent="0.25">
      <c r="J2923" s="53"/>
    </row>
    <row r="2924" spans="10:10" x14ac:dyDescent="0.25">
      <c r="J2924" s="53"/>
    </row>
    <row r="2925" spans="10:10" x14ac:dyDescent="0.25">
      <c r="J2925" s="53"/>
    </row>
    <row r="2926" spans="10:10" x14ac:dyDescent="0.25">
      <c r="J2926" s="53"/>
    </row>
    <row r="2927" spans="10:10" x14ac:dyDescent="0.25">
      <c r="J2927" s="53"/>
    </row>
    <row r="2928" spans="10:10" x14ac:dyDescent="0.25">
      <c r="J2928" s="53"/>
    </row>
    <row r="2929" spans="10:10" x14ac:dyDescent="0.25">
      <c r="J2929" s="53"/>
    </row>
    <row r="2930" spans="10:10" x14ac:dyDescent="0.25">
      <c r="J2930" s="53"/>
    </row>
    <row r="2931" spans="10:10" x14ac:dyDescent="0.25">
      <c r="J2931" s="53"/>
    </row>
    <row r="2932" spans="10:10" x14ac:dyDescent="0.25">
      <c r="J2932" s="53"/>
    </row>
    <row r="2933" spans="10:10" x14ac:dyDescent="0.25">
      <c r="J2933" s="53"/>
    </row>
    <row r="2934" spans="10:10" x14ac:dyDescent="0.25">
      <c r="J2934" s="53"/>
    </row>
    <row r="2935" spans="10:10" x14ac:dyDescent="0.25">
      <c r="J2935" s="53"/>
    </row>
    <row r="2936" spans="10:10" x14ac:dyDescent="0.25">
      <c r="J2936" s="53"/>
    </row>
    <row r="2937" spans="10:10" x14ac:dyDescent="0.25">
      <c r="J2937" s="53"/>
    </row>
    <row r="2938" spans="10:10" x14ac:dyDescent="0.25">
      <c r="J2938" s="53"/>
    </row>
    <row r="2939" spans="10:10" x14ac:dyDescent="0.25">
      <c r="J2939" s="53"/>
    </row>
    <row r="2940" spans="10:10" x14ac:dyDescent="0.25">
      <c r="J2940" s="53"/>
    </row>
    <row r="2941" spans="10:10" x14ac:dyDescent="0.25">
      <c r="J2941" s="53"/>
    </row>
    <row r="2942" spans="10:10" x14ac:dyDescent="0.25">
      <c r="J2942" s="53"/>
    </row>
    <row r="2943" spans="10:10" x14ac:dyDescent="0.25">
      <c r="J2943" s="53"/>
    </row>
    <row r="2944" spans="10:10" x14ac:dyDescent="0.25">
      <c r="J2944" s="53"/>
    </row>
    <row r="2945" spans="10:10" x14ac:dyDescent="0.25">
      <c r="J2945" s="53"/>
    </row>
    <row r="2946" spans="10:10" x14ac:dyDescent="0.25">
      <c r="J2946" s="53"/>
    </row>
    <row r="2947" spans="10:10" x14ac:dyDescent="0.25">
      <c r="J2947" s="53"/>
    </row>
    <row r="2948" spans="10:10" x14ac:dyDescent="0.25">
      <c r="J2948" s="53"/>
    </row>
    <row r="2949" spans="10:10" x14ac:dyDescent="0.25">
      <c r="J2949" s="53"/>
    </row>
    <row r="2950" spans="10:10" x14ac:dyDescent="0.25">
      <c r="J2950" s="53"/>
    </row>
    <row r="2951" spans="10:10" x14ac:dyDescent="0.25">
      <c r="J2951" s="53"/>
    </row>
    <row r="2952" spans="10:10" x14ac:dyDescent="0.25">
      <c r="J2952" s="53"/>
    </row>
    <row r="2953" spans="10:10" x14ac:dyDescent="0.25">
      <c r="J2953" s="53"/>
    </row>
    <row r="2954" spans="10:10" x14ac:dyDescent="0.25">
      <c r="J2954" s="53"/>
    </row>
    <row r="2955" spans="10:10" x14ac:dyDescent="0.25">
      <c r="J2955" s="53"/>
    </row>
    <row r="2956" spans="10:10" x14ac:dyDescent="0.25">
      <c r="J2956" s="53"/>
    </row>
    <row r="2957" spans="10:10" x14ac:dyDescent="0.25">
      <c r="J2957" s="53"/>
    </row>
    <row r="2958" spans="10:10" x14ac:dyDescent="0.25">
      <c r="J2958" s="53"/>
    </row>
    <row r="2959" spans="10:10" x14ac:dyDescent="0.25">
      <c r="J2959" s="53"/>
    </row>
    <row r="2960" spans="10:10" x14ac:dyDescent="0.25">
      <c r="J2960" s="53"/>
    </row>
    <row r="2961" spans="10:10" x14ac:dyDescent="0.25">
      <c r="J2961" s="53"/>
    </row>
    <row r="2962" spans="10:10" x14ac:dyDescent="0.25">
      <c r="J2962" s="53"/>
    </row>
    <row r="2963" spans="10:10" x14ac:dyDescent="0.25">
      <c r="J2963" s="53"/>
    </row>
    <row r="2964" spans="10:10" x14ac:dyDescent="0.25">
      <c r="J2964" s="53"/>
    </row>
    <row r="2965" spans="10:10" x14ac:dyDescent="0.25">
      <c r="J2965" s="53"/>
    </row>
    <row r="2966" spans="10:10" x14ac:dyDescent="0.25">
      <c r="J2966" s="53"/>
    </row>
    <row r="2967" spans="10:10" x14ac:dyDescent="0.25">
      <c r="J2967" s="53"/>
    </row>
    <row r="2968" spans="10:10" x14ac:dyDescent="0.25">
      <c r="J2968" s="53"/>
    </row>
    <row r="2969" spans="10:10" x14ac:dyDescent="0.25">
      <c r="J2969" s="53"/>
    </row>
    <row r="2970" spans="10:10" x14ac:dyDescent="0.25">
      <c r="J2970" s="53"/>
    </row>
    <row r="2971" spans="10:10" x14ac:dyDescent="0.25">
      <c r="J2971" s="53"/>
    </row>
    <row r="2972" spans="10:10" x14ac:dyDescent="0.25">
      <c r="J2972" s="53"/>
    </row>
    <row r="2973" spans="10:10" x14ac:dyDescent="0.25">
      <c r="J2973" s="53"/>
    </row>
    <row r="2974" spans="10:10" x14ac:dyDescent="0.25">
      <c r="J2974" s="53"/>
    </row>
    <row r="2975" spans="10:10" x14ac:dyDescent="0.25">
      <c r="J2975" s="53"/>
    </row>
    <row r="2976" spans="10:10" x14ac:dyDescent="0.25">
      <c r="J2976" s="53"/>
    </row>
    <row r="2977" spans="10:10" x14ac:dyDescent="0.25">
      <c r="J2977" s="53"/>
    </row>
    <row r="2978" spans="10:10" x14ac:dyDescent="0.25">
      <c r="J2978" s="53"/>
    </row>
    <row r="2979" spans="10:10" x14ac:dyDescent="0.25">
      <c r="J2979" s="53"/>
    </row>
    <row r="2980" spans="10:10" x14ac:dyDescent="0.25">
      <c r="J2980" s="53"/>
    </row>
    <row r="2981" spans="10:10" x14ac:dyDescent="0.25">
      <c r="J2981" s="53"/>
    </row>
    <row r="2982" spans="10:10" x14ac:dyDescent="0.25">
      <c r="J2982" s="53"/>
    </row>
    <row r="2983" spans="10:10" x14ac:dyDescent="0.25">
      <c r="J2983" s="53"/>
    </row>
    <row r="2984" spans="10:10" x14ac:dyDescent="0.25">
      <c r="J2984" s="53"/>
    </row>
    <row r="2985" spans="10:10" x14ac:dyDescent="0.25">
      <c r="J2985" s="53"/>
    </row>
    <row r="2986" spans="10:10" x14ac:dyDescent="0.25">
      <c r="J2986" s="53"/>
    </row>
    <row r="2987" spans="10:10" x14ac:dyDescent="0.25">
      <c r="J2987" s="53"/>
    </row>
    <row r="2988" spans="10:10" x14ac:dyDescent="0.25">
      <c r="J2988" s="53"/>
    </row>
    <row r="2989" spans="10:10" x14ac:dyDescent="0.25">
      <c r="J2989" s="53"/>
    </row>
    <row r="2990" spans="10:10" x14ac:dyDescent="0.25">
      <c r="J2990" s="53"/>
    </row>
    <row r="2991" spans="10:10" x14ac:dyDescent="0.25">
      <c r="J2991" s="53"/>
    </row>
    <row r="2992" spans="10:10" x14ac:dyDescent="0.25">
      <c r="J2992" s="53"/>
    </row>
    <row r="2993" spans="10:10" x14ac:dyDescent="0.25">
      <c r="J2993" s="53"/>
    </row>
    <row r="2994" spans="10:10" x14ac:dyDescent="0.25">
      <c r="J2994" s="53"/>
    </row>
    <row r="2995" spans="10:10" x14ac:dyDescent="0.25">
      <c r="J2995" s="53"/>
    </row>
    <row r="2996" spans="10:10" x14ac:dyDescent="0.25">
      <c r="J2996" s="53"/>
    </row>
    <row r="2997" spans="10:10" x14ac:dyDescent="0.25">
      <c r="J2997" s="53"/>
    </row>
    <row r="2998" spans="10:10" x14ac:dyDescent="0.25">
      <c r="J2998" s="53"/>
    </row>
    <row r="2999" spans="10:10" x14ac:dyDescent="0.25">
      <c r="J2999" s="53"/>
    </row>
    <row r="3000" spans="10:10" x14ac:dyDescent="0.25">
      <c r="J3000" s="53"/>
    </row>
    <row r="3001" spans="10:10" x14ac:dyDescent="0.25">
      <c r="J3001" s="53"/>
    </row>
    <row r="3002" spans="10:10" x14ac:dyDescent="0.25">
      <c r="J3002" s="53"/>
    </row>
    <row r="3003" spans="10:10" x14ac:dyDescent="0.25">
      <c r="J3003" s="53"/>
    </row>
    <row r="3004" spans="10:10" x14ac:dyDescent="0.25">
      <c r="J3004" s="53"/>
    </row>
    <row r="3005" spans="10:10" x14ac:dyDescent="0.25">
      <c r="J3005" s="53"/>
    </row>
    <row r="3006" spans="10:10" x14ac:dyDescent="0.25">
      <c r="J3006" s="53"/>
    </row>
    <row r="3007" spans="10:10" x14ac:dyDescent="0.25">
      <c r="J3007" s="53"/>
    </row>
    <row r="3008" spans="10:10" x14ac:dyDescent="0.25">
      <c r="J3008" s="53"/>
    </row>
    <row r="3009" spans="10:10" x14ac:dyDescent="0.25">
      <c r="J3009" s="53"/>
    </row>
    <row r="3010" spans="10:10" x14ac:dyDescent="0.25">
      <c r="J3010" s="53"/>
    </row>
    <row r="3011" spans="10:10" x14ac:dyDescent="0.25">
      <c r="J3011" s="53"/>
    </row>
    <row r="3012" spans="10:10" x14ac:dyDescent="0.25">
      <c r="J3012" s="53"/>
    </row>
    <row r="3013" spans="10:10" x14ac:dyDescent="0.25">
      <c r="J3013" s="53"/>
    </row>
    <row r="3014" spans="10:10" x14ac:dyDescent="0.25">
      <c r="J3014" s="53"/>
    </row>
    <row r="3015" spans="10:10" x14ac:dyDescent="0.25">
      <c r="J3015" s="53"/>
    </row>
    <row r="3016" spans="10:10" x14ac:dyDescent="0.25">
      <c r="J3016" s="53"/>
    </row>
    <row r="3017" spans="10:10" x14ac:dyDescent="0.25">
      <c r="J3017" s="53"/>
    </row>
    <row r="3018" spans="10:10" x14ac:dyDescent="0.25">
      <c r="J3018" s="53"/>
    </row>
    <row r="3019" spans="10:10" x14ac:dyDescent="0.25">
      <c r="J3019" s="53"/>
    </row>
    <row r="3020" spans="10:10" x14ac:dyDescent="0.25">
      <c r="J3020" s="53"/>
    </row>
    <row r="3021" spans="10:10" x14ac:dyDescent="0.25">
      <c r="J3021" s="53"/>
    </row>
    <row r="3022" spans="10:10" x14ac:dyDescent="0.25">
      <c r="J3022" s="53"/>
    </row>
    <row r="3023" spans="10:10" x14ac:dyDescent="0.25">
      <c r="J3023" s="53"/>
    </row>
    <row r="3024" spans="10:10" x14ac:dyDescent="0.25">
      <c r="J3024" s="53"/>
    </row>
    <row r="3025" spans="10:10" x14ac:dyDescent="0.25">
      <c r="J3025" s="53"/>
    </row>
    <row r="3026" spans="10:10" x14ac:dyDescent="0.25">
      <c r="J3026" s="53"/>
    </row>
    <row r="3027" spans="10:10" x14ac:dyDescent="0.25">
      <c r="J3027" s="53"/>
    </row>
    <row r="3028" spans="10:10" x14ac:dyDescent="0.25">
      <c r="J3028" s="53"/>
    </row>
    <row r="3029" spans="10:10" x14ac:dyDescent="0.25">
      <c r="J3029" s="53"/>
    </row>
    <row r="3030" spans="10:10" x14ac:dyDescent="0.25">
      <c r="J3030" s="53"/>
    </row>
    <row r="3031" spans="10:10" x14ac:dyDescent="0.25">
      <c r="J3031" s="53"/>
    </row>
    <row r="3032" spans="10:10" x14ac:dyDescent="0.25">
      <c r="J3032" s="53"/>
    </row>
    <row r="3033" spans="10:10" x14ac:dyDescent="0.25">
      <c r="J3033" s="53"/>
    </row>
    <row r="3034" spans="10:10" x14ac:dyDescent="0.25">
      <c r="J3034" s="53"/>
    </row>
    <row r="3035" spans="10:10" x14ac:dyDescent="0.25">
      <c r="J3035" s="53"/>
    </row>
    <row r="3036" spans="10:10" x14ac:dyDescent="0.25">
      <c r="J3036" s="53"/>
    </row>
    <row r="3037" spans="10:10" x14ac:dyDescent="0.25">
      <c r="J3037" s="53"/>
    </row>
    <row r="3038" spans="10:10" x14ac:dyDescent="0.25">
      <c r="J3038" s="53"/>
    </row>
    <row r="3039" spans="10:10" x14ac:dyDescent="0.25">
      <c r="J3039" s="53"/>
    </row>
    <row r="3040" spans="10:10" x14ac:dyDescent="0.25">
      <c r="J3040" s="53"/>
    </row>
    <row r="3041" spans="10:10" x14ac:dyDescent="0.25">
      <c r="J3041" s="53"/>
    </row>
    <row r="3042" spans="10:10" x14ac:dyDescent="0.25">
      <c r="J3042" s="53"/>
    </row>
    <row r="3043" spans="10:10" x14ac:dyDescent="0.25">
      <c r="J3043" s="53"/>
    </row>
    <row r="3044" spans="10:10" x14ac:dyDescent="0.25">
      <c r="J3044" s="53"/>
    </row>
    <row r="3045" spans="10:10" x14ac:dyDescent="0.25">
      <c r="J3045" s="53"/>
    </row>
    <row r="3046" spans="10:10" x14ac:dyDescent="0.25">
      <c r="J3046" s="53"/>
    </row>
    <row r="3047" spans="10:10" x14ac:dyDescent="0.25">
      <c r="J3047" s="53"/>
    </row>
    <row r="3048" spans="10:10" x14ac:dyDescent="0.25">
      <c r="J3048" s="53"/>
    </row>
    <row r="3049" spans="10:10" x14ac:dyDescent="0.25">
      <c r="J3049" s="53"/>
    </row>
    <row r="3050" spans="10:10" x14ac:dyDescent="0.25">
      <c r="J3050" s="53"/>
    </row>
    <row r="3051" spans="10:10" x14ac:dyDescent="0.25">
      <c r="J3051" s="53"/>
    </row>
    <row r="3052" spans="10:10" x14ac:dyDescent="0.25">
      <c r="J3052" s="53"/>
    </row>
    <row r="3053" spans="10:10" x14ac:dyDescent="0.25">
      <c r="J3053" s="53"/>
    </row>
    <row r="3054" spans="10:10" x14ac:dyDescent="0.25">
      <c r="J3054" s="53"/>
    </row>
    <row r="3055" spans="10:10" x14ac:dyDescent="0.25">
      <c r="J3055" s="53"/>
    </row>
    <row r="3056" spans="10:10" x14ac:dyDescent="0.25">
      <c r="J3056" s="53"/>
    </row>
    <row r="3057" spans="10:10" x14ac:dyDescent="0.25">
      <c r="J3057" s="53"/>
    </row>
    <row r="3058" spans="10:10" x14ac:dyDescent="0.25">
      <c r="J3058" s="53"/>
    </row>
    <row r="3059" spans="10:10" x14ac:dyDescent="0.25">
      <c r="J3059" s="53"/>
    </row>
    <row r="3060" spans="10:10" x14ac:dyDescent="0.25">
      <c r="J3060" s="53"/>
    </row>
    <row r="3061" spans="10:10" x14ac:dyDescent="0.25">
      <c r="J3061" s="53"/>
    </row>
    <row r="3062" spans="10:10" x14ac:dyDescent="0.25">
      <c r="J3062" s="53"/>
    </row>
    <row r="3063" spans="10:10" x14ac:dyDescent="0.25">
      <c r="J3063" s="53"/>
    </row>
    <row r="3064" spans="10:10" x14ac:dyDescent="0.25">
      <c r="J3064" s="53"/>
    </row>
    <row r="3065" spans="10:10" x14ac:dyDescent="0.25">
      <c r="J3065" s="53"/>
    </row>
    <row r="3066" spans="10:10" x14ac:dyDescent="0.25">
      <c r="J3066" s="53"/>
    </row>
    <row r="3067" spans="10:10" x14ac:dyDescent="0.25">
      <c r="J3067" s="53"/>
    </row>
    <row r="3068" spans="10:10" x14ac:dyDescent="0.25">
      <c r="J3068" s="53"/>
    </row>
    <row r="3069" spans="10:10" x14ac:dyDescent="0.25">
      <c r="J3069" s="53"/>
    </row>
    <row r="3070" spans="10:10" x14ac:dyDescent="0.25">
      <c r="J3070" s="53"/>
    </row>
    <row r="3071" spans="10:10" x14ac:dyDescent="0.25">
      <c r="J3071" s="53"/>
    </row>
    <row r="3072" spans="10:10" x14ac:dyDescent="0.25">
      <c r="J3072" s="53"/>
    </row>
    <row r="3073" spans="10:10" x14ac:dyDescent="0.25">
      <c r="J3073" s="53"/>
    </row>
    <row r="3074" spans="10:10" x14ac:dyDescent="0.25">
      <c r="J3074" s="53"/>
    </row>
    <row r="3075" spans="10:10" x14ac:dyDescent="0.25">
      <c r="J3075" s="53"/>
    </row>
    <row r="3076" spans="10:10" x14ac:dyDescent="0.25">
      <c r="J3076" s="53"/>
    </row>
    <row r="3077" spans="10:10" x14ac:dyDescent="0.25">
      <c r="J3077" s="53"/>
    </row>
    <row r="3078" spans="10:10" x14ac:dyDescent="0.25">
      <c r="J3078" s="53"/>
    </row>
    <row r="3079" spans="10:10" x14ac:dyDescent="0.25">
      <c r="J3079" s="53"/>
    </row>
    <row r="3080" spans="10:10" x14ac:dyDescent="0.25">
      <c r="J3080" s="53"/>
    </row>
    <row r="3081" spans="10:10" x14ac:dyDescent="0.25">
      <c r="J3081" s="53"/>
    </row>
    <row r="3082" spans="10:10" x14ac:dyDescent="0.25">
      <c r="J3082" s="53"/>
    </row>
    <row r="3083" spans="10:10" x14ac:dyDescent="0.25">
      <c r="J3083" s="53"/>
    </row>
    <row r="3084" spans="10:10" x14ac:dyDescent="0.25">
      <c r="J3084" s="53"/>
    </row>
    <row r="3085" spans="10:10" x14ac:dyDescent="0.25">
      <c r="J3085" s="53"/>
    </row>
    <row r="3086" spans="10:10" x14ac:dyDescent="0.25">
      <c r="J3086" s="53"/>
    </row>
    <row r="3087" spans="10:10" x14ac:dyDescent="0.25">
      <c r="J3087" s="53"/>
    </row>
    <row r="3088" spans="10:10" x14ac:dyDescent="0.25">
      <c r="J3088" s="53"/>
    </row>
    <row r="3089" spans="10:10" x14ac:dyDescent="0.25">
      <c r="J3089" s="53"/>
    </row>
    <row r="3090" spans="10:10" x14ac:dyDescent="0.25">
      <c r="J3090" s="53"/>
    </row>
    <row r="3091" spans="10:10" x14ac:dyDescent="0.25">
      <c r="J3091" s="53"/>
    </row>
    <row r="3092" spans="10:10" x14ac:dyDescent="0.25">
      <c r="J3092" s="53"/>
    </row>
    <row r="3093" spans="10:10" x14ac:dyDescent="0.25">
      <c r="J3093" s="53"/>
    </row>
    <row r="3094" spans="10:10" x14ac:dyDescent="0.25">
      <c r="J3094" s="53"/>
    </row>
    <row r="3095" spans="10:10" x14ac:dyDescent="0.25">
      <c r="J3095" s="53"/>
    </row>
    <row r="3096" spans="10:10" x14ac:dyDescent="0.25">
      <c r="J3096" s="53"/>
    </row>
    <row r="3097" spans="10:10" x14ac:dyDescent="0.25">
      <c r="J3097" s="53"/>
    </row>
    <row r="3098" spans="10:10" x14ac:dyDescent="0.25">
      <c r="J3098" s="53"/>
    </row>
    <row r="3099" spans="10:10" x14ac:dyDescent="0.25">
      <c r="J3099" s="53"/>
    </row>
    <row r="3100" spans="10:10" x14ac:dyDescent="0.25">
      <c r="J3100" s="53"/>
    </row>
    <row r="3101" spans="10:10" x14ac:dyDescent="0.25">
      <c r="J3101" s="53"/>
    </row>
    <row r="3102" spans="10:10" x14ac:dyDescent="0.25">
      <c r="J3102" s="53"/>
    </row>
    <row r="3103" spans="10:10" x14ac:dyDescent="0.25">
      <c r="J3103" s="53"/>
    </row>
    <row r="3104" spans="10:10" x14ac:dyDescent="0.25">
      <c r="J3104" s="53"/>
    </row>
    <row r="3105" spans="10:10" x14ac:dyDescent="0.25">
      <c r="J3105" s="53"/>
    </row>
    <row r="3106" spans="10:10" x14ac:dyDescent="0.25">
      <c r="J3106" s="53"/>
    </row>
    <row r="3107" spans="10:10" x14ac:dyDescent="0.25">
      <c r="J3107" s="53"/>
    </row>
    <row r="3108" spans="10:10" x14ac:dyDescent="0.25">
      <c r="J3108" s="53"/>
    </row>
    <row r="3109" spans="10:10" x14ac:dyDescent="0.25">
      <c r="J3109" s="53"/>
    </row>
    <row r="3110" spans="10:10" x14ac:dyDescent="0.25">
      <c r="J3110" s="53"/>
    </row>
    <row r="3111" spans="10:10" x14ac:dyDescent="0.25">
      <c r="J3111" s="53"/>
    </row>
    <row r="3112" spans="10:10" x14ac:dyDescent="0.25">
      <c r="J3112" s="53"/>
    </row>
    <row r="3113" spans="10:10" x14ac:dyDescent="0.25">
      <c r="J3113" s="53"/>
    </row>
    <row r="3114" spans="10:10" x14ac:dyDescent="0.25">
      <c r="J3114" s="53"/>
    </row>
    <row r="3115" spans="10:10" x14ac:dyDescent="0.25">
      <c r="J3115" s="53"/>
    </row>
    <row r="3116" spans="10:10" x14ac:dyDescent="0.25">
      <c r="J3116" s="53"/>
    </row>
    <row r="3117" spans="10:10" x14ac:dyDescent="0.25">
      <c r="J3117" s="53"/>
    </row>
    <row r="3118" spans="10:10" x14ac:dyDescent="0.25">
      <c r="J3118" s="53"/>
    </row>
    <row r="3119" spans="10:10" x14ac:dyDescent="0.25">
      <c r="J3119" s="53"/>
    </row>
    <row r="3120" spans="10:10" x14ac:dyDescent="0.25">
      <c r="J3120" s="53"/>
    </row>
    <row r="3121" spans="10:10" x14ac:dyDescent="0.25">
      <c r="J3121" s="53"/>
    </row>
    <row r="3122" spans="10:10" x14ac:dyDescent="0.25">
      <c r="J3122" s="53"/>
    </row>
    <row r="3123" spans="10:10" x14ac:dyDescent="0.25">
      <c r="J3123" s="53"/>
    </row>
    <row r="3124" spans="10:10" x14ac:dyDescent="0.25">
      <c r="J3124" s="53"/>
    </row>
    <row r="3125" spans="10:10" x14ac:dyDescent="0.25">
      <c r="J3125" s="53"/>
    </row>
    <row r="3126" spans="10:10" x14ac:dyDescent="0.25">
      <c r="J3126" s="53"/>
    </row>
    <row r="3127" spans="10:10" x14ac:dyDescent="0.25">
      <c r="J3127" s="53"/>
    </row>
    <row r="3128" spans="10:10" x14ac:dyDescent="0.25">
      <c r="J3128" s="53"/>
    </row>
    <row r="3129" spans="10:10" x14ac:dyDescent="0.25">
      <c r="J3129" s="53"/>
    </row>
    <row r="3130" spans="10:10" x14ac:dyDescent="0.25">
      <c r="J3130" s="53"/>
    </row>
    <row r="3131" spans="10:10" x14ac:dyDescent="0.25">
      <c r="J3131" s="53"/>
    </row>
    <row r="3132" spans="10:10" x14ac:dyDescent="0.25">
      <c r="J3132" s="53"/>
    </row>
    <row r="3133" spans="10:10" x14ac:dyDescent="0.25">
      <c r="J3133" s="53"/>
    </row>
    <row r="3134" spans="10:10" x14ac:dyDescent="0.25">
      <c r="J3134" s="53"/>
    </row>
    <row r="3135" spans="10:10" x14ac:dyDescent="0.25">
      <c r="J3135" s="53"/>
    </row>
    <row r="3136" spans="10:10" x14ac:dyDescent="0.25">
      <c r="J3136" s="53"/>
    </row>
    <row r="3137" spans="10:10" x14ac:dyDescent="0.25">
      <c r="J3137" s="53"/>
    </row>
    <row r="3138" spans="10:10" x14ac:dyDescent="0.25">
      <c r="J3138" s="53"/>
    </row>
    <row r="3139" spans="10:10" x14ac:dyDescent="0.25">
      <c r="J3139" s="53"/>
    </row>
    <row r="3140" spans="10:10" x14ac:dyDescent="0.25">
      <c r="J3140" s="53"/>
    </row>
    <row r="3141" spans="10:10" x14ac:dyDescent="0.25">
      <c r="J3141" s="53"/>
    </row>
    <row r="3142" spans="10:10" x14ac:dyDescent="0.25">
      <c r="J3142" s="53"/>
    </row>
    <row r="3143" spans="10:10" x14ac:dyDescent="0.25">
      <c r="J3143" s="53"/>
    </row>
    <row r="3144" spans="10:10" x14ac:dyDescent="0.25">
      <c r="J3144" s="53"/>
    </row>
    <row r="3145" spans="10:10" x14ac:dyDescent="0.25">
      <c r="J3145" s="53"/>
    </row>
    <row r="3146" spans="10:10" x14ac:dyDescent="0.25">
      <c r="J3146" s="53"/>
    </row>
    <row r="3147" spans="10:10" x14ac:dyDescent="0.25">
      <c r="J3147" s="53"/>
    </row>
    <row r="3148" spans="10:10" x14ac:dyDescent="0.25">
      <c r="J3148" s="53"/>
    </row>
    <row r="3149" spans="10:10" x14ac:dyDescent="0.25">
      <c r="J3149" s="53"/>
    </row>
    <row r="3150" spans="10:10" x14ac:dyDescent="0.25">
      <c r="J3150" s="53"/>
    </row>
    <row r="3151" spans="10:10" x14ac:dyDescent="0.25">
      <c r="J3151" s="53"/>
    </row>
    <row r="3152" spans="10:10" x14ac:dyDescent="0.25">
      <c r="J3152" s="53"/>
    </row>
    <row r="3153" spans="10:10" x14ac:dyDescent="0.25">
      <c r="J3153" s="53"/>
    </row>
    <row r="3154" spans="10:10" x14ac:dyDescent="0.25">
      <c r="J3154" s="53"/>
    </row>
    <row r="3155" spans="10:10" x14ac:dyDescent="0.25">
      <c r="J3155" s="53"/>
    </row>
    <row r="3156" spans="10:10" x14ac:dyDescent="0.25">
      <c r="J3156" s="53"/>
    </row>
    <row r="3157" spans="10:10" x14ac:dyDescent="0.25">
      <c r="J3157" s="53"/>
    </row>
    <row r="3158" spans="10:10" x14ac:dyDescent="0.25">
      <c r="J3158" s="53"/>
    </row>
    <row r="3159" spans="10:10" x14ac:dyDescent="0.25">
      <c r="J3159" s="53"/>
    </row>
    <row r="3160" spans="10:10" x14ac:dyDescent="0.25">
      <c r="J3160" s="53"/>
    </row>
    <row r="3161" spans="10:10" x14ac:dyDescent="0.25">
      <c r="J3161" s="53"/>
    </row>
    <row r="3162" spans="10:10" x14ac:dyDescent="0.25">
      <c r="J3162" s="53"/>
    </row>
    <row r="3163" spans="10:10" x14ac:dyDescent="0.25">
      <c r="J3163" s="53"/>
    </row>
    <row r="3164" spans="10:10" x14ac:dyDescent="0.25">
      <c r="J3164" s="53"/>
    </row>
    <row r="3165" spans="10:10" x14ac:dyDescent="0.25">
      <c r="J3165" s="53"/>
    </row>
    <row r="3166" spans="10:10" x14ac:dyDescent="0.25">
      <c r="J3166" s="53"/>
    </row>
    <row r="3167" spans="10:10" x14ac:dyDescent="0.25">
      <c r="J3167" s="53"/>
    </row>
    <row r="3168" spans="10:10" x14ac:dyDescent="0.25">
      <c r="J3168" s="53"/>
    </row>
    <row r="3169" spans="10:10" x14ac:dyDescent="0.25">
      <c r="J3169" s="53"/>
    </row>
    <row r="3170" spans="10:10" x14ac:dyDescent="0.25">
      <c r="J3170" s="53"/>
    </row>
    <row r="3171" spans="10:10" x14ac:dyDescent="0.25">
      <c r="J3171" s="53"/>
    </row>
    <row r="3172" spans="10:10" x14ac:dyDescent="0.25">
      <c r="J3172" s="53"/>
    </row>
    <row r="3173" spans="10:10" x14ac:dyDescent="0.25">
      <c r="J3173" s="53"/>
    </row>
    <row r="3174" spans="10:10" x14ac:dyDescent="0.25">
      <c r="J3174" s="53"/>
    </row>
    <row r="3175" spans="10:10" x14ac:dyDescent="0.25">
      <c r="J3175" s="53"/>
    </row>
    <row r="3176" spans="10:10" x14ac:dyDescent="0.25">
      <c r="J3176" s="53"/>
    </row>
    <row r="3177" spans="10:10" x14ac:dyDescent="0.25">
      <c r="J3177" s="53"/>
    </row>
    <row r="3178" spans="10:10" x14ac:dyDescent="0.25">
      <c r="J3178" s="53"/>
    </row>
    <row r="3179" spans="10:10" x14ac:dyDescent="0.25">
      <c r="J3179" s="53"/>
    </row>
    <row r="3180" spans="10:10" x14ac:dyDescent="0.25">
      <c r="J3180" s="53"/>
    </row>
    <row r="3181" spans="10:10" x14ac:dyDescent="0.25">
      <c r="J3181" s="53"/>
    </row>
    <row r="3182" spans="10:10" x14ac:dyDescent="0.25">
      <c r="J3182" s="53"/>
    </row>
    <row r="3183" spans="10:10" x14ac:dyDescent="0.25">
      <c r="J3183" s="53"/>
    </row>
    <row r="3184" spans="10:10" x14ac:dyDescent="0.25">
      <c r="J3184" s="53"/>
    </row>
    <row r="3185" spans="10:10" x14ac:dyDescent="0.25">
      <c r="J3185" s="53"/>
    </row>
    <row r="3186" spans="10:10" x14ac:dyDescent="0.25">
      <c r="J3186" s="53"/>
    </row>
    <row r="3187" spans="10:10" x14ac:dyDescent="0.25">
      <c r="J3187" s="53"/>
    </row>
    <row r="3188" spans="10:10" x14ac:dyDescent="0.25">
      <c r="J3188" s="53"/>
    </row>
    <row r="3189" spans="10:10" x14ac:dyDescent="0.25">
      <c r="J3189" s="53"/>
    </row>
    <row r="3190" spans="10:10" x14ac:dyDescent="0.25">
      <c r="J3190" s="53"/>
    </row>
    <row r="3191" spans="10:10" x14ac:dyDescent="0.25">
      <c r="J3191" s="53"/>
    </row>
    <row r="3192" spans="10:10" x14ac:dyDescent="0.25">
      <c r="J3192" s="53"/>
    </row>
    <row r="3193" spans="10:10" x14ac:dyDescent="0.25">
      <c r="J3193" s="53"/>
    </row>
    <row r="3194" spans="10:10" x14ac:dyDescent="0.25">
      <c r="J3194" s="53"/>
    </row>
    <row r="3195" spans="10:10" x14ac:dyDescent="0.25">
      <c r="J3195" s="53"/>
    </row>
    <row r="3196" spans="10:10" x14ac:dyDescent="0.25">
      <c r="J3196" s="53"/>
    </row>
    <row r="3197" spans="10:10" x14ac:dyDescent="0.25">
      <c r="J3197" s="53"/>
    </row>
    <row r="3198" spans="10:10" x14ac:dyDescent="0.25">
      <c r="J3198" s="53"/>
    </row>
    <row r="3199" spans="10:10" x14ac:dyDescent="0.25">
      <c r="J3199" s="53"/>
    </row>
    <row r="3200" spans="10:10" x14ac:dyDescent="0.25">
      <c r="J3200" s="53"/>
    </row>
    <row r="3201" spans="10:10" x14ac:dyDescent="0.25">
      <c r="J3201" s="53"/>
    </row>
    <row r="3202" spans="10:10" x14ac:dyDescent="0.25">
      <c r="J3202" s="53"/>
    </row>
    <row r="3203" spans="10:10" x14ac:dyDescent="0.25">
      <c r="J3203" s="53"/>
    </row>
    <row r="3204" spans="10:10" x14ac:dyDescent="0.25">
      <c r="J3204" s="53"/>
    </row>
    <row r="3205" spans="10:10" x14ac:dyDescent="0.25">
      <c r="J3205" s="53"/>
    </row>
    <row r="3206" spans="10:10" x14ac:dyDescent="0.25">
      <c r="J3206" s="53"/>
    </row>
    <row r="3207" spans="10:10" x14ac:dyDescent="0.25">
      <c r="J3207" s="53"/>
    </row>
    <row r="3208" spans="10:10" x14ac:dyDescent="0.25">
      <c r="J3208" s="53"/>
    </row>
    <row r="3209" spans="10:10" x14ac:dyDescent="0.25">
      <c r="J3209" s="53"/>
    </row>
    <row r="3210" spans="10:10" x14ac:dyDescent="0.25">
      <c r="J3210" s="53"/>
    </row>
    <row r="3211" spans="10:10" x14ac:dyDescent="0.25">
      <c r="J3211" s="53"/>
    </row>
    <row r="3212" spans="10:10" x14ac:dyDescent="0.25">
      <c r="J3212" s="53"/>
    </row>
    <row r="3213" spans="10:10" x14ac:dyDescent="0.25">
      <c r="J3213" s="53"/>
    </row>
    <row r="3214" spans="10:10" x14ac:dyDescent="0.25">
      <c r="J3214" s="53"/>
    </row>
    <row r="3215" spans="10:10" x14ac:dyDescent="0.25">
      <c r="J3215" s="53"/>
    </row>
    <row r="3216" spans="10:10" x14ac:dyDescent="0.25">
      <c r="J3216" s="53"/>
    </row>
    <row r="3217" spans="10:10" x14ac:dyDescent="0.25">
      <c r="J3217" s="53"/>
    </row>
    <row r="3218" spans="10:10" x14ac:dyDescent="0.25">
      <c r="J3218" s="53"/>
    </row>
    <row r="3219" spans="10:10" x14ac:dyDescent="0.25">
      <c r="J3219" s="53"/>
    </row>
    <row r="3220" spans="10:10" x14ac:dyDescent="0.25">
      <c r="J3220" s="53"/>
    </row>
    <row r="3221" spans="10:10" x14ac:dyDescent="0.25">
      <c r="J3221" s="53"/>
    </row>
    <row r="3222" spans="10:10" x14ac:dyDescent="0.25">
      <c r="J3222" s="53"/>
    </row>
    <row r="3223" spans="10:10" x14ac:dyDescent="0.25">
      <c r="J3223" s="53"/>
    </row>
    <row r="3224" spans="10:10" x14ac:dyDescent="0.25">
      <c r="J3224" s="53"/>
    </row>
    <row r="3225" spans="10:10" x14ac:dyDescent="0.25">
      <c r="J3225" s="53"/>
    </row>
    <row r="3226" spans="10:10" x14ac:dyDescent="0.25">
      <c r="J3226" s="53"/>
    </row>
    <row r="3227" spans="10:10" x14ac:dyDescent="0.25">
      <c r="J3227" s="53"/>
    </row>
    <row r="3228" spans="10:10" x14ac:dyDescent="0.25">
      <c r="J3228" s="53"/>
    </row>
    <row r="3229" spans="10:10" x14ac:dyDescent="0.25">
      <c r="J3229" s="53"/>
    </row>
    <row r="3230" spans="10:10" x14ac:dyDescent="0.25">
      <c r="J3230" s="53"/>
    </row>
    <row r="3231" spans="10:10" x14ac:dyDescent="0.25">
      <c r="J3231" s="53"/>
    </row>
    <row r="3232" spans="10:10" x14ac:dyDescent="0.25">
      <c r="J3232" s="53"/>
    </row>
    <row r="3233" spans="10:10" x14ac:dyDescent="0.25">
      <c r="J3233" s="53"/>
    </row>
    <row r="3234" spans="10:10" x14ac:dyDescent="0.25">
      <c r="J3234" s="53"/>
    </row>
    <row r="3235" spans="10:10" x14ac:dyDescent="0.25">
      <c r="J3235" s="53"/>
    </row>
    <row r="3236" spans="10:10" x14ac:dyDescent="0.25">
      <c r="J3236" s="53"/>
    </row>
    <row r="3237" spans="10:10" x14ac:dyDescent="0.25">
      <c r="J3237" s="53"/>
    </row>
    <row r="3238" spans="10:10" x14ac:dyDescent="0.25">
      <c r="J3238" s="53"/>
    </row>
    <row r="3239" spans="10:10" x14ac:dyDescent="0.25">
      <c r="J3239" s="53"/>
    </row>
    <row r="3240" spans="10:10" x14ac:dyDescent="0.25">
      <c r="J3240" s="53"/>
    </row>
    <row r="3241" spans="10:10" x14ac:dyDescent="0.25">
      <c r="J3241" s="53"/>
    </row>
    <row r="3242" spans="10:10" x14ac:dyDescent="0.25">
      <c r="J3242" s="53"/>
    </row>
    <row r="3243" spans="10:10" x14ac:dyDescent="0.25">
      <c r="J3243" s="53"/>
    </row>
    <row r="3244" spans="10:10" x14ac:dyDescent="0.25">
      <c r="J3244" s="53"/>
    </row>
    <row r="3245" spans="10:10" x14ac:dyDescent="0.25">
      <c r="J3245" s="53"/>
    </row>
    <row r="3246" spans="10:10" x14ac:dyDescent="0.25">
      <c r="J3246" s="53"/>
    </row>
    <row r="3247" spans="10:10" x14ac:dyDescent="0.25">
      <c r="J3247" s="53"/>
    </row>
    <row r="3248" spans="10:10" x14ac:dyDescent="0.25">
      <c r="J3248" s="53"/>
    </row>
    <row r="3249" spans="10:10" x14ac:dyDescent="0.25">
      <c r="J3249" s="53"/>
    </row>
    <row r="3250" spans="10:10" x14ac:dyDescent="0.25">
      <c r="J3250" s="53"/>
    </row>
    <row r="3251" spans="10:10" x14ac:dyDescent="0.25">
      <c r="J3251" s="53"/>
    </row>
    <row r="3252" spans="10:10" x14ac:dyDescent="0.25">
      <c r="J3252" s="53"/>
    </row>
    <row r="3253" spans="10:10" x14ac:dyDescent="0.25">
      <c r="J3253" s="53"/>
    </row>
    <row r="3254" spans="10:10" x14ac:dyDescent="0.25">
      <c r="J3254" s="53"/>
    </row>
    <row r="3255" spans="10:10" x14ac:dyDescent="0.25">
      <c r="J3255" s="53"/>
    </row>
    <row r="3256" spans="10:10" x14ac:dyDescent="0.25">
      <c r="J3256" s="53"/>
    </row>
    <row r="3257" spans="10:10" x14ac:dyDescent="0.25">
      <c r="J3257" s="53"/>
    </row>
    <row r="3258" spans="10:10" x14ac:dyDescent="0.25">
      <c r="J3258" s="53"/>
    </row>
    <row r="3259" spans="10:10" x14ac:dyDescent="0.25">
      <c r="J3259" s="53"/>
    </row>
    <row r="3260" spans="10:10" x14ac:dyDescent="0.25">
      <c r="J3260" s="53"/>
    </row>
    <row r="3261" spans="10:10" x14ac:dyDescent="0.25">
      <c r="J3261" s="53"/>
    </row>
    <row r="3262" spans="10:10" x14ac:dyDescent="0.25">
      <c r="J3262" s="53"/>
    </row>
    <row r="3263" spans="10:10" x14ac:dyDescent="0.25">
      <c r="J3263" s="53"/>
    </row>
    <row r="3264" spans="10:10" x14ac:dyDescent="0.25">
      <c r="J3264" s="53"/>
    </row>
    <row r="3265" spans="10:10" x14ac:dyDescent="0.25">
      <c r="J3265" s="53"/>
    </row>
    <row r="3266" spans="10:10" x14ac:dyDescent="0.25">
      <c r="J3266" s="53"/>
    </row>
    <row r="3267" spans="10:10" x14ac:dyDescent="0.25">
      <c r="J3267" s="53"/>
    </row>
    <row r="3268" spans="10:10" x14ac:dyDescent="0.25">
      <c r="J3268" s="53"/>
    </row>
    <row r="3269" spans="10:10" x14ac:dyDescent="0.25">
      <c r="J3269" s="53"/>
    </row>
    <row r="3270" spans="10:10" x14ac:dyDescent="0.25">
      <c r="J3270" s="53"/>
    </row>
    <row r="3271" spans="10:10" x14ac:dyDescent="0.25">
      <c r="J3271" s="53"/>
    </row>
    <row r="3272" spans="10:10" x14ac:dyDescent="0.25">
      <c r="J3272" s="53"/>
    </row>
    <row r="3273" spans="10:10" x14ac:dyDescent="0.25">
      <c r="J3273" s="53"/>
    </row>
    <row r="3274" spans="10:10" x14ac:dyDescent="0.25">
      <c r="J3274" s="53"/>
    </row>
    <row r="3275" spans="10:10" x14ac:dyDescent="0.25">
      <c r="J3275" s="53"/>
    </row>
    <row r="3276" spans="10:10" x14ac:dyDescent="0.25">
      <c r="J3276" s="53"/>
    </row>
    <row r="3277" spans="10:10" x14ac:dyDescent="0.25">
      <c r="J3277" s="53"/>
    </row>
    <row r="3278" spans="10:10" x14ac:dyDescent="0.25">
      <c r="J3278" s="53"/>
    </row>
    <row r="3279" spans="10:10" x14ac:dyDescent="0.25">
      <c r="J3279" s="53"/>
    </row>
    <row r="3280" spans="10:10" x14ac:dyDescent="0.25">
      <c r="J3280" s="53"/>
    </row>
    <row r="3281" spans="10:10" x14ac:dyDescent="0.25">
      <c r="J3281" s="53"/>
    </row>
    <row r="3282" spans="10:10" x14ac:dyDescent="0.25">
      <c r="J3282" s="53"/>
    </row>
    <row r="3283" spans="10:10" x14ac:dyDescent="0.25">
      <c r="J3283" s="53"/>
    </row>
    <row r="3284" spans="10:10" x14ac:dyDescent="0.25">
      <c r="J3284" s="53"/>
    </row>
    <row r="3285" spans="10:10" x14ac:dyDescent="0.25">
      <c r="J3285" s="53"/>
    </row>
    <row r="3286" spans="10:10" x14ac:dyDescent="0.25">
      <c r="J3286" s="53"/>
    </row>
    <row r="3287" spans="10:10" x14ac:dyDescent="0.25">
      <c r="J3287" s="53"/>
    </row>
    <row r="3288" spans="10:10" x14ac:dyDescent="0.25">
      <c r="J3288" s="53"/>
    </row>
    <row r="3289" spans="10:10" x14ac:dyDescent="0.25">
      <c r="J3289" s="53"/>
    </row>
    <row r="3290" spans="10:10" x14ac:dyDescent="0.25">
      <c r="J3290" s="53"/>
    </row>
    <row r="3291" spans="10:10" x14ac:dyDescent="0.25">
      <c r="J3291" s="53"/>
    </row>
    <row r="3292" spans="10:10" x14ac:dyDescent="0.25">
      <c r="J3292" s="53"/>
    </row>
    <row r="3293" spans="10:10" x14ac:dyDescent="0.25">
      <c r="J3293" s="53"/>
    </row>
    <row r="3294" spans="10:10" x14ac:dyDescent="0.25">
      <c r="J3294" s="53"/>
    </row>
    <row r="3295" spans="10:10" x14ac:dyDescent="0.25">
      <c r="J3295" s="53"/>
    </row>
    <row r="3296" spans="10:10" x14ac:dyDescent="0.25">
      <c r="J3296" s="53"/>
    </row>
    <row r="3297" spans="10:10" x14ac:dyDescent="0.25">
      <c r="J3297" s="53"/>
    </row>
    <row r="3298" spans="10:10" x14ac:dyDescent="0.25">
      <c r="J3298" s="53"/>
    </row>
    <row r="3299" spans="10:10" x14ac:dyDescent="0.25">
      <c r="J3299" s="53"/>
    </row>
    <row r="3300" spans="10:10" x14ac:dyDescent="0.25">
      <c r="J3300" s="53"/>
    </row>
    <row r="3301" spans="10:10" x14ac:dyDescent="0.25">
      <c r="J3301" s="53"/>
    </row>
    <row r="3302" spans="10:10" x14ac:dyDescent="0.25">
      <c r="J3302" s="53"/>
    </row>
    <row r="3303" spans="10:10" x14ac:dyDescent="0.25">
      <c r="J3303" s="53"/>
    </row>
    <row r="3304" spans="10:10" x14ac:dyDescent="0.25">
      <c r="J3304" s="53"/>
    </row>
    <row r="3305" spans="10:10" x14ac:dyDescent="0.25">
      <c r="J3305" s="53"/>
    </row>
    <row r="3306" spans="10:10" x14ac:dyDescent="0.25">
      <c r="J3306" s="53"/>
    </row>
    <row r="3307" spans="10:10" x14ac:dyDescent="0.25">
      <c r="J3307" s="53"/>
    </row>
    <row r="3308" spans="10:10" x14ac:dyDescent="0.25">
      <c r="J3308" s="53"/>
    </row>
    <row r="3309" spans="10:10" x14ac:dyDescent="0.25">
      <c r="J3309" s="53"/>
    </row>
    <row r="3310" spans="10:10" x14ac:dyDescent="0.25">
      <c r="J3310" s="53"/>
    </row>
    <row r="3311" spans="10:10" x14ac:dyDescent="0.25">
      <c r="J3311" s="53"/>
    </row>
    <row r="3312" spans="10:10" x14ac:dyDescent="0.25">
      <c r="J3312" s="53"/>
    </row>
    <row r="3313" spans="10:10" x14ac:dyDescent="0.25">
      <c r="J3313" s="53"/>
    </row>
    <row r="3314" spans="10:10" x14ac:dyDescent="0.25">
      <c r="J3314" s="53"/>
    </row>
    <row r="3315" spans="10:10" x14ac:dyDescent="0.25">
      <c r="J3315" s="53"/>
    </row>
    <row r="3316" spans="10:10" x14ac:dyDescent="0.25">
      <c r="J3316" s="53"/>
    </row>
    <row r="3317" spans="10:10" x14ac:dyDescent="0.25">
      <c r="J3317" s="53"/>
    </row>
    <row r="3318" spans="10:10" x14ac:dyDescent="0.25">
      <c r="J3318" s="53"/>
    </row>
    <row r="3319" spans="10:10" x14ac:dyDescent="0.25">
      <c r="J3319" s="53"/>
    </row>
    <row r="3320" spans="10:10" x14ac:dyDescent="0.25">
      <c r="J3320" s="53"/>
    </row>
    <row r="3321" spans="10:10" x14ac:dyDescent="0.25">
      <c r="J3321" s="53"/>
    </row>
    <row r="3322" spans="10:10" x14ac:dyDescent="0.25">
      <c r="J3322" s="53"/>
    </row>
    <row r="3323" spans="10:10" x14ac:dyDescent="0.25">
      <c r="J3323" s="53"/>
    </row>
    <row r="3324" spans="10:10" x14ac:dyDescent="0.25">
      <c r="J3324" s="53"/>
    </row>
    <row r="3325" spans="10:10" x14ac:dyDescent="0.25">
      <c r="J3325" s="53"/>
    </row>
    <row r="3326" spans="10:10" x14ac:dyDescent="0.25">
      <c r="J3326" s="53"/>
    </row>
    <row r="3327" spans="10:10" x14ac:dyDescent="0.25">
      <c r="J3327" s="53"/>
    </row>
    <row r="3328" spans="10:10" x14ac:dyDescent="0.25">
      <c r="J3328" s="53"/>
    </row>
    <row r="3329" spans="10:10" x14ac:dyDescent="0.25">
      <c r="J3329" s="53"/>
    </row>
    <row r="3330" spans="10:10" x14ac:dyDescent="0.25">
      <c r="J3330" s="53"/>
    </row>
    <row r="3331" spans="10:10" x14ac:dyDescent="0.25">
      <c r="J3331" s="53"/>
    </row>
    <row r="3332" spans="10:10" x14ac:dyDescent="0.25">
      <c r="J3332" s="53"/>
    </row>
    <row r="3333" spans="10:10" x14ac:dyDescent="0.25">
      <c r="J3333" s="53"/>
    </row>
    <row r="3334" spans="10:10" x14ac:dyDescent="0.25">
      <c r="J3334" s="53"/>
    </row>
    <row r="3335" spans="10:10" x14ac:dyDescent="0.25">
      <c r="J3335" s="53"/>
    </row>
    <row r="3336" spans="10:10" x14ac:dyDescent="0.25">
      <c r="J3336" s="53"/>
    </row>
    <row r="3337" spans="10:10" x14ac:dyDescent="0.25">
      <c r="J3337" s="53"/>
    </row>
    <row r="3338" spans="10:10" x14ac:dyDescent="0.25">
      <c r="J3338" s="53"/>
    </row>
    <row r="3339" spans="10:10" x14ac:dyDescent="0.25">
      <c r="J3339" s="53"/>
    </row>
    <row r="3340" spans="10:10" x14ac:dyDescent="0.25">
      <c r="J3340" s="53"/>
    </row>
    <row r="3341" spans="10:10" x14ac:dyDescent="0.25">
      <c r="J3341" s="53"/>
    </row>
    <row r="3342" spans="10:10" x14ac:dyDescent="0.25">
      <c r="J3342" s="53"/>
    </row>
    <row r="3343" spans="10:10" x14ac:dyDescent="0.25">
      <c r="J3343" s="53"/>
    </row>
    <row r="3344" spans="10:10" x14ac:dyDescent="0.25">
      <c r="J3344" s="53"/>
    </row>
    <row r="3345" spans="10:10" x14ac:dyDescent="0.25">
      <c r="J3345" s="53"/>
    </row>
    <row r="3346" spans="10:10" x14ac:dyDescent="0.25">
      <c r="J3346" s="53"/>
    </row>
    <row r="3347" spans="10:10" x14ac:dyDescent="0.25">
      <c r="J3347" s="53"/>
    </row>
    <row r="3348" spans="10:10" x14ac:dyDescent="0.25">
      <c r="J3348" s="53"/>
    </row>
    <row r="3349" spans="10:10" x14ac:dyDescent="0.25">
      <c r="J3349" s="53"/>
    </row>
    <row r="3350" spans="10:10" x14ac:dyDescent="0.25">
      <c r="J3350" s="53"/>
    </row>
    <row r="3351" spans="10:10" x14ac:dyDescent="0.25">
      <c r="J3351" s="53"/>
    </row>
    <row r="3352" spans="10:10" x14ac:dyDescent="0.25">
      <c r="J3352" s="53"/>
    </row>
    <row r="3353" spans="10:10" x14ac:dyDescent="0.25">
      <c r="J3353" s="53"/>
    </row>
    <row r="3354" spans="10:10" x14ac:dyDescent="0.25">
      <c r="J3354" s="53"/>
    </row>
    <row r="3355" spans="10:10" x14ac:dyDescent="0.25">
      <c r="J3355" s="53"/>
    </row>
    <row r="3356" spans="10:10" x14ac:dyDescent="0.25">
      <c r="J3356" s="53"/>
    </row>
    <row r="3357" spans="10:10" x14ac:dyDescent="0.25">
      <c r="J3357" s="53"/>
    </row>
    <row r="3358" spans="10:10" x14ac:dyDescent="0.25">
      <c r="J3358" s="53"/>
    </row>
    <row r="3359" spans="10:10" x14ac:dyDescent="0.25">
      <c r="J3359" s="53"/>
    </row>
    <row r="3360" spans="10:10" x14ac:dyDescent="0.25">
      <c r="J3360" s="53"/>
    </row>
    <row r="3361" spans="10:10" x14ac:dyDescent="0.25">
      <c r="J3361" s="53"/>
    </row>
    <row r="3362" spans="10:10" x14ac:dyDescent="0.25">
      <c r="J3362" s="53"/>
    </row>
    <row r="3363" spans="10:10" x14ac:dyDescent="0.25">
      <c r="J3363" s="53"/>
    </row>
    <row r="3364" spans="10:10" x14ac:dyDescent="0.25">
      <c r="J3364" s="53"/>
    </row>
    <row r="3365" spans="10:10" x14ac:dyDescent="0.25">
      <c r="J3365" s="53"/>
    </row>
    <row r="3366" spans="10:10" x14ac:dyDescent="0.25">
      <c r="J3366" s="53"/>
    </row>
    <row r="3367" spans="10:10" x14ac:dyDescent="0.25">
      <c r="J3367" s="53"/>
    </row>
    <row r="3368" spans="10:10" x14ac:dyDescent="0.25">
      <c r="J3368" s="53"/>
    </row>
    <row r="3369" spans="10:10" x14ac:dyDescent="0.25">
      <c r="J3369" s="53"/>
    </row>
    <row r="3370" spans="10:10" x14ac:dyDescent="0.25">
      <c r="J3370" s="53"/>
    </row>
    <row r="3371" spans="10:10" x14ac:dyDescent="0.25">
      <c r="J3371" s="53"/>
    </row>
    <row r="3372" spans="10:10" x14ac:dyDescent="0.25">
      <c r="J3372" s="53"/>
    </row>
    <row r="3373" spans="10:10" x14ac:dyDescent="0.25">
      <c r="J3373" s="53"/>
    </row>
    <row r="3374" spans="10:10" x14ac:dyDescent="0.25">
      <c r="J3374" s="53"/>
    </row>
    <row r="3375" spans="10:10" x14ac:dyDescent="0.25">
      <c r="J3375" s="53"/>
    </row>
    <row r="3376" spans="10:10" x14ac:dyDescent="0.25">
      <c r="J3376" s="53"/>
    </row>
    <row r="3377" spans="10:10" x14ac:dyDescent="0.25">
      <c r="J3377" s="53"/>
    </row>
    <row r="3378" spans="10:10" x14ac:dyDescent="0.25">
      <c r="J3378" s="53"/>
    </row>
    <row r="3379" spans="10:10" x14ac:dyDescent="0.25">
      <c r="J3379" s="53"/>
    </row>
    <row r="3380" spans="10:10" x14ac:dyDescent="0.25">
      <c r="J3380" s="53"/>
    </row>
    <row r="3381" spans="10:10" x14ac:dyDescent="0.25">
      <c r="J3381" s="53"/>
    </row>
    <row r="3382" spans="10:10" x14ac:dyDescent="0.25">
      <c r="J3382" s="53"/>
    </row>
    <row r="3383" spans="10:10" x14ac:dyDescent="0.25">
      <c r="J3383" s="53"/>
    </row>
    <row r="3384" spans="10:10" x14ac:dyDescent="0.25">
      <c r="J3384" s="53"/>
    </row>
    <row r="3385" spans="10:10" x14ac:dyDescent="0.25">
      <c r="J3385" s="53"/>
    </row>
    <row r="3386" spans="10:10" x14ac:dyDescent="0.25">
      <c r="J3386" s="53"/>
    </row>
    <row r="3387" spans="10:10" x14ac:dyDescent="0.25">
      <c r="J3387" s="53"/>
    </row>
    <row r="3388" spans="10:10" x14ac:dyDescent="0.25">
      <c r="J3388" s="53"/>
    </row>
    <row r="3389" spans="10:10" x14ac:dyDescent="0.25">
      <c r="J3389" s="53"/>
    </row>
    <row r="3390" spans="10:10" x14ac:dyDescent="0.25">
      <c r="J3390" s="53"/>
    </row>
    <row r="3391" spans="10:10" x14ac:dyDescent="0.25">
      <c r="J3391" s="53"/>
    </row>
    <row r="3392" spans="10:10" x14ac:dyDescent="0.25">
      <c r="J3392" s="53"/>
    </row>
    <row r="3393" spans="10:10" x14ac:dyDescent="0.25">
      <c r="J3393" s="53"/>
    </row>
    <row r="3394" spans="10:10" x14ac:dyDescent="0.25">
      <c r="J3394" s="53"/>
    </row>
    <row r="3395" spans="10:10" x14ac:dyDescent="0.25">
      <c r="J3395" s="53"/>
    </row>
    <row r="3396" spans="10:10" x14ac:dyDescent="0.25">
      <c r="J3396" s="53"/>
    </row>
    <row r="3397" spans="10:10" x14ac:dyDescent="0.25">
      <c r="J3397" s="53"/>
    </row>
    <row r="3398" spans="10:10" x14ac:dyDescent="0.25">
      <c r="J3398" s="53"/>
    </row>
    <row r="3399" spans="10:10" x14ac:dyDescent="0.25">
      <c r="J3399" s="53"/>
    </row>
    <row r="3400" spans="10:10" x14ac:dyDescent="0.25">
      <c r="J3400" s="53"/>
    </row>
    <row r="3401" spans="10:10" x14ac:dyDescent="0.25">
      <c r="J3401" s="53"/>
    </row>
    <row r="3402" spans="10:10" x14ac:dyDescent="0.25">
      <c r="J3402" s="53"/>
    </row>
    <row r="3403" spans="10:10" x14ac:dyDescent="0.25">
      <c r="J3403" s="53"/>
    </row>
    <row r="3404" spans="10:10" x14ac:dyDescent="0.25">
      <c r="J3404" s="53"/>
    </row>
    <row r="3405" spans="10:10" x14ac:dyDescent="0.25">
      <c r="J3405" s="53"/>
    </row>
    <row r="3406" spans="10:10" x14ac:dyDescent="0.25">
      <c r="J3406" s="53"/>
    </row>
    <row r="3407" spans="10:10" x14ac:dyDescent="0.25">
      <c r="J3407" s="53"/>
    </row>
    <row r="3408" spans="10:10" x14ac:dyDescent="0.25">
      <c r="J3408" s="53"/>
    </row>
    <row r="3409" spans="10:10" x14ac:dyDescent="0.25">
      <c r="J3409" s="53"/>
    </row>
    <row r="3410" spans="10:10" x14ac:dyDescent="0.25">
      <c r="J3410" s="53"/>
    </row>
    <row r="3411" spans="10:10" x14ac:dyDescent="0.25">
      <c r="J3411" s="53"/>
    </row>
    <row r="3412" spans="10:10" x14ac:dyDescent="0.25">
      <c r="J3412" s="53"/>
    </row>
    <row r="3413" spans="10:10" x14ac:dyDescent="0.25">
      <c r="J3413" s="53"/>
    </row>
    <row r="3414" spans="10:10" x14ac:dyDescent="0.25">
      <c r="J3414" s="53"/>
    </row>
    <row r="3415" spans="10:10" x14ac:dyDescent="0.25">
      <c r="J3415" s="53"/>
    </row>
    <row r="3416" spans="10:10" x14ac:dyDescent="0.25">
      <c r="J3416" s="53"/>
    </row>
    <row r="3417" spans="10:10" x14ac:dyDescent="0.25">
      <c r="J3417" s="53"/>
    </row>
    <row r="3418" spans="10:10" x14ac:dyDescent="0.25">
      <c r="J3418" s="53"/>
    </row>
    <row r="3419" spans="10:10" x14ac:dyDescent="0.25">
      <c r="J3419" s="53"/>
    </row>
    <row r="3420" spans="10:10" x14ac:dyDescent="0.25">
      <c r="J3420" s="53"/>
    </row>
    <row r="3421" spans="10:10" x14ac:dyDescent="0.25">
      <c r="J3421" s="53"/>
    </row>
    <row r="3422" spans="10:10" x14ac:dyDescent="0.25">
      <c r="J3422" s="53"/>
    </row>
    <row r="3423" spans="10:10" x14ac:dyDescent="0.25">
      <c r="J3423" s="53"/>
    </row>
    <row r="3424" spans="10:10" x14ac:dyDescent="0.25">
      <c r="J3424" s="53"/>
    </row>
    <row r="3425" spans="10:10" x14ac:dyDescent="0.25">
      <c r="J3425" s="53"/>
    </row>
    <row r="3426" spans="10:10" x14ac:dyDescent="0.25">
      <c r="J3426" s="53"/>
    </row>
    <row r="3427" spans="10:10" x14ac:dyDescent="0.25">
      <c r="J3427" s="53"/>
    </row>
    <row r="3428" spans="10:10" x14ac:dyDescent="0.25">
      <c r="J3428" s="53"/>
    </row>
    <row r="3429" spans="10:10" x14ac:dyDescent="0.25">
      <c r="J3429" s="53"/>
    </row>
    <row r="3430" spans="10:10" x14ac:dyDescent="0.25">
      <c r="J3430" s="53"/>
    </row>
    <row r="3431" spans="10:10" x14ac:dyDescent="0.25">
      <c r="J3431" s="53"/>
    </row>
    <row r="3432" spans="10:10" x14ac:dyDescent="0.25">
      <c r="J3432" s="53"/>
    </row>
    <row r="3433" spans="10:10" x14ac:dyDescent="0.25">
      <c r="J3433" s="53"/>
    </row>
    <row r="3434" spans="10:10" x14ac:dyDescent="0.25">
      <c r="J3434" s="53"/>
    </row>
    <row r="3435" spans="10:10" x14ac:dyDescent="0.25">
      <c r="J3435" s="53"/>
    </row>
    <row r="3436" spans="10:10" x14ac:dyDescent="0.25">
      <c r="J3436" s="53"/>
    </row>
    <row r="3437" spans="10:10" x14ac:dyDescent="0.25">
      <c r="J3437" s="53"/>
    </row>
    <row r="3438" spans="10:10" x14ac:dyDescent="0.25">
      <c r="J3438" s="53"/>
    </row>
    <row r="3439" spans="10:10" x14ac:dyDescent="0.25">
      <c r="J3439" s="53"/>
    </row>
    <row r="3440" spans="10:10" x14ac:dyDescent="0.25">
      <c r="J3440" s="53"/>
    </row>
    <row r="3441" spans="10:10" x14ac:dyDescent="0.25">
      <c r="J3441" s="53"/>
    </row>
    <row r="3442" spans="10:10" x14ac:dyDescent="0.25">
      <c r="J3442" s="53"/>
    </row>
    <row r="3443" spans="10:10" x14ac:dyDescent="0.25">
      <c r="J3443" s="53"/>
    </row>
    <row r="3444" spans="10:10" x14ac:dyDescent="0.25">
      <c r="J3444" s="53"/>
    </row>
    <row r="3445" spans="10:10" x14ac:dyDescent="0.25">
      <c r="J3445" s="53"/>
    </row>
    <row r="3446" spans="10:10" x14ac:dyDescent="0.25">
      <c r="J3446" s="53"/>
    </row>
    <row r="3447" spans="10:10" x14ac:dyDescent="0.25">
      <c r="J3447" s="53"/>
    </row>
    <row r="3448" spans="10:10" x14ac:dyDescent="0.25">
      <c r="J3448" s="53"/>
    </row>
    <row r="3449" spans="10:10" x14ac:dyDescent="0.25">
      <c r="J3449" s="53"/>
    </row>
    <row r="3450" spans="10:10" x14ac:dyDescent="0.25">
      <c r="J3450" s="53"/>
    </row>
    <row r="3451" spans="10:10" x14ac:dyDescent="0.25">
      <c r="J3451" s="53"/>
    </row>
    <row r="3452" spans="10:10" x14ac:dyDescent="0.25">
      <c r="J3452" s="53"/>
    </row>
    <row r="3453" spans="10:10" x14ac:dyDescent="0.25">
      <c r="J3453" s="53"/>
    </row>
    <row r="3454" spans="10:10" x14ac:dyDescent="0.25">
      <c r="J3454" s="53"/>
    </row>
    <row r="3455" spans="10:10" x14ac:dyDescent="0.25">
      <c r="J3455" s="53"/>
    </row>
    <row r="3456" spans="10:10" x14ac:dyDescent="0.25">
      <c r="J3456" s="53"/>
    </row>
    <row r="3457" spans="10:10" x14ac:dyDescent="0.25">
      <c r="J3457" s="53"/>
    </row>
    <row r="3458" spans="10:10" x14ac:dyDescent="0.25">
      <c r="J3458" s="53"/>
    </row>
    <row r="3459" spans="10:10" x14ac:dyDescent="0.25">
      <c r="J3459" s="53"/>
    </row>
    <row r="3460" spans="10:10" x14ac:dyDescent="0.25">
      <c r="J3460" s="53"/>
    </row>
    <row r="3461" spans="10:10" x14ac:dyDescent="0.25">
      <c r="J3461" s="53"/>
    </row>
    <row r="3462" spans="10:10" x14ac:dyDescent="0.25">
      <c r="J3462" s="53"/>
    </row>
    <row r="3463" spans="10:10" x14ac:dyDescent="0.25">
      <c r="J3463" s="53"/>
    </row>
    <row r="3464" spans="10:10" x14ac:dyDescent="0.25">
      <c r="J3464" s="53"/>
    </row>
    <row r="3465" spans="10:10" x14ac:dyDescent="0.25">
      <c r="J3465" s="53"/>
    </row>
    <row r="3466" spans="10:10" x14ac:dyDescent="0.25">
      <c r="J3466" s="53"/>
    </row>
    <row r="3467" spans="10:10" x14ac:dyDescent="0.25">
      <c r="J3467" s="53"/>
    </row>
    <row r="3468" spans="10:10" x14ac:dyDescent="0.25">
      <c r="J3468" s="53"/>
    </row>
    <row r="3469" spans="10:10" x14ac:dyDescent="0.25">
      <c r="J3469" s="53"/>
    </row>
    <row r="3470" spans="10:10" x14ac:dyDescent="0.25">
      <c r="J3470" s="53"/>
    </row>
    <row r="3471" spans="10:10" x14ac:dyDescent="0.25">
      <c r="J3471" s="53"/>
    </row>
    <row r="3472" spans="10:10" x14ac:dyDescent="0.25">
      <c r="J3472" s="53"/>
    </row>
    <row r="3473" spans="10:10" x14ac:dyDescent="0.25">
      <c r="J3473" s="53"/>
    </row>
    <row r="3474" spans="10:10" x14ac:dyDescent="0.25">
      <c r="J3474" s="53"/>
    </row>
    <row r="3475" spans="10:10" x14ac:dyDescent="0.25">
      <c r="J3475" s="53"/>
    </row>
    <row r="3476" spans="10:10" x14ac:dyDescent="0.25">
      <c r="J3476" s="53"/>
    </row>
    <row r="3477" spans="10:10" x14ac:dyDescent="0.25">
      <c r="J3477" s="53"/>
    </row>
    <row r="3478" spans="10:10" x14ac:dyDescent="0.25">
      <c r="J3478" s="53"/>
    </row>
    <row r="3479" spans="10:10" x14ac:dyDescent="0.25">
      <c r="J3479" s="53"/>
    </row>
    <row r="3480" spans="10:10" x14ac:dyDescent="0.25">
      <c r="J3480" s="53"/>
    </row>
    <row r="3481" spans="10:10" x14ac:dyDescent="0.25">
      <c r="J3481" s="53"/>
    </row>
    <row r="3482" spans="10:10" x14ac:dyDescent="0.25">
      <c r="J3482" s="53"/>
    </row>
    <row r="3483" spans="10:10" x14ac:dyDescent="0.25">
      <c r="J3483" s="53"/>
    </row>
    <row r="3484" spans="10:10" x14ac:dyDescent="0.25">
      <c r="J3484" s="53"/>
    </row>
    <row r="3485" spans="10:10" x14ac:dyDescent="0.25">
      <c r="J3485" s="53"/>
    </row>
    <row r="3486" spans="10:10" x14ac:dyDescent="0.25">
      <c r="J3486" s="53"/>
    </row>
    <row r="3487" spans="10:10" x14ac:dyDescent="0.25">
      <c r="J3487" s="53"/>
    </row>
    <row r="3488" spans="10:10" x14ac:dyDescent="0.25">
      <c r="J3488" s="53"/>
    </row>
    <row r="3489" spans="10:10" x14ac:dyDescent="0.25">
      <c r="J3489" s="53"/>
    </row>
    <row r="3490" spans="10:10" x14ac:dyDescent="0.25">
      <c r="J3490" s="53"/>
    </row>
    <row r="3491" spans="10:10" x14ac:dyDescent="0.25">
      <c r="J3491" s="53"/>
    </row>
    <row r="3492" spans="10:10" x14ac:dyDescent="0.25">
      <c r="J3492" s="53"/>
    </row>
    <row r="3493" spans="10:10" x14ac:dyDescent="0.25">
      <c r="J3493" s="53"/>
    </row>
    <row r="3494" spans="10:10" x14ac:dyDescent="0.25">
      <c r="J3494" s="53"/>
    </row>
    <row r="3495" spans="10:10" x14ac:dyDescent="0.25">
      <c r="J3495" s="53"/>
    </row>
    <row r="3496" spans="10:10" x14ac:dyDescent="0.25">
      <c r="J3496" s="53"/>
    </row>
    <row r="3497" spans="10:10" x14ac:dyDescent="0.25">
      <c r="J3497" s="53"/>
    </row>
    <row r="3498" spans="10:10" x14ac:dyDescent="0.25">
      <c r="J3498" s="53"/>
    </row>
    <row r="3499" spans="10:10" x14ac:dyDescent="0.25">
      <c r="J3499" s="53"/>
    </row>
    <row r="3500" spans="10:10" x14ac:dyDescent="0.25">
      <c r="J3500" s="53"/>
    </row>
    <row r="3501" spans="10:10" x14ac:dyDescent="0.25">
      <c r="J3501" s="53"/>
    </row>
    <row r="3502" spans="10:10" x14ac:dyDescent="0.25">
      <c r="J3502" s="53"/>
    </row>
    <row r="3503" spans="10:10" x14ac:dyDescent="0.25">
      <c r="J3503" s="53"/>
    </row>
    <row r="3504" spans="10:10" x14ac:dyDescent="0.25">
      <c r="J3504" s="53"/>
    </row>
    <row r="3505" spans="10:10" x14ac:dyDescent="0.25">
      <c r="J3505" s="53"/>
    </row>
    <row r="3506" spans="10:10" x14ac:dyDescent="0.25">
      <c r="J3506" s="53"/>
    </row>
    <row r="3507" spans="10:10" x14ac:dyDescent="0.25">
      <c r="J3507" s="53"/>
    </row>
    <row r="3508" spans="10:10" x14ac:dyDescent="0.25">
      <c r="J3508" s="53"/>
    </row>
    <row r="3509" spans="10:10" x14ac:dyDescent="0.25">
      <c r="J3509" s="53"/>
    </row>
    <row r="3510" spans="10:10" x14ac:dyDescent="0.25">
      <c r="J3510" s="53"/>
    </row>
    <row r="3511" spans="10:10" x14ac:dyDescent="0.25">
      <c r="J3511" s="53"/>
    </row>
    <row r="3512" spans="10:10" x14ac:dyDescent="0.25">
      <c r="J3512" s="53"/>
    </row>
    <row r="3513" spans="10:10" x14ac:dyDescent="0.25">
      <c r="J3513" s="53"/>
    </row>
    <row r="3514" spans="10:10" x14ac:dyDescent="0.25">
      <c r="J3514" s="53"/>
    </row>
    <row r="3515" spans="10:10" x14ac:dyDescent="0.25">
      <c r="J3515" s="53"/>
    </row>
    <row r="3516" spans="10:10" x14ac:dyDescent="0.25">
      <c r="J3516" s="53"/>
    </row>
    <row r="3517" spans="10:10" x14ac:dyDescent="0.25">
      <c r="J3517" s="53"/>
    </row>
    <row r="3518" spans="10:10" x14ac:dyDescent="0.25">
      <c r="J3518" s="53"/>
    </row>
    <row r="3519" spans="10:10" x14ac:dyDescent="0.25">
      <c r="J3519" s="53"/>
    </row>
    <row r="3520" spans="10:10" x14ac:dyDescent="0.25">
      <c r="J3520" s="53"/>
    </row>
    <row r="3521" spans="10:10" x14ac:dyDescent="0.25">
      <c r="J3521" s="53"/>
    </row>
    <row r="3522" spans="10:10" x14ac:dyDescent="0.25">
      <c r="J3522" s="53"/>
    </row>
    <row r="3523" spans="10:10" x14ac:dyDescent="0.25">
      <c r="J3523" s="53"/>
    </row>
    <row r="3524" spans="10:10" x14ac:dyDescent="0.25">
      <c r="J3524" s="53"/>
    </row>
    <row r="3525" spans="10:10" x14ac:dyDescent="0.25">
      <c r="J3525" s="53"/>
    </row>
    <row r="3526" spans="10:10" x14ac:dyDescent="0.25">
      <c r="J3526" s="53"/>
    </row>
    <row r="3527" spans="10:10" x14ac:dyDescent="0.25">
      <c r="J3527" s="53"/>
    </row>
    <row r="3528" spans="10:10" x14ac:dyDescent="0.25">
      <c r="J3528" s="53"/>
    </row>
    <row r="3529" spans="10:10" x14ac:dyDescent="0.25">
      <c r="J3529" s="53"/>
    </row>
    <row r="3530" spans="10:10" x14ac:dyDescent="0.25">
      <c r="J3530" s="53"/>
    </row>
    <row r="3531" spans="10:10" x14ac:dyDescent="0.25">
      <c r="J3531" s="53"/>
    </row>
    <row r="3532" spans="10:10" x14ac:dyDescent="0.25">
      <c r="J3532" s="53"/>
    </row>
    <row r="3533" spans="10:10" x14ac:dyDescent="0.25">
      <c r="J3533" s="53"/>
    </row>
    <row r="3534" spans="10:10" x14ac:dyDescent="0.25">
      <c r="J3534" s="53"/>
    </row>
    <row r="3535" spans="10:10" x14ac:dyDescent="0.25">
      <c r="J3535" s="53"/>
    </row>
    <row r="3536" spans="10:10" x14ac:dyDescent="0.25">
      <c r="J3536" s="53"/>
    </row>
    <row r="3537" spans="10:10" x14ac:dyDescent="0.25">
      <c r="J3537" s="53"/>
    </row>
    <row r="3538" spans="10:10" x14ac:dyDescent="0.25">
      <c r="J3538" s="53"/>
    </row>
    <row r="3539" spans="10:10" x14ac:dyDescent="0.25">
      <c r="J3539" s="53"/>
    </row>
    <row r="3540" spans="10:10" x14ac:dyDescent="0.25">
      <c r="J3540" s="53"/>
    </row>
    <row r="3541" spans="10:10" x14ac:dyDescent="0.25">
      <c r="J3541" s="53"/>
    </row>
    <row r="3542" spans="10:10" x14ac:dyDescent="0.25">
      <c r="J3542" s="53"/>
    </row>
    <row r="3543" spans="10:10" x14ac:dyDescent="0.25">
      <c r="J3543" s="53"/>
    </row>
    <row r="3544" spans="10:10" x14ac:dyDescent="0.25">
      <c r="J3544" s="53"/>
    </row>
    <row r="3545" spans="10:10" x14ac:dyDescent="0.25">
      <c r="J3545" s="53"/>
    </row>
    <row r="3546" spans="10:10" x14ac:dyDescent="0.25">
      <c r="J3546" s="53"/>
    </row>
    <row r="3547" spans="10:10" x14ac:dyDescent="0.25">
      <c r="J3547" s="53"/>
    </row>
    <row r="3548" spans="10:10" x14ac:dyDescent="0.25">
      <c r="J3548" s="53"/>
    </row>
    <row r="3549" spans="10:10" x14ac:dyDescent="0.25">
      <c r="J3549" s="53"/>
    </row>
    <row r="3550" spans="10:10" x14ac:dyDescent="0.25">
      <c r="J3550" s="53"/>
    </row>
    <row r="3551" spans="10:10" x14ac:dyDescent="0.25">
      <c r="J3551" s="53"/>
    </row>
    <row r="3552" spans="10:10" x14ac:dyDescent="0.25">
      <c r="J3552" s="53"/>
    </row>
    <row r="3553" spans="10:10" x14ac:dyDescent="0.25">
      <c r="J3553" s="53"/>
    </row>
    <row r="3554" spans="10:10" x14ac:dyDescent="0.25">
      <c r="J3554" s="53"/>
    </row>
    <row r="3555" spans="10:10" x14ac:dyDescent="0.25">
      <c r="J3555" s="53"/>
    </row>
    <row r="3556" spans="10:10" x14ac:dyDescent="0.25">
      <c r="J3556" s="53"/>
    </row>
    <row r="3557" spans="10:10" x14ac:dyDescent="0.25">
      <c r="J3557" s="53"/>
    </row>
    <row r="3558" spans="10:10" x14ac:dyDescent="0.25">
      <c r="J3558" s="53"/>
    </row>
    <row r="3559" spans="10:10" x14ac:dyDescent="0.25">
      <c r="J3559" s="53"/>
    </row>
    <row r="3560" spans="10:10" x14ac:dyDescent="0.25">
      <c r="J3560" s="53"/>
    </row>
    <row r="3561" spans="10:10" x14ac:dyDescent="0.25">
      <c r="J3561" s="53"/>
    </row>
    <row r="3562" spans="10:10" x14ac:dyDescent="0.25">
      <c r="J3562" s="53"/>
    </row>
    <row r="3563" spans="10:10" x14ac:dyDescent="0.25">
      <c r="J3563" s="53"/>
    </row>
    <row r="3564" spans="10:10" x14ac:dyDescent="0.25">
      <c r="J3564" s="53"/>
    </row>
    <row r="3565" spans="10:10" x14ac:dyDescent="0.25">
      <c r="J3565" s="53"/>
    </row>
    <row r="3566" spans="10:10" x14ac:dyDescent="0.25">
      <c r="J3566" s="53"/>
    </row>
    <row r="3567" spans="10:10" x14ac:dyDescent="0.25">
      <c r="J3567" s="53"/>
    </row>
    <row r="3568" spans="10:10" x14ac:dyDescent="0.25">
      <c r="J3568" s="53"/>
    </row>
    <row r="3569" spans="10:10" x14ac:dyDescent="0.25">
      <c r="J3569" s="53"/>
    </row>
    <row r="3570" spans="10:10" x14ac:dyDescent="0.25">
      <c r="J3570" s="53"/>
    </row>
    <row r="3571" spans="10:10" x14ac:dyDescent="0.25">
      <c r="J3571" s="53"/>
    </row>
    <row r="3572" spans="10:10" x14ac:dyDescent="0.25">
      <c r="J3572" s="53"/>
    </row>
    <row r="3573" spans="10:10" x14ac:dyDescent="0.25">
      <c r="J3573" s="53"/>
    </row>
    <row r="3574" spans="10:10" x14ac:dyDescent="0.25">
      <c r="J3574" s="53"/>
    </row>
    <row r="3575" spans="10:10" x14ac:dyDescent="0.25">
      <c r="J3575" s="53"/>
    </row>
    <row r="3576" spans="10:10" x14ac:dyDescent="0.25">
      <c r="J3576" s="53"/>
    </row>
    <row r="3577" spans="10:10" x14ac:dyDescent="0.25">
      <c r="J3577" s="53"/>
    </row>
    <row r="3578" spans="10:10" x14ac:dyDescent="0.25">
      <c r="J3578" s="53"/>
    </row>
    <row r="3579" spans="10:10" x14ac:dyDescent="0.25">
      <c r="J3579" s="53"/>
    </row>
    <row r="3580" spans="10:10" x14ac:dyDescent="0.25">
      <c r="J3580" s="53"/>
    </row>
    <row r="3581" spans="10:10" x14ac:dyDescent="0.25">
      <c r="J3581" s="53"/>
    </row>
    <row r="3582" spans="10:10" x14ac:dyDescent="0.25">
      <c r="J3582" s="53"/>
    </row>
    <row r="3583" spans="10:10" x14ac:dyDescent="0.25">
      <c r="J3583" s="53"/>
    </row>
    <row r="3584" spans="10:10" x14ac:dyDescent="0.25">
      <c r="J3584" s="53"/>
    </row>
    <row r="3585" spans="10:10" x14ac:dyDescent="0.25">
      <c r="J3585" s="53"/>
    </row>
    <row r="3586" spans="10:10" x14ac:dyDescent="0.25">
      <c r="J3586" s="53"/>
    </row>
    <row r="3587" spans="10:10" x14ac:dyDescent="0.25">
      <c r="J3587" s="53"/>
    </row>
    <row r="3588" spans="10:10" x14ac:dyDescent="0.25">
      <c r="J3588" s="53"/>
    </row>
    <row r="3589" spans="10:10" x14ac:dyDescent="0.25">
      <c r="J3589" s="53"/>
    </row>
    <row r="3590" spans="10:10" x14ac:dyDescent="0.25">
      <c r="J3590" s="53"/>
    </row>
    <row r="3591" spans="10:10" x14ac:dyDescent="0.25">
      <c r="J3591" s="53"/>
    </row>
    <row r="3592" spans="10:10" x14ac:dyDescent="0.25">
      <c r="J3592" s="53"/>
    </row>
    <row r="3593" spans="10:10" x14ac:dyDescent="0.25">
      <c r="J3593" s="53"/>
    </row>
    <row r="3594" spans="10:10" x14ac:dyDescent="0.25">
      <c r="J3594" s="53"/>
    </row>
    <row r="3595" spans="10:10" x14ac:dyDescent="0.25">
      <c r="J3595" s="53"/>
    </row>
    <row r="3596" spans="10:10" x14ac:dyDescent="0.25">
      <c r="J3596" s="53"/>
    </row>
    <row r="3597" spans="10:10" x14ac:dyDescent="0.25">
      <c r="J3597" s="53"/>
    </row>
    <row r="3598" spans="10:10" x14ac:dyDescent="0.25">
      <c r="J3598" s="53"/>
    </row>
    <row r="3599" spans="10:10" x14ac:dyDescent="0.25">
      <c r="J3599" s="53"/>
    </row>
    <row r="3600" spans="10:10" x14ac:dyDescent="0.25">
      <c r="J3600" s="53"/>
    </row>
    <row r="3601" spans="10:10" x14ac:dyDescent="0.25">
      <c r="J3601" s="53"/>
    </row>
    <row r="3602" spans="10:10" x14ac:dyDescent="0.25">
      <c r="J3602" s="53"/>
    </row>
    <row r="3603" spans="10:10" x14ac:dyDescent="0.25">
      <c r="J3603" s="53"/>
    </row>
    <row r="3604" spans="10:10" x14ac:dyDescent="0.25">
      <c r="J3604" s="53"/>
    </row>
    <row r="3605" spans="10:10" x14ac:dyDescent="0.25">
      <c r="J3605" s="53"/>
    </row>
    <row r="3606" spans="10:10" x14ac:dyDescent="0.25">
      <c r="J3606" s="53"/>
    </row>
    <row r="3607" spans="10:10" x14ac:dyDescent="0.25">
      <c r="J3607" s="53"/>
    </row>
    <row r="3608" spans="10:10" x14ac:dyDescent="0.25">
      <c r="J3608" s="53"/>
    </row>
    <row r="3609" spans="10:10" x14ac:dyDescent="0.25">
      <c r="J3609" s="53"/>
    </row>
    <row r="3610" spans="10:10" x14ac:dyDescent="0.25">
      <c r="J3610" s="53"/>
    </row>
    <row r="3611" spans="10:10" x14ac:dyDescent="0.25">
      <c r="J3611" s="53"/>
    </row>
    <row r="3612" spans="10:10" x14ac:dyDescent="0.25">
      <c r="J3612" s="53"/>
    </row>
    <row r="3613" spans="10:10" x14ac:dyDescent="0.25">
      <c r="J3613" s="53"/>
    </row>
    <row r="3614" spans="10:10" x14ac:dyDescent="0.25">
      <c r="J3614" s="53"/>
    </row>
    <row r="3615" spans="10:10" x14ac:dyDescent="0.25">
      <c r="J3615" s="53"/>
    </row>
    <row r="3616" spans="10:10" x14ac:dyDescent="0.25">
      <c r="J3616" s="53"/>
    </row>
    <row r="3617" spans="10:10" x14ac:dyDescent="0.25">
      <c r="J3617" s="53"/>
    </row>
    <row r="3618" spans="10:10" x14ac:dyDescent="0.25">
      <c r="J3618" s="53"/>
    </row>
    <row r="3619" spans="10:10" x14ac:dyDescent="0.25">
      <c r="J3619" s="53"/>
    </row>
    <row r="3620" spans="10:10" x14ac:dyDescent="0.25">
      <c r="J3620" s="53"/>
    </row>
    <row r="3621" spans="10:10" x14ac:dyDescent="0.25">
      <c r="J3621" s="53"/>
    </row>
    <row r="3622" spans="10:10" x14ac:dyDescent="0.25">
      <c r="J3622" s="53"/>
    </row>
    <row r="3623" spans="10:10" x14ac:dyDescent="0.25">
      <c r="J3623" s="53"/>
    </row>
    <row r="3624" spans="10:10" x14ac:dyDescent="0.25">
      <c r="J3624" s="53"/>
    </row>
    <row r="3625" spans="10:10" x14ac:dyDescent="0.25">
      <c r="J3625" s="53"/>
    </row>
    <row r="3626" spans="10:10" x14ac:dyDescent="0.25">
      <c r="J3626" s="53"/>
    </row>
    <row r="3627" spans="10:10" x14ac:dyDescent="0.25">
      <c r="J3627" s="53"/>
    </row>
    <row r="3628" spans="10:10" x14ac:dyDescent="0.25">
      <c r="J3628" s="53"/>
    </row>
    <row r="3629" spans="10:10" x14ac:dyDescent="0.25">
      <c r="J3629" s="53"/>
    </row>
    <row r="3630" spans="10:10" x14ac:dyDescent="0.25">
      <c r="J3630" s="53"/>
    </row>
    <row r="3631" spans="10:10" x14ac:dyDescent="0.25">
      <c r="J3631" s="53"/>
    </row>
    <row r="3632" spans="10:10" x14ac:dyDescent="0.25">
      <c r="J3632" s="53"/>
    </row>
    <row r="3633" spans="10:10" x14ac:dyDescent="0.25">
      <c r="J3633" s="53"/>
    </row>
    <row r="3634" spans="10:10" x14ac:dyDescent="0.25">
      <c r="J3634" s="53"/>
    </row>
    <row r="3635" spans="10:10" x14ac:dyDescent="0.25">
      <c r="J3635" s="53"/>
    </row>
    <row r="3636" spans="10:10" x14ac:dyDescent="0.25">
      <c r="J3636" s="53"/>
    </row>
    <row r="3637" spans="10:10" x14ac:dyDescent="0.25">
      <c r="J3637" s="53"/>
    </row>
    <row r="3638" spans="10:10" x14ac:dyDescent="0.25">
      <c r="J3638" s="53"/>
    </row>
    <row r="3639" spans="10:10" x14ac:dyDescent="0.25">
      <c r="J3639" s="53"/>
    </row>
    <row r="3640" spans="10:10" x14ac:dyDescent="0.25">
      <c r="J3640" s="53"/>
    </row>
    <row r="3641" spans="10:10" x14ac:dyDescent="0.25">
      <c r="J3641" s="53"/>
    </row>
    <row r="3642" spans="10:10" x14ac:dyDescent="0.25">
      <c r="J3642" s="53"/>
    </row>
    <row r="3643" spans="10:10" x14ac:dyDescent="0.25">
      <c r="J3643" s="53"/>
    </row>
    <row r="3644" spans="10:10" x14ac:dyDescent="0.25">
      <c r="J3644" s="53"/>
    </row>
    <row r="3645" spans="10:10" x14ac:dyDescent="0.25">
      <c r="J3645" s="53"/>
    </row>
    <row r="3646" spans="10:10" x14ac:dyDescent="0.25">
      <c r="J3646" s="53"/>
    </row>
    <row r="3647" spans="10:10" x14ac:dyDescent="0.25">
      <c r="J3647" s="53"/>
    </row>
    <row r="3648" spans="10:10" x14ac:dyDescent="0.25">
      <c r="J3648" s="53"/>
    </row>
    <row r="3649" spans="10:10" x14ac:dyDescent="0.25">
      <c r="J3649" s="53"/>
    </row>
    <row r="3650" spans="10:10" x14ac:dyDescent="0.25">
      <c r="J3650" s="53"/>
    </row>
    <row r="3651" spans="10:10" x14ac:dyDescent="0.25">
      <c r="J3651" s="53"/>
    </row>
    <row r="3652" spans="10:10" x14ac:dyDescent="0.25">
      <c r="J3652" s="53"/>
    </row>
    <row r="3653" spans="10:10" x14ac:dyDescent="0.25">
      <c r="J3653" s="53"/>
    </row>
    <row r="3654" spans="10:10" x14ac:dyDescent="0.25">
      <c r="J3654" s="53"/>
    </row>
  </sheetData>
  <sortState xmlns:xlrd2="http://schemas.microsoft.com/office/spreadsheetml/2017/richdata2" ref="A2:I2097">
    <sortCondition descending="1" ref="C2:C2097"/>
  </sortState>
  <conditionalFormatting sqref="A3:A366">
    <cfRule type="duplicateValues" dxfId="6" priority="8"/>
  </conditionalFormatting>
  <conditionalFormatting sqref="A368:A616">
    <cfRule type="duplicateValues" dxfId="5" priority="15"/>
  </conditionalFormatting>
  <conditionalFormatting sqref="A618:A962">
    <cfRule type="duplicateValues" dxfId="4" priority="13"/>
  </conditionalFormatting>
  <conditionalFormatting sqref="A963:A1226">
    <cfRule type="duplicateValues" dxfId="3" priority="14"/>
  </conditionalFormatting>
  <conditionalFormatting sqref="A1227:A1378 A1409:A1458">
    <cfRule type="duplicateValues" dxfId="2" priority="12"/>
  </conditionalFormatting>
  <conditionalFormatting sqref="A1379:A1408">
    <cfRule type="duplicateValues" dxfId="1" priority="3"/>
  </conditionalFormatting>
  <conditionalFormatting sqref="C1:C1048576">
    <cfRule type="cellIs" dxfId="0" priority="1" operator="between">
      <formula>2</formula>
      <formula>9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9"/>
  <sheetViews>
    <sheetView workbookViewId="0">
      <selection activeCell="F21" sqref="F21"/>
    </sheetView>
  </sheetViews>
  <sheetFormatPr defaultRowHeight="15" x14ac:dyDescent="0.25"/>
  <sheetData>
    <row r="2" spans="1:7" x14ac:dyDescent="0.25">
      <c r="A2" s="39" t="s">
        <v>129</v>
      </c>
    </row>
    <row r="4" spans="1:7" x14ac:dyDescent="0.25">
      <c r="A4" t="s">
        <v>130</v>
      </c>
    </row>
    <row r="5" spans="1:7" x14ac:dyDescent="0.25">
      <c r="A5" s="19" t="s">
        <v>50</v>
      </c>
      <c r="B5" s="19" t="s">
        <v>51</v>
      </c>
    </row>
    <row r="6" spans="1:7" x14ac:dyDescent="0.25">
      <c r="A6" s="19" t="s">
        <v>55</v>
      </c>
      <c r="B6" s="19" t="s">
        <v>56</v>
      </c>
      <c r="D6" t="s">
        <v>131</v>
      </c>
    </row>
    <row r="7" spans="1:7" x14ac:dyDescent="0.25">
      <c r="A7" s="19"/>
      <c r="B7" s="19"/>
    </row>
    <row r="8" spans="1:7" x14ac:dyDescent="0.25">
      <c r="A8" s="36">
        <v>0.72</v>
      </c>
      <c r="B8" s="32">
        <f>1-pww</f>
        <v>0.19999999999999996</v>
      </c>
    </row>
    <row r="9" spans="1:7" x14ac:dyDescent="0.25">
      <c r="A9" s="32">
        <f>1-pdd</f>
        <v>0.72</v>
      </c>
      <c r="B9" s="36">
        <v>0.62</v>
      </c>
    </row>
    <row r="11" spans="1:7" x14ac:dyDescent="0.25">
      <c r="A11" t="s">
        <v>132</v>
      </c>
    </row>
    <row r="13" spans="1:7" x14ac:dyDescent="0.25">
      <c r="A13" t="s">
        <v>133</v>
      </c>
    </row>
    <row r="14" spans="1:7" x14ac:dyDescent="0.25">
      <c r="A14" t="s">
        <v>134</v>
      </c>
    </row>
    <row r="15" spans="1:7" x14ac:dyDescent="0.25">
      <c r="A15" t="s">
        <v>135</v>
      </c>
      <c r="F15">
        <f>(1-0.43)*365</f>
        <v>208.05</v>
      </c>
      <c r="G15" t="s">
        <v>136</v>
      </c>
    </row>
    <row r="16" spans="1:7" x14ac:dyDescent="0.25">
      <c r="A16" t="s">
        <v>137</v>
      </c>
      <c r="D16" t="s">
        <v>138</v>
      </c>
      <c r="E16" s="52">
        <f>817/F15</f>
        <v>3.9269406392694064</v>
      </c>
      <c r="F16" t="s">
        <v>61</v>
      </c>
    </row>
    <row r="17" spans="1:3" x14ac:dyDescent="0.25">
      <c r="A17" t="s">
        <v>139</v>
      </c>
      <c r="C17" s="4">
        <f>1/E16</f>
        <v>0.25465116279069766</v>
      </c>
    </row>
    <row r="19" spans="1:3" x14ac:dyDescent="0.25">
      <c r="A19" t="s">
        <v>140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5F42111059549AC06AF4BAA51B162" ma:contentTypeVersion="3" ma:contentTypeDescription="Create a new document." ma:contentTypeScope="" ma:versionID="230864734e5beedab6a26010f419a840">
  <xsd:schema xmlns:xsd="http://www.w3.org/2001/XMLSchema" xmlns:xs="http://www.w3.org/2001/XMLSchema" xmlns:p="http://schemas.microsoft.com/office/2006/metadata/properties" xmlns:ns2="fa9378e0-afda-4718-8434-f64f607bce9b" targetNamespace="http://schemas.microsoft.com/office/2006/metadata/properties" ma:root="true" ma:fieldsID="7020c4f509558918f54333505245a306" ns2:_="">
    <xsd:import namespace="fa9378e0-afda-4718-8434-f64f607bc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378e0-afda-4718-8434-f64f607bc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73BE0-EC22-451C-8D56-DFBF61DC192C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fa9378e0-afda-4718-8434-f64f607bce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AB63FB-D942-4F6A-9854-3E68F7EC1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378e0-afda-4718-8434-f64f607bc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0BB5F2-4516-4779-BF5D-2DAE4C3AC3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READ ME</vt:lpstr>
      <vt:lpstr>markov model</vt:lpstr>
      <vt:lpstr>Output analysis</vt:lpstr>
      <vt:lpstr>Calc transition matrix</vt:lpstr>
      <vt:lpstr>Solutions</vt:lpstr>
      <vt:lpstr>codes</vt:lpstr>
      <vt:lpstr>lambda</vt:lpstr>
      <vt:lpstr>moddata</vt:lpstr>
      <vt:lpstr>obsdata</vt:lpstr>
      <vt:lpstr>pdd</vt:lpstr>
      <vt:lpstr>pdw</vt:lpstr>
      <vt:lpstr>pwd</vt:lpstr>
      <vt:lpstr>pww</vt:lpstr>
      <vt:lpstr>rainout</vt:lpstr>
    </vt:vector>
  </TitlesOfParts>
  <Manager/>
  <Company>Newcastle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Kilsby</dc:creator>
  <cp:keywords/>
  <dc:description/>
  <cp:lastModifiedBy>Angus Robinson (UG)</cp:lastModifiedBy>
  <cp:revision/>
  <dcterms:created xsi:type="dcterms:W3CDTF">2009-11-25T17:01:27Z</dcterms:created>
  <dcterms:modified xsi:type="dcterms:W3CDTF">2026-04-21T14:49:23Z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0x010100ACF5F42111059549AC06AF4BAA51B162</vt:lpwstr>
  </property>
</Properties>
</file>